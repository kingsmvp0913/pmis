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s\AppData\Local\Temp\"/>
    </mc:Choice>
  </mc:AlternateContent>
  <xr:revisionPtr revIDLastSave="0" documentId="8_{D4D2912B-223F-4187-852C-0172DE583499}" xr6:coauthVersionLast="47" xr6:coauthVersionMax="47" xr10:uidLastSave="{00000000-0000-0000-0000-000000000000}"/>
  <bookViews>
    <workbookView xWindow="-108" yWindow="-108" windowWidth="23256" windowHeight="12456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F290" i="14" l="1"/>
  <c r="WE290" i="14"/>
  <c r="WD290" i="14"/>
  <c r="WC290" i="14"/>
  <c r="WB290" i="14"/>
  <c r="WA290" i="14"/>
  <c r="VZ290" i="14"/>
  <c r="VY290" i="14"/>
  <c r="VX290" i="14"/>
  <c r="VW290" i="14"/>
  <c r="VV290" i="14"/>
  <c r="VU290" i="14"/>
  <c r="VT290" i="14"/>
  <c r="VS290" i="14"/>
  <c r="VR290" i="14"/>
  <c r="VQ290" i="14"/>
  <c r="VP290" i="14"/>
  <c r="VO290" i="14"/>
  <c r="VN290" i="14"/>
  <c r="VM290" i="14"/>
  <c r="VL290" i="14"/>
  <c r="VK290" i="14"/>
  <c r="VJ290" i="14"/>
  <c r="VI290" i="14"/>
  <c r="VH290" i="14"/>
  <c r="VG290" i="14"/>
  <c r="VF290" i="14"/>
  <c r="VE290" i="14"/>
  <c r="VD290" i="14"/>
  <c r="VC290" i="14"/>
  <c r="VB290" i="14"/>
  <c r="VA290" i="14"/>
  <c r="UZ290" i="14"/>
  <c r="UY290" i="14"/>
  <c r="UX290" i="14"/>
  <c r="UW290" i="14"/>
  <c r="UV290" i="14"/>
  <c r="UU290" i="14"/>
  <c r="UT290" i="14"/>
  <c r="US290" i="14"/>
  <c r="UR290" i="14"/>
  <c r="UQ290" i="14"/>
  <c r="UP290" i="14"/>
  <c r="UO290" i="14"/>
  <c r="UN290" i="14"/>
  <c r="UM290" i="14"/>
  <c r="UL290" i="14"/>
  <c r="UK290" i="14"/>
  <c r="UJ290" i="14"/>
  <c r="UI290" i="14"/>
  <c r="UH290" i="14"/>
  <c r="UG290" i="14"/>
  <c r="UF290" i="14"/>
  <c r="UE290" i="14"/>
  <c r="UD290" i="14"/>
  <c r="UC290" i="14"/>
  <c r="UB290" i="14"/>
  <c r="UA290" i="14"/>
  <c r="TZ290" i="14"/>
  <c r="TY290" i="14"/>
  <c r="TX290" i="14"/>
  <c r="TW290" i="14"/>
  <c r="TV290" i="14"/>
  <c r="TU290" i="14"/>
  <c r="TT290" i="14"/>
  <c r="TS290" i="14"/>
  <c r="TR290" i="14"/>
  <c r="TQ290" i="14"/>
  <c r="TP290" i="14"/>
  <c r="TO290" i="14"/>
  <c r="TN290" i="14"/>
  <c r="TM290" i="14"/>
  <c r="TL290" i="14"/>
  <c r="TK290" i="14"/>
  <c r="TJ290" i="14"/>
  <c r="TI290" i="14"/>
  <c r="TH290" i="14"/>
  <c r="TG290" i="14"/>
  <c r="TF290" i="14"/>
  <c r="TE290" i="14"/>
  <c r="TD290" i="14"/>
  <c r="TC290" i="14"/>
  <c r="TB290" i="14"/>
  <c r="TA290" i="14"/>
  <c r="SZ290" i="14"/>
  <c r="SY290" i="14"/>
  <c r="SX290" i="14"/>
  <c r="SW290" i="14"/>
  <c r="SV290" i="14"/>
  <c r="SU290" i="14"/>
  <c r="ST290" i="14"/>
  <c r="SS290" i="14"/>
  <c r="SR290" i="14"/>
  <c r="SQ290" i="14"/>
  <c r="SP290" i="14"/>
  <c r="SO290" i="14"/>
  <c r="SN290" i="14"/>
  <c r="SM290" i="14"/>
  <c r="SL290" i="14"/>
  <c r="SK290" i="14"/>
  <c r="SJ290" i="14"/>
  <c r="SI290" i="14"/>
  <c r="SH290" i="14"/>
  <c r="SG290" i="14"/>
  <c r="SF290" i="14"/>
  <c r="SE290" i="14"/>
  <c r="SD290" i="14"/>
  <c r="SC290" i="14"/>
  <c r="SB290" i="14"/>
  <c r="SA290" i="14"/>
  <c r="RZ290" i="14"/>
  <c r="RY290" i="14"/>
  <c r="RX290" i="14"/>
  <c r="RW290" i="14"/>
  <c r="RV290" i="14"/>
  <c r="RU290" i="14"/>
  <c r="RT290" i="14"/>
  <c r="RS290" i="14"/>
  <c r="RR290" i="14"/>
  <c r="RQ290" i="14"/>
  <c r="RP290" i="14"/>
  <c r="RO290" i="14"/>
  <c r="RN290" i="14"/>
  <c r="RM290" i="14"/>
  <c r="RL290" i="14"/>
  <c r="RK290" i="14"/>
  <c r="RJ290" i="14"/>
  <c r="RI290" i="14"/>
  <c r="RH290" i="14"/>
  <c r="RG290" i="14"/>
  <c r="RF290" i="14"/>
  <c r="RE290" i="14"/>
  <c r="RD290" i="14"/>
  <c r="RC290" i="14"/>
  <c r="RB290" i="14"/>
  <c r="RA290" i="14"/>
  <c r="QZ290" i="14"/>
  <c r="QY290" i="14"/>
  <c r="QX290" i="14"/>
  <c r="QW290" i="14"/>
  <c r="QV290" i="14"/>
  <c r="QU290" i="14"/>
  <c r="QT290" i="14"/>
  <c r="QS290" i="14"/>
  <c r="QR290" i="14"/>
  <c r="QQ290" i="14"/>
  <c r="QP290" i="14"/>
  <c r="QO290" i="14"/>
  <c r="QN290" i="14"/>
  <c r="QM290" i="14"/>
  <c r="QL290" i="14"/>
  <c r="QK290" i="14"/>
  <c r="QJ290" i="14"/>
  <c r="QI290" i="14"/>
  <c r="QH290" i="14"/>
  <c r="QG290" i="14"/>
  <c r="QF290" i="14"/>
  <c r="QE290" i="14"/>
  <c r="QD290" i="14"/>
  <c r="QC290" i="14"/>
  <c r="QB290" i="14"/>
  <c r="QA290" i="14"/>
  <c r="PZ290" i="14"/>
  <c r="PY290" i="14"/>
  <c r="PX290" i="14"/>
  <c r="PW290" i="14"/>
  <c r="PV290" i="14"/>
  <c r="PU290" i="14"/>
  <c r="PT290" i="14"/>
  <c r="PS290" i="14"/>
  <c r="PR290" i="14"/>
  <c r="PQ290" i="14"/>
  <c r="PP290" i="14"/>
  <c r="PO290" i="14"/>
  <c r="PN290" i="14"/>
  <c r="PM290" i="14"/>
  <c r="PL290" i="14"/>
  <c r="PK290" i="14"/>
  <c r="PJ290" i="14"/>
  <c r="PI290" i="14"/>
  <c r="PH290" i="14"/>
  <c r="PG290" i="14"/>
  <c r="PF290" i="14"/>
  <c r="PE290" i="14"/>
  <c r="PD290" i="14"/>
  <c r="PC290" i="14"/>
  <c r="PB290" i="14"/>
  <c r="PA290" i="14"/>
  <c r="OZ290" i="14"/>
  <c r="OY290" i="14"/>
  <c r="OX290" i="14"/>
  <c r="OW290" i="14"/>
  <c r="OV290" i="14"/>
  <c r="OU290" i="14"/>
  <c r="OT290" i="14"/>
  <c r="OS290" i="14"/>
  <c r="OR290" i="14"/>
  <c r="OQ290" i="14"/>
  <c r="OP290" i="14"/>
  <c r="OO290" i="14"/>
  <c r="ON290" i="14"/>
  <c r="OM290" i="14"/>
  <c r="OL290" i="14"/>
  <c r="OK290" i="14"/>
  <c r="OJ290" i="14"/>
  <c r="OI290" i="14"/>
  <c r="OH290" i="14"/>
  <c r="OG290" i="14"/>
  <c r="OF290" i="14"/>
  <c r="OE290" i="14"/>
  <c r="OD290" i="14"/>
  <c r="OC290" i="14"/>
  <c r="OB290" i="14"/>
  <c r="OA290" i="14"/>
  <c r="NZ290" i="14"/>
  <c r="NY290" i="14"/>
  <c r="NX290" i="14"/>
  <c r="NW290" i="14"/>
  <c r="NV290" i="14"/>
  <c r="NU290" i="14"/>
  <c r="NT290" i="14"/>
  <c r="NS290" i="14"/>
  <c r="NR290" i="14"/>
  <c r="NQ290" i="14"/>
  <c r="NP290" i="14"/>
  <c r="NO290" i="14"/>
  <c r="NN290" i="14"/>
  <c r="NM290" i="14"/>
  <c r="NL290" i="14"/>
  <c r="NK290" i="14"/>
  <c r="NJ290" i="14"/>
  <c r="NI290" i="14"/>
  <c r="NH290" i="14"/>
  <c r="NG290" i="14"/>
  <c r="NF290" i="14"/>
  <c r="NE290" i="14"/>
  <c r="ND290" i="14"/>
  <c r="NC290" i="14"/>
  <c r="NB290" i="14"/>
  <c r="NA290" i="14"/>
  <c r="MZ290" i="14"/>
  <c r="MY290" i="14"/>
  <c r="MX290" i="14"/>
  <c r="MW290" i="14"/>
  <c r="MV290" i="14"/>
  <c r="MU290" i="14"/>
  <c r="MT290" i="14"/>
  <c r="MS290" i="14"/>
  <c r="MR290" i="14"/>
  <c r="MQ290" i="14"/>
  <c r="MP290" i="14"/>
  <c r="MO290" i="14"/>
  <c r="MN290" i="14"/>
  <c r="MM290" i="14"/>
  <c r="ML290" i="14"/>
  <c r="MK290" i="14"/>
  <c r="MJ290" i="14"/>
  <c r="MI290" i="14"/>
  <c r="MH290" i="14"/>
  <c r="MG290" i="14"/>
  <c r="MF290" i="14"/>
  <c r="ME290" i="14"/>
  <c r="MD290" i="14"/>
  <c r="MC290" i="14"/>
  <c r="MB290" i="14"/>
  <c r="MA290" i="14"/>
  <c r="LZ290" i="14"/>
  <c r="LY290" i="14"/>
  <c r="LX290" i="14"/>
  <c r="LW290" i="14"/>
  <c r="LV290" i="14"/>
  <c r="LU290" i="14"/>
  <c r="LT290" i="14"/>
  <c r="LS290" i="14"/>
  <c r="LR290" i="14"/>
  <c r="LQ290" i="14"/>
  <c r="LP290" i="14"/>
  <c r="LO290" i="14"/>
  <c r="LN290" i="14"/>
  <c r="LM290" i="14"/>
  <c r="LL290" i="14"/>
  <c r="LK290" i="14"/>
  <c r="LJ290" i="14"/>
  <c r="LI290" i="14"/>
  <c r="LH290" i="14"/>
  <c r="LG290" i="14"/>
  <c r="LF290" i="14"/>
  <c r="LE290" i="14"/>
  <c r="LD290" i="14"/>
  <c r="LC290" i="14"/>
  <c r="LB290" i="14"/>
  <c r="LA290" i="14"/>
  <c r="KZ290" i="14"/>
  <c r="KY290" i="14"/>
  <c r="KX290" i="14"/>
  <c r="KW290" i="14"/>
  <c r="KV290" i="14"/>
  <c r="KU290" i="14"/>
  <c r="KT290" i="14"/>
  <c r="KS290" i="14"/>
  <c r="KR290" i="14"/>
  <c r="KQ290" i="14"/>
  <c r="KP290" i="14"/>
  <c r="KO290" i="14"/>
  <c r="KN290" i="14"/>
  <c r="KM290" i="14"/>
  <c r="KL290" i="14"/>
  <c r="KK290" i="14"/>
  <c r="KJ290" i="14"/>
  <c r="KI290" i="14"/>
  <c r="KH290" i="14"/>
  <c r="KG290" i="14"/>
  <c r="KF290" i="14"/>
  <c r="KE290" i="14"/>
  <c r="KD290" i="14"/>
  <c r="KC290" i="14"/>
  <c r="KB290" i="14"/>
  <c r="KA290" i="14"/>
  <c r="JZ290" i="14"/>
  <c r="JY290" i="14"/>
  <c r="JX290" i="14"/>
  <c r="JW290" i="14"/>
  <c r="JV290" i="14"/>
  <c r="JU290" i="14"/>
  <c r="JT290" i="14"/>
  <c r="JS290" i="14"/>
  <c r="JR290" i="14"/>
  <c r="JQ290" i="14"/>
  <c r="JP290" i="14"/>
  <c r="JO290" i="14"/>
  <c r="JN290" i="14"/>
  <c r="JM290" i="14"/>
  <c r="JL290" i="14"/>
  <c r="JK290" i="14"/>
  <c r="JJ290" i="14"/>
  <c r="JI290" i="14"/>
  <c r="JH290" i="14"/>
  <c r="JG290" i="14"/>
  <c r="JF290" i="14"/>
  <c r="JE290" i="14"/>
  <c r="JD290" i="14"/>
  <c r="JC290" i="14"/>
  <c r="JB290" i="14"/>
  <c r="JA290" i="14"/>
  <c r="IZ290" i="14"/>
  <c r="IY290" i="14"/>
  <c r="IX290" i="14"/>
  <c r="IW290" i="14"/>
  <c r="IV290" i="14"/>
  <c r="IU290" i="14"/>
  <c r="IT290" i="14"/>
  <c r="IS290" i="14"/>
  <c r="IR290" i="14"/>
  <c r="IQ290" i="14"/>
  <c r="IP290" i="14"/>
  <c r="IO290" i="14"/>
  <c r="IN290" i="14"/>
  <c r="IM290" i="14"/>
  <c r="IL290" i="14"/>
  <c r="IK290" i="14"/>
  <c r="IJ290" i="14"/>
  <c r="II290" i="14"/>
  <c r="IH290" i="14"/>
  <c r="IG290" i="14"/>
  <c r="IF290" i="14"/>
  <c r="IE290" i="14"/>
  <c r="ID290" i="14"/>
  <c r="IC290" i="14"/>
  <c r="IB290" i="14"/>
  <c r="IA290" i="14"/>
  <c r="HZ290" i="14"/>
  <c r="HY290" i="14"/>
  <c r="HX290" i="14"/>
  <c r="HW290" i="14"/>
  <c r="HV290" i="14"/>
  <c r="HU290" i="14"/>
  <c r="HT290" i="14"/>
  <c r="HS290" i="14"/>
  <c r="HR290" i="14"/>
  <c r="HQ290" i="14"/>
  <c r="HP290" i="14"/>
  <c r="HO290" i="14"/>
  <c r="HN290" i="14"/>
  <c r="HM290" i="14"/>
  <c r="HL290" i="14"/>
  <c r="HK290" i="14"/>
  <c r="HJ290" i="14"/>
  <c r="HI290" i="14"/>
  <c r="HH290" i="14"/>
  <c r="HG290" i="14"/>
  <c r="HF290" i="14"/>
  <c r="HE290" i="14"/>
  <c r="HD290" i="14"/>
  <c r="HC290" i="14"/>
  <c r="HB290" i="14"/>
  <c r="HA290" i="14"/>
  <c r="GZ290" i="14"/>
  <c r="GY290" i="14"/>
  <c r="GX290" i="14"/>
  <c r="GW290" i="14"/>
  <c r="GV290" i="14"/>
  <c r="GU290" i="14"/>
  <c r="GT290" i="14"/>
  <c r="GS290" i="14"/>
  <c r="GR290" i="14"/>
  <c r="GQ290" i="14"/>
  <c r="GP290" i="14"/>
  <c r="GO290" i="14"/>
  <c r="GN290" i="14"/>
  <c r="GM290" i="14"/>
  <c r="GL290" i="14"/>
  <c r="GK290" i="14"/>
  <c r="GJ290" i="14"/>
  <c r="GI290" i="14"/>
  <c r="GH290" i="14"/>
  <c r="GG290" i="14"/>
  <c r="GF290" i="14"/>
  <c r="GE290" i="14"/>
  <c r="GD290" i="14"/>
  <c r="GC290" i="14"/>
  <c r="GB290" i="14"/>
  <c r="GA290" i="14"/>
  <c r="FZ290" i="14"/>
  <c r="FY290" i="14"/>
  <c r="FX290" i="14"/>
  <c r="FW290" i="14"/>
  <c r="FV290" i="14"/>
  <c r="FU290" i="14"/>
  <c r="FT290" i="14"/>
  <c r="FS290" i="14"/>
  <c r="FR290" i="14"/>
  <c r="FQ290" i="14"/>
  <c r="FP290" i="14"/>
  <c r="FO290" i="14"/>
  <c r="FN290" i="14"/>
  <c r="FM290" i="14"/>
  <c r="FL290" i="14"/>
  <c r="FK290" i="14"/>
  <c r="FJ290" i="14"/>
  <c r="FI290" i="14"/>
  <c r="FH290" i="14"/>
  <c r="FG290" i="14"/>
  <c r="FF290" i="14"/>
  <c r="FE290" i="14"/>
  <c r="FD290" i="14"/>
  <c r="FC290" i="14"/>
  <c r="FB290" i="14"/>
  <c r="FA290" i="14"/>
  <c r="EZ290" i="14"/>
  <c r="EY290" i="14"/>
  <c r="EX290" i="14"/>
  <c r="EW290" i="14"/>
  <c r="EV290" i="14"/>
  <c r="EU290" i="14"/>
  <c r="ET290" i="14"/>
  <c r="ES290" i="14"/>
  <c r="ER290" i="14"/>
  <c r="EQ290" i="14"/>
  <c r="EP290" i="14"/>
  <c r="EO290" i="14"/>
  <c r="EN290" i="14"/>
  <c r="EM290" i="14"/>
  <c r="EL290" i="14"/>
  <c r="EK290" i="14"/>
  <c r="EJ290" i="14"/>
  <c r="EI290" i="14"/>
  <c r="EH290" i="14"/>
  <c r="EG290" i="14"/>
  <c r="EF290" i="14"/>
  <c r="EE290" i="14"/>
  <c r="ED290" i="14"/>
  <c r="EC290" i="14"/>
  <c r="EB290" i="14"/>
  <c r="EA290" i="14"/>
  <c r="DZ290" i="14"/>
  <c r="DY290" i="14"/>
  <c r="DX290" i="14"/>
  <c r="DW290" i="14"/>
  <c r="DV290" i="14"/>
  <c r="DU290" i="14"/>
  <c r="DT290" i="14"/>
  <c r="DS290" i="14"/>
  <c r="DR290" i="14"/>
  <c r="DQ290" i="14"/>
  <c r="DP290" i="14"/>
  <c r="DO290" i="14"/>
  <c r="DN290" i="14"/>
  <c r="DM290" i="14"/>
  <c r="DL290" i="14"/>
  <c r="DK290" i="14"/>
  <c r="DJ290" i="14"/>
  <c r="DI290" i="14"/>
  <c r="DH290" i="14"/>
  <c r="DG290" i="14"/>
  <c r="DF290" i="14"/>
  <c r="DE290" i="14"/>
  <c r="DD290" i="14"/>
  <c r="DC290" i="14"/>
  <c r="DB290" i="14"/>
  <c r="DA290" i="14"/>
  <c r="CZ290" i="14"/>
  <c r="CY290" i="14"/>
  <c r="CX290" i="14"/>
  <c r="CW290" i="14"/>
  <c r="CV290" i="14"/>
  <c r="CU290" i="14"/>
  <c r="CT290" i="14"/>
  <c r="CS290" i="14"/>
  <c r="CR290" i="14"/>
  <c r="CQ290" i="14"/>
  <c r="CP290" i="14"/>
  <c r="CO290" i="14"/>
  <c r="CN290" i="14"/>
  <c r="CM290" i="14"/>
  <c r="CL290" i="14"/>
  <c r="CK290" i="14"/>
  <c r="CJ290" i="14"/>
  <c r="CI290" i="14"/>
  <c r="CH290" i="14"/>
  <c r="CG290" i="14"/>
  <c r="CF290" i="14"/>
  <c r="CE290" i="14"/>
  <c r="CD290" i="14"/>
  <c r="CC290" i="14"/>
  <c r="CB290" i="14"/>
  <c r="CA290" i="14"/>
  <c r="BZ290" i="14"/>
  <c r="BY290" i="14"/>
  <c r="BX290" i="14"/>
  <c r="BW290" i="14"/>
  <c r="BV290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Y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AC290" i="14"/>
  <c r="AB290" i="14"/>
  <c r="AA290" i="14"/>
  <c r="Z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J36" i="12"/>
  <c r="L36" i="12" s="1"/>
  <c r="J34" i="12"/>
  <c r="L34" i="12" s="1"/>
  <c r="N8" i="2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E32" i="14"/>
  <c r="H32" i="14" s="1"/>
  <c r="D32" i="14"/>
  <c r="C32" i="14"/>
  <c r="B32" i="14"/>
  <c r="A32" i="14"/>
  <c r="E31" i="14"/>
  <c r="H31" i="14" s="1"/>
  <c r="D31" i="14"/>
  <c r="C31" i="14"/>
  <c r="B31" i="14"/>
  <c r="A31" i="14"/>
  <c r="E30" i="14"/>
  <c r="H30" i="14" s="1"/>
  <c r="D30" i="14"/>
  <c r="C30" i="14"/>
  <c r="B30" i="14"/>
  <c r="A30" i="14"/>
  <c r="E29" i="14"/>
  <c r="H29" i="14" s="1"/>
  <c r="D29" i="14"/>
  <c r="C29" i="14"/>
  <c r="B29" i="14"/>
  <c r="A29" i="14"/>
  <c r="E28" i="14"/>
  <c r="H28" i="14" s="1"/>
  <c r="D28" i="14"/>
  <c r="C28" i="14"/>
  <c r="B28" i="14"/>
  <c r="A28" i="14"/>
  <c r="E27" i="14"/>
  <c r="H27" i="14" s="1"/>
  <c r="D27" i="14"/>
  <c r="C27" i="14"/>
  <c r="B27" i="14"/>
  <c r="A27" i="14"/>
  <c r="E26" i="14"/>
  <c r="H26" i="14" s="1"/>
  <c r="D26" i="14"/>
  <c r="C26" i="14"/>
  <c r="B26" i="14"/>
  <c r="A26" i="14"/>
  <c r="E25" i="14"/>
  <c r="H25" i="14" s="1"/>
  <c r="D25" i="14"/>
  <c r="C25" i="14"/>
  <c r="B25" i="14"/>
  <c r="A25" i="14"/>
  <c r="E24" i="14"/>
  <c r="H24" i="14" s="1"/>
  <c r="D24" i="14"/>
  <c r="C24" i="14"/>
  <c r="B24" i="14"/>
  <c r="A24" i="14"/>
  <c r="E23" i="14"/>
  <c r="H23" i="14" s="1"/>
  <c r="D23" i="14"/>
  <c r="C23" i="14"/>
  <c r="B23" i="14"/>
  <c r="A23" i="14"/>
  <c r="E22" i="14"/>
  <c r="H22" i="14" s="1"/>
  <c r="D22" i="14"/>
  <c r="C22" i="14"/>
  <c r="B22" i="14"/>
  <c r="A22" i="14"/>
  <c r="E21" i="14"/>
  <c r="H21" i="14" s="1"/>
  <c r="D21" i="14"/>
  <c r="C21" i="14"/>
  <c r="B21" i="14"/>
  <c r="A21" i="14"/>
  <c r="E20" i="14"/>
  <c r="H20" i="14" s="1"/>
  <c r="D20" i="14"/>
  <c r="C20" i="14"/>
  <c r="B20" i="14"/>
  <c r="A20" i="14"/>
  <c r="E19" i="14"/>
  <c r="H19" i="14" s="1"/>
  <c r="D19" i="14"/>
  <c r="C19" i="14"/>
  <c r="B19" i="14"/>
  <c r="A19" i="14"/>
  <c r="E18" i="14"/>
  <c r="H18" i="14" s="1"/>
  <c r="D18" i="14"/>
  <c r="C18" i="14"/>
  <c r="B18" i="14"/>
  <c r="A18" i="14"/>
  <c r="E17" i="14"/>
  <c r="H17" i="14" s="1"/>
  <c r="D17" i="14"/>
  <c r="C17" i="14"/>
  <c r="B17" i="14"/>
  <c r="A17" i="14"/>
  <c r="E16" i="14"/>
  <c r="H16" i="14" s="1"/>
  <c r="D16" i="14"/>
  <c r="C16" i="14"/>
  <c r="B16" i="14"/>
  <c r="A16" i="14"/>
  <c r="E15" i="14"/>
  <c r="H15" i="14" s="1"/>
  <c r="D15" i="14"/>
  <c r="C15" i="14"/>
  <c r="B15" i="14"/>
  <c r="A15" i="14"/>
  <c r="E14" i="14"/>
  <c r="H14" i="14" s="1"/>
  <c r="D14" i="14"/>
  <c r="C14" i="14"/>
  <c r="B14" i="14"/>
  <c r="A14" i="14"/>
  <c r="E13" i="14"/>
  <c r="H13" i="14" s="1"/>
  <c r="D13" i="14"/>
  <c r="C13" i="14"/>
  <c r="B13" i="14"/>
  <c r="A13" i="14"/>
  <c r="E12" i="14"/>
  <c r="H12" i="14" s="1"/>
  <c r="D12" i="14"/>
  <c r="C12" i="14"/>
  <c r="B12" i="14"/>
  <c r="A12" i="14"/>
  <c r="E11" i="14"/>
  <c r="H11" i="14" s="1"/>
  <c r="D11" i="14"/>
  <c r="C11" i="14"/>
  <c r="B11" i="14"/>
  <c r="A11" i="14"/>
  <c r="E10" i="14"/>
  <c r="H10" i="14" s="1"/>
  <c r="D10" i="14"/>
  <c r="C10" i="14"/>
  <c r="B10" i="14"/>
  <c r="A10" i="14"/>
  <c r="E9" i="14"/>
  <c r="H9" i="14" s="1"/>
  <c r="D9" i="14"/>
  <c r="C9" i="14"/>
  <c r="B9" i="14"/>
  <c r="A9" i="14"/>
  <c r="E8" i="14"/>
  <c r="H8" i="14" s="1"/>
  <c r="D8" i="14"/>
  <c r="C8" i="14"/>
  <c r="B8" i="14"/>
  <c r="A8" i="14"/>
  <c r="E7" i="14"/>
  <c r="H7" i="14" s="1"/>
  <c r="D7" i="14"/>
  <c r="C7" i="14"/>
  <c r="B7" i="14"/>
  <c r="A7" i="14"/>
  <c r="E6" i="14"/>
  <c r="H6" i="14" s="1"/>
  <c r="D6" i="14"/>
  <c r="C6" i="14"/>
  <c r="B6" i="14"/>
  <c r="A6" i="14"/>
  <c r="E5" i="14"/>
  <c r="H5" i="14" s="1"/>
  <c r="D5" i="14"/>
  <c r="C5" i="14"/>
  <c r="B5" i="14"/>
  <c r="A5" i="14"/>
  <c r="E4" i="14"/>
  <c r="H4" i="14" s="1"/>
  <c r="D4" i="14"/>
  <c r="C4" i="14"/>
  <c r="B4" i="14"/>
  <c r="A4" i="14"/>
  <c r="E3" i="14"/>
  <c r="H3" i="14" s="1"/>
  <c r="D3" i="14"/>
  <c r="C3" i="14"/>
  <c r="B3" i="14"/>
  <c r="A3" i="14"/>
  <c r="E2" i="14"/>
  <c r="H2" i="14" s="1"/>
  <c r="D2" i="14"/>
  <c r="C2" i="14"/>
  <c r="B2" i="14"/>
  <c r="A2" i="14"/>
  <c r="H40" i="24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A28" i="7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I19" i="14" s="1"/>
  <c r="F20" i="12"/>
  <c r="F20" i="14" s="1"/>
  <c r="I20" i="14" s="1"/>
  <c r="F21" i="12"/>
  <c r="F21" i="14" s="1"/>
  <c r="I21" i="14" s="1"/>
  <c r="F22" i="12"/>
  <c r="F22" i="14" s="1"/>
  <c r="I22" i="14" s="1"/>
  <c r="F23" i="12"/>
  <c r="F23" i="14" s="1"/>
  <c r="I23" i="14" s="1"/>
  <c r="F24" i="12"/>
  <c r="F24" i="14" s="1"/>
  <c r="I24" i="14" s="1"/>
  <c r="F25" i="12"/>
  <c r="F25" i="14" s="1"/>
  <c r="I25" i="14" s="1"/>
  <c r="F26" i="12"/>
  <c r="F26" i="14" s="1"/>
  <c r="I26" i="14" s="1"/>
  <c r="F27" i="12"/>
  <c r="F27" i="14" s="1"/>
  <c r="I27" i="14" s="1"/>
  <c r="F28" i="12"/>
  <c r="F28" i="14" s="1"/>
  <c r="I28" i="14" s="1"/>
  <c r="F29" i="12"/>
  <c r="F29" i="14" s="1"/>
  <c r="I29" i="14" s="1"/>
  <c r="F30" i="12"/>
  <c r="F30" i="14" s="1"/>
  <c r="I30" i="14" s="1"/>
  <c r="F31" i="12"/>
  <c r="F31" i="14" s="1"/>
  <c r="I31" i="14" s="1"/>
  <c r="F32" i="12"/>
  <c r="F32" i="14" s="1"/>
  <c r="I32" i="14" s="1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F3" i="12" l="1"/>
  <c r="F3" i="14" s="1"/>
  <c r="I3" i="14" s="1"/>
  <c r="F4" i="12"/>
  <c r="F4" i="14" s="1"/>
  <c r="I4" i="14" s="1"/>
  <c r="F5" i="12"/>
  <c r="F5" i="14" s="1"/>
  <c r="I5" i="14" s="1"/>
  <c r="F6" i="12"/>
  <c r="F6" i="14" s="1"/>
  <c r="I6" i="14" s="1"/>
  <c r="F7" i="12"/>
  <c r="F7" i="14" s="1"/>
  <c r="I7" i="14" s="1"/>
  <c r="F8" i="12"/>
  <c r="F8" i="14" s="1"/>
  <c r="I8" i="14" s="1"/>
  <c r="F9" i="12"/>
  <c r="F9" i="14" s="1"/>
  <c r="I9" i="14" s="1"/>
  <c r="F10" i="12"/>
  <c r="F10" i="14" s="1"/>
  <c r="I10" i="14" s="1"/>
  <c r="F11" i="12"/>
  <c r="F11" i="14" s="1"/>
  <c r="I11" i="14" s="1"/>
  <c r="F12" i="12"/>
  <c r="F12" i="14" s="1"/>
  <c r="I12" i="14" s="1"/>
  <c r="F13" i="12"/>
  <c r="F13" i="14" s="1"/>
  <c r="I13" i="14" s="1"/>
  <c r="F14" i="12"/>
  <c r="F14" i="14" s="1"/>
  <c r="I14" i="14" s="1"/>
  <c r="F15" i="12"/>
  <c r="F15" i="14" s="1"/>
  <c r="I15" i="14" s="1"/>
  <c r="F16" i="12"/>
  <c r="F16" i="14" s="1"/>
  <c r="I16" i="14" s="1"/>
  <c r="F17" i="12"/>
  <c r="F17" i="14" s="1"/>
  <c r="I17" i="14" s="1"/>
  <c r="F18" i="12"/>
  <c r="F18" i="14" s="1"/>
  <c r="I18" i="14" s="1"/>
  <c r="A27" i="25" l="1"/>
  <c r="A26" i="25"/>
  <c r="A25" i="25"/>
  <c r="P4" i="13" l="1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408" i="13"/>
  <c r="P409" i="13"/>
  <c r="P410" i="13"/>
  <c r="P411" i="13"/>
  <c r="P412" i="13"/>
  <c r="P413" i="13"/>
  <c r="P414" i="13"/>
  <c r="P415" i="13"/>
  <c r="P416" i="13"/>
  <c r="P417" i="13"/>
  <c r="P418" i="13"/>
  <c r="P419" i="13"/>
  <c r="P420" i="13"/>
  <c r="P421" i="13"/>
  <c r="P422" i="13"/>
  <c r="P423" i="13"/>
  <c r="P424" i="13"/>
  <c r="P425" i="13"/>
  <c r="P426" i="13"/>
  <c r="P427" i="13"/>
  <c r="P428" i="13"/>
  <c r="P429" i="13"/>
  <c r="P430" i="13"/>
  <c r="P431" i="13"/>
  <c r="P432" i="13"/>
  <c r="P433" i="13"/>
  <c r="P434" i="13"/>
  <c r="P435" i="13"/>
  <c r="P436" i="13"/>
  <c r="P437" i="13"/>
  <c r="P438" i="13"/>
  <c r="P439" i="13"/>
  <c r="P440" i="13"/>
  <c r="P441" i="13"/>
  <c r="P442" i="13"/>
  <c r="P443" i="13"/>
  <c r="P444" i="13"/>
  <c r="P445" i="13"/>
  <c r="P446" i="13"/>
  <c r="P447" i="13"/>
  <c r="P448" i="13"/>
  <c r="P449" i="13"/>
  <c r="P450" i="13"/>
  <c r="P451" i="13"/>
  <c r="P452" i="13"/>
  <c r="P453" i="13"/>
  <c r="P454" i="13"/>
  <c r="P455" i="13"/>
  <c r="P456" i="13"/>
  <c r="P457" i="13"/>
  <c r="P458" i="13"/>
  <c r="P459" i="13"/>
  <c r="P460" i="13"/>
  <c r="P461" i="13"/>
  <c r="P462" i="13"/>
  <c r="P463" i="13"/>
  <c r="P464" i="13"/>
  <c r="P465" i="13"/>
  <c r="P466" i="13"/>
  <c r="P467" i="13"/>
  <c r="P468" i="13"/>
  <c r="P469" i="13"/>
  <c r="P470" i="13"/>
  <c r="P471" i="13"/>
  <c r="P472" i="13"/>
  <c r="P473" i="13"/>
  <c r="P474" i="13"/>
  <c r="P475" i="13"/>
  <c r="P476" i="13"/>
  <c r="P477" i="13"/>
  <c r="P478" i="13"/>
  <c r="P479" i="13"/>
  <c r="P480" i="13"/>
  <c r="P481" i="13"/>
  <c r="P482" i="13"/>
  <c r="P483" i="13"/>
  <c r="P484" i="13"/>
  <c r="P485" i="13"/>
  <c r="P486" i="13"/>
  <c r="P487" i="13"/>
  <c r="P488" i="13"/>
  <c r="P489" i="13"/>
  <c r="P490" i="13"/>
  <c r="P491" i="13"/>
  <c r="P492" i="13"/>
  <c r="P493" i="13"/>
  <c r="P494" i="13"/>
  <c r="P495" i="13"/>
  <c r="P496" i="13"/>
  <c r="P497" i="13"/>
  <c r="P498" i="13"/>
  <c r="P499" i="13"/>
  <c r="P500" i="13"/>
  <c r="P501" i="13"/>
  <c r="P502" i="13"/>
  <c r="P503" i="13"/>
  <c r="P504" i="13"/>
  <c r="P505" i="13"/>
  <c r="P506" i="13"/>
  <c r="P507" i="13"/>
  <c r="P508" i="13"/>
  <c r="P509" i="13"/>
  <c r="P510" i="13"/>
  <c r="P511" i="13"/>
  <c r="P512" i="13"/>
  <c r="P513" i="13"/>
  <c r="P514" i="13"/>
  <c r="P515" i="13"/>
  <c r="P516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41" i="13"/>
  <c r="P542" i="13"/>
  <c r="P543" i="13"/>
  <c r="P544" i="13"/>
  <c r="P545" i="13"/>
  <c r="P546" i="13"/>
  <c r="P547" i="13"/>
  <c r="P548" i="13"/>
  <c r="P549" i="13"/>
  <c r="P550" i="13"/>
  <c r="P551" i="13"/>
  <c r="P552" i="13"/>
  <c r="P553" i="13"/>
  <c r="P554" i="13"/>
  <c r="P555" i="13"/>
  <c r="P556" i="13"/>
  <c r="P557" i="13"/>
  <c r="P558" i="13"/>
  <c r="P559" i="13"/>
  <c r="P560" i="13"/>
  <c r="P561" i="13"/>
  <c r="P562" i="13"/>
  <c r="P563" i="13"/>
  <c r="P564" i="13"/>
  <c r="P565" i="13"/>
  <c r="P566" i="13"/>
  <c r="P567" i="13"/>
  <c r="P568" i="13"/>
  <c r="P569" i="13"/>
  <c r="P570" i="13"/>
  <c r="P571" i="13"/>
  <c r="P572" i="13"/>
  <c r="P573" i="13"/>
  <c r="P574" i="13"/>
  <c r="P575" i="13"/>
  <c r="P576" i="13"/>
  <c r="P577" i="13"/>
  <c r="P578" i="13"/>
  <c r="P579" i="13"/>
  <c r="P580" i="13"/>
  <c r="P581" i="13"/>
  <c r="P582" i="13"/>
  <c r="P583" i="13"/>
  <c r="P584" i="13"/>
  <c r="P585" i="13"/>
  <c r="P586" i="13"/>
  <c r="P587" i="13"/>
  <c r="P588" i="13"/>
  <c r="P589" i="13"/>
  <c r="P590" i="13"/>
  <c r="P591" i="13"/>
  <c r="P592" i="13"/>
  <c r="P593" i="13"/>
  <c r="P594" i="13"/>
  <c r="P595" i="13"/>
  <c r="P596" i="13"/>
  <c r="P597" i="13"/>
  <c r="P598" i="13"/>
  <c r="P599" i="13"/>
  <c r="P600" i="13"/>
  <c r="P601" i="13"/>
  <c r="P602" i="13"/>
  <c r="P603" i="13"/>
  <c r="P604" i="13"/>
  <c r="P605" i="13"/>
  <c r="P606" i="13"/>
  <c r="P607" i="13"/>
  <c r="P608" i="13"/>
  <c r="P609" i="13"/>
  <c r="P610" i="13"/>
  <c r="P611" i="13"/>
  <c r="P612" i="13"/>
  <c r="P613" i="13"/>
  <c r="P614" i="13"/>
  <c r="P615" i="13"/>
  <c r="P616" i="13"/>
  <c r="P617" i="13"/>
  <c r="P618" i="13"/>
  <c r="P619" i="13"/>
  <c r="P620" i="13"/>
  <c r="P621" i="13"/>
  <c r="P622" i="13"/>
  <c r="P623" i="13"/>
  <c r="P624" i="13"/>
  <c r="P625" i="13"/>
  <c r="P626" i="13"/>
  <c r="P627" i="13"/>
  <c r="P628" i="13"/>
  <c r="P629" i="13"/>
  <c r="P630" i="13"/>
  <c r="P631" i="13"/>
  <c r="P632" i="13"/>
  <c r="P633" i="13"/>
  <c r="P634" i="13"/>
  <c r="P635" i="13"/>
  <c r="P636" i="13"/>
  <c r="P637" i="13"/>
  <c r="P638" i="13"/>
  <c r="P639" i="13"/>
  <c r="P640" i="13"/>
  <c r="P641" i="13"/>
  <c r="P642" i="13"/>
  <c r="P643" i="13"/>
  <c r="P644" i="13"/>
  <c r="P645" i="13"/>
  <c r="P646" i="13"/>
  <c r="P647" i="13"/>
  <c r="P648" i="13"/>
  <c r="P649" i="13"/>
  <c r="P650" i="13"/>
  <c r="P651" i="13"/>
  <c r="P652" i="13"/>
  <c r="P653" i="13"/>
  <c r="P654" i="13"/>
  <c r="P655" i="13"/>
  <c r="P656" i="13"/>
  <c r="P657" i="13"/>
  <c r="P658" i="13"/>
  <c r="P659" i="13"/>
  <c r="P660" i="13"/>
  <c r="P661" i="13"/>
  <c r="P662" i="13"/>
  <c r="P663" i="13"/>
  <c r="P664" i="13"/>
  <c r="P665" i="13"/>
  <c r="P666" i="13"/>
  <c r="P667" i="13"/>
  <c r="P668" i="13"/>
  <c r="P669" i="13"/>
  <c r="P670" i="13"/>
  <c r="P671" i="13"/>
  <c r="P672" i="13"/>
  <c r="P673" i="13"/>
  <c r="P674" i="13"/>
  <c r="P675" i="13"/>
  <c r="P676" i="13"/>
  <c r="P677" i="13"/>
  <c r="P678" i="13"/>
  <c r="P679" i="13"/>
  <c r="P680" i="13"/>
  <c r="P681" i="13"/>
  <c r="P682" i="13"/>
  <c r="P683" i="13"/>
  <c r="P684" i="13"/>
  <c r="P685" i="13"/>
  <c r="P686" i="13"/>
  <c r="P687" i="13"/>
  <c r="P688" i="13"/>
  <c r="P689" i="13"/>
  <c r="P690" i="13"/>
  <c r="P691" i="13"/>
  <c r="P692" i="13"/>
  <c r="P693" i="13"/>
  <c r="P694" i="13"/>
  <c r="P695" i="13"/>
  <c r="P696" i="13"/>
  <c r="P697" i="13"/>
  <c r="P698" i="13"/>
  <c r="P699" i="13"/>
  <c r="P700" i="13"/>
  <c r="P701" i="13"/>
  <c r="P702" i="13"/>
  <c r="P703" i="13"/>
  <c r="P704" i="13"/>
  <c r="P705" i="13"/>
  <c r="P706" i="13"/>
  <c r="P707" i="13"/>
  <c r="P708" i="13"/>
  <c r="P709" i="13"/>
  <c r="P710" i="13"/>
  <c r="P711" i="13"/>
  <c r="P712" i="13"/>
  <c r="P713" i="13"/>
  <c r="P714" i="13"/>
  <c r="P715" i="13"/>
  <c r="P716" i="13"/>
  <c r="P717" i="13"/>
  <c r="P718" i="13"/>
  <c r="P719" i="13"/>
  <c r="P720" i="13"/>
  <c r="P721" i="13"/>
  <c r="P722" i="13"/>
  <c r="P723" i="13"/>
  <c r="P724" i="13"/>
  <c r="P725" i="13"/>
  <c r="P726" i="13"/>
  <c r="P727" i="13"/>
  <c r="P728" i="13"/>
  <c r="P729" i="13"/>
  <c r="P730" i="13"/>
  <c r="P731" i="13"/>
  <c r="P732" i="13"/>
  <c r="P733" i="13"/>
  <c r="P734" i="13"/>
  <c r="P735" i="13"/>
  <c r="P736" i="13"/>
  <c r="P737" i="13"/>
  <c r="P738" i="13"/>
  <c r="P739" i="13"/>
  <c r="P740" i="13"/>
  <c r="P741" i="13"/>
  <c r="P742" i="13"/>
  <c r="P743" i="13"/>
  <c r="P744" i="13"/>
  <c r="P745" i="13"/>
  <c r="P746" i="13"/>
  <c r="P747" i="13"/>
  <c r="P748" i="13"/>
  <c r="P749" i="13"/>
  <c r="P750" i="13"/>
  <c r="P751" i="13"/>
  <c r="P752" i="13"/>
  <c r="P753" i="13"/>
  <c r="P754" i="13"/>
  <c r="P755" i="13"/>
  <c r="P756" i="13"/>
  <c r="P757" i="13"/>
  <c r="P758" i="13"/>
  <c r="P759" i="13"/>
  <c r="P760" i="13"/>
  <c r="P761" i="13"/>
  <c r="P762" i="13"/>
  <c r="P763" i="13"/>
  <c r="P3" i="13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J4" i="13"/>
  <c r="K4" i="13" s="1"/>
  <c r="F2" i="12"/>
  <c r="F2" i="14" s="1"/>
  <c r="I2" i="14" s="1"/>
  <c r="L1" i="14" l="1"/>
  <c r="E33" i="12"/>
  <c r="E33" i="14" s="1"/>
  <c r="E34" i="12"/>
  <c r="E34" i="14" s="1"/>
  <c r="G32" i="12"/>
  <c r="E35" i="12"/>
  <c r="E35" i="14" s="1"/>
  <c r="J5" i="13"/>
  <c r="M1" i="14" l="1"/>
  <c r="F33" i="12"/>
  <c r="F33" i="14" s="1"/>
  <c r="I33" i="14" s="1"/>
  <c r="F35" i="12"/>
  <c r="F35" i="14" s="1"/>
  <c r="I35" i="14" s="1"/>
  <c r="F34" i="12"/>
  <c r="F34" i="14" s="1"/>
  <c r="I34" i="14" s="1"/>
  <c r="K5" i="13"/>
  <c r="J6" i="13"/>
  <c r="B9" i="10"/>
  <c r="N1" i="14" l="1"/>
  <c r="E36" i="12"/>
  <c r="E36" i="14" s="1"/>
  <c r="K6" i="13"/>
  <c r="J7" i="13"/>
  <c r="O1" i="14" l="1"/>
  <c r="F36" i="12"/>
  <c r="F36" i="14" s="1"/>
  <c r="I36" i="14" s="1"/>
  <c r="K7" i="13"/>
  <c r="J8" i="13"/>
  <c r="P1" i="14" l="1"/>
  <c r="E37" i="12"/>
  <c r="E37" i="14" s="1"/>
  <c r="K8" i="13"/>
  <c r="J9" i="13"/>
  <c r="Q1" i="14" l="1"/>
  <c r="F37" i="12"/>
  <c r="F37" i="14" s="1"/>
  <c r="I37" i="14" s="1"/>
  <c r="K9" i="13"/>
  <c r="J10" i="13"/>
  <c r="R1" i="14" l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K10" i="13"/>
  <c r="J11" i="13"/>
  <c r="IV1" i="14" l="1"/>
  <c r="K11" i="13"/>
  <c r="J12" i="13"/>
  <c r="IW1" i="14" l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J13" i="13"/>
  <c r="K12" i="13"/>
  <c r="KZ1" i="14" l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 s="1"/>
  <c r="J14" i="13"/>
  <c r="K13" i="13"/>
  <c r="NK1" i="14" l="1"/>
  <c r="J15" i="13"/>
  <c r="K14" i="13"/>
  <c r="NL1" i="14" l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K15" i="13"/>
  <c r="J16" i="13"/>
  <c r="RX1" i="14" l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Q1" i="14" s="1"/>
  <c r="K16" i="13"/>
  <c r="J17" i="13"/>
  <c r="SR1" i="14" l="1"/>
  <c r="K17" i="13"/>
  <c r="J18" i="13"/>
  <c r="SS1" i="14" l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TN1" i="14" s="1"/>
  <c r="TO1" i="14" s="1"/>
  <c r="J19" i="13"/>
  <c r="K18" i="13"/>
  <c r="TP1" i="14" l="1"/>
  <c r="K19" i="13"/>
  <c r="J20" i="13"/>
  <c r="TQ1" i="14" l="1"/>
  <c r="K20" i="13"/>
  <c r="J21" i="13"/>
  <c r="TR1" i="14" l="1"/>
  <c r="K21" i="13"/>
  <c r="J22" i="13"/>
  <c r="TS1" i="14" l="1"/>
  <c r="K22" i="13"/>
  <c r="J23" i="13"/>
  <c r="TT1" i="14" l="1"/>
  <c r="J24" i="13"/>
  <c r="K23" i="13"/>
  <c r="TU1" i="14" l="1"/>
  <c r="J25" i="13"/>
  <c r="K24" i="13"/>
  <c r="TV1" i="14" l="1"/>
  <c r="K25" i="13"/>
  <c r="J26" i="13"/>
  <c r="TW1" i="14" l="1"/>
  <c r="J27" i="13"/>
  <c r="K26" i="13"/>
  <c r="TX1" i="14" l="1"/>
  <c r="K27" i="13"/>
  <c r="J28" i="13"/>
  <c r="TY1" i="14" l="1"/>
  <c r="J29" i="13"/>
  <c r="K28" i="13"/>
  <c r="TZ1" i="14" l="1"/>
  <c r="J30" i="13"/>
  <c r="K29" i="13"/>
  <c r="UA1" i="14" l="1"/>
  <c r="K30" i="13"/>
  <c r="J31" i="13"/>
  <c r="UB1" i="14" l="1"/>
  <c r="K31" i="13"/>
  <c r="J32" i="13"/>
  <c r="UC1" i="14" l="1"/>
  <c r="K32" i="13"/>
  <c r="J33" i="13"/>
  <c r="UD1" i="14" l="1"/>
  <c r="K33" i="13"/>
  <c r="J34" i="13"/>
  <c r="UE1" i="14" l="1"/>
  <c r="J35" i="13"/>
  <c r="K34" i="13"/>
  <c r="UF1" i="14" l="1"/>
  <c r="UG1" i="14" s="1"/>
  <c r="UH1" i="14" s="1"/>
  <c r="UI1" i="14" s="1"/>
  <c r="J36" i="13"/>
  <c r="K35" i="13"/>
  <c r="UJ1" i="14" l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J37" i="13"/>
  <c r="K36" i="13"/>
  <c r="VD1" i="14" l="1"/>
  <c r="I25" i="24"/>
  <c r="I35" i="24"/>
  <c r="I40" i="24"/>
  <c r="I29" i="24"/>
  <c r="I33" i="24"/>
  <c r="I38" i="24"/>
  <c r="I27" i="24"/>
  <c r="I21" i="24"/>
  <c r="I32" i="24"/>
  <c r="I37" i="24"/>
  <c r="I36" i="24"/>
  <c r="I18" i="24"/>
  <c r="I15" i="24"/>
  <c r="I12" i="24"/>
  <c r="I30" i="24"/>
  <c r="I19" i="24"/>
  <c r="I39" i="24"/>
  <c r="I11" i="24"/>
  <c r="I17" i="24"/>
  <c r="I28" i="24"/>
  <c r="I13" i="24"/>
  <c r="I10" i="24"/>
  <c r="I16" i="24"/>
  <c r="I14" i="24"/>
  <c r="I22" i="24"/>
  <c r="I23" i="24"/>
  <c r="I24" i="24"/>
  <c r="I20" i="24"/>
  <c r="I26" i="24"/>
  <c r="I34" i="24"/>
  <c r="B7" i="24"/>
  <c r="I31" i="24"/>
  <c r="J38" i="13"/>
  <c r="K37" i="13"/>
  <c r="VE1" i="14" l="1"/>
  <c r="VF1" i="14" s="1"/>
  <c r="VG1" i="14" s="1"/>
  <c r="J39" i="13"/>
  <c r="K38" i="13"/>
  <c r="VH1" i="14" l="1"/>
  <c r="J40" i="13"/>
  <c r="K39" i="13"/>
  <c r="VI1" i="14" l="1"/>
  <c r="J41" i="13"/>
  <c r="K40" i="13"/>
  <c r="VJ1" i="14" l="1"/>
  <c r="J42" i="13"/>
  <c r="K41" i="13"/>
  <c r="VK1" i="14" l="1"/>
  <c r="J43" i="13"/>
  <c r="K42" i="13"/>
  <c r="VL1" i="14" l="1"/>
  <c r="J44" i="13"/>
  <c r="K43" i="13"/>
  <c r="VM1" i="14" l="1"/>
  <c r="J45" i="13"/>
  <c r="K44" i="13"/>
  <c r="VN1" i="14" l="1"/>
  <c r="J46" i="13"/>
  <c r="K45" i="13"/>
  <c r="VO1" i="14" l="1"/>
  <c r="J47" i="13"/>
  <c r="K46" i="13"/>
  <c r="VP1" i="14" l="1"/>
  <c r="J48" i="13"/>
  <c r="K47" i="13"/>
  <c r="VQ1" i="14" l="1"/>
  <c r="K48" i="13"/>
  <c r="J49" i="13"/>
  <c r="VR1" i="14" l="1"/>
  <c r="J50" i="13"/>
  <c r="K49" i="13"/>
  <c r="VS1" i="14" l="1"/>
  <c r="J51" i="13"/>
  <c r="K50" i="13"/>
  <c r="VT1" i="14" l="1"/>
  <c r="K51" i="13"/>
  <c r="J52" i="13"/>
  <c r="VU1" i="14" l="1"/>
  <c r="J53" i="13"/>
  <c r="K52" i="13"/>
  <c r="VV1" i="14" l="1"/>
  <c r="J54" i="13"/>
  <c r="K53" i="13"/>
  <c r="VW1" i="14" l="1"/>
  <c r="J55" i="13"/>
  <c r="K54" i="13"/>
  <c r="VX1" i="14" l="1"/>
  <c r="K55" i="13"/>
  <c r="J56" i="13"/>
  <c r="VY1" i="14" l="1"/>
  <c r="J57" i="13"/>
  <c r="K56" i="13"/>
  <c r="VZ1" i="14" l="1"/>
  <c r="J58" i="13"/>
  <c r="K57" i="13"/>
  <c r="WA1" i="14" l="1"/>
  <c r="J59" i="13"/>
  <c r="K58" i="13"/>
  <c r="WB1" i="14" l="1"/>
  <c r="J60" i="13"/>
  <c r="K59" i="13"/>
  <c r="WC1" i="14" l="1"/>
  <c r="J61" i="13"/>
  <c r="K60" i="13"/>
  <c r="WD1" i="14" l="1"/>
  <c r="J62" i="13"/>
  <c r="K61" i="13"/>
  <c r="WE1" i="14" l="1"/>
  <c r="J63" i="13"/>
  <c r="K62" i="13"/>
  <c r="J12" i="24" l="1"/>
  <c r="J16" i="24"/>
  <c r="J33" i="24"/>
  <c r="J31" i="24"/>
  <c r="J10" i="24"/>
  <c r="J18" i="24"/>
  <c r="J11" i="24"/>
  <c r="J38" i="24"/>
  <c r="J22" i="24"/>
  <c r="J34" i="24"/>
  <c r="J39" i="24"/>
  <c r="J26" i="24"/>
  <c r="J35" i="24"/>
  <c r="J30" i="24"/>
  <c r="J28" i="24"/>
  <c r="J21" i="24"/>
  <c r="J17" i="24"/>
  <c r="J15" i="24"/>
  <c r="WF1" i="14"/>
  <c r="J64" i="13"/>
  <c r="K63" i="13"/>
  <c r="J29" i="24" l="1"/>
  <c r="J32" i="24"/>
  <c r="J19" i="24"/>
  <c r="J20" i="24"/>
  <c r="J14" i="24"/>
  <c r="J37" i="24"/>
  <c r="J24" i="24"/>
  <c r="J23" i="24"/>
  <c r="J40" i="24"/>
  <c r="J25" i="24"/>
  <c r="J36" i="24"/>
  <c r="J27" i="24"/>
  <c r="J13" i="24"/>
  <c r="J65" i="13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J75" i="13" l="1"/>
  <c r="K74" i="13"/>
  <c r="J76" i="13" l="1"/>
  <c r="K75" i="13"/>
  <c r="K76" i="13" l="1"/>
  <c r="J77" i="13"/>
  <c r="K77" i="13" l="1"/>
  <c r="J78" i="13"/>
  <c r="K78" i="13" l="1"/>
  <c r="J79" i="13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MM37" i="14" s="1"/>
  <c r="MM284" i="14" s="1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VG37" i="14" l="1"/>
  <c r="VG284" i="14" s="1"/>
  <c r="WA37" i="14"/>
  <c r="WA284" i="14" s="1"/>
  <c r="JO37" i="14"/>
  <c r="JO284" i="14" s="1"/>
  <c r="UU37" i="14"/>
  <c r="EF37" i="14"/>
  <c r="EF284" i="14" s="1"/>
  <c r="WE37" i="14"/>
  <c r="WE284" i="14" s="1"/>
  <c r="MA37" i="14"/>
  <c r="MA284" i="14" s="1"/>
  <c r="SR37" i="14"/>
  <c r="SR284" i="14" s="1"/>
  <c r="UH37" i="14"/>
  <c r="UH284" i="14" s="1"/>
  <c r="RX37" i="14"/>
  <c r="RX284" i="14" s="1"/>
  <c r="IJ37" i="14"/>
  <c r="IJ284" i="14" s="1"/>
  <c r="IU37" i="14"/>
  <c r="IU284" i="14" s="1"/>
  <c r="RR37" i="14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UU284" i="14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RR284" i="14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TH284" i="14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J87" i="13" l="1"/>
  <c r="K86" i="13"/>
  <c r="J88" i="13" l="1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<sst xmlns="http://schemas.openxmlformats.org/spreadsheetml/2006/main" count="76" uniqueCount="74">
  <si>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</si>
  <si>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</si>
  <si>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</si>
  <si>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</si>
  <si>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</si>
  <si>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</si>
  <si>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</si>
  <si>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</si>
  <si>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</si>
  <si>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</si>
  <si>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</si>
  <si>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</si>
  <si>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</si>
  <si>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</si>
  <si>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</si>
  <si>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</si>
  <si>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</si>
  <si>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</si>
  <si>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</si>
  <si>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</si>
  <si>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</si>
  <si>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</si>
  <si>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</si>
  <si>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</si>
  <si>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</si>
  <si>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</si>
  <si>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</si>
  <si>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</si>
  <si>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</si>
  <si>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</si>
  <si>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</si>
  <si>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</si>
  <si>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</si>
  <si>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</si>
  <si>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</si>
  <si>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</si>
  <si>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</si>
  <si>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</si>
  <si>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</si>
  <si>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</si>
  <si>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</si>
  <si>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</si>
  <si>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</si>
  <si>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</si>
  <si>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</si>
  <si>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</si>
  <si>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</si>
  <si>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</si>
  <si>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</si>
  <si>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</si>
  <si>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</si>
  <si>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</si>
  <si>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</si>
  <si>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</si>
  <si>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</si>
  <si>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</si>
  <si>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</si>
  <si>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</si>
  <si>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</si>
  <si>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</si>
  <si>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</si>
  <si>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</si>
  <si>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</si>
  <si>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</si>
  <si>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</si>
  <si>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</si>
  <si>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</si>
  <si>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</si>
  <si>
    <t>(合計)</t>
  </si>
  <si>
    <t>每日實際進度(%)</t>
  </si>
  <si>
    <t>實際進度</t>
  </si>
  <si>
    <t>總實際進度(%)</t>
  </si>
  <si>
    <t>每日預定進度(%)</t>
  </si>
  <si>
    <t>預定進度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</si>
</sst>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3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0" fontId="47" fillId="19" borderId="29" xfId="0" applyFont="1" applyFill="1" applyBorder="1" applyAlignment="1">
      <alignment horizontal="left" vertical="top" wrapText="1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82" fontId="35" fillId="0" borderId="41" xfId="0" applyNumberFormat="1" applyFont="1" applyBorder="1" applyAlignment="1">
      <alignment horizontal="right" vertical="center" wrapText="1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0" fontId="49" fillId="0" borderId="2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6" t="s">
        <v>2</v>
      </c>
      <c r="B3" s="116"/>
      <c r="C3" s="116"/>
      <c r="D3" s="116"/>
      <c r="E3" s="116"/>
      <c r="F3" s="116"/>
      <c r="G3" s="116"/>
      <c r="H3" s="116"/>
      <c r="I3" s="116"/>
    </row>
    <row r="4" spans="1:10" ht="28.35" customHeight="1" x14ac:dyDescent="0.3">
      <c r="A4" s="118">
        <f>INDEX(工程基本資料!A:B,MATCH("工程名稱",工程基本資料!A:A,0),2)</f>
        <v>0</v>
      </c>
      <c r="B4" s="118"/>
      <c r="C4" s="118"/>
      <c r="D4" s="118"/>
      <c r="E4" s="118"/>
      <c r="F4" s="118"/>
      <c r="G4" s="118"/>
      <c r="H4" s="118"/>
      <c r="I4" s="118"/>
    </row>
    <row r="5" spans="1:10" ht="28.35" customHeight="1" x14ac:dyDescent="0.3">
      <c r="A5" s="118"/>
      <c r="B5" s="118"/>
      <c r="C5" s="118"/>
      <c r="D5" s="118"/>
      <c r="E5" s="118"/>
      <c r="F5" s="118"/>
      <c r="G5" s="118"/>
      <c r="H5" s="118"/>
      <c r="I5" s="118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17" t="s">
        <v>3</v>
      </c>
      <c r="B15" s="117"/>
      <c r="C15" s="117"/>
      <c r="D15" s="117"/>
      <c r="E15" s="117"/>
      <c r="F15" s="117"/>
      <c r="G15" s="117"/>
      <c r="H15" s="117"/>
      <c r="I15" s="117"/>
      <c r="J15" t="str">
        <f ca="1">"("&amp;YEAR(TODAY())-1911&amp;"年"&amp;MONTH(NOW())&amp;"月份)"</f>
        <v>(115年8月份)</v>
      </c>
    </row>
    <row r="16" spans="1:10" ht="45" customHeight="1" x14ac:dyDescent="0.3">
      <c r="A16" s="113"/>
      <c r="B16" s="113"/>
      <c r="C16" s="113"/>
      <c r="D16" s="113"/>
      <c r="E16" s="113"/>
      <c r="F16" s="113"/>
      <c r="G16" s="113"/>
      <c r="H16" s="113"/>
      <c r="I16" s="113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4" t="str">
        <f>"主辦機關："&amp;INDEX(工程基本資料!A:B,MATCH("主辦機關",工程基本資料!A:A,0),2)</f>
        <v>主辦機關：</v>
      </c>
      <c r="B25" s="114"/>
      <c r="C25" s="114"/>
      <c r="D25" s="114"/>
      <c r="E25" s="114"/>
      <c r="F25" s="114"/>
      <c r="G25" s="114"/>
      <c r="H25" s="114"/>
      <c r="I25" s="114"/>
    </row>
    <row r="26" spans="1:9" ht="33.9" customHeight="1" x14ac:dyDescent="0.3">
      <c r="A26" s="115" t="str">
        <f>"監造單位："&amp;INDEX(工程基本資料!A:B,MATCH("監造單位",工程基本資料!A:A,0),2)</f>
        <v>監造單位：</v>
      </c>
      <c r="B26" s="115"/>
      <c r="C26" s="115"/>
      <c r="D26" s="115"/>
      <c r="E26" s="115"/>
      <c r="F26" s="115"/>
      <c r="G26" s="115"/>
      <c r="H26" s="115"/>
      <c r="I26" s="115"/>
    </row>
    <row r="27" spans="1:9" ht="33.9" customHeight="1" x14ac:dyDescent="0.3">
      <c r="A27" s="115" t="str">
        <f>"施工單位："&amp;INDEX(工程基本資料!A:B,MATCH("承包廠商",工程基本資料!A:A,0),2)</f>
        <v>施工單位：</v>
      </c>
      <c r="B27" s="115"/>
      <c r="C27" s="115"/>
      <c r="D27" s="115"/>
      <c r="E27" s="115"/>
      <c r="F27" s="115"/>
      <c r="G27" s="115"/>
      <c r="H27" s="115"/>
      <c r="I27" s="115"/>
    </row>
    <row r="28" spans="1:9" ht="44.25" customHeight="1" x14ac:dyDescent="0.3">
      <c r="A28" s="113" t="str">
        <f ca="1">"中 華 民 國  "  &amp;YEAR(TODAY())-1911&amp;  "  年  "&amp;MONTH(NOW())+1&amp;"  月"</f>
        <v>中 華 民 國  115  年  9  月</v>
      </c>
      <c r="B28" s="113"/>
      <c r="C28" s="113"/>
      <c r="D28" s="113"/>
      <c r="E28" s="113"/>
      <c r="F28" s="113"/>
      <c r="G28" s="113"/>
      <c r="H28" s="113"/>
      <c r="I28" s="113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6"/>
      <c r="B3" s="116"/>
      <c r="C3" s="116"/>
      <c r="D3" s="116"/>
      <c r="E3" s="116"/>
      <c r="F3" s="116"/>
      <c r="G3" s="116"/>
      <c r="H3" s="116"/>
      <c r="I3" s="116"/>
    </row>
    <row r="4" spans="1:9" ht="28.35" customHeight="1" x14ac:dyDescent="0.3">
      <c r="A4" s="119">
        <f>INDEX(工程基本資料!A:B,MATCH("工程名稱",工程基本資料!A:A,0),2)</f>
        <v>0</v>
      </c>
      <c r="B4" s="119"/>
      <c r="C4" s="119"/>
      <c r="D4" s="119"/>
      <c r="E4" s="119"/>
      <c r="F4" s="119"/>
      <c r="G4" s="119"/>
      <c r="H4" s="119"/>
      <c r="I4" s="119"/>
    </row>
    <row r="5" spans="1:9" ht="28.35" customHeight="1" x14ac:dyDescent="0.3">
      <c r="A5" s="119"/>
      <c r="B5" s="119"/>
      <c r="C5" s="119"/>
      <c r="D5" s="119"/>
      <c r="E5" s="119"/>
      <c r="F5" s="119"/>
      <c r="G5" s="119"/>
      <c r="H5" s="119"/>
      <c r="I5" s="119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17" t="s">
        <v>67</v>
      </c>
      <c r="B15" s="117"/>
      <c r="C15" s="117"/>
      <c r="D15" s="117"/>
      <c r="E15" s="117"/>
      <c r="F15" s="117"/>
      <c r="G15" s="117"/>
      <c r="H15" s="117"/>
      <c r="I15" s="117"/>
    </row>
    <row r="16" spans="1:9" ht="45" customHeight="1" x14ac:dyDescent="0.3">
      <c r="A16" s="113"/>
      <c r="B16" s="113"/>
      <c r="C16" s="113"/>
      <c r="D16" s="113"/>
      <c r="E16" s="113"/>
      <c r="F16" s="113"/>
      <c r="G16" s="113"/>
      <c r="H16" s="113"/>
      <c r="I16" s="113"/>
    </row>
    <row r="25" spans="1:9" ht="33.9" customHeight="1" x14ac:dyDescent="0.3">
      <c r="A25" s="114" t="str">
        <f>"主辦機關："&amp;INDEX(工程基本資料!A:B,MATCH("主辦機關",工程基本資料!A:A,0),2)</f>
        <v>主辦機關：</v>
      </c>
      <c r="B25" s="114"/>
      <c r="C25" s="114"/>
      <c r="D25" s="114"/>
      <c r="E25" s="114"/>
      <c r="F25" s="114"/>
      <c r="G25" s="114"/>
      <c r="H25" s="114"/>
      <c r="I25" s="114"/>
    </row>
    <row r="26" spans="1:9" ht="33.9" customHeight="1" x14ac:dyDescent="0.3">
      <c r="A26" s="115" t="str">
        <f>"監造單位："&amp;INDEX(工程基本資料!A:B,MATCH("監造單位",工程基本資料!A:A,0),2)</f>
        <v>監造單位：</v>
      </c>
      <c r="B26" s="115"/>
      <c r="C26" s="115"/>
      <c r="D26" s="115"/>
      <c r="E26" s="115"/>
      <c r="F26" s="115"/>
      <c r="G26" s="115"/>
      <c r="H26" s="115"/>
      <c r="I26" s="115"/>
    </row>
    <row r="27" spans="1:9" ht="33.9" customHeight="1" x14ac:dyDescent="0.3">
      <c r="A27" s="115" t="str">
        <f>"施工單位："&amp;INDEX(工程基本資料!A:B,MATCH("承包廠商",工程基本資料!A:A,0),2)</f>
        <v>施工單位：</v>
      </c>
      <c r="B27" s="115"/>
      <c r="C27" s="115"/>
      <c r="D27" s="115"/>
      <c r="E27" s="115"/>
      <c r="F27" s="115"/>
      <c r="G27" s="115"/>
      <c r="H27" s="115"/>
      <c r="I27" s="115"/>
    </row>
    <row r="28" spans="1:9" ht="44.25" customHeight="1" x14ac:dyDescent="0.3">
      <c r="A28" s="113"/>
      <c r="B28" s="113"/>
      <c r="C28" s="113"/>
      <c r="D28" s="113"/>
      <c r="E28" s="113"/>
      <c r="F28" s="113"/>
      <c r="G28" s="113"/>
      <c r="H28" s="113"/>
      <c r="I28" s="113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5" width="6.21875" style="4" customWidth="1"/>
    <col min="6" max="6" width="13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25" t="s">
        <v>40</v>
      </c>
      <c r="B1" s="125"/>
      <c r="C1" s="125"/>
      <c r="D1" s="125"/>
      <c r="E1" s="125"/>
      <c r="F1" s="125"/>
      <c r="G1" s="125"/>
      <c r="H1" s="125"/>
      <c r="I1" s="125"/>
      <c r="J1" s="125"/>
      <c r="N1"/>
      <c r="O1"/>
    </row>
    <row r="2" spans="1:15" ht="15" customHeight="1" x14ac:dyDescent="0.3">
      <c r="A2" s="133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表報編號：--110100</v>
      </c>
      <c r="B2" s="133"/>
      <c r="C2" s="133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--110100</v>
      </c>
      <c r="O2" s="13"/>
    </row>
    <row r="3" spans="1:15" ht="15" customHeight="1" thickBot="1" x14ac:dyDescent="0.35">
      <c r="A3" s="51" t="s">
        <v>57</v>
      </c>
      <c r="B3" s="134" t="str">
        <f>"上午 : "&amp;INDEX(監造內容!$1:$1048576,MATCH($H3,監造內容!B:B,0),3)&amp;
"      下午:"&amp;INDEX(監造內容!A:O,MATCH($H3,監造內容!B:B,0),4)</f>
        <v>上午 :       下午:</v>
      </c>
      <c r="C3" s="134"/>
      <c r="D3" s="134"/>
      <c r="E3" s="51"/>
      <c r="F3" s="51"/>
      <c r="G3" s="9" t="s">
        <v>41</v>
      </c>
      <c r="H3" s="126">
        <f>N8</f>
        <v>0</v>
      </c>
      <c r="I3" s="126"/>
      <c r="J3" s="55">
        <f>H3</f>
        <v>0</v>
      </c>
      <c r="N3" s="13" t="s">
        <v>35</v>
      </c>
      <c r="O3" s="13"/>
    </row>
    <row r="4" spans="1:15" ht="21" customHeight="1" x14ac:dyDescent="0.3">
      <c r="A4" s="48" t="s">
        <v>42</v>
      </c>
      <c r="B4" s="127">
        <f>INDEX(工程基本資料!A:B,MATCH(A4,工程基本資料!A:A,0),2)</f>
        <v>0</v>
      </c>
      <c r="C4" s="127"/>
      <c r="D4" s="127"/>
      <c r="E4" s="127"/>
      <c r="F4" s="127"/>
      <c r="G4" s="127"/>
      <c r="H4" s="127"/>
      <c r="I4" s="127"/>
      <c r="J4" s="128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29" t="s">
        <v>45</v>
      </c>
      <c r="F5" s="130"/>
      <c r="G5" s="74">
        <f>INDEX(監造內容!$1:$1048576,MATCH($H3,監造內容!B:B,0),16)</f>
        <v>-1</v>
      </c>
      <c r="H5" s="50" t="s">
        <v>46</v>
      </c>
      <c r="I5" s="131" t="e">
        <f>IF(INDEX(每日施工紀錄!$1:$1048576,MATCH("實際進度",每日施工紀錄!A:A,0),MATCH($H$3,每日施工紀錄!$1:$1,0))&gt;=1,$H$3," ")</f>
        <v>#DIV/0!</v>
      </c>
      <c r="J5" s="132"/>
      <c r="N5" s="13"/>
      <c r="O5" s="13"/>
    </row>
    <row r="6" spans="1:15" ht="19.5" customHeight="1" thickBot="1" x14ac:dyDescent="0.35">
      <c r="A6" s="135" t="s">
        <v>47</v>
      </c>
      <c r="B6" s="130"/>
      <c r="C6" s="73">
        <f>INDEX(監造內容!$1:$1048576,MATCH($H3,監造內容!B:B,0),14)</f>
        <v>0</v>
      </c>
      <c r="D6" s="130" t="s">
        <v>48</v>
      </c>
      <c r="E6" s="130"/>
      <c r="F6" s="130"/>
      <c r="G6" s="72">
        <f>SUM(INDEX(監造內容!$1:$1048576,MATCH($H3,監造內容!B:B,0),12),INDEX(監造內容!$1:$1048576,MATCH($H3,監造內容!B:B,0),13))</f>
        <v>0</v>
      </c>
      <c r="H6" s="130" t="s">
        <v>49</v>
      </c>
      <c r="I6" s="121">
        <f>INDEX(工程基本資料!A:B,MATCH("契約金額",工程基本資料!A:A,0),2)</f>
        <v>0</v>
      </c>
      <c r="J6" s="122"/>
      <c r="N6" s="13"/>
      <c r="O6" s="15"/>
    </row>
    <row r="7" spans="1:15" ht="20.25" customHeight="1" thickBot="1" x14ac:dyDescent="0.35">
      <c r="A7" s="49" t="s">
        <v>50</v>
      </c>
      <c r="B7" s="136">
        <f>INDEX(每日施工紀錄!$1:$1048576,MATCH("預定進度",每日施工紀錄!A:A,0),MATCH($H$3,每日施工紀錄!1:1,0))</f>
        <v>0</v>
      </c>
      <c r="C7" s="136"/>
      <c r="D7" s="130" t="s">
        <v>51</v>
      </c>
      <c r="E7" s="130"/>
      <c r="F7" s="136" t="e">
        <f>INDEX(每日施工紀錄!$1:$1048576,MATCH("實際進度",每日施工紀錄!A:A,0),MATCH($H$3,每日施工紀錄!$1:$1,0))</f>
        <v>#DIV/0!</v>
      </c>
      <c r="G7" s="136"/>
      <c r="H7" s="130"/>
      <c r="I7" s="123">
        <f>INDEX(監造內容!A:O,MATCH($H3,監造內容!B:B,0),15)</f>
        <v>0</v>
      </c>
      <c r="J7" s="124"/>
      <c r="N7" s="16" t="s">
        <v>36</v>
      </c>
      <c r="O7" s="13"/>
    </row>
    <row r="8" spans="1:15" ht="20.25" customHeight="1" thickBot="1" x14ac:dyDescent="0.35">
      <c r="A8" s="149" t="s">
        <v>52</v>
      </c>
      <c r="B8" s="150"/>
      <c r="C8" s="150"/>
      <c r="D8" s="150"/>
      <c r="E8" s="150"/>
      <c r="F8" s="150"/>
      <c r="G8" s="150"/>
      <c r="H8" s="150"/>
      <c r="I8" s="150"/>
      <c r="J8" s="151"/>
      <c r="N8" s="22">
        <f>工程基本資料!B8</f>
        <v>0</v>
      </c>
      <c r="O8" s="71" t="e">
        <f>ROUND(F7-B7,5)</f>
        <v>#DIV/0!</v>
      </c>
    </row>
    <row r="9" spans="1:15" ht="21" customHeight="1" x14ac:dyDescent="0.3">
      <c r="A9" s="52" t="s">
        <v>58</v>
      </c>
      <c r="B9" s="156" t="s">
        <v>59</v>
      </c>
      <c r="C9" s="156"/>
      <c r="D9" s="156"/>
      <c r="E9" s="156"/>
      <c r="F9" s="156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str">
        <f>IF(契約詳細價目表!A2="","",契約詳細價目表!A2)</f>
        <v/>
      </c>
      <c r="B10" s="120" t="str">
        <f>IF(契約詳細價目表!B2="","",契約詳細價目表!B2)</f>
        <v/>
      </c>
      <c r="C10" s="120"/>
      <c r="D10" s="120"/>
      <c r="E10" s="120"/>
      <c r="F10" s="120"/>
      <c r="G10" s="53" t="str">
        <f>IF(契約詳細價目表!C2="","",契約詳細價目表!C2)</f>
        <v/>
      </c>
      <c r="H10" s="84" t="str">
        <f>IF(契約詳細價目表!D2="","",契約詳細價目表!D2)</f>
        <v/>
      </c>
      <c r="I10" s="84">
        <f>INDEX(每日施工紀錄!$1:$1048576,MATCH($A10,每日施工紀錄!A:A,0),MATCH($H$3,每日施工紀錄!$1:$1,0))</f>
        <v>0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str">
        <f>IF(契約詳細價目表!A3="","",契約詳細價目表!A3)</f>
        <v/>
      </c>
      <c r="B11" s="120" t="str">
        <f>IF(契約詳細價目表!B3="","",契約詳細價目表!B3)</f>
        <v/>
      </c>
      <c r="C11" s="120"/>
      <c r="D11" s="120"/>
      <c r="E11" s="120"/>
      <c r="F11" s="120"/>
      <c r="G11" s="53" t="str">
        <f>IF(契約詳細價目表!C3="","",契約詳細價目表!C3)</f>
        <v/>
      </c>
      <c r="H11" s="84" t="str">
        <f>IF(契約詳細價目表!D3="","",契約詳細價目表!D3)</f>
        <v/>
      </c>
      <c r="I11" s="84">
        <f>INDEX(每日施工紀錄!$1:$1048576,MATCH($A11,每日施工紀錄!A:A,0),MATCH($H$3,每日施工紀錄!$1:$1,0))</f>
        <v>0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str">
        <f>IF(契約詳細價目表!A4="","",契約詳細價目表!A4)</f>
        <v/>
      </c>
      <c r="B12" s="120" t="str">
        <f>IF(契約詳細價目表!B4="","",契約詳細價目表!B4)</f>
        <v/>
      </c>
      <c r="C12" s="120"/>
      <c r="D12" s="120"/>
      <c r="E12" s="120"/>
      <c r="F12" s="120"/>
      <c r="G12" s="53" t="str">
        <f>IF(契約詳細價目表!C4="","",契約詳細價目表!C4)</f>
        <v/>
      </c>
      <c r="H12" s="84" t="str">
        <f>IF(契約詳細價目表!D4="","",契約詳細價目表!D4)</f>
        <v/>
      </c>
      <c r="I12" s="84">
        <f>INDEX(每日施工紀錄!$1:$1048576,MATCH($A12,每日施工紀錄!A:A,0),MATCH($H$3,每日施工紀錄!$1:$1,0))</f>
        <v>0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str">
        <f>IF(契約詳細價目表!A5="","",契約詳細價目表!A5)</f>
        <v/>
      </c>
      <c r="B13" s="120" t="str">
        <f>IF(契約詳細價目表!B5="","",契約詳細價目表!B5)</f>
        <v/>
      </c>
      <c r="C13" s="120"/>
      <c r="D13" s="120"/>
      <c r="E13" s="120"/>
      <c r="F13" s="120"/>
      <c r="G13" s="53" t="str">
        <f>IF(契約詳細價目表!C5="","",契約詳細價目表!C5)</f>
        <v/>
      </c>
      <c r="H13" s="84" t="str">
        <f>IF(契約詳細價目表!D5="","",契約詳細價目表!D5)</f>
        <v/>
      </c>
      <c r="I13" s="84">
        <f>INDEX(每日施工紀錄!$1:$1048576,MATCH($A13,每日施工紀錄!A:A,0),MATCH($H$3,每日施工紀錄!$1:$1,0))</f>
        <v>0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str">
        <f>IF(契約詳細價目表!A6="","",契約詳細價目表!A6)</f>
        <v/>
      </c>
      <c r="B14" s="120" t="str">
        <f>IF(契約詳細價目表!B6="","",契約詳細價目表!B6)</f>
        <v/>
      </c>
      <c r="C14" s="120"/>
      <c r="D14" s="120"/>
      <c r="E14" s="120"/>
      <c r="F14" s="120"/>
      <c r="G14" s="53" t="str">
        <f>IF(契約詳細價目表!C6="","",契約詳細價目表!C6)</f>
        <v/>
      </c>
      <c r="H14" s="84" t="str">
        <f>IF(契約詳細價目表!D6="","",契約詳細價目表!D6)</f>
        <v/>
      </c>
      <c r="I14" s="84">
        <f>INDEX(每日施工紀錄!$1:$1048576,MATCH($A14,每日施工紀錄!A:A,0),MATCH($H$3,每日施工紀錄!$1:$1,0))</f>
        <v>0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str">
        <f>IF(契約詳細價目表!A7="","",契約詳細價目表!A7)</f>
        <v/>
      </c>
      <c r="B15" s="120" t="str">
        <f>IF(契約詳細價目表!B7="","",契約詳細價目表!B7)</f>
        <v/>
      </c>
      <c r="C15" s="120"/>
      <c r="D15" s="120"/>
      <c r="E15" s="120"/>
      <c r="F15" s="120"/>
      <c r="G15" s="53" t="str">
        <f>IF(契約詳細價目表!C7="","",契約詳細價目表!C7)</f>
        <v/>
      </c>
      <c r="H15" s="84" t="str">
        <f>IF(契約詳細價目表!D7="","",契約詳細價目表!D7)</f>
        <v/>
      </c>
      <c r="I15" s="84">
        <f>INDEX(每日施工紀錄!$1:$1048576,MATCH($A15,每日施工紀錄!A:A,0),MATCH($H$3,每日施工紀錄!$1:$1,0))</f>
        <v>0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str">
        <f>IF(契約詳細價目表!A8="","",契約詳細價目表!A8)</f>
        <v/>
      </c>
      <c r="B16" s="120" t="str">
        <f>IF(契約詳細價目表!B8="","",契約詳細價目表!B8)</f>
        <v/>
      </c>
      <c r="C16" s="120"/>
      <c r="D16" s="120"/>
      <c r="E16" s="120"/>
      <c r="F16" s="120"/>
      <c r="G16" s="53" t="str">
        <f>IF(契約詳細價目表!C8="","",契約詳細價目表!C8)</f>
        <v/>
      </c>
      <c r="H16" s="84" t="str">
        <f>IF(契約詳細價目表!D8="","",契約詳細價目表!D8)</f>
        <v/>
      </c>
      <c r="I16" s="84">
        <f>INDEX(每日施工紀錄!$1:$1048576,MATCH($A16,每日施工紀錄!A:A,0),MATCH($H$3,每日施工紀錄!$1:$1,0))</f>
        <v>0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str">
        <f>IF(契約詳細價目表!A9="","",契約詳細價目表!A9)</f>
        <v/>
      </c>
      <c r="B17" s="120" t="str">
        <f>IF(契約詳細價目表!B9="","",契約詳細價目表!B9)</f>
        <v/>
      </c>
      <c r="C17" s="120"/>
      <c r="D17" s="120"/>
      <c r="E17" s="120"/>
      <c r="F17" s="120"/>
      <c r="G17" s="53" t="str">
        <f>IF(契約詳細價目表!C9="","",契約詳細價目表!C9)</f>
        <v/>
      </c>
      <c r="H17" s="84" t="str">
        <f>IF(契約詳細價目表!D9="","",契約詳細價目表!D9)</f>
        <v/>
      </c>
      <c r="I17" s="84">
        <f>INDEX(每日施工紀錄!$1:$1048576,MATCH($A17,每日施工紀錄!A:A,0),MATCH($H$3,每日施工紀錄!$1:$1,0))</f>
        <v>0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str">
        <f>IF(契約詳細價目表!A10="","",契約詳細價目表!A10)</f>
        <v/>
      </c>
      <c r="B18" s="120" t="str">
        <f>IF(契約詳細價目表!B10="","",契約詳細價目表!B10)</f>
        <v/>
      </c>
      <c r="C18" s="120"/>
      <c r="D18" s="120"/>
      <c r="E18" s="120"/>
      <c r="F18" s="120"/>
      <c r="G18" s="53" t="str">
        <f>IF(契約詳細價目表!C10="","",契約詳細價目表!C10)</f>
        <v/>
      </c>
      <c r="H18" s="84" t="str">
        <f>IF(契約詳細價目表!D10="","",契約詳細價目表!D10)</f>
        <v/>
      </c>
      <c r="I18" s="84">
        <f>INDEX(每日施工紀錄!$1:$1048576,MATCH($A18,每日施工紀錄!A:A,0),MATCH($H$3,每日施工紀錄!$1:$1,0))</f>
        <v>0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str">
        <f>IF(契約詳細價目表!A11="","",契約詳細價目表!A11)</f>
        <v/>
      </c>
      <c r="B19" s="120" t="str">
        <f>IF(契約詳細價目表!B11="","",契約詳細價目表!B11)</f>
        <v/>
      </c>
      <c r="C19" s="120"/>
      <c r="D19" s="120"/>
      <c r="E19" s="120"/>
      <c r="F19" s="120"/>
      <c r="G19" s="53" t="str">
        <f>IF(契約詳細價目表!C11="","",契約詳細價目表!C11)</f>
        <v/>
      </c>
      <c r="H19" s="84" t="str">
        <f>IF(契約詳細價目表!D11="","",契約詳細價目表!D11)</f>
        <v/>
      </c>
      <c r="I19" s="84">
        <f>INDEX(每日施工紀錄!$1:$1048576,MATCH($A19,每日施工紀錄!A:A,0),MATCH($H$3,每日施工紀錄!$1:$1,0))</f>
        <v>0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str">
        <f>IF(契約詳細價目表!A12="","",契約詳細價目表!A12)</f>
        <v/>
      </c>
      <c r="B20" s="120" t="str">
        <f>IF(契約詳細價目表!B12="","",契約詳細價目表!B12)</f>
        <v/>
      </c>
      <c r="C20" s="120"/>
      <c r="D20" s="120"/>
      <c r="E20" s="120"/>
      <c r="F20" s="120"/>
      <c r="G20" s="53" t="str">
        <f>IF(契約詳細價目表!C12="","",契約詳細價目表!C12)</f>
        <v/>
      </c>
      <c r="H20" s="84" t="str">
        <f>IF(契約詳細價目表!D12="","",契約詳細價目表!D12)</f>
        <v/>
      </c>
      <c r="I20" s="84">
        <f>INDEX(每日施工紀錄!$1:$1048576,MATCH($A20,每日施工紀錄!A:A,0),MATCH($H$3,每日施工紀錄!$1:$1,0))</f>
        <v>0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str">
        <f>IF(契約詳細價目表!A13="","",契約詳細價目表!A13)</f>
        <v/>
      </c>
      <c r="B21" s="120" t="str">
        <f>IF(契約詳細價目表!B13="","",契約詳細價目表!B13)</f>
        <v/>
      </c>
      <c r="C21" s="120"/>
      <c r="D21" s="120"/>
      <c r="E21" s="120"/>
      <c r="F21" s="120"/>
      <c r="G21" s="53" t="str">
        <f>IF(契約詳細價目表!C13="","",契約詳細價目表!C13)</f>
        <v/>
      </c>
      <c r="H21" s="84" t="str">
        <f>IF(契約詳細價目表!D13="","",契約詳細價目表!D13)</f>
        <v/>
      </c>
      <c r="I21" s="84">
        <f>INDEX(每日施工紀錄!$1:$1048576,MATCH($A21,每日施工紀錄!A:A,0),MATCH($H$3,每日施工紀錄!$1:$1,0))</f>
        <v>0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str">
        <f>IF(契約詳細價目表!A14="","",契約詳細價目表!A14)</f>
        <v/>
      </c>
      <c r="B22" s="120" t="str">
        <f>IF(契約詳細價目表!B14="","",契約詳細價目表!B14)</f>
        <v/>
      </c>
      <c r="C22" s="120"/>
      <c r="D22" s="120"/>
      <c r="E22" s="120"/>
      <c r="F22" s="120"/>
      <c r="G22" s="53" t="str">
        <f>IF(契約詳細價目表!C14="","",契約詳細價目表!C14)</f>
        <v/>
      </c>
      <c r="H22" s="84" t="str">
        <f>IF(契約詳細價目表!D14="","",契約詳細價目表!D14)</f>
        <v/>
      </c>
      <c r="I22" s="84">
        <f>INDEX(每日施工紀錄!$1:$1048576,MATCH($A22,每日施工紀錄!A:A,0),MATCH($H$3,每日施工紀錄!$1:$1,0))</f>
        <v>0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str">
        <f>IF(契約詳細價目表!A15="","",契約詳細價目表!A15)</f>
        <v/>
      </c>
      <c r="B23" s="120" t="str">
        <f>IF(契約詳細價目表!B15="","",契約詳細價目表!B15)</f>
        <v/>
      </c>
      <c r="C23" s="120"/>
      <c r="D23" s="120"/>
      <c r="E23" s="120"/>
      <c r="F23" s="120"/>
      <c r="G23" s="53" t="str">
        <f>IF(契約詳細價目表!C15="","",契約詳細價目表!C15)</f>
        <v/>
      </c>
      <c r="H23" s="84" t="str">
        <f>IF(契約詳細價目表!D15="","",契約詳細價目表!D15)</f>
        <v/>
      </c>
      <c r="I23" s="84">
        <f>INDEX(每日施工紀錄!$1:$1048576,MATCH($A23,每日施工紀錄!A:A,0),MATCH($H$3,每日施工紀錄!$1:$1,0))</f>
        <v>0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str">
        <f>IF(契約詳細價目表!A16="","",契約詳細價目表!A16)</f>
        <v/>
      </c>
      <c r="B24" s="120" t="str">
        <f>IF(契約詳細價目表!B16="","",契約詳細價目表!B16)</f>
        <v/>
      </c>
      <c r="C24" s="120"/>
      <c r="D24" s="120"/>
      <c r="E24" s="120"/>
      <c r="F24" s="120"/>
      <c r="G24" s="53" t="str">
        <f>IF(契約詳細價目表!C16="","",契約詳細價目表!C16)</f>
        <v/>
      </c>
      <c r="H24" s="84" t="str">
        <f>IF(契約詳細價目表!D16="","",契約詳細價目表!D16)</f>
        <v/>
      </c>
      <c r="I24" s="84">
        <f>INDEX(每日施工紀錄!$1:$1048576,MATCH($A24,每日施工紀錄!A:A,0),MATCH($H$3,每日施工紀錄!$1:$1,0))</f>
        <v>0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str">
        <f>IF(契約詳細價目表!A17="","",契約詳細價目表!A17)</f>
        <v/>
      </c>
      <c r="B25" s="120" t="str">
        <f>IF(契約詳細價目表!B17="","",契約詳細價目表!B17)</f>
        <v/>
      </c>
      <c r="C25" s="120"/>
      <c r="D25" s="120"/>
      <c r="E25" s="120"/>
      <c r="F25" s="120"/>
      <c r="G25" s="53" t="str">
        <f>IF(契約詳細價目表!C17="","",契約詳細價目表!C17)</f>
        <v/>
      </c>
      <c r="H25" s="84" t="str">
        <f>IF(契約詳細價目表!D17="","",契約詳細價目表!D17)</f>
        <v/>
      </c>
      <c r="I25" s="84">
        <f>INDEX(每日施工紀錄!$1:$1048576,MATCH($A25,每日施工紀錄!A:A,0),MATCH($H$3,每日施工紀錄!$1:$1,0))</f>
        <v>0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str">
        <f>IF(契約詳細價目表!A18="","",契約詳細價目表!A18)</f>
        <v/>
      </c>
      <c r="B26" s="120" t="str">
        <f>IF(契約詳細價目表!B18="","",契約詳細價目表!B18)</f>
        <v/>
      </c>
      <c r="C26" s="120"/>
      <c r="D26" s="120"/>
      <c r="E26" s="120"/>
      <c r="F26" s="120"/>
      <c r="G26" s="53" t="str">
        <f>IF(契約詳細價目表!C18="","",契約詳細價目表!C18)</f>
        <v/>
      </c>
      <c r="H26" s="84" t="str">
        <f>IF(契約詳細價目表!D18="","",契約詳細價目表!D18)</f>
        <v/>
      </c>
      <c r="I26" s="84">
        <f>INDEX(每日施工紀錄!$1:$1048576,MATCH($A26,每日施工紀錄!A:A,0),MATCH($H$3,每日施工紀錄!$1:$1,0))</f>
        <v>0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str">
        <f>IF(契約詳細價目表!A19="","",契約詳細價目表!A19)</f>
        <v/>
      </c>
      <c r="B27" s="120" t="str">
        <f>IF(契約詳細價目表!B19="","",契約詳細價目表!B19)</f>
        <v/>
      </c>
      <c r="C27" s="120"/>
      <c r="D27" s="120"/>
      <c r="E27" s="120"/>
      <c r="F27" s="120"/>
      <c r="G27" s="53" t="str">
        <f>IF(契約詳細價目表!C19="","",契約詳細價目表!C19)</f>
        <v/>
      </c>
      <c r="H27" s="84" t="str">
        <f>IF(契約詳細價目表!D19="","",契約詳細價目表!D19)</f>
        <v/>
      </c>
      <c r="I27" s="84">
        <f>INDEX(每日施工紀錄!$1:$1048576,MATCH($A27,每日施工紀錄!A:A,0),MATCH($H$3,每日施工紀錄!$1:$1,0))</f>
        <v>0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str">
        <f>IF(契約詳細價目表!A20="","",契約詳細價目表!A20)</f>
        <v/>
      </c>
      <c r="B28" s="120" t="str">
        <f>IF(契約詳細價目表!B20="","",契約詳細價目表!B20)</f>
        <v/>
      </c>
      <c r="C28" s="120"/>
      <c r="D28" s="120"/>
      <c r="E28" s="120"/>
      <c r="F28" s="120"/>
      <c r="G28" s="53" t="str">
        <f>IF(契約詳細價目表!C20="","",契約詳細價目表!C20)</f>
        <v/>
      </c>
      <c r="H28" s="84" t="str">
        <f>IF(契約詳細價目表!D20="","",契約詳細價目表!D20)</f>
        <v/>
      </c>
      <c r="I28" s="84">
        <f>INDEX(每日施工紀錄!$1:$1048576,MATCH($A28,每日施工紀錄!A:A,0),MATCH($H$3,每日施工紀錄!$1:$1,0))</f>
        <v>0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str">
        <f>IF(契約詳細價目表!A21="","",契約詳細價目表!A21)</f>
        <v/>
      </c>
      <c r="B29" s="120" t="str">
        <f>IF(契約詳細價目表!B21="","",契約詳細價目表!B21)</f>
        <v/>
      </c>
      <c r="C29" s="120"/>
      <c r="D29" s="120"/>
      <c r="E29" s="120"/>
      <c r="F29" s="120"/>
      <c r="G29" s="53" t="str">
        <f>IF(契約詳細價目表!C21="","",契約詳細價目表!C21)</f>
        <v/>
      </c>
      <c r="H29" s="84" t="str">
        <f>IF(契約詳細價目表!D21="","",契約詳細價目表!D21)</f>
        <v/>
      </c>
      <c r="I29" s="84">
        <f>INDEX(每日施工紀錄!$1:$1048576,MATCH($A29,每日施工紀錄!A:A,0),MATCH($H$3,每日施工紀錄!$1:$1,0))</f>
        <v>0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str">
        <f>IF(契約詳細價目表!A22="","",契約詳細價目表!A22)</f>
        <v/>
      </c>
      <c r="B30" s="120" t="str">
        <f>IF(契約詳細價目表!B22="","",契約詳細價目表!B22)</f>
        <v/>
      </c>
      <c r="C30" s="120"/>
      <c r="D30" s="120"/>
      <c r="E30" s="120"/>
      <c r="F30" s="120"/>
      <c r="G30" s="53" t="str">
        <f>IF(契約詳細價目表!C22="","",契約詳細價目表!C22)</f>
        <v/>
      </c>
      <c r="H30" s="84" t="str">
        <f>IF(契約詳細價目表!D22="","",契約詳細價目表!D22)</f>
        <v/>
      </c>
      <c r="I30" s="84">
        <f>INDEX(每日施工紀錄!$1:$1048576,MATCH($A30,每日施工紀錄!A:A,0),MATCH($H$3,每日施工紀錄!$1:$1,0))</f>
        <v>0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str">
        <f>IF(契約詳細價目表!A23="","",契約詳細價目表!A23)</f>
        <v/>
      </c>
      <c r="B31" s="120" t="str">
        <f>IF(契約詳細價目表!B23="","",契約詳細價目表!B23)</f>
        <v/>
      </c>
      <c r="C31" s="120"/>
      <c r="D31" s="120"/>
      <c r="E31" s="120"/>
      <c r="F31" s="120"/>
      <c r="G31" s="53" t="str">
        <f>IF(契約詳細價目表!C23="","",契約詳細價目表!C23)</f>
        <v/>
      </c>
      <c r="H31" s="84" t="str">
        <f>IF(契約詳細價目表!D23="","",契約詳細價目表!D23)</f>
        <v/>
      </c>
      <c r="I31" s="84">
        <f>INDEX(每日施工紀錄!$1:$1048576,MATCH($A31,每日施工紀錄!A:A,0),MATCH($H$3,每日施工紀錄!$1:$1,0))</f>
        <v>0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str">
        <f>IF(契約詳細價目表!A24="","",契約詳細價目表!A24)</f>
        <v/>
      </c>
      <c r="B32" s="120" t="str">
        <f>IF(契約詳細價目表!B24="","",契約詳細價目表!B24)</f>
        <v/>
      </c>
      <c r="C32" s="120"/>
      <c r="D32" s="120"/>
      <c r="E32" s="120"/>
      <c r="F32" s="120"/>
      <c r="G32" s="53" t="str">
        <f>IF(契約詳細價目表!C24="","",契約詳細價目表!C24)</f>
        <v/>
      </c>
      <c r="H32" s="84" t="str">
        <f>IF(契約詳細價目表!D24="","",契約詳細價目表!D24)</f>
        <v/>
      </c>
      <c r="I32" s="84">
        <f>INDEX(每日施工紀錄!$1:$1048576,MATCH($A32,每日施工紀錄!A:A,0),MATCH($H$3,每日施工紀錄!$1:$1,0))</f>
        <v>0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str">
        <f>IF(契約詳細價目表!A25="","",契約詳細價目表!A25)</f>
        <v/>
      </c>
      <c r="B33" s="120" t="str">
        <f>IF(契約詳細價目表!B25="","",契約詳細價目表!B25)</f>
        <v/>
      </c>
      <c r="C33" s="120"/>
      <c r="D33" s="120"/>
      <c r="E33" s="120"/>
      <c r="F33" s="120"/>
      <c r="G33" s="53" t="str">
        <f>IF(契約詳細價目表!C25="","",契約詳細價目表!C25)</f>
        <v/>
      </c>
      <c r="H33" s="84" t="str">
        <f>IF(契約詳細價目表!D25="","",契約詳細價目表!D25)</f>
        <v/>
      </c>
      <c r="I33" s="84">
        <f>INDEX(每日施工紀錄!$1:$1048576,MATCH($A33,每日施工紀錄!A:A,0),MATCH($H$3,每日施工紀錄!$1:$1,0))</f>
        <v>0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str">
        <f>IF(契約詳細價目表!A26="","",契約詳細價目表!A26)</f>
        <v/>
      </c>
      <c r="B34" s="120" t="str">
        <f>IF(契約詳細價目表!B26="","",契約詳細價目表!B26)</f>
        <v/>
      </c>
      <c r="C34" s="120"/>
      <c r="D34" s="120"/>
      <c r="E34" s="120"/>
      <c r="F34" s="120"/>
      <c r="G34" s="53" t="str">
        <f>IF(契約詳細價目表!C26="","",契約詳細價目表!C26)</f>
        <v/>
      </c>
      <c r="H34" s="84" t="str">
        <f>IF(契約詳細價目表!D26="","",契約詳細價目表!D26)</f>
        <v/>
      </c>
      <c r="I34" s="84">
        <f>INDEX(每日施工紀錄!$1:$1048576,MATCH($A34,每日施工紀錄!A:A,0),MATCH($H$3,每日施工紀錄!$1:$1,0))</f>
        <v>0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str">
        <f>IF(契約詳細價目表!A27="","",契約詳細價目表!A27)</f>
        <v/>
      </c>
      <c r="B35" s="120" t="str">
        <f>IF(契約詳細價目表!B27="","",契約詳細價目表!B27)</f>
        <v/>
      </c>
      <c r="C35" s="120"/>
      <c r="D35" s="120"/>
      <c r="E35" s="120"/>
      <c r="F35" s="120"/>
      <c r="G35" s="53" t="str">
        <f>IF(契約詳細價目表!C27="","",契約詳細價目表!C27)</f>
        <v/>
      </c>
      <c r="H35" s="84" t="str">
        <f>IF(契約詳細價目表!D27="","",契約詳細價目表!D27)</f>
        <v/>
      </c>
      <c r="I35" s="84">
        <f>INDEX(每日施工紀錄!$1:$1048576,MATCH($A35,每日施工紀錄!A:A,0),MATCH($H$3,每日施工紀錄!$1:$1,0))</f>
        <v>0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str">
        <f>IF(契約詳細價目表!A28="","",契約詳細價目表!A28)</f>
        <v/>
      </c>
      <c r="B36" s="120" t="str">
        <f>IF(契約詳細價目表!B28="","",契約詳細價目表!B28)</f>
        <v/>
      </c>
      <c r="C36" s="120"/>
      <c r="D36" s="120"/>
      <c r="E36" s="120"/>
      <c r="F36" s="120"/>
      <c r="G36" s="53" t="str">
        <f>IF(契約詳細價目表!C28="","",契約詳細價目表!C28)</f>
        <v/>
      </c>
      <c r="H36" s="84" t="str">
        <f>IF(契約詳細價目表!D28="","",契約詳細價目表!D28)</f>
        <v/>
      </c>
      <c r="I36" s="84">
        <f>INDEX(每日施工紀錄!$1:$1048576,MATCH($A36,每日施工紀錄!A:A,0),MATCH($H$3,每日施工紀錄!$1:$1,0))</f>
        <v>0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str">
        <f>IF(契約詳細價目表!A29="","",契約詳細價目表!A29)</f>
        <v/>
      </c>
      <c r="B37" s="120" t="str">
        <f>IF(契約詳細價目表!B29="","",契約詳細價目表!B29)</f>
        <v/>
      </c>
      <c r="C37" s="120"/>
      <c r="D37" s="120"/>
      <c r="E37" s="120"/>
      <c r="F37" s="120"/>
      <c r="G37" s="53" t="str">
        <f>IF(契約詳細價目表!C29="","",契約詳細價目表!C29)</f>
        <v/>
      </c>
      <c r="H37" s="84" t="str">
        <f>IF(契約詳細價目表!D29="","",契約詳細價目表!D29)</f>
        <v/>
      </c>
      <c r="I37" s="84">
        <f>INDEX(每日施工紀錄!$1:$1048576,MATCH($A37,每日施工紀錄!A:A,0),MATCH($H$3,每日施工紀錄!$1:$1,0))</f>
        <v>0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str">
        <f>IF(契約詳細價目表!A30="","",契約詳細價目表!A30)</f>
        <v/>
      </c>
      <c r="B38" s="120" t="str">
        <f>IF(契約詳細價目表!B30="","",契約詳細價目表!B30)</f>
        <v/>
      </c>
      <c r="C38" s="120"/>
      <c r="D38" s="120"/>
      <c r="E38" s="120"/>
      <c r="F38" s="120"/>
      <c r="G38" s="53" t="str">
        <f>IF(契約詳細價目表!C30="","",契約詳細價目表!C30)</f>
        <v/>
      </c>
      <c r="H38" s="84" t="str">
        <f>IF(契約詳細價目表!D30="","",契約詳細價目表!D30)</f>
        <v/>
      </c>
      <c r="I38" s="84">
        <f>INDEX(每日施工紀錄!$1:$1048576,MATCH($A38,每日施工紀錄!A:A,0),MATCH($H$3,每日施工紀錄!$1:$1,0))</f>
        <v>0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str">
        <f>IF(契約詳細價目表!A31="","",契約詳細價目表!A31)</f>
        <v/>
      </c>
      <c r="B39" s="120" t="str">
        <f>IF(契約詳細價目表!B31="","",契約詳細價目表!B31)</f>
        <v/>
      </c>
      <c r="C39" s="120"/>
      <c r="D39" s="120"/>
      <c r="E39" s="120"/>
      <c r="F39" s="120"/>
      <c r="G39" s="53" t="str">
        <f>IF(契約詳細價目表!C31="","",契約詳細價目表!C31)</f>
        <v/>
      </c>
      <c r="H39" s="84" t="str">
        <f>IF(契約詳細價目表!D31="","",契約詳細價目表!D31)</f>
        <v/>
      </c>
      <c r="I39" s="84">
        <f>INDEX(每日施工紀錄!$1:$1048576,MATCH($A39,每日施工紀錄!A:A,0),MATCH($H$3,每日施工紀錄!$1:$1,0))</f>
        <v>0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str">
        <f>IF(契約詳細價目表!A32="","",契約詳細價目表!A32)</f>
        <v/>
      </c>
      <c r="B40" s="120" t="str">
        <f>IF(契約詳細價目表!B32="","",契約詳細價目表!B32)</f>
        <v/>
      </c>
      <c r="C40" s="120"/>
      <c r="D40" s="120"/>
      <c r="E40" s="120"/>
      <c r="F40" s="120"/>
      <c r="G40" s="53" t="str">
        <f>IF(契約詳細價目表!C32="","",契約詳細價目表!C32)</f>
        <v/>
      </c>
      <c r="H40" s="84" t="str">
        <f>IF(契約詳細價目表!D32="","",契約詳細價目表!D32)</f>
        <v/>
      </c>
      <c r="I40" s="84">
        <f>INDEX(每日施工紀錄!$1:$1048576,MATCH($A40,每日施工紀錄!A:A,0),MATCH($H$3,每日施工紀錄!$1:$1,0))</f>
        <v>0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49" t="s">
        <v>66</v>
      </c>
      <c r="B41" s="150"/>
      <c r="C41" s="150"/>
      <c r="D41" s="150"/>
      <c r="E41" s="150"/>
      <c r="F41" s="150"/>
      <c r="G41" s="150"/>
      <c r="H41" s="150"/>
      <c r="I41" s="150"/>
      <c r="J41" s="151"/>
      <c r="N41" s="19"/>
      <c r="O41" s="18"/>
    </row>
    <row r="42" spans="1:15" ht="69.900000000000006" customHeight="1" x14ac:dyDescent="0.3">
      <c r="A42" s="152">
        <f>INDEX(監造內容!$1:$1048576,MATCH($H3,監造內容!B:B,0),6)</f>
        <v>0</v>
      </c>
      <c r="B42" s="153"/>
      <c r="C42" s="153"/>
      <c r="D42" s="153"/>
      <c r="E42" s="153"/>
      <c r="F42" s="153"/>
      <c r="G42" s="153"/>
      <c r="H42" s="153"/>
      <c r="I42" s="153"/>
      <c r="J42" s="154"/>
      <c r="N42" s="19"/>
      <c r="O42" s="18"/>
    </row>
    <row r="43" spans="1:15" ht="19.5" customHeight="1" x14ac:dyDescent="0.3">
      <c r="A43" s="149" t="s">
        <v>53</v>
      </c>
      <c r="B43" s="150"/>
      <c r="C43" s="150"/>
      <c r="D43" s="150"/>
      <c r="E43" s="150"/>
      <c r="F43" s="150"/>
      <c r="G43" s="150"/>
      <c r="H43" s="150"/>
      <c r="I43" s="150"/>
      <c r="J43" s="151"/>
      <c r="N43" s="19"/>
      <c r="O43" s="18"/>
    </row>
    <row r="44" spans="1:15" ht="60" customHeight="1" x14ac:dyDescent="0.3">
      <c r="A44" s="152">
        <f>INDEX(監造內容!$1:$1048576,MATCH($H3,監造內容!B:B,0),7)</f>
        <v>0</v>
      </c>
      <c r="B44" s="153"/>
      <c r="C44" s="153"/>
      <c r="D44" s="153"/>
      <c r="E44" s="153"/>
      <c r="F44" s="153"/>
      <c r="G44" s="153"/>
      <c r="H44" s="153"/>
      <c r="I44" s="153"/>
      <c r="J44" s="154"/>
      <c r="N44" s="19"/>
      <c r="O44" s="18"/>
    </row>
    <row r="45" spans="1:15" ht="19.5" customHeight="1" x14ac:dyDescent="0.3">
      <c r="A45" s="155" t="s">
        <v>54</v>
      </c>
      <c r="B45" s="138"/>
      <c r="C45" s="138"/>
      <c r="D45" s="138"/>
      <c r="E45" s="138"/>
      <c r="F45" s="138"/>
      <c r="G45" s="138"/>
      <c r="H45" s="138"/>
      <c r="I45" s="138"/>
      <c r="J45" s="139"/>
      <c r="N45" s="19"/>
      <c r="O45" s="18"/>
    </row>
    <row r="46" spans="1:15" ht="63" customHeight="1" x14ac:dyDescent="0.3">
      <c r="A46" s="137">
        <f>INDEX(監造內容!$1:$1048576,MATCH($H3,監造內容!B:B,0),8)</f>
        <v>0</v>
      </c>
      <c r="B46" s="138"/>
      <c r="C46" s="138"/>
      <c r="D46" s="138"/>
      <c r="E46" s="138"/>
      <c r="F46" s="138"/>
      <c r="G46" s="138"/>
      <c r="H46" s="138"/>
      <c r="I46" s="138"/>
      <c r="J46" s="139"/>
      <c r="N46" s="19"/>
      <c r="O46" s="18"/>
    </row>
    <row r="47" spans="1:15" ht="19.5" customHeight="1" x14ac:dyDescent="0.3">
      <c r="A47" s="140" t="s">
        <v>55</v>
      </c>
      <c r="B47" s="141"/>
      <c r="C47" s="141"/>
      <c r="D47" s="141"/>
      <c r="E47" s="141"/>
      <c r="F47" s="141"/>
      <c r="G47" s="141"/>
      <c r="H47" s="141"/>
      <c r="I47" s="141"/>
      <c r="J47" s="142"/>
      <c r="N47" s="19"/>
      <c r="O47" s="18"/>
    </row>
    <row r="48" spans="1:15" ht="69.900000000000006" customHeight="1" x14ac:dyDescent="0.3">
      <c r="A48" s="143">
        <f>INDEX(監造內容!$1:$1048576,MATCH($H3,監造內容!B:B,0),9)</f>
        <v>0</v>
      </c>
      <c r="B48" s="144"/>
      <c r="C48" s="144"/>
      <c r="D48" s="144"/>
      <c r="E48" s="144"/>
      <c r="F48" s="144"/>
      <c r="G48" s="144"/>
      <c r="H48" s="144"/>
      <c r="I48" s="144"/>
      <c r="J48" s="145"/>
      <c r="N48" s="13"/>
      <c r="O48" s="13"/>
    </row>
    <row r="49" spans="1:15" ht="41.25" customHeight="1" thickBot="1" x14ac:dyDescent="0.35">
      <c r="A49" s="146" t="s">
        <v>56</v>
      </c>
      <c r="B49" s="147"/>
      <c r="C49" s="147"/>
      <c r="D49" s="147"/>
      <c r="E49" s="147"/>
      <c r="F49" s="147"/>
      <c r="G49" s="147"/>
      <c r="H49" s="147"/>
      <c r="I49" s="147"/>
      <c r="J49" s="148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  <mergeCell ref="B17:F17"/>
    <mergeCell ref="B18:F18"/>
    <mergeCell ref="B19:F19"/>
    <mergeCell ref="B9:F9"/>
    <mergeCell ref="B10:F10"/>
    <mergeCell ref="B11:F11"/>
    <mergeCell ref="B12:F12"/>
    <mergeCell ref="B13:F13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B40:F40"/>
    <mergeCell ref="B35:F35"/>
    <mergeCell ref="B36:F36"/>
    <mergeCell ref="B37:F37"/>
    <mergeCell ref="B38:F38"/>
    <mergeCell ref="B39:F39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>
        <f>B8+B7-1</f>
        <v>-1</v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27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27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27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27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27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27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27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27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27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27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27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27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27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27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27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27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27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7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7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7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7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7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7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7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7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7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7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7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7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7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7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2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27"/>
      <c r="E34" s="28">
        <f t="shared" ref="E34" si="1">ROUND(SUM($F$2:$F$32)*1%,0)</f>
        <v>0</v>
      </c>
      <c r="F34" s="28">
        <f t="shared" si="0"/>
        <v>0</v>
      </c>
      <c r="G34" s="80"/>
      <c r="J34" s="75" t="str">
        <f>IF(OR($H34="",$H34=0),"",I34/H34)</f>
        <v/>
      </c>
      <c r="L34" s="75" t="str">
        <f>IF($J34="","",J34*K34)</f>
        <v/>
      </c>
    </row>
    <row r="35" spans="1:12" ht="17.25" customHeight="1" x14ac:dyDescent="0.3">
      <c r="A35" s="25"/>
      <c r="B35" s="26"/>
      <c r="C35" s="25"/>
      <c r="D35" s="2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str">
        <f>IF(OR($H36="",$H36=0),"",I36/H36)</f>
        <v/>
      </c>
      <c r="L36" s="93" t="str">
        <f>IF($J36="","",J36*K36)</f>
        <v/>
      </c>
    </row>
    <row r="37" spans="1:12" ht="17.25" customHeight="1" x14ac:dyDescent="0.3">
      <c r="A37" s="25"/>
      <c r="B37" s="26"/>
      <c r="C37" s="25"/>
      <c r="D37" s="2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/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57"/>
      <c r="E284" s="157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08" t="s">
        <v>28</v>
      </c>
      <c r="B1" s="108" t="s">
        <v>16</v>
      </c>
      <c r="C1" s="108" t="s">
        <v>17</v>
      </c>
      <c r="D1" s="108"/>
      <c r="E1" s="112" t="s">
        <v>19</v>
      </c>
      <c r="F1" s="112" t="s">
        <v>20</v>
      </c>
      <c r="G1" s="112" t="s">
        <v>64</v>
      </c>
      <c r="H1" s="112" t="s">
        <v>21</v>
      </c>
      <c r="I1" s="112" t="s">
        <v>22</v>
      </c>
      <c r="J1" s="109" t="s">
        <v>24</v>
      </c>
      <c r="K1" s="109" t="s">
        <v>23</v>
      </c>
      <c r="L1" s="110" t="s">
        <v>25</v>
      </c>
      <c r="M1" s="110" t="s">
        <v>18</v>
      </c>
      <c r="N1" s="110" t="s">
        <v>26</v>
      </c>
      <c r="O1" s="112" t="s">
        <v>27</v>
      </c>
      <c r="P1" s="111" t="s">
        <v>65</v>
      </c>
    </row>
    <row r="2" spans="1:18" x14ac:dyDescent="0.3">
      <c r="A2" s="108"/>
      <c r="B2" s="108"/>
      <c r="C2" s="59"/>
      <c r="D2" s="59"/>
      <c r="E2" s="112"/>
      <c r="F2" s="112"/>
      <c r="G2" s="112"/>
      <c r="H2" s="112"/>
      <c r="I2" s="112"/>
      <c r="J2" s="109"/>
      <c r="K2" s="109"/>
      <c r="L2" s="110"/>
      <c r="M2" s="110"/>
      <c r="N2" s="110"/>
      <c r="O2" s="112"/>
      <c r="P2" s="111"/>
    </row>
    <row r="3" spans="1:18" x14ac:dyDescent="0.3">
      <c r="A3" s="60"/>
      <c r="B3" s="61">
        <f>工程基本資料!B8</f>
        <v>0</v>
      </c>
      <c r="C3" s="62"/>
      <c r="D3" s="62"/>
      <c r="E3" s="104"/>
      <c r="F3" s="63"/>
      <c r="G3" s="63"/>
      <c r="H3" s="64">
        <f>IF(Q3&gt;1,$R$3,$R$4)</f>
        <v>0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>
        <f>工程基本資料!$B$8+工程基本資料!$B$7+$L3+$M3-1</f>
        <v>-1</v>
      </c>
      <c r="Q3" s="9" cm="1">
        <f t="array" ref="Q3:Q597">TRANSPOSE(每日施工紀錄!J284:WF284)</f>
        <v>0</v>
      </c>
      <c r="R3" s="88"/>
    </row>
    <row r="4" spans="1:18" x14ac:dyDescent="0.3">
      <c r="A4" s="60"/>
      <c r="B4" s="61">
        <f>B3+1</f>
        <v>1</v>
      </c>
      <c r="C4" s="62"/>
      <c r="D4" s="62"/>
      <c r="E4" s="63"/>
      <c r="F4" s="63"/>
      <c r="G4" s="63"/>
      <c r="H4" s="64">
        <f t="shared" ref="H4:H67" si="0">IF(Q4&gt;1,$R$3,$R$4)</f>
        <v>0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>
        <f>工程基本資料!$B$8+工程基本資料!$B$7+$L4+$M4-1</f>
        <v>-1</v>
      </c>
      <c r="Q4" s="9">
        <v>0</v>
      </c>
      <c r="R4" s="88"/>
    </row>
    <row r="5" spans="1:18" ht="63" customHeight="1" x14ac:dyDescent="0.3">
      <c r="A5" s="60"/>
      <c r="B5" s="61">
        <f t="shared" ref="B5:B68" si="1">B4+1</f>
        <v>2</v>
      </c>
      <c r="C5" s="62"/>
      <c r="D5" s="62"/>
      <c r="E5" s="63"/>
      <c r="F5" s="63"/>
      <c r="G5" s="63"/>
      <c r="H5" s="64">
        <f t="shared" si="0"/>
        <v>0</v>
      </c>
      <c r="I5" s="63"/>
      <c r="J5" s="65">
        <f t="shared" ref="J5:J68" si="2">J4+1</f>
        <v>2</v>
      </c>
      <c r="K5" s="65">
        <f>工程基本資料!$B$7-$J5+$L5+$M5</f>
        <v>-2</v>
      </c>
      <c r="L5" s="66"/>
      <c r="M5" s="66"/>
      <c r="N5" s="66"/>
      <c r="O5" s="70"/>
      <c r="P5" s="58">
        <f>工程基本資料!$B$8+工程基本資料!$B$7+$L5+$M5-1</f>
        <v>-1</v>
      </c>
      <c r="Q5" s="9">
        <v>0</v>
      </c>
    </row>
    <row r="6" spans="1:18" ht="63" customHeight="1" x14ac:dyDescent="0.3">
      <c r="A6" s="60"/>
      <c r="B6" s="61">
        <f t="shared" si="1"/>
        <v>3</v>
      </c>
      <c r="C6" s="62"/>
      <c r="D6" s="62"/>
      <c r="E6" s="63"/>
      <c r="F6" s="63"/>
      <c r="G6" s="63"/>
      <c r="H6" s="64">
        <f t="shared" si="0"/>
        <v>0</v>
      </c>
      <c r="I6" s="63"/>
      <c r="J6" s="65">
        <f t="shared" si="2"/>
        <v>3</v>
      </c>
      <c r="K6" s="65">
        <f>工程基本資料!$B$7-$J6+$L6+$M6</f>
        <v>-3</v>
      </c>
      <c r="L6" s="66"/>
      <c r="M6" s="66"/>
      <c r="N6" s="66"/>
      <c r="O6" s="70"/>
      <c r="P6" s="58">
        <f>工程基本資料!$B$8+工程基本資料!$B$7+$L6+$M6-1</f>
        <v>-1</v>
      </c>
      <c r="Q6" s="9">
        <v>0</v>
      </c>
    </row>
    <row r="7" spans="1:18" ht="63" customHeight="1" x14ac:dyDescent="0.3">
      <c r="A7" s="60"/>
      <c r="B7" s="61">
        <f t="shared" si="1"/>
        <v>4</v>
      </c>
      <c r="C7" s="62"/>
      <c r="D7" s="62"/>
      <c r="E7" s="63"/>
      <c r="F7" s="63"/>
      <c r="G7" s="63"/>
      <c r="H7" s="64">
        <f t="shared" si="0"/>
        <v>0</v>
      </c>
      <c r="I7" s="63"/>
      <c r="J7" s="65">
        <f t="shared" si="2"/>
        <v>4</v>
      </c>
      <c r="K7" s="65">
        <f>工程基本資料!$B$7-$J7+$L7+$M7</f>
        <v>-4</v>
      </c>
      <c r="L7" s="66"/>
      <c r="M7" s="66"/>
      <c r="N7" s="66"/>
      <c r="O7" s="70"/>
      <c r="P7" s="58">
        <f>工程基本資料!$B$8+工程基本資料!$B$7+$L7+$M7-1</f>
        <v>-1</v>
      </c>
      <c r="Q7" s="9">
        <v>0</v>
      </c>
    </row>
    <row r="8" spans="1:18" ht="72.75" customHeight="1" x14ac:dyDescent="0.3">
      <c r="A8" s="60"/>
      <c r="B8" s="61">
        <f t="shared" si="1"/>
        <v>5</v>
      </c>
      <c r="C8" s="62"/>
      <c r="D8" s="62"/>
      <c r="E8" s="63"/>
      <c r="F8" s="63"/>
      <c r="G8" s="63"/>
      <c r="H8" s="64">
        <f t="shared" si="0"/>
        <v>0</v>
      </c>
      <c r="I8" s="63"/>
      <c r="J8" s="65">
        <f t="shared" si="2"/>
        <v>5</v>
      </c>
      <c r="K8" s="65">
        <f>工程基本資料!$B$7-$J8+$L8+$M8</f>
        <v>-5</v>
      </c>
      <c r="L8" s="66"/>
      <c r="M8" s="66"/>
      <c r="N8" s="66"/>
      <c r="O8" s="70"/>
      <c r="P8" s="58">
        <f>工程基本資料!$B$8+工程基本資料!$B$7+$L8+$M8-1</f>
        <v>-1</v>
      </c>
      <c r="Q8" s="9">
        <v>0</v>
      </c>
    </row>
    <row r="9" spans="1:18" ht="63" customHeight="1" x14ac:dyDescent="0.3">
      <c r="A9" s="60"/>
      <c r="B9" s="61">
        <f t="shared" si="1"/>
        <v>6</v>
      </c>
      <c r="C9" s="62"/>
      <c r="D9" s="62"/>
      <c r="E9" s="63"/>
      <c r="F9" s="63"/>
      <c r="G9" s="63"/>
      <c r="H9" s="64">
        <f t="shared" si="0"/>
        <v>0</v>
      </c>
      <c r="I9" s="63"/>
      <c r="J9" s="65">
        <f t="shared" si="2"/>
        <v>6</v>
      </c>
      <c r="K9" s="65">
        <f>工程基本資料!$B$7-$J9+$L9+$M9</f>
        <v>-6</v>
      </c>
      <c r="L9" s="66"/>
      <c r="M9" s="66"/>
      <c r="N9" s="66"/>
      <c r="O9" s="70"/>
      <c r="P9" s="58">
        <f>工程基本資料!$B$8+工程基本資料!$B$7+$L9+$M9-1</f>
        <v>-1</v>
      </c>
      <c r="Q9" s="9">
        <v>0</v>
      </c>
    </row>
    <row r="10" spans="1:18" ht="63" customHeight="1" x14ac:dyDescent="0.3">
      <c r="A10" s="60"/>
      <c r="B10" s="61">
        <f t="shared" si="1"/>
        <v>7</v>
      </c>
      <c r="C10" s="62"/>
      <c r="D10" s="62"/>
      <c r="E10" s="63"/>
      <c r="F10" s="63"/>
      <c r="G10" s="63"/>
      <c r="H10" s="64">
        <f t="shared" si="0"/>
        <v>0</v>
      </c>
      <c r="I10" s="63"/>
      <c r="J10" s="65">
        <f t="shared" si="2"/>
        <v>7</v>
      </c>
      <c r="K10" s="65">
        <f>工程基本資料!$B$7-$J10+$L10+$M10</f>
        <v>-7</v>
      </c>
      <c r="L10" s="66"/>
      <c r="M10" s="66"/>
      <c r="N10" s="66"/>
      <c r="O10" s="70"/>
      <c r="P10" s="58">
        <f>工程基本資料!$B$8+工程基本資料!$B$7+$L10+$M10-1</f>
        <v>-1</v>
      </c>
      <c r="Q10" s="9">
        <v>0</v>
      </c>
    </row>
    <row r="11" spans="1:18" ht="87.75" customHeight="1" x14ac:dyDescent="0.3">
      <c r="A11" s="60"/>
      <c r="B11" s="61">
        <f t="shared" si="1"/>
        <v>8</v>
      </c>
      <c r="C11" s="62"/>
      <c r="D11" s="62"/>
      <c r="E11" s="63"/>
      <c r="F11" s="63"/>
      <c r="G11" s="63"/>
      <c r="H11" s="64">
        <f t="shared" si="0"/>
        <v>0</v>
      </c>
      <c r="I11" s="63"/>
      <c r="J11" s="65">
        <f t="shared" si="2"/>
        <v>8</v>
      </c>
      <c r="K11" s="65">
        <f>工程基本資料!$B$7-$J11+$L11+$M11</f>
        <v>-8</v>
      </c>
      <c r="L11" s="66"/>
      <c r="M11" s="66"/>
      <c r="N11" s="66"/>
      <c r="O11" s="70"/>
      <c r="P11" s="58">
        <f>工程基本資料!$B$8+工程基本資料!$B$7+$L11+$M11-1</f>
        <v>-1</v>
      </c>
      <c r="Q11" s="9">
        <v>0</v>
      </c>
    </row>
    <row r="12" spans="1:18" ht="63" customHeight="1" x14ac:dyDescent="0.3">
      <c r="A12" s="60"/>
      <c r="B12" s="61">
        <f t="shared" si="1"/>
        <v>9</v>
      </c>
      <c r="C12" s="62"/>
      <c r="D12" s="62"/>
      <c r="E12" s="63"/>
      <c r="F12" s="67"/>
      <c r="G12" s="67"/>
      <c r="H12" s="64">
        <f t="shared" si="0"/>
        <v>0</v>
      </c>
      <c r="I12" s="67"/>
      <c r="J12" s="65">
        <f t="shared" si="2"/>
        <v>9</v>
      </c>
      <c r="K12" s="65">
        <f>工程基本資料!$B$7-$J12+$L12+$M12</f>
        <v>-9</v>
      </c>
      <c r="L12" s="66"/>
      <c r="M12" s="66"/>
      <c r="N12" s="66"/>
      <c r="O12" s="70"/>
      <c r="P12" s="58">
        <f>工程基本資料!$B$8+工程基本資料!$B$7+$L12+$M12-1</f>
        <v>-1</v>
      </c>
      <c r="Q12" s="9">
        <v>0</v>
      </c>
    </row>
    <row r="13" spans="1:18" ht="63" customHeight="1" x14ac:dyDescent="0.3">
      <c r="A13" s="60"/>
      <c r="B13" s="61">
        <f t="shared" si="1"/>
        <v>10</v>
      </c>
      <c r="C13" s="62"/>
      <c r="D13" s="62"/>
      <c r="E13" s="63"/>
      <c r="F13" s="63"/>
      <c r="G13" s="63"/>
      <c r="H13" s="64">
        <f t="shared" si="0"/>
        <v>0</v>
      </c>
      <c r="I13" s="63"/>
      <c r="J13" s="65">
        <f t="shared" si="2"/>
        <v>10</v>
      </c>
      <c r="K13" s="65">
        <f>工程基本資料!$B$7-$J13+$L13+$M13</f>
        <v>-10</v>
      </c>
      <c r="L13" s="66"/>
      <c r="M13" s="66"/>
      <c r="N13" s="66"/>
      <c r="O13" s="70"/>
      <c r="P13" s="58">
        <f>工程基本資料!$B$8+工程基本資料!$B$7+$L13+$M13-1</f>
        <v>-1</v>
      </c>
      <c r="Q13" s="9">
        <v>0</v>
      </c>
    </row>
    <row r="14" spans="1:18" ht="63" customHeight="1" x14ac:dyDescent="0.3">
      <c r="A14" s="60"/>
      <c r="B14" s="61">
        <f t="shared" si="1"/>
        <v>11</v>
      </c>
      <c r="C14" s="62"/>
      <c r="D14" s="62"/>
      <c r="E14" s="63"/>
      <c r="F14" s="63"/>
      <c r="G14" s="63"/>
      <c r="H14" s="64">
        <f t="shared" si="0"/>
        <v>0</v>
      </c>
      <c r="I14" s="63"/>
      <c r="J14" s="65">
        <f t="shared" si="2"/>
        <v>11</v>
      </c>
      <c r="K14" s="65">
        <f>工程基本資料!$B$7-$J14+$L14+$M14</f>
        <v>-11</v>
      </c>
      <c r="L14" s="66"/>
      <c r="M14" s="66"/>
      <c r="N14" s="66"/>
      <c r="O14" s="70"/>
      <c r="P14" s="58">
        <f>工程基本資料!$B$8+工程基本資料!$B$7+$L14+$M14-1</f>
        <v>-1</v>
      </c>
      <c r="Q14" s="9">
        <v>0</v>
      </c>
    </row>
    <row r="15" spans="1:18" ht="58.5" customHeight="1" x14ac:dyDescent="0.3">
      <c r="A15" s="60"/>
      <c r="B15" s="61">
        <f t="shared" si="1"/>
        <v>12</v>
      </c>
      <c r="C15" s="62"/>
      <c r="D15" s="62"/>
      <c r="E15" s="63"/>
      <c r="F15" s="63"/>
      <c r="G15" s="63"/>
      <c r="H15" s="64"/>
      <c r="I15" s="63"/>
      <c r="J15" s="65">
        <f t="shared" si="2"/>
        <v>12</v>
      </c>
      <c r="K15" s="65">
        <f>工程基本資料!$B$7-$J15+$L15+$M15</f>
        <v>-12</v>
      </c>
      <c r="L15" s="66"/>
      <c r="M15" s="66"/>
      <c r="N15" s="66"/>
      <c r="O15" s="70"/>
      <c r="P15" s="58">
        <f>工程基本資料!$B$8+工程基本資料!$B$7+$L15+$M15-1</f>
        <v>-1</v>
      </c>
      <c r="Q15" s="9">
        <v>0</v>
      </c>
    </row>
    <row r="16" spans="1:18" ht="57" customHeight="1" x14ac:dyDescent="0.3">
      <c r="A16" s="60"/>
      <c r="B16" s="61">
        <f t="shared" si="1"/>
        <v>13</v>
      </c>
      <c r="C16" s="62"/>
      <c r="D16" s="62"/>
      <c r="E16" s="63"/>
      <c r="F16" s="63"/>
      <c r="G16" s="63"/>
      <c r="H16" s="64">
        <f t="shared" si="0"/>
        <v>0</v>
      </c>
      <c r="I16" s="63"/>
      <c r="J16" s="65">
        <f t="shared" si="2"/>
        <v>13</v>
      </c>
      <c r="K16" s="65">
        <f>工程基本資料!$B$7-$J16+$L16+$M16</f>
        <v>-13</v>
      </c>
      <c r="L16" s="66"/>
      <c r="M16" s="66"/>
      <c r="N16" s="66"/>
      <c r="O16" s="70"/>
      <c r="P16" s="58">
        <f>工程基本資料!$B$8+工程基本資料!$B$7+$L16+$M16-1</f>
        <v>-1</v>
      </c>
      <c r="Q16" s="9">
        <v>0</v>
      </c>
    </row>
    <row r="17" spans="1:17" ht="73.5" customHeight="1" x14ac:dyDescent="0.3">
      <c r="A17" s="60"/>
      <c r="B17" s="61">
        <f t="shared" si="1"/>
        <v>14</v>
      </c>
      <c r="C17" s="62"/>
      <c r="D17" s="62"/>
      <c r="E17" s="63"/>
      <c r="F17" s="63"/>
      <c r="G17" s="63"/>
      <c r="H17" s="64">
        <f t="shared" si="0"/>
        <v>0</v>
      </c>
      <c r="I17" s="63"/>
      <c r="J17" s="65">
        <f t="shared" si="2"/>
        <v>14</v>
      </c>
      <c r="K17" s="65">
        <f>工程基本資料!$B$7-$J17+$L17+$M17</f>
        <v>-14</v>
      </c>
      <c r="L17" s="66"/>
      <c r="M17" s="66"/>
      <c r="N17" s="66"/>
      <c r="O17" s="70"/>
      <c r="P17" s="58">
        <f>工程基本資料!$B$8+工程基本資料!$B$7+$L17+$M17-1</f>
        <v>-1</v>
      </c>
      <c r="Q17" s="9">
        <v>0</v>
      </c>
    </row>
    <row r="18" spans="1:17" ht="63" customHeight="1" x14ac:dyDescent="0.3">
      <c r="A18" s="60"/>
      <c r="B18" s="61">
        <f t="shared" si="1"/>
        <v>15</v>
      </c>
      <c r="C18" s="62"/>
      <c r="D18" s="62"/>
      <c r="E18" s="63"/>
      <c r="F18" s="63"/>
      <c r="G18" s="63"/>
      <c r="H18" s="64">
        <f t="shared" si="0"/>
        <v>0</v>
      </c>
      <c r="I18" s="63"/>
      <c r="J18" s="65">
        <f t="shared" si="2"/>
        <v>15</v>
      </c>
      <c r="K18" s="65">
        <f>工程基本資料!$B$7-$J18+$L18+$M18</f>
        <v>-15</v>
      </c>
      <c r="L18" s="66"/>
      <c r="M18" s="66"/>
      <c r="N18" s="66"/>
      <c r="O18" s="70"/>
      <c r="P18" s="58">
        <f>工程基本資料!$B$8+工程基本資料!$B$7+$L18+$M18-1</f>
        <v>-1</v>
      </c>
      <c r="Q18" s="9">
        <v>0</v>
      </c>
    </row>
    <row r="19" spans="1:17" ht="63" customHeight="1" x14ac:dyDescent="0.3">
      <c r="A19" s="60"/>
      <c r="B19" s="61">
        <f t="shared" si="1"/>
        <v>16</v>
      </c>
      <c r="C19" s="62"/>
      <c r="D19" s="62"/>
      <c r="E19" s="63"/>
      <c r="F19" s="63"/>
      <c r="G19" s="63"/>
      <c r="H19" s="64">
        <f t="shared" si="0"/>
        <v>0</v>
      </c>
      <c r="I19" s="63"/>
      <c r="J19" s="65">
        <f t="shared" si="2"/>
        <v>16</v>
      </c>
      <c r="K19" s="65">
        <f>工程基本資料!$B$7-$J19+$L19+$M19</f>
        <v>-16</v>
      </c>
      <c r="L19" s="66"/>
      <c r="M19" s="66"/>
      <c r="N19" s="66"/>
      <c r="O19" s="70"/>
      <c r="P19" s="58">
        <f>工程基本資料!$B$8+工程基本資料!$B$7+$L19+$M19-1</f>
        <v>-1</v>
      </c>
      <c r="Q19" s="9">
        <v>0</v>
      </c>
    </row>
    <row r="20" spans="1:17" ht="63" customHeight="1" x14ac:dyDescent="0.3">
      <c r="A20" s="60"/>
      <c r="B20" s="61">
        <f t="shared" si="1"/>
        <v>17</v>
      </c>
      <c r="C20" s="62"/>
      <c r="D20" s="62"/>
      <c r="E20" s="63"/>
      <c r="F20" s="63"/>
      <c r="G20" s="63"/>
      <c r="H20" s="64">
        <f t="shared" si="0"/>
        <v>0</v>
      </c>
      <c r="I20" s="63"/>
      <c r="J20" s="65">
        <f t="shared" si="2"/>
        <v>17</v>
      </c>
      <c r="K20" s="65">
        <f>工程基本資料!$B$7-$J20+$L20+$M20</f>
        <v>-17</v>
      </c>
      <c r="L20" s="66"/>
      <c r="M20" s="66"/>
      <c r="N20" s="66"/>
      <c r="O20" s="70"/>
      <c r="P20" s="58">
        <f>工程基本資料!$B$8+工程基本資料!$B$7+$L20+$M20-1</f>
        <v>-1</v>
      </c>
      <c r="Q20" s="9">
        <v>0</v>
      </c>
    </row>
    <row r="21" spans="1:17" ht="63" customHeight="1" x14ac:dyDescent="0.3">
      <c r="A21" s="60"/>
      <c r="B21" s="61">
        <f t="shared" si="1"/>
        <v>18</v>
      </c>
      <c r="C21" s="62"/>
      <c r="D21" s="62"/>
      <c r="E21" s="63"/>
      <c r="F21" s="63"/>
      <c r="G21" s="63"/>
      <c r="H21" s="64">
        <f t="shared" si="0"/>
        <v>0</v>
      </c>
      <c r="I21" s="63"/>
      <c r="J21" s="65">
        <f t="shared" si="2"/>
        <v>18</v>
      </c>
      <c r="K21" s="65">
        <f>工程基本資料!$B$7-$J21+$L21+$M21</f>
        <v>-18</v>
      </c>
      <c r="L21" s="66"/>
      <c r="M21" s="66"/>
      <c r="N21" s="66"/>
      <c r="O21" s="70"/>
      <c r="P21" s="58">
        <f>工程基本資料!$B$8+工程基本資料!$B$7+$L21+$M21-1</f>
        <v>-1</v>
      </c>
      <c r="Q21" s="9">
        <v>0</v>
      </c>
    </row>
    <row r="22" spans="1:17" ht="63" customHeight="1" x14ac:dyDescent="0.3">
      <c r="A22" s="60"/>
      <c r="B22" s="61">
        <f t="shared" si="1"/>
        <v>19</v>
      </c>
      <c r="C22" s="62"/>
      <c r="D22" s="62"/>
      <c r="E22" s="63"/>
      <c r="F22" s="63"/>
      <c r="G22" s="63"/>
      <c r="H22" s="64">
        <f t="shared" si="0"/>
        <v>0</v>
      </c>
      <c r="I22" s="63"/>
      <c r="J22" s="65">
        <f t="shared" si="2"/>
        <v>19</v>
      </c>
      <c r="K22" s="65">
        <f>工程基本資料!$B$7-$J22+$L22+$M22</f>
        <v>-19</v>
      </c>
      <c r="L22" s="66"/>
      <c r="M22" s="66"/>
      <c r="N22" s="66"/>
      <c r="O22" s="70"/>
      <c r="P22" s="58">
        <f>工程基本資料!$B$8+工程基本資料!$B$7+$L22+$M22-1</f>
        <v>-1</v>
      </c>
      <c r="Q22" s="9">
        <v>0</v>
      </c>
    </row>
    <row r="23" spans="1:17" ht="63" customHeight="1" x14ac:dyDescent="0.3">
      <c r="A23" s="60"/>
      <c r="B23" s="61">
        <f t="shared" si="1"/>
        <v>20</v>
      </c>
      <c r="C23" s="62"/>
      <c r="D23" s="62"/>
      <c r="E23" s="63"/>
      <c r="F23" s="63"/>
      <c r="G23" s="63"/>
      <c r="H23" s="64">
        <f t="shared" si="0"/>
        <v>0</v>
      </c>
      <c r="I23" s="63"/>
      <c r="J23" s="65">
        <f t="shared" si="2"/>
        <v>20</v>
      </c>
      <c r="K23" s="65">
        <f>工程基本資料!$B$7-$J23+$L23+$M23</f>
        <v>-20</v>
      </c>
      <c r="L23" s="66"/>
      <c r="M23" s="66"/>
      <c r="N23" s="66"/>
      <c r="O23" s="70"/>
      <c r="P23" s="58">
        <f>工程基本資料!$B$8+工程基本資料!$B$7+$L23+$M23-1</f>
        <v>-1</v>
      </c>
      <c r="Q23" s="9">
        <v>0</v>
      </c>
    </row>
    <row r="24" spans="1:17" ht="63" customHeight="1" x14ac:dyDescent="0.3">
      <c r="A24" s="60"/>
      <c r="B24" s="61">
        <f t="shared" si="1"/>
        <v>21</v>
      </c>
      <c r="C24" s="62"/>
      <c r="D24" s="62"/>
      <c r="E24" s="63"/>
      <c r="F24" s="63"/>
      <c r="G24" s="63"/>
      <c r="H24" s="64"/>
      <c r="I24" s="63"/>
      <c r="J24" s="65">
        <f t="shared" si="2"/>
        <v>21</v>
      </c>
      <c r="K24" s="65">
        <f>工程基本資料!$B$7-$J24+$L24+$M24</f>
        <v>-21</v>
      </c>
      <c r="L24" s="66"/>
      <c r="M24" s="66"/>
      <c r="N24" s="66"/>
      <c r="O24" s="70"/>
      <c r="P24" s="58">
        <f>工程基本資料!$B$8+工程基本資料!$B$7+$L24+$M24-1</f>
        <v>-1</v>
      </c>
      <c r="Q24" s="9">
        <v>0</v>
      </c>
    </row>
    <row r="25" spans="1:17" ht="63" customHeight="1" x14ac:dyDescent="0.3">
      <c r="A25" s="60"/>
      <c r="B25" s="61">
        <f t="shared" si="1"/>
        <v>22</v>
      </c>
      <c r="C25" s="62"/>
      <c r="D25" s="62"/>
      <c r="E25" s="63"/>
      <c r="F25" s="63"/>
      <c r="G25" s="63"/>
      <c r="H25" s="64">
        <f t="shared" si="0"/>
        <v>0</v>
      </c>
      <c r="I25" s="63"/>
      <c r="J25" s="65">
        <f t="shared" si="2"/>
        <v>22</v>
      </c>
      <c r="K25" s="65">
        <f>工程基本資料!$B$7-$J25+$L25+$M25</f>
        <v>-22</v>
      </c>
      <c r="L25" s="66"/>
      <c r="M25" s="66"/>
      <c r="N25" s="66"/>
      <c r="O25" s="70"/>
      <c r="P25" s="58">
        <f>工程基本資料!$B$8+工程基本資料!$B$7+$L25+$M25-1</f>
        <v>-1</v>
      </c>
      <c r="Q25" s="9">
        <v>0</v>
      </c>
    </row>
    <row r="26" spans="1:17" ht="63" customHeight="1" x14ac:dyDescent="0.3">
      <c r="A26" s="60"/>
      <c r="B26" s="61">
        <f t="shared" si="1"/>
        <v>23</v>
      </c>
      <c r="C26" s="62"/>
      <c r="D26" s="62"/>
      <c r="E26" s="63"/>
      <c r="F26" s="63"/>
      <c r="G26" s="63"/>
      <c r="H26" s="64">
        <f t="shared" si="0"/>
        <v>0</v>
      </c>
      <c r="I26" s="63"/>
      <c r="J26" s="65">
        <f t="shared" si="2"/>
        <v>23</v>
      </c>
      <c r="K26" s="65">
        <f>工程基本資料!$B$7-$J26+$L26+$M26</f>
        <v>-23</v>
      </c>
      <c r="L26" s="66"/>
      <c r="M26" s="66"/>
      <c r="N26" s="66"/>
      <c r="O26" s="70"/>
      <c r="P26" s="58">
        <f>工程基本資料!$B$8+工程基本資料!$B$7+$L26+$M26-1</f>
        <v>-1</v>
      </c>
      <c r="Q26" s="9">
        <v>0</v>
      </c>
    </row>
    <row r="27" spans="1:17" ht="63" customHeight="1" x14ac:dyDescent="0.3">
      <c r="A27" s="60"/>
      <c r="B27" s="61">
        <f t="shared" si="1"/>
        <v>24</v>
      </c>
      <c r="C27" s="62"/>
      <c r="D27" s="62"/>
      <c r="E27" s="63"/>
      <c r="F27" s="63"/>
      <c r="G27" s="63"/>
      <c r="H27" s="64">
        <f t="shared" si="0"/>
        <v>0</v>
      </c>
      <c r="I27" s="63"/>
      <c r="J27" s="65">
        <f t="shared" si="2"/>
        <v>24</v>
      </c>
      <c r="K27" s="65">
        <f>工程基本資料!$B$7-$J27+$L27+$M27</f>
        <v>-24</v>
      </c>
      <c r="L27" s="66"/>
      <c r="M27" s="66"/>
      <c r="N27" s="66"/>
      <c r="O27" s="70"/>
      <c r="P27" s="58">
        <f>工程基本資料!$B$8+工程基本資料!$B$7+$L27+$M27-1</f>
        <v>-1</v>
      </c>
      <c r="Q27" s="9">
        <v>0</v>
      </c>
    </row>
    <row r="28" spans="1:17" ht="63" customHeight="1" x14ac:dyDescent="0.3">
      <c r="A28" s="60"/>
      <c r="B28" s="61">
        <f t="shared" si="1"/>
        <v>25</v>
      </c>
      <c r="C28" s="62"/>
      <c r="D28" s="62"/>
      <c r="E28" s="63"/>
      <c r="F28" s="63"/>
      <c r="G28" s="63"/>
      <c r="H28" s="64">
        <f t="shared" si="0"/>
        <v>0</v>
      </c>
      <c r="I28" s="63"/>
      <c r="J28" s="65">
        <f t="shared" si="2"/>
        <v>25</v>
      </c>
      <c r="K28" s="65">
        <f>工程基本資料!$B$7-$J28+$L28+$M28</f>
        <v>-25</v>
      </c>
      <c r="L28" s="66"/>
      <c r="M28" s="66"/>
      <c r="N28" s="66"/>
      <c r="O28" s="70"/>
      <c r="P28" s="58">
        <f>工程基本資料!$B$8+工程基本資料!$B$7+$L28+$M28-1</f>
        <v>-1</v>
      </c>
      <c r="Q28" s="9">
        <v>0</v>
      </c>
    </row>
    <row r="29" spans="1:17" ht="63" customHeight="1" x14ac:dyDescent="0.3">
      <c r="A29" s="60"/>
      <c r="B29" s="61">
        <f t="shared" si="1"/>
        <v>26</v>
      </c>
      <c r="C29" s="62"/>
      <c r="D29" s="62"/>
      <c r="E29" s="63"/>
      <c r="F29" s="63"/>
      <c r="G29" s="63"/>
      <c r="H29" s="64">
        <f t="shared" si="0"/>
        <v>0</v>
      </c>
      <c r="I29" s="63"/>
      <c r="J29" s="65">
        <f t="shared" si="2"/>
        <v>26</v>
      </c>
      <c r="K29" s="65">
        <f>工程基本資料!$B$7-$J29+$L29+$M29</f>
        <v>-26</v>
      </c>
      <c r="L29" s="66"/>
      <c r="M29" s="66"/>
      <c r="N29" s="66"/>
      <c r="O29" s="70"/>
      <c r="P29" s="58">
        <f>工程基本資料!$B$8+工程基本資料!$B$7+$L29+$M29-1</f>
        <v>-1</v>
      </c>
      <c r="Q29" s="9">
        <v>0</v>
      </c>
    </row>
    <row r="30" spans="1:17" ht="63" customHeight="1" x14ac:dyDescent="0.3">
      <c r="A30" s="60"/>
      <c r="B30" s="61">
        <f t="shared" si="1"/>
        <v>27</v>
      </c>
      <c r="C30" s="62"/>
      <c r="D30" s="62"/>
      <c r="E30" s="63"/>
      <c r="F30" s="63"/>
      <c r="G30" s="63"/>
      <c r="H30" s="64">
        <f t="shared" si="0"/>
        <v>0</v>
      </c>
      <c r="I30" s="63"/>
      <c r="J30" s="65">
        <f t="shared" si="2"/>
        <v>27</v>
      </c>
      <c r="K30" s="65">
        <f>工程基本資料!$B$7-$J30+$L30+$M30</f>
        <v>-27</v>
      </c>
      <c r="L30" s="66"/>
      <c r="M30" s="66"/>
      <c r="N30" s="66"/>
      <c r="O30" s="70"/>
      <c r="P30" s="58">
        <f>工程基本資料!$B$8+工程基本資料!$B$7+$L30+$M30-1</f>
        <v>-1</v>
      </c>
      <c r="Q30" s="9">
        <v>0</v>
      </c>
    </row>
    <row r="31" spans="1:17" ht="63" customHeight="1" x14ac:dyDescent="0.3">
      <c r="A31" s="60"/>
      <c r="B31" s="61">
        <f t="shared" si="1"/>
        <v>28</v>
      </c>
      <c r="C31" s="62"/>
      <c r="D31" s="62"/>
      <c r="E31" s="63"/>
      <c r="F31" s="63"/>
      <c r="G31" s="63"/>
      <c r="H31" s="64">
        <f t="shared" si="0"/>
        <v>0</v>
      </c>
      <c r="I31" s="63"/>
      <c r="J31" s="65">
        <f t="shared" si="2"/>
        <v>28</v>
      </c>
      <c r="K31" s="65">
        <f>工程基本資料!$B$7-$J31+$L31+$M31</f>
        <v>-28</v>
      </c>
      <c r="L31" s="66"/>
      <c r="M31" s="66"/>
      <c r="N31" s="66"/>
      <c r="O31" s="70"/>
      <c r="P31" s="58">
        <f>工程基本資料!$B$8+工程基本資料!$B$7+$L31+$M31-1</f>
        <v>-1</v>
      </c>
      <c r="Q31" s="9">
        <v>0</v>
      </c>
    </row>
    <row r="32" spans="1:17" ht="63" customHeight="1" x14ac:dyDescent="0.3">
      <c r="A32" s="60"/>
      <c r="B32" s="61">
        <f t="shared" si="1"/>
        <v>29</v>
      </c>
      <c r="C32" s="62"/>
      <c r="D32" s="62"/>
      <c r="E32" s="63"/>
      <c r="F32" s="63"/>
      <c r="G32" s="63"/>
      <c r="H32" s="64">
        <f t="shared" si="0"/>
        <v>0</v>
      </c>
      <c r="I32" s="63"/>
      <c r="J32" s="65">
        <f t="shared" si="2"/>
        <v>29</v>
      </c>
      <c r="K32" s="65">
        <f>工程基本資料!$B$7-$J32+$L32+$M32</f>
        <v>-29</v>
      </c>
      <c r="L32" s="66"/>
      <c r="M32" s="66"/>
      <c r="N32" s="66"/>
      <c r="O32" s="70"/>
      <c r="P32" s="58">
        <f>工程基本資料!$B$8+工程基本資料!$B$7+$L32+$M32-1</f>
        <v>-1</v>
      </c>
      <c r="Q32" s="9">
        <v>0</v>
      </c>
    </row>
    <row r="33" spans="1:17" ht="63" customHeight="1" x14ac:dyDescent="0.3">
      <c r="A33" s="60"/>
      <c r="B33" s="61">
        <f t="shared" si="1"/>
        <v>30</v>
      </c>
      <c r="C33" s="62"/>
      <c r="D33" s="62"/>
      <c r="E33" s="63"/>
      <c r="F33" s="63"/>
      <c r="G33" s="63"/>
      <c r="H33" s="64"/>
      <c r="I33" s="63"/>
      <c r="J33" s="65">
        <f t="shared" si="2"/>
        <v>30</v>
      </c>
      <c r="K33" s="65">
        <f>工程基本資料!$B$7-$J33+$L33+$M33</f>
        <v>-30</v>
      </c>
      <c r="L33" s="66"/>
      <c r="M33" s="66"/>
      <c r="N33" s="66"/>
      <c r="O33" s="70"/>
      <c r="P33" s="58">
        <f>工程基本資料!$B$8+工程基本資料!$B$7+$L33+$M33-1</f>
        <v>-1</v>
      </c>
      <c r="Q33" s="9">
        <v>0</v>
      </c>
    </row>
    <row r="34" spans="1:17" ht="63" customHeight="1" x14ac:dyDescent="0.3">
      <c r="A34" s="60"/>
      <c r="B34" s="61">
        <f t="shared" si="1"/>
        <v>31</v>
      </c>
      <c r="C34" s="62"/>
      <c r="D34" s="62"/>
      <c r="E34" s="63"/>
      <c r="F34" s="63"/>
      <c r="G34" s="63"/>
      <c r="H34" s="64">
        <f t="shared" si="0"/>
        <v>0</v>
      </c>
      <c r="I34" s="63"/>
      <c r="J34" s="65">
        <f t="shared" si="2"/>
        <v>31</v>
      </c>
      <c r="K34" s="65">
        <f>工程基本資料!$B$7-$J34+$L34+$M34</f>
        <v>-31</v>
      </c>
      <c r="L34" s="66"/>
      <c r="M34" s="66"/>
      <c r="N34" s="66"/>
      <c r="O34" s="70"/>
      <c r="P34" s="58">
        <f>工程基本資料!$B$8+工程基本資料!$B$7+$L34+$M34-1</f>
        <v>-1</v>
      </c>
      <c r="Q34" s="9">
        <v>0</v>
      </c>
    </row>
    <row r="35" spans="1:17" ht="63" customHeight="1" x14ac:dyDescent="0.3">
      <c r="A35" s="60"/>
      <c r="B35" s="61">
        <f t="shared" si="1"/>
        <v>32</v>
      </c>
      <c r="C35" s="62"/>
      <c r="D35" s="62"/>
      <c r="E35" s="63"/>
      <c r="F35" s="63"/>
      <c r="G35" s="63"/>
      <c r="H35" s="64">
        <f t="shared" si="0"/>
        <v>0</v>
      </c>
      <c r="I35" s="63"/>
      <c r="J35" s="65">
        <f t="shared" si="2"/>
        <v>32</v>
      </c>
      <c r="K35" s="65">
        <f>工程基本資料!$B$7-$J35+$L35+$M35</f>
        <v>-32</v>
      </c>
      <c r="L35" s="66"/>
      <c r="M35" s="66"/>
      <c r="N35" s="66"/>
      <c r="O35" s="70"/>
      <c r="P35" s="58">
        <f>工程基本資料!$B$8+工程基本資料!$B$7+$L35+$M35-1</f>
        <v>-1</v>
      </c>
      <c r="Q35" s="9">
        <v>0</v>
      </c>
    </row>
    <row r="36" spans="1:17" ht="63" customHeight="1" x14ac:dyDescent="0.3">
      <c r="A36" s="60"/>
      <c r="B36" s="61">
        <f t="shared" si="1"/>
        <v>33</v>
      </c>
      <c r="C36" s="62"/>
      <c r="D36" s="62"/>
      <c r="E36" s="63"/>
      <c r="F36" s="63"/>
      <c r="G36" s="63"/>
      <c r="H36" s="64">
        <f t="shared" si="0"/>
        <v>0</v>
      </c>
      <c r="I36" s="63"/>
      <c r="J36" s="65">
        <f t="shared" si="2"/>
        <v>33</v>
      </c>
      <c r="K36" s="65">
        <f>工程基本資料!$B$7-$J36+$L36+$M36</f>
        <v>-33</v>
      </c>
      <c r="L36" s="66"/>
      <c r="M36" s="66"/>
      <c r="N36" s="66"/>
      <c r="O36" s="70"/>
      <c r="P36" s="58">
        <f>工程基本資料!$B$8+工程基本資料!$B$7+$L36+$M36-1</f>
        <v>-1</v>
      </c>
      <c r="Q36" s="9">
        <v>0</v>
      </c>
    </row>
    <row r="37" spans="1:17" ht="63" customHeight="1" x14ac:dyDescent="0.3">
      <c r="A37" s="60"/>
      <c r="B37" s="61">
        <f t="shared" si="1"/>
        <v>34</v>
      </c>
      <c r="C37" s="62"/>
      <c r="D37" s="62"/>
      <c r="E37" s="63"/>
      <c r="F37" s="63"/>
      <c r="G37" s="63"/>
      <c r="H37" s="64">
        <f t="shared" si="0"/>
        <v>0</v>
      </c>
      <c r="I37" s="63"/>
      <c r="J37" s="65">
        <f t="shared" si="2"/>
        <v>34</v>
      </c>
      <c r="K37" s="65">
        <f>工程基本資料!$B$7-$J37+$L37+$M37</f>
        <v>-34</v>
      </c>
      <c r="L37" s="66"/>
      <c r="M37" s="66"/>
      <c r="N37" s="66"/>
      <c r="O37" s="70"/>
      <c r="P37" s="58">
        <f>工程基本資料!$B$8+工程基本資料!$B$7+$L37+$M37-1</f>
        <v>-1</v>
      </c>
      <c r="Q37" s="9">
        <v>0</v>
      </c>
    </row>
    <row r="38" spans="1:17" ht="63" customHeight="1" x14ac:dyDescent="0.3">
      <c r="A38" s="60"/>
      <c r="B38" s="61">
        <f t="shared" si="1"/>
        <v>35</v>
      </c>
      <c r="C38" s="62"/>
      <c r="D38" s="62"/>
      <c r="E38" s="63"/>
      <c r="F38" s="63"/>
      <c r="G38" s="63"/>
      <c r="H38" s="64">
        <f t="shared" si="0"/>
        <v>0</v>
      </c>
      <c r="I38" s="63"/>
      <c r="J38" s="65">
        <f t="shared" si="2"/>
        <v>35</v>
      </c>
      <c r="K38" s="65">
        <f>工程基本資料!$B$7-$J38+$L38+$M38</f>
        <v>-35</v>
      </c>
      <c r="L38" s="66"/>
      <c r="M38" s="66"/>
      <c r="N38" s="66"/>
      <c r="O38" s="70"/>
      <c r="P38" s="58">
        <f>工程基本資料!$B$8+工程基本資料!$B$7+$L38+$M38-1</f>
        <v>-1</v>
      </c>
      <c r="Q38" s="9">
        <v>0</v>
      </c>
    </row>
    <row r="39" spans="1:17" ht="63" customHeight="1" x14ac:dyDescent="0.3">
      <c r="A39" s="60"/>
      <c r="B39" s="61">
        <f t="shared" si="1"/>
        <v>36</v>
      </c>
      <c r="C39" s="62"/>
      <c r="D39" s="62"/>
      <c r="E39" s="63"/>
      <c r="F39" s="63"/>
      <c r="G39" s="63"/>
      <c r="H39" s="64">
        <f t="shared" si="0"/>
        <v>0</v>
      </c>
      <c r="I39" s="63"/>
      <c r="J39" s="65">
        <f t="shared" si="2"/>
        <v>36</v>
      </c>
      <c r="K39" s="65">
        <f>工程基本資料!$B$7-$J39+$L39+$M39</f>
        <v>-36</v>
      </c>
      <c r="L39" s="66"/>
      <c r="M39" s="66"/>
      <c r="N39" s="66"/>
      <c r="O39" s="70"/>
      <c r="P39" s="58">
        <f>工程基本資料!$B$8+工程基本資料!$B$7+$L39+$M39-1</f>
        <v>-1</v>
      </c>
      <c r="Q39" s="9">
        <v>0</v>
      </c>
    </row>
    <row r="40" spans="1:17" ht="63" customHeight="1" x14ac:dyDescent="0.3">
      <c r="A40" s="60"/>
      <c r="B40" s="61">
        <f t="shared" si="1"/>
        <v>37</v>
      </c>
      <c r="C40" s="62"/>
      <c r="D40" s="62"/>
      <c r="E40" s="63"/>
      <c r="F40" s="63"/>
      <c r="G40" s="63"/>
      <c r="H40" s="64">
        <f t="shared" si="0"/>
        <v>0</v>
      </c>
      <c r="I40" s="63"/>
      <c r="J40" s="65">
        <f t="shared" si="2"/>
        <v>37</v>
      </c>
      <c r="K40" s="65">
        <f>工程基本資料!$B$7-$J40+$L40+$M40</f>
        <v>-37</v>
      </c>
      <c r="L40" s="66"/>
      <c r="M40" s="66"/>
      <c r="N40" s="66"/>
      <c r="O40" s="70"/>
      <c r="P40" s="58">
        <f>工程基本資料!$B$8+工程基本資料!$B$7+$L40+$M40-1</f>
        <v>-1</v>
      </c>
      <c r="Q40" s="9">
        <v>0</v>
      </c>
    </row>
    <row r="41" spans="1:17" ht="63" customHeight="1" x14ac:dyDescent="0.3">
      <c r="A41" s="60"/>
      <c r="B41" s="61">
        <f t="shared" si="1"/>
        <v>38</v>
      </c>
      <c r="C41" s="62"/>
      <c r="D41" s="62"/>
      <c r="E41" s="63"/>
      <c r="F41" s="63"/>
      <c r="G41" s="63"/>
      <c r="H41" s="64">
        <f t="shared" si="0"/>
        <v>0</v>
      </c>
      <c r="I41" s="63"/>
      <c r="J41" s="65">
        <f t="shared" si="2"/>
        <v>38</v>
      </c>
      <c r="K41" s="65">
        <f>工程基本資料!$B$7-$J41+$L41+$M41</f>
        <v>-38</v>
      </c>
      <c r="L41" s="66"/>
      <c r="M41" s="66"/>
      <c r="N41" s="66"/>
      <c r="O41" s="70"/>
      <c r="P41" s="58">
        <f>工程基本資料!$B$8+工程基本資料!$B$7+$L41+$M41-1</f>
        <v>-1</v>
      </c>
      <c r="Q41" s="9">
        <v>0</v>
      </c>
    </row>
    <row r="42" spans="1:17" ht="63" customHeight="1" x14ac:dyDescent="0.3">
      <c r="A42" s="60"/>
      <c r="B42" s="61">
        <f t="shared" si="1"/>
        <v>39</v>
      </c>
      <c r="C42" s="62"/>
      <c r="D42" s="62"/>
      <c r="E42" s="63"/>
      <c r="F42" s="63"/>
      <c r="G42" s="63"/>
      <c r="H42" s="64">
        <f t="shared" si="0"/>
        <v>0</v>
      </c>
      <c r="I42" s="63"/>
      <c r="J42" s="65">
        <f t="shared" si="2"/>
        <v>39</v>
      </c>
      <c r="K42" s="65">
        <f>工程基本資料!$B$7-$J42+$L42+$M42</f>
        <v>-39</v>
      </c>
      <c r="L42" s="66"/>
      <c r="M42" s="66"/>
      <c r="N42" s="66"/>
      <c r="O42" s="70"/>
      <c r="P42" s="58">
        <f>工程基本資料!$B$8+工程基本資料!$B$7+$L42+$M42-1</f>
        <v>-1</v>
      </c>
      <c r="Q42" s="9">
        <v>0</v>
      </c>
    </row>
    <row r="43" spans="1:17" ht="63" customHeight="1" x14ac:dyDescent="0.3">
      <c r="A43" s="60"/>
      <c r="B43" s="61">
        <f t="shared" si="1"/>
        <v>40</v>
      </c>
      <c r="C43" s="62"/>
      <c r="D43" s="62"/>
      <c r="E43" s="63"/>
      <c r="F43" s="63"/>
      <c r="G43" s="63"/>
      <c r="H43" s="64">
        <f t="shared" si="0"/>
        <v>0</v>
      </c>
      <c r="I43" s="63"/>
      <c r="J43" s="65">
        <f t="shared" si="2"/>
        <v>40</v>
      </c>
      <c r="K43" s="65">
        <f>工程基本資料!$B$7-$J43+$L43+$M43</f>
        <v>-40</v>
      </c>
      <c r="L43" s="66"/>
      <c r="M43" s="66"/>
      <c r="N43" s="66"/>
      <c r="O43" s="70"/>
      <c r="P43" s="58">
        <f>工程基本資料!$B$8+工程基本資料!$B$7+$L43+$M43-1</f>
        <v>-1</v>
      </c>
      <c r="Q43" s="9">
        <v>0</v>
      </c>
    </row>
    <row r="44" spans="1:17" ht="63" customHeight="1" x14ac:dyDescent="0.3">
      <c r="A44" s="60"/>
      <c r="B44" s="61">
        <f t="shared" si="1"/>
        <v>41</v>
      </c>
      <c r="C44" s="62"/>
      <c r="D44" s="62"/>
      <c r="E44" s="63"/>
      <c r="F44" s="63"/>
      <c r="G44" s="63"/>
      <c r="H44" s="64">
        <f t="shared" si="0"/>
        <v>0</v>
      </c>
      <c r="I44" s="63"/>
      <c r="J44" s="65">
        <f t="shared" si="2"/>
        <v>41</v>
      </c>
      <c r="K44" s="65">
        <f>工程基本資料!$B$7-$J44+$L44+$M44</f>
        <v>-41</v>
      </c>
      <c r="L44" s="66"/>
      <c r="M44" s="66"/>
      <c r="N44" s="66"/>
      <c r="O44" s="70"/>
      <c r="P44" s="58">
        <f>工程基本資料!$B$8+工程基本資料!$B$7+$L44+$M44-1</f>
        <v>-1</v>
      </c>
      <c r="Q44" s="9">
        <v>0</v>
      </c>
    </row>
    <row r="45" spans="1:17" ht="63" customHeight="1" x14ac:dyDescent="0.3">
      <c r="A45" s="60"/>
      <c r="B45" s="61">
        <f t="shared" si="1"/>
        <v>42</v>
      </c>
      <c r="C45" s="62"/>
      <c r="D45" s="62"/>
      <c r="E45" s="63"/>
      <c r="F45" s="63"/>
      <c r="G45" s="63"/>
      <c r="H45" s="64">
        <f t="shared" si="0"/>
        <v>0</v>
      </c>
      <c r="I45" s="63"/>
      <c r="J45" s="65">
        <f t="shared" si="2"/>
        <v>42</v>
      </c>
      <c r="K45" s="65">
        <f>工程基本資料!$B$7-$J45+$L45+$M45</f>
        <v>-42</v>
      </c>
      <c r="L45" s="66"/>
      <c r="M45" s="66"/>
      <c r="N45" s="66"/>
      <c r="O45" s="70"/>
      <c r="P45" s="58">
        <f>工程基本資料!$B$8+工程基本資料!$B$7+$L45+$M45-1</f>
        <v>-1</v>
      </c>
      <c r="Q45" s="9">
        <v>0</v>
      </c>
    </row>
    <row r="46" spans="1:17" ht="63" customHeight="1" x14ac:dyDescent="0.3">
      <c r="A46" s="60"/>
      <c r="B46" s="61">
        <f t="shared" si="1"/>
        <v>43</v>
      </c>
      <c r="C46" s="62"/>
      <c r="D46" s="62"/>
      <c r="E46" s="63"/>
      <c r="F46" s="63"/>
      <c r="G46" s="63"/>
      <c r="H46" s="64">
        <f t="shared" si="0"/>
        <v>0</v>
      </c>
      <c r="I46" s="63"/>
      <c r="J46" s="65">
        <f t="shared" si="2"/>
        <v>43</v>
      </c>
      <c r="K46" s="65">
        <f>工程基本資料!$B$7-$J46+$L46+$M46</f>
        <v>-43</v>
      </c>
      <c r="L46" s="66"/>
      <c r="M46" s="66"/>
      <c r="N46" s="66"/>
      <c r="O46" s="70"/>
      <c r="P46" s="58">
        <f>工程基本資料!$B$8+工程基本資料!$B$7+$L46+$M46-1</f>
        <v>-1</v>
      </c>
      <c r="Q46" s="9">
        <v>0</v>
      </c>
    </row>
    <row r="47" spans="1:17" ht="63" customHeight="1" x14ac:dyDescent="0.3">
      <c r="A47" s="60"/>
      <c r="B47" s="61">
        <f t="shared" si="1"/>
        <v>44</v>
      </c>
      <c r="C47" s="62"/>
      <c r="D47" s="62"/>
      <c r="E47" s="63"/>
      <c r="F47" s="63"/>
      <c r="G47" s="63"/>
      <c r="H47" s="64">
        <f t="shared" si="0"/>
        <v>0</v>
      </c>
      <c r="I47" s="63"/>
      <c r="J47" s="65">
        <f t="shared" si="2"/>
        <v>44</v>
      </c>
      <c r="K47" s="65">
        <f>工程基本資料!$B$7-$J47+$L47+$M47</f>
        <v>-44</v>
      </c>
      <c r="L47" s="66"/>
      <c r="M47" s="66"/>
      <c r="N47" s="66"/>
      <c r="O47" s="70"/>
      <c r="P47" s="58">
        <f>工程基本資料!$B$8+工程基本資料!$B$7+$L47+$M47-1</f>
        <v>-1</v>
      </c>
      <c r="Q47" s="9">
        <v>0</v>
      </c>
    </row>
    <row r="48" spans="1:17" ht="63" customHeight="1" x14ac:dyDescent="0.3">
      <c r="A48" s="60"/>
      <c r="B48" s="61">
        <f t="shared" si="1"/>
        <v>45</v>
      </c>
      <c r="C48" s="62"/>
      <c r="D48" s="62"/>
      <c r="E48" s="63"/>
      <c r="F48" s="63"/>
      <c r="G48" s="63"/>
      <c r="H48" s="64">
        <f t="shared" si="0"/>
        <v>0</v>
      </c>
      <c r="I48" s="63"/>
      <c r="J48" s="65">
        <f t="shared" si="2"/>
        <v>45</v>
      </c>
      <c r="K48" s="65">
        <f>工程基本資料!$B$7-$J48+$L48+$M48</f>
        <v>-45</v>
      </c>
      <c r="L48" s="66"/>
      <c r="M48" s="66"/>
      <c r="N48" s="66"/>
      <c r="O48" s="70"/>
      <c r="P48" s="58">
        <f>工程基本資料!$B$8+工程基本資料!$B$7+$L48+$M48-1</f>
        <v>-1</v>
      </c>
      <c r="Q48" s="9">
        <v>0</v>
      </c>
    </row>
    <row r="49" spans="1:17" ht="63" customHeight="1" x14ac:dyDescent="0.3">
      <c r="A49" s="60"/>
      <c r="B49" s="61">
        <f t="shared" si="1"/>
        <v>46</v>
      </c>
      <c r="C49" s="62"/>
      <c r="D49" s="62"/>
      <c r="E49" s="63"/>
      <c r="F49" s="63"/>
      <c r="G49" s="63"/>
      <c r="H49" s="64">
        <f t="shared" si="0"/>
        <v>0</v>
      </c>
      <c r="I49" s="63"/>
      <c r="J49" s="65">
        <f t="shared" si="2"/>
        <v>46</v>
      </c>
      <c r="K49" s="65">
        <f>工程基本資料!$B$7-$J49+$L49+$M49</f>
        <v>-46</v>
      </c>
      <c r="L49" s="66"/>
      <c r="M49" s="66"/>
      <c r="N49" s="66"/>
      <c r="O49" s="70"/>
      <c r="P49" s="58">
        <f>工程基本資料!$B$8+工程基本資料!$B$7+$L49+$M49-1</f>
        <v>-1</v>
      </c>
      <c r="Q49" s="9">
        <v>0</v>
      </c>
    </row>
    <row r="50" spans="1:17" ht="63" customHeight="1" x14ac:dyDescent="0.3">
      <c r="A50" s="60"/>
      <c r="B50" s="61">
        <f t="shared" si="1"/>
        <v>47</v>
      </c>
      <c r="C50" s="62"/>
      <c r="D50" s="62"/>
      <c r="E50" s="63"/>
      <c r="F50" s="63"/>
      <c r="G50" s="63"/>
      <c r="H50" s="64">
        <f t="shared" si="0"/>
        <v>0</v>
      </c>
      <c r="I50" s="63"/>
      <c r="J50" s="65">
        <f t="shared" si="2"/>
        <v>47</v>
      </c>
      <c r="K50" s="65">
        <f>工程基本資料!$B$7-$J50+$L50+$M50</f>
        <v>-47</v>
      </c>
      <c r="L50" s="66"/>
      <c r="M50" s="66"/>
      <c r="N50" s="66"/>
      <c r="O50" s="70"/>
      <c r="P50" s="58">
        <f>工程基本資料!$B$8+工程基本資料!$B$7+$L50+$M50-1</f>
        <v>-1</v>
      </c>
      <c r="Q50" s="9">
        <v>0</v>
      </c>
    </row>
    <row r="51" spans="1:17" ht="63" customHeight="1" x14ac:dyDescent="0.3">
      <c r="A51" s="60"/>
      <c r="B51" s="61">
        <f t="shared" si="1"/>
        <v>48</v>
      </c>
      <c r="C51" s="62"/>
      <c r="D51" s="62"/>
      <c r="E51" s="63"/>
      <c r="F51" s="63"/>
      <c r="G51" s="63"/>
      <c r="H51" s="64">
        <f t="shared" si="0"/>
        <v>0</v>
      </c>
      <c r="I51" s="63"/>
      <c r="J51" s="65">
        <f t="shared" si="2"/>
        <v>48</v>
      </c>
      <c r="K51" s="65">
        <f>工程基本資料!$B$7-$J51+$L51+$M51</f>
        <v>-48</v>
      </c>
      <c r="L51" s="66"/>
      <c r="M51" s="66"/>
      <c r="N51" s="66"/>
      <c r="O51" s="70"/>
      <c r="P51" s="58">
        <f>工程基本資料!$B$8+工程基本資料!$B$7+$L51+$M51-1</f>
        <v>-1</v>
      </c>
      <c r="Q51" s="9">
        <v>0</v>
      </c>
    </row>
    <row r="52" spans="1:17" ht="63" customHeight="1" x14ac:dyDescent="0.3">
      <c r="A52" s="60"/>
      <c r="B52" s="61">
        <f t="shared" si="1"/>
        <v>49</v>
      </c>
      <c r="C52" s="62"/>
      <c r="D52" s="62"/>
      <c r="E52" s="63"/>
      <c r="F52" s="63"/>
      <c r="G52" s="63"/>
      <c r="H52" s="64"/>
      <c r="I52" s="63"/>
      <c r="J52" s="65">
        <f t="shared" si="2"/>
        <v>49</v>
      </c>
      <c r="K52" s="65">
        <f>工程基本資料!$B$7-$J52+$L52+$M52</f>
        <v>-49</v>
      </c>
      <c r="L52" s="66"/>
      <c r="M52" s="66"/>
      <c r="N52" s="66"/>
      <c r="O52" s="70"/>
      <c r="P52" s="58">
        <f>工程基本資料!$B$8+工程基本資料!$B$7+$L52+$M52-1</f>
        <v>-1</v>
      </c>
      <c r="Q52" s="9">
        <v>0</v>
      </c>
    </row>
    <row r="53" spans="1:17" ht="63" customHeight="1" x14ac:dyDescent="0.3">
      <c r="A53" s="60"/>
      <c r="B53" s="61">
        <f t="shared" si="1"/>
        <v>50</v>
      </c>
      <c r="C53" s="62"/>
      <c r="D53" s="62"/>
      <c r="E53" s="63"/>
      <c r="F53" s="63"/>
      <c r="G53" s="63"/>
      <c r="H53" s="64">
        <f>IF(Q53&gt;1,$R$3,$R$4)</f>
        <v>0</v>
      </c>
      <c r="I53" s="63"/>
      <c r="J53" s="65">
        <f t="shared" si="2"/>
        <v>50</v>
      </c>
      <c r="K53" s="65">
        <f>工程基本資料!$B$7-$J53+$L53+$M53</f>
        <v>-50</v>
      </c>
      <c r="L53" s="66"/>
      <c r="M53" s="66"/>
      <c r="N53" s="66"/>
      <c r="O53" s="70"/>
      <c r="P53" s="58">
        <f>工程基本資料!$B$8+工程基本資料!$B$7+$L53+$M53-1</f>
        <v>-1</v>
      </c>
      <c r="Q53" s="9">
        <v>0</v>
      </c>
    </row>
    <row r="54" spans="1:17" ht="63" customHeight="1" x14ac:dyDescent="0.3">
      <c r="A54" s="60"/>
      <c r="B54" s="61">
        <f t="shared" si="1"/>
        <v>51</v>
      </c>
      <c r="C54" s="62"/>
      <c r="D54" s="62"/>
      <c r="E54" s="63"/>
      <c r="F54" s="63"/>
      <c r="G54" s="63"/>
      <c r="H54" s="64">
        <f t="shared" si="0"/>
        <v>0</v>
      </c>
      <c r="I54" s="63"/>
      <c r="J54" s="65">
        <f t="shared" si="2"/>
        <v>51</v>
      </c>
      <c r="K54" s="65">
        <f>工程基本資料!$B$7-$J54+$L54+$M54</f>
        <v>-51</v>
      </c>
      <c r="L54" s="66"/>
      <c r="M54" s="66"/>
      <c r="N54" s="66"/>
      <c r="O54" s="70"/>
      <c r="P54" s="58">
        <f>工程基本資料!$B$8+工程基本資料!$B$7+$L54+$M54-1</f>
        <v>-1</v>
      </c>
      <c r="Q54" s="9">
        <v>0</v>
      </c>
    </row>
    <row r="55" spans="1:17" ht="63" customHeight="1" x14ac:dyDescent="0.3">
      <c r="A55" s="60"/>
      <c r="B55" s="61">
        <f t="shared" si="1"/>
        <v>52</v>
      </c>
      <c r="C55" s="62"/>
      <c r="D55" s="62"/>
      <c r="E55" s="63"/>
      <c r="F55" s="63"/>
      <c r="G55" s="63"/>
      <c r="H55" s="64">
        <f t="shared" si="0"/>
        <v>0</v>
      </c>
      <c r="I55" s="63"/>
      <c r="J55" s="65">
        <f t="shared" si="2"/>
        <v>52</v>
      </c>
      <c r="K55" s="65">
        <f>工程基本資料!$B$7-$J55+$L55+$M55</f>
        <v>-52</v>
      </c>
      <c r="L55" s="66"/>
      <c r="M55" s="66"/>
      <c r="N55" s="66"/>
      <c r="O55" s="70"/>
      <c r="P55" s="58">
        <f>工程基本資料!$B$8+工程基本資料!$B$7+$L55+$M55-1</f>
        <v>-1</v>
      </c>
      <c r="Q55" s="9">
        <v>0</v>
      </c>
    </row>
    <row r="56" spans="1:17" ht="63" customHeight="1" x14ac:dyDescent="0.3">
      <c r="A56" s="60"/>
      <c r="B56" s="61">
        <f t="shared" si="1"/>
        <v>53</v>
      </c>
      <c r="C56" s="62"/>
      <c r="D56" s="62"/>
      <c r="E56" s="63"/>
      <c r="F56" s="63"/>
      <c r="G56" s="63"/>
      <c r="H56" s="64">
        <f t="shared" si="0"/>
        <v>0</v>
      </c>
      <c r="I56" s="63"/>
      <c r="J56" s="65">
        <f t="shared" si="2"/>
        <v>53</v>
      </c>
      <c r="K56" s="65">
        <f>工程基本資料!$B$7-$J56+$L56+$M56</f>
        <v>-53</v>
      </c>
      <c r="L56" s="66"/>
      <c r="M56" s="66"/>
      <c r="N56" s="66"/>
      <c r="O56" s="70"/>
      <c r="P56" s="58">
        <f>工程基本資料!$B$8+工程基本資料!$B$7+$L56+$M56-1</f>
        <v>-1</v>
      </c>
      <c r="Q56" s="9">
        <v>0</v>
      </c>
    </row>
    <row r="57" spans="1:17" ht="63" customHeight="1" x14ac:dyDescent="0.3">
      <c r="A57" s="60"/>
      <c r="B57" s="61">
        <f t="shared" si="1"/>
        <v>54</v>
      </c>
      <c r="C57" s="62"/>
      <c r="D57" s="62"/>
      <c r="E57" s="63"/>
      <c r="F57" s="63"/>
      <c r="G57" s="63"/>
      <c r="H57" s="64">
        <f t="shared" si="0"/>
        <v>0</v>
      </c>
      <c r="I57" s="63"/>
      <c r="J57" s="65">
        <f t="shared" si="2"/>
        <v>54</v>
      </c>
      <c r="K57" s="65">
        <f>工程基本資料!$B$7-$J57+$L57+$M57</f>
        <v>-54</v>
      </c>
      <c r="L57" s="66"/>
      <c r="M57" s="66"/>
      <c r="N57" s="66"/>
      <c r="O57" s="70"/>
      <c r="P57" s="58">
        <f>工程基本資料!$B$8+工程基本資料!$B$7+$L57+$M57-1</f>
        <v>-1</v>
      </c>
      <c r="Q57" s="9">
        <v>0</v>
      </c>
    </row>
    <row r="58" spans="1:17" ht="63" customHeight="1" x14ac:dyDescent="0.3">
      <c r="A58" s="60"/>
      <c r="B58" s="61">
        <f t="shared" si="1"/>
        <v>55</v>
      </c>
      <c r="C58" s="62"/>
      <c r="D58" s="62"/>
      <c r="E58" s="63"/>
      <c r="F58" s="63"/>
      <c r="G58" s="63"/>
      <c r="H58" s="64">
        <f t="shared" si="0"/>
        <v>0</v>
      </c>
      <c r="I58" s="63"/>
      <c r="J58" s="65">
        <f t="shared" si="2"/>
        <v>55</v>
      </c>
      <c r="K58" s="65">
        <f>工程基本資料!$B$7-$J58+$L58+$M58</f>
        <v>-55</v>
      </c>
      <c r="L58" s="66"/>
      <c r="M58" s="66"/>
      <c r="N58" s="66"/>
      <c r="O58" s="70"/>
      <c r="P58" s="58">
        <f>工程基本資料!$B$8+工程基本資料!$B$7+$L58+$M58-1</f>
        <v>-1</v>
      </c>
      <c r="Q58" s="9">
        <v>0</v>
      </c>
    </row>
    <row r="59" spans="1:17" ht="63" customHeight="1" x14ac:dyDescent="0.3">
      <c r="A59" s="60"/>
      <c r="B59" s="61">
        <f t="shared" si="1"/>
        <v>56</v>
      </c>
      <c r="C59" s="62"/>
      <c r="D59" s="62"/>
      <c r="E59" s="63"/>
      <c r="F59" s="63"/>
      <c r="G59" s="63"/>
      <c r="H59" s="64">
        <f t="shared" si="0"/>
        <v>0</v>
      </c>
      <c r="I59" s="63"/>
      <c r="J59" s="65">
        <f t="shared" si="2"/>
        <v>56</v>
      </c>
      <c r="K59" s="65">
        <f>工程基本資料!$B$7-$J59+$L59+$M59</f>
        <v>-56</v>
      </c>
      <c r="L59" s="66"/>
      <c r="M59" s="66"/>
      <c r="N59" s="66"/>
      <c r="O59" s="70"/>
      <c r="P59" s="58">
        <f>工程基本資料!$B$8+工程基本資料!$B$7+$L59+$M59-1</f>
        <v>-1</v>
      </c>
      <c r="Q59" s="9">
        <v>0</v>
      </c>
    </row>
    <row r="60" spans="1:17" ht="63" customHeight="1" x14ac:dyDescent="0.3">
      <c r="A60" s="60"/>
      <c r="B60" s="61">
        <f t="shared" si="1"/>
        <v>57</v>
      </c>
      <c r="C60" s="62"/>
      <c r="D60" s="62"/>
      <c r="E60" s="63"/>
      <c r="F60" s="63"/>
      <c r="G60" s="63"/>
      <c r="H60" s="64">
        <f t="shared" si="0"/>
        <v>0</v>
      </c>
      <c r="I60" s="63"/>
      <c r="J60" s="65">
        <f t="shared" si="2"/>
        <v>57</v>
      </c>
      <c r="K60" s="65">
        <f>工程基本資料!$B$7-$J60+$L60+$M60</f>
        <v>-57</v>
      </c>
      <c r="L60" s="66"/>
      <c r="M60" s="66"/>
      <c r="N60" s="66"/>
      <c r="O60" s="70"/>
      <c r="P60" s="58">
        <f>工程基本資料!$B$8+工程基本資料!$B$7+$L60+$M60-1</f>
        <v>-1</v>
      </c>
      <c r="Q60" s="9">
        <v>0</v>
      </c>
    </row>
    <row r="61" spans="1:17" ht="63" customHeight="1" x14ac:dyDescent="0.3">
      <c r="A61" s="60"/>
      <c r="B61" s="61">
        <f t="shared" si="1"/>
        <v>58</v>
      </c>
      <c r="C61" s="62"/>
      <c r="D61" s="62"/>
      <c r="E61" s="63"/>
      <c r="F61" s="63"/>
      <c r="G61" s="63"/>
      <c r="H61" s="64">
        <f t="shared" si="0"/>
        <v>0</v>
      </c>
      <c r="I61" s="63"/>
      <c r="J61" s="65">
        <f t="shared" si="2"/>
        <v>58</v>
      </c>
      <c r="K61" s="65">
        <f>工程基本資料!$B$7-$J61+$L61+$M61</f>
        <v>-58</v>
      </c>
      <c r="L61" s="66"/>
      <c r="M61" s="66"/>
      <c r="N61" s="66"/>
      <c r="O61" s="70"/>
      <c r="P61" s="58">
        <f>工程基本資料!$B$8+工程基本資料!$B$7+$L61+$M61-1</f>
        <v>-1</v>
      </c>
      <c r="Q61" s="9">
        <v>0</v>
      </c>
    </row>
    <row r="62" spans="1:17" ht="63" customHeight="1" x14ac:dyDescent="0.3">
      <c r="A62" s="60"/>
      <c r="B62" s="61">
        <f t="shared" si="1"/>
        <v>59</v>
      </c>
      <c r="C62" s="62"/>
      <c r="D62" s="62"/>
      <c r="E62" s="63"/>
      <c r="F62" s="63"/>
      <c r="G62" s="63"/>
      <c r="H62" s="64">
        <f t="shared" si="0"/>
        <v>0</v>
      </c>
      <c r="I62" s="63"/>
      <c r="J62" s="65">
        <f t="shared" si="2"/>
        <v>59</v>
      </c>
      <c r="K62" s="65">
        <f>工程基本資料!$B$7-$J62+$L62+$M62</f>
        <v>-59</v>
      </c>
      <c r="L62" s="66"/>
      <c r="M62" s="66"/>
      <c r="N62" s="66"/>
      <c r="O62" s="70"/>
      <c r="P62" s="58">
        <f>工程基本資料!$B$8+工程基本資料!$B$7+$L62+$M62-1</f>
        <v>-1</v>
      </c>
      <c r="Q62" s="9">
        <v>0</v>
      </c>
    </row>
    <row r="63" spans="1:17" ht="63" customHeight="1" x14ac:dyDescent="0.3">
      <c r="A63" s="60"/>
      <c r="B63" s="61">
        <f t="shared" si="1"/>
        <v>60</v>
      </c>
      <c r="C63" s="62"/>
      <c r="D63" s="62"/>
      <c r="E63" s="63"/>
      <c r="F63" s="63"/>
      <c r="G63" s="63"/>
      <c r="H63" s="64">
        <f t="shared" si="0"/>
        <v>0</v>
      </c>
      <c r="I63" s="63"/>
      <c r="J63" s="65">
        <f t="shared" si="2"/>
        <v>60</v>
      </c>
      <c r="K63" s="65">
        <f>工程基本資料!$B$7-$J63+$L63+$M63</f>
        <v>-60</v>
      </c>
      <c r="L63" s="66"/>
      <c r="M63" s="66"/>
      <c r="N63" s="66"/>
      <c r="O63" s="70"/>
      <c r="P63" s="58">
        <f>工程基本資料!$B$8+工程基本資料!$B$7+$L63+$M63-1</f>
        <v>-1</v>
      </c>
      <c r="Q63" s="9">
        <v>0</v>
      </c>
    </row>
    <row r="64" spans="1:17" ht="63" customHeight="1" x14ac:dyDescent="0.3">
      <c r="A64" s="60"/>
      <c r="B64" s="61">
        <f t="shared" si="1"/>
        <v>61</v>
      </c>
      <c r="C64" s="62"/>
      <c r="D64" s="62"/>
      <c r="E64" s="63"/>
      <c r="F64" s="63"/>
      <c r="G64" s="63"/>
      <c r="H64" s="64">
        <f t="shared" si="0"/>
        <v>0</v>
      </c>
      <c r="I64" s="63"/>
      <c r="J64" s="65">
        <f t="shared" si="2"/>
        <v>61</v>
      </c>
      <c r="K64" s="65">
        <f>工程基本資料!$B$7-$J64+$L64+$M64</f>
        <v>-61</v>
      </c>
      <c r="L64" s="66"/>
      <c r="M64" s="66"/>
      <c r="N64" s="66"/>
      <c r="O64" s="70"/>
      <c r="P64" s="58">
        <f>工程基本資料!$B$8+工程基本資料!$B$7+$L64+$M64-1</f>
        <v>-1</v>
      </c>
      <c r="Q64" s="9">
        <v>0</v>
      </c>
    </row>
    <row r="65" spans="1:17" ht="63" customHeight="1" x14ac:dyDescent="0.3">
      <c r="A65" s="60"/>
      <c r="B65" s="61">
        <f t="shared" si="1"/>
        <v>62</v>
      </c>
      <c r="C65" s="62"/>
      <c r="D65" s="62"/>
      <c r="E65" s="63"/>
      <c r="F65" s="63"/>
      <c r="G65" s="63"/>
      <c r="H65" s="64"/>
      <c r="I65" s="63"/>
      <c r="J65" s="65">
        <f t="shared" si="2"/>
        <v>62</v>
      </c>
      <c r="K65" s="65">
        <f>工程基本資料!$B$7-$J65+$L65+$M65</f>
        <v>-62</v>
      </c>
      <c r="L65" s="66"/>
      <c r="M65" s="66"/>
      <c r="N65" s="66"/>
      <c r="O65" s="70"/>
      <c r="P65" s="58">
        <f>工程基本資料!$B$8+工程基本資料!$B$7+$L65+$M65-1</f>
        <v>-1</v>
      </c>
      <c r="Q65" s="9">
        <v>0</v>
      </c>
    </row>
    <row r="66" spans="1:17" ht="63" customHeight="1" x14ac:dyDescent="0.3">
      <c r="A66" s="60"/>
      <c r="B66" s="61">
        <f t="shared" si="1"/>
        <v>63</v>
      </c>
      <c r="C66" s="62"/>
      <c r="D66" s="62"/>
      <c r="E66" s="63"/>
      <c r="F66" s="63"/>
      <c r="G66" s="63"/>
      <c r="H66" s="64">
        <f t="shared" si="0"/>
        <v>0</v>
      </c>
      <c r="I66" s="63"/>
      <c r="J66" s="65">
        <f t="shared" si="2"/>
        <v>63</v>
      </c>
      <c r="K66" s="65">
        <f>工程基本資料!$B$7-$J66+$L66+$M66</f>
        <v>-63</v>
      </c>
      <c r="L66" s="66"/>
      <c r="M66" s="66"/>
      <c r="N66" s="66"/>
      <c r="O66" s="70"/>
      <c r="P66" s="58">
        <f>工程基本資料!$B$8+工程基本資料!$B$7+$L66+$M66-1</f>
        <v>-1</v>
      </c>
      <c r="Q66" s="9">
        <v>0</v>
      </c>
    </row>
    <row r="67" spans="1:17" ht="63" customHeight="1" x14ac:dyDescent="0.3">
      <c r="A67" s="60"/>
      <c r="B67" s="61">
        <f t="shared" si="1"/>
        <v>64</v>
      </c>
      <c r="C67" s="62"/>
      <c r="D67" s="62"/>
      <c r="E67" s="63"/>
      <c r="F67" s="63"/>
      <c r="G67" s="63"/>
      <c r="H67" s="64">
        <f t="shared" si="0"/>
        <v>0</v>
      </c>
      <c r="I67" s="63"/>
      <c r="J67" s="65">
        <f t="shared" si="2"/>
        <v>64</v>
      </c>
      <c r="K67" s="65">
        <f>工程基本資料!$B$7-$J67+$L67+$M67</f>
        <v>-64</v>
      </c>
      <c r="L67" s="66"/>
      <c r="M67" s="66"/>
      <c r="N67" s="66"/>
      <c r="O67" s="70"/>
      <c r="P67" s="58">
        <f>工程基本資料!$B$8+工程基本資料!$B$7+$L67+$M67-1</f>
        <v>-1</v>
      </c>
      <c r="Q67" s="9">
        <v>0</v>
      </c>
    </row>
    <row r="68" spans="1:17" ht="63" customHeight="1" x14ac:dyDescent="0.3">
      <c r="A68" s="60"/>
      <c r="B68" s="61">
        <f t="shared" si="1"/>
        <v>65</v>
      </c>
      <c r="C68" s="62"/>
      <c r="D68" s="62"/>
      <c r="E68" s="63"/>
      <c r="F68" s="63"/>
      <c r="G68" s="63"/>
      <c r="H68" s="64">
        <f t="shared" ref="H68:H131" si="3">IF(Q68&gt;1,$R$3,$R$4)</f>
        <v>0</v>
      </c>
      <c r="I68" s="63"/>
      <c r="J68" s="65">
        <f t="shared" si="2"/>
        <v>65</v>
      </c>
      <c r="K68" s="65">
        <f>工程基本資料!$B$7-$J68+$L68+$M68</f>
        <v>-65</v>
      </c>
      <c r="L68" s="66"/>
      <c r="M68" s="66"/>
      <c r="N68" s="66"/>
      <c r="O68" s="70"/>
      <c r="P68" s="58">
        <f>工程基本資料!$B$8+工程基本資料!$B$7+$L68+$M68-1</f>
        <v>-1</v>
      </c>
      <c r="Q68" s="9">
        <v>0</v>
      </c>
    </row>
    <row r="69" spans="1:17" ht="63" customHeight="1" x14ac:dyDescent="0.3">
      <c r="A69" s="60"/>
      <c r="B69" s="61">
        <f t="shared" ref="B69:B132" si="4">B68+1</f>
        <v>66</v>
      </c>
      <c r="C69" s="62"/>
      <c r="D69" s="62"/>
      <c r="E69" s="63"/>
      <c r="F69" s="63"/>
      <c r="G69" s="63"/>
      <c r="H69" s="64">
        <f t="shared" si="3"/>
        <v>0</v>
      </c>
      <c r="I69" s="63"/>
      <c r="J69" s="65">
        <f t="shared" ref="J69:J132" si="5">J68+1</f>
        <v>66</v>
      </c>
      <c r="K69" s="65">
        <f>工程基本資料!$B$7-$J69+$L69+$M69</f>
        <v>-66</v>
      </c>
      <c r="L69" s="66"/>
      <c r="M69" s="66"/>
      <c r="N69" s="66"/>
      <c r="O69" s="70"/>
      <c r="P69" s="58">
        <f>工程基本資料!$B$8+工程基本資料!$B$7+$L69+$M69-1</f>
        <v>-1</v>
      </c>
      <c r="Q69" s="9">
        <v>0</v>
      </c>
    </row>
    <row r="70" spans="1:17" ht="63" customHeight="1" x14ac:dyDescent="0.3">
      <c r="A70" s="60"/>
      <c r="B70" s="61">
        <f t="shared" si="4"/>
        <v>67</v>
      </c>
      <c r="C70" s="62"/>
      <c r="D70" s="62"/>
      <c r="E70" s="63"/>
      <c r="F70" s="63"/>
      <c r="G70" s="63"/>
      <c r="H70" s="64">
        <f t="shared" si="3"/>
        <v>0</v>
      </c>
      <c r="I70" s="63"/>
      <c r="J70" s="65">
        <f t="shared" si="5"/>
        <v>67</v>
      </c>
      <c r="K70" s="65">
        <f>工程基本資料!$B$7-$J70+$L70+$M70</f>
        <v>-67</v>
      </c>
      <c r="L70" s="66"/>
      <c r="M70" s="66"/>
      <c r="N70" s="66"/>
      <c r="O70" s="70"/>
      <c r="P70" s="58">
        <f>工程基本資料!$B$8+工程基本資料!$B$7+$L70+$M70-1</f>
        <v>-1</v>
      </c>
      <c r="Q70" s="9">
        <v>0</v>
      </c>
    </row>
    <row r="71" spans="1:17" ht="63" customHeight="1" x14ac:dyDescent="0.3">
      <c r="A71" s="60"/>
      <c r="B71" s="61">
        <f t="shared" si="4"/>
        <v>68</v>
      </c>
      <c r="C71" s="62"/>
      <c r="D71" s="62"/>
      <c r="E71" s="63"/>
      <c r="F71" s="63"/>
      <c r="G71" s="63"/>
      <c r="H71" s="64">
        <f t="shared" si="3"/>
        <v>0</v>
      </c>
      <c r="I71" s="63"/>
      <c r="J71" s="65">
        <f t="shared" si="5"/>
        <v>68</v>
      </c>
      <c r="K71" s="65">
        <f>工程基本資料!$B$7-$J71+$L71+$M71</f>
        <v>-68</v>
      </c>
      <c r="L71" s="66"/>
      <c r="M71" s="66"/>
      <c r="N71" s="66"/>
      <c r="O71" s="70"/>
      <c r="P71" s="58">
        <f>工程基本資料!$B$8+工程基本資料!$B$7+$L71+$M71-1</f>
        <v>-1</v>
      </c>
      <c r="Q71" s="9">
        <v>0</v>
      </c>
    </row>
    <row r="72" spans="1:17" ht="63" customHeight="1" x14ac:dyDescent="0.3">
      <c r="A72" s="60"/>
      <c r="B72" s="61">
        <f t="shared" si="4"/>
        <v>69</v>
      </c>
      <c r="C72" s="62"/>
      <c r="D72" s="62"/>
      <c r="E72" s="63"/>
      <c r="F72" s="63"/>
      <c r="G72" s="63"/>
      <c r="H72" s="64">
        <f t="shared" si="3"/>
        <v>0</v>
      </c>
      <c r="I72" s="63"/>
      <c r="J72" s="65">
        <f t="shared" si="5"/>
        <v>69</v>
      </c>
      <c r="K72" s="65">
        <f>工程基本資料!$B$7-$J72+$L72+$M72</f>
        <v>-69</v>
      </c>
      <c r="L72" s="66"/>
      <c r="M72" s="66"/>
      <c r="N72" s="66"/>
      <c r="O72" s="70"/>
      <c r="P72" s="58">
        <f>工程基本資料!$B$8+工程基本資料!$B$7+$L72+$M72-1</f>
        <v>-1</v>
      </c>
      <c r="Q72" s="9">
        <v>0</v>
      </c>
    </row>
    <row r="73" spans="1:17" ht="63" customHeight="1" x14ac:dyDescent="0.3">
      <c r="A73" s="60"/>
      <c r="B73" s="61">
        <f t="shared" si="4"/>
        <v>70</v>
      </c>
      <c r="C73" s="62"/>
      <c r="D73" s="62"/>
      <c r="E73" s="63"/>
      <c r="F73" s="63"/>
      <c r="G73" s="63"/>
      <c r="H73" s="64">
        <f t="shared" si="3"/>
        <v>0</v>
      </c>
      <c r="I73" s="63"/>
      <c r="J73" s="65">
        <f t="shared" si="5"/>
        <v>70</v>
      </c>
      <c r="K73" s="65">
        <f>工程基本資料!$B$7-$J73+$L73+$M73</f>
        <v>-70</v>
      </c>
      <c r="L73" s="66"/>
      <c r="M73" s="66"/>
      <c r="N73" s="66"/>
      <c r="O73" s="70"/>
      <c r="P73" s="58">
        <f>工程基本資料!$B$8+工程基本資料!$B$7+$L73+$M73-1</f>
        <v>-1</v>
      </c>
      <c r="Q73" s="9">
        <v>0</v>
      </c>
    </row>
    <row r="74" spans="1:17" ht="63" customHeight="1" x14ac:dyDescent="0.3">
      <c r="A74" s="60"/>
      <c r="B74" s="61">
        <f t="shared" si="4"/>
        <v>71</v>
      </c>
      <c r="C74" s="62"/>
      <c r="D74" s="62"/>
      <c r="E74" s="63"/>
      <c r="F74" s="63"/>
      <c r="G74" s="63"/>
      <c r="H74" s="64">
        <f t="shared" si="3"/>
        <v>0</v>
      </c>
      <c r="I74" s="63"/>
      <c r="J74" s="65">
        <f t="shared" si="5"/>
        <v>71</v>
      </c>
      <c r="K74" s="65">
        <f>工程基本資料!$B$7-$J74+$L74+$M74</f>
        <v>-71</v>
      </c>
      <c r="L74" s="66"/>
      <c r="M74" s="66"/>
      <c r="N74" s="66"/>
      <c r="O74" s="70"/>
      <c r="P74" s="58">
        <f>工程基本資料!$B$8+工程基本資料!$B$7+$L74+$M74-1</f>
        <v>-1</v>
      </c>
      <c r="Q74" s="9">
        <v>0</v>
      </c>
    </row>
    <row r="75" spans="1:17" ht="63" customHeight="1" x14ac:dyDescent="0.3">
      <c r="A75" s="60"/>
      <c r="B75" s="61">
        <f t="shared" si="4"/>
        <v>72</v>
      </c>
      <c r="C75" s="62"/>
      <c r="D75" s="62"/>
      <c r="E75" s="63"/>
      <c r="F75" s="63"/>
      <c r="G75" s="63"/>
      <c r="H75" s="64">
        <f t="shared" si="3"/>
        <v>0</v>
      </c>
      <c r="I75" s="63"/>
      <c r="J75" s="65">
        <f t="shared" si="5"/>
        <v>72</v>
      </c>
      <c r="K75" s="65">
        <f>工程基本資料!$B$7-$J75+$L75+$M75</f>
        <v>-72</v>
      </c>
      <c r="L75" s="66"/>
      <c r="M75" s="66"/>
      <c r="N75" s="66"/>
      <c r="O75" s="70"/>
      <c r="P75" s="58">
        <f>工程基本資料!$B$8+工程基本資料!$B$7+$L75+$M75-1</f>
        <v>-1</v>
      </c>
      <c r="Q75" s="9">
        <v>0</v>
      </c>
    </row>
    <row r="76" spans="1:17" ht="63" customHeight="1" x14ac:dyDescent="0.3">
      <c r="A76" s="60"/>
      <c r="B76" s="61">
        <f t="shared" si="4"/>
        <v>73</v>
      </c>
      <c r="C76" s="62"/>
      <c r="D76" s="62"/>
      <c r="E76" s="63"/>
      <c r="F76" s="63"/>
      <c r="G76" s="63"/>
      <c r="H76" s="64">
        <f t="shared" si="3"/>
        <v>0</v>
      </c>
      <c r="I76" s="63"/>
      <c r="J76" s="65">
        <f t="shared" si="5"/>
        <v>73</v>
      </c>
      <c r="K76" s="65">
        <f>工程基本資料!$B$7-$J76+$L76+$M76</f>
        <v>-73</v>
      </c>
      <c r="L76" s="66"/>
      <c r="M76" s="66"/>
      <c r="N76" s="66"/>
      <c r="O76" s="70"/>
      <c r="P76" s="58">
        <f>工程基本資料!$B$8+工程基本資料!$B$7+$L76+$M76-1</f>
        <v>-1</v>
      </c>
      <c r="Q76" s="9">
        <v>0</v>
      </c>
    </row>
    <row r="77" spans="1:17" ht="63" customHeight="1" x14ac:dyDescent="0.3">
      <c r="A77" s="60"/>
      <c r="B77" s="61">
        <f t="shared" si="4"/>
        <v>74</v>
      </c>
      <c r="C77" s="62"/>
      <c r="D77" s="62"/>
      <c r="E77" s="63"/>
      <c r="F77" s="63"/>
      <c r="G77" s="63"/>
      <c r="H77" s="64">
        <f t="shared" si="3"/>
        <v>0</v>
      </c>
      <c r="I77" s="63"/>
      <c r="J77" s="65">
        <f t="shared" si="5"/>
        <v>74</v>
      </c>
      <c r="K77" s="65">
        <f>工程基本資料!$B$7-$J77+$L77+$M77</f>
        <v>-74</v>
      </c>
      <c r="L77" s="66"/>
      <c r="M77" s="66"/>
      <c r="N77" s="66"/>
      <c r="O77" s="70"/>
      <c r="P77" s="58">
        <f>工程基本資料!$B$8+工程基本資料!$B$7+$L77+$M77-1</f>
        <v>-1</v>
      </c>
      <c r="Q77" s="9">
        <v>0</v>
      </c>
    </row>
    <row r="78" spans="1:17" ht="63" customHeight="1" x14ac:dyDescent="0.3">
      <c r="A78" s="60"/>
      <c r="B78" s="61">
        <f t="shared" si="4"/>
        <v>75</v>
      </c>
      <c r="C78" s="62"/>
      <c r="D78" s="62"/>
      <c r="E78" s="63"/>
      <c r="F78" s="63"/>
      <c r="G78" s="63"/>
      <c r="H78" s="64">
        <f t="shared" si="3"/>
        <v>0</v>
      </c>
      <c r="I78" s="63"/>
      <c r="J78" s="65">
        <f t="shared" si="5"/>
        <v>75</v>
      </c>
      <c r="K78" s="65">
        <f>工程基本資料!$B$7-$J78+$L78+$M78</f>
        <v>-75</v>
      </c>
      <c r="L78" s="66"/>
      <c r="M78" s="66"/>
      <c r="N78" s="66"/>
      <c r="O78" s="70"/>
      <c r="P78" s="58">
        <f>工程基本資料!$B$8+工程基本資料!$B$7+$L78+$M78-1</f>
        <v>-1</v>
      </c>
      <c r="Q78" s="9">
        <v>0</v>
      </c>
    </row>
    <row r="79" spans="1:17" ht="63" customHeight="1" x14ac:dyDescent="0.3">
      <c r="A79" s="60"/>
      <c r="B79" s="61">
        <f t="shared" si="4"/>
        <v>76</v>
      </c>
      <c r="C79" s="62"/>
      <c r="D79" s="62"/>
      <c r="E79" s="63"/>
      <c r="F79" s="63"/>
      <c r="G79" s="63"/>
      <c r="H79" s="64">
        <f t="shared" si="3"/>
        <v>0</v>
      </c>
      <c r="I79" s="63"/>
      <c r="J79" s="65">
        <f t="shared" si="5"/>
        <v>76</v>
      </c>
      <c r="K79" s="65">
        <f>工程基本資料!$B$7-$J79+$L79+$M79</f>
        <v>-76</v>
      </c>
      <c r="L79" s="66"/>
      <c r="M79" s="66"/>
      <c r="N79" s="66"/>
      <c r="O79" s="70"/>
      <c r="P79" s="58">
        <f>工程基本資料!$B$8+工程基本資料!$B$7+$L79+$M79-1</f>
        <v>-1</v>
      </c>
      <c r="Q79" s="9">
        <v>0</v>
      </c>
    </row>
    <row r="80" spans="1:17" ht="63" customHeight="1" x14ac:dyDescent="0.3">
      <c r="A80" s="60"/>
      <c r="B80" s="61">
        <f t="shared" si="4"/>
        <v>77</v>
      </c>
      <c r="C80" s="62"/>
      <c r="D80" s="62"/>
      <c r="E80" s="63"/>
      <c r="F80" s="63"/>
      <c r="G80" s="63"/>
      <c r="H80" s="64">
        <f t="shared" si="3"/>
        <v>0</v>
      </c>
      <c r="I80" s="63"/>
      <c r="J80" s="65">
        <f t="shared" si="5"/>
        <v>77</v>
      </c>
      <c r="K80" s="65">
        <f>工程基本資料!$B$7-$J80+$L80+$M80</f>
        <v>-77</v>
      </c>
      <c r="L80" s="66"/>
      <c r="M80" s="66"/>
      <c r="N80" s="66"/>
      <c r="O80" s="70"/>
      <c r="P80" s="58">
        <f>工程基本資料!$B$8+工程基本資料!$B$7+$L80+$M80-1</f>
        <v>-1</v>
      </c>
      <c r="Q80" s="9">
        <v>0</v>
      </c>
    </row>
    <row r="81" spans="1:17" ht="63" customHeight="1" x14ac:dyDescent="0.3">
      <c r="A81" s="60"/>
      <c r="B81" s="61">
        <f t="shared" si="4"/>
        <v>78</v>
      </c>
      <c r="C81" s="62"/>
      <c r="D81" s="62"/>
      <c r="E81" s="63"/>
      <c r="F81" s="63"/>
      <c r="G81" s="63"/>
      <c r="H81" s="64">
        <f t="shared" si="3"/>
        <v>0</v>
      </c>
      <c r="I81" s="63"/>
      <c r="J81" s="65">
        <f t="shared" si="5"/>
        <v>78</v>
      </c>
      <c r="K81" s="65">
        <f>工程基本資料!$B$7-$J81+$L81+$M81</f>
        <v>-78</v>
      </c>
      <c r="L81" s="66"/>
      <c r="M81" s="66"/>
      <c r="N81" s="66"/>
      <c r="O81" s="70"/>
      <c r="P81" s="58">
        <f>工程基本資料!$B$8+工程基本資料!$B$7+$L81+$M81-1</f>
        <v>-1</v>
      </c>
      <c r="Q81" s="9">
        <v>0</v>
      </c>
    </row>
    <row r="82" spans="1:17" ht="63" customHeight="1" x14ac:dyDescent="0.3">
      <c r="A82" s="60"/>
      <c r="B82" s="61">
        <f t="shared" si="4"/>
        <v>79</v>
      </c>
      <c r="C82" s="62"/>
      <c r="D82" s="62"/>
      <c r="E82" s="63"/>
      <c r="F82" s="63"/>
      <c r="G82" s="63"/>
      <c r="H82" s="64">
        <f t="shared" si="3"/>
        <v>0</v>
      </c>
      <c r="I82" s="63"/>
      <c r="J82" s="65">
        <f t="shared" si="5"/>
        <v>79</v>
      </c>
      <c r="K82" s="65">
        <f>工程基本資料!$B$7-$J82+$L82+$M82</f>
        <v>-79</v>
      </c>
      <c r="L82" s="66"/>
      <c r="M82" s="66"/>
      <c r="N82" s="66"/>
      <c r="O82" s="70"/>
      <c r="P82" s="58">
        <f>工程基本資料!$B$8+工程基本資料!$B$7+$L82+$M82-1</f>
        <v>-1</v>
      </c>
      <c r="Q82" s="9">
        <v>0</v>
      </c>
    </row>
    <row r="83" spans="1:17" ht="63" customHeight="1" x14ac:dyDescent="0.3">
      <c r="A83" s="60"/>
      <c r="B83" s="61">
        <f t="shared" si="4"/>
        <v>80</v>
      </c>
      <c r="C83" s="62"/>
      <c r="D83" s="62"/>
      <c r="E83" s="63"/>
      <c r="F83" s="63"/>
      <c r="G83" s="63"/>
      <c r="H83" s="64">
        <f t="shared" si="3"/>
        <v>0</v>
      </c>
      <c r="I83" s="63"/>
      <c r="J83" s="65">
        <f t="shared" si="5"/>
        <v>80</v>
      </c>
      <c r="K83" s="65">
        <f>工程基本資料!$B$7-$J83+$L83+$M83</f>
        <v>-80</v>
      </c>
      <c r="L83" s="66"/>
      <c r="M83" s="66"/>
      <c r="N83" s="66"/>
      <c r="O83" s="70"/>
      <c r="P83" s="58">
        <f>工程基本資料!$B$8+工程基本資料!$B$7+$L83+$M83-1</f>
        <v>-1</v>
      </c>
      <c r="Q83" s="9">
        <v>0</v>
      </c>
    </row>
    <row r="84" spans="1:17" ht="63" customHeight="1" x14ac:dyDescent="0.3">
      <c r="A84" s="60"/>
      <c r="B84" s="61">
        <f t="shared" si="4"/>
        <v>81</v>
      </c>
      <c r="C84" s="62"/>
      <c r="D84" s="62"/>
      <c r="E84" s="63"/>
      <c r="F84" s="63"/>
      <c r="G84" s="63"/>
      <c r="H84" s="64">
        <f t="shared" si="3"/>
        <v>0</v>
      </c>
      <c r="I84" s="63"/>
      <c r="J84" s="65">
        <f t="shared" si="5"/>
        <v>81</v>
      </c>
      <c r="K84" s="65">
        <f>工程基本資料!$B$7-$J84+$L84+$M84</f>
        <v>-81</v>
      </c>
      <c r="L84" s="66"/>
      <c r="M84" s="66"/>
      <c r="N84" s="66"/>
      <c r="O84" s="70"/>
      <c r="P84" s="58">
        <f>工程基本資料!$B$8+工程基本資料!$B$7+$L84+$M84-1</f>
        <v>-1</v>
      </c>
      <c r="Q84" s="9">
        <v>0</v>
      </c>
    </row>
    <row r="85" spans="1:17" ht="63" customHeight="1" x14ac:dyDescent="0.3">
      <c r="A85" s="60"/>
      <c r="B85" s="61">
        <f t="shared" si="4"/>
        <v>82</v>
      </c>
      <c r="C85" s="62"/>
      <c r="D85" s="62"/>
      <c r="E85" s="63"/>
      <c r="F85" s="63"/>
      <c r="G85" s="63"/>
      <c r="H85" s="64">
        <f t="shared" si="3"/>
        <v>0</v>
      </c>
      <c r="I85" s="63"/>
      <c r="J85" s="65">
        <f t="shared" si="5"/>
        <v>82</v>
      </c>
      <c r="K85" s="65">
        <f>工程基本資料!$B$7-$J85+$L85+$M85</f>
        <v>-82</v>
      </c>
      <c r="L85" s="66"/>
      <c r="M85" s="66"/>
      <c r="N85" s="66"/>
      <c r="O85" s="70"/>
      <c r="P85" s="58">
        <f>工程基本資料!$B$8+工程基本資料!$B$7+$L85+$M85-1</f>
        <v>-1</v>
      </c>
      <c r="Q85" s="9">
        <v>0</v>
      </c>
    </row>
    <row r="86" spans="1:17" ht="63" customHeight="1" x14ac:dyDescent="0.3">
      <c r="A86" s="60"/>
      <c r="B86" s="61">
        <f t="shared" si="4"/>
        <v>83</v>
      </c>
      <c r="C86" s="62"/>
      <c r="D86" s="62"/>
      <c r="E86" s="63"/>
      <c r="F86" s="63"/>
      <c r="G86" s="63"/>
      <c r="H86" s="64">
        <f t="shared" si="3"/>
        <v>0</v>
      </c>
      <c r="I86" s="63"/>
      <c r="J86" s="65">
        <f t="shared" si="5"/>
        <v>83</v>
      </c>
      <c r="K86" s="65">
        <f>工程基本資料!$B$7-$J86+$L86+$M86</f>
        <v>-83</v>
      </c>
      <c r="L86" s="66"/>
      <c r="M86" s="66"/>
      <c r="N86" s="66"/>
      <c r="O86" s="70"/>
      <c r="P86" s="58">
        <f>工程基本資料!$B$8+工程基本資料!$B$7+$L86+$M86-1</f>
        <v>-1</v>
      </c>
      <c r="Q86" s="9">
        <v>0</v>
      </c>
    </row>
    <row r="87" spans="1:17" ht="63" customHeight="1" x14ac:dyDescent="0.3">
      <c r="A87" s="60"/>
      <c r="B87" s="61">
        <f t="shared" si="4"/>
        <v>84</v>
      </c>
      <c r="C87" s="62"/>
      <c r="D87" s="62"/>
      <c r="E87" s="63"/>
      <c r="F87" s="63"/>
      <c r="G87" s="63"/>
      <c r="H87" s="64">
        <f t="shared" si="3"/>
        <v>0</v>
      </c>
      <c r="I87" s="63"/>
      <c r="J87" s="65">
        <f t="shared" si="5"/>
        <v>84</v>
      </c>
      <c r="K87" s="65">
        <f>工程基本資料!$B$7-$J87+$L87+$M87</f>
        <v>-84</v>
      </c>
      <c r="L87" s="66"/>
      <c r="M87" s="66"/>
      <c r="N87" s="66"/>
      <c r="O87" s="70"/>
      <c r="P87" s="58">
        <f>工程基本資料!$B$8+工程基本資料!$B$7+$L87+$M87-1</f>
        <v>-1</v>
      </c>
      <c r="Q87" s="9">
        <v>0</v>
      </c>
    </row>
    <row r="88" spans="1:17" ht="63" customHeight="1" x14ac:dyDescent="0.3">
      <c r="A88" s="60"/>
      <c r="B88" s="61">
        <f t="shared" si="4"/>
        <v>85</v>
      </c>
      <c r="C88" s="62"/>
      <c r="D88" s="62"/>
      <c r="E88" s="63"/>
      <c r="F88" s="63"/>
      <c r="G88" s="63"/>
      <c r="H88" s="64">
        <f t="shared" si="3"/>
        <v>0</v>
      </c>
      <c r="I88" s="63"/>
      <c r="J88" s="65">
        <f t="shared" si="5"/>
        <v>85</v>
      </c>
      <c r="K88" s="65">
        <f>工程基本資料!$B$7-$J88+$L88+$M88</f>
        <v>-85</v>
      </c>
      <c r="L88" s="66"/>
      <c r="M88" s="66"/>
      <c r="N88" s="66"/>
      <c r="O88" s="70"/>
      <c r="P88" s="58">
        <f>工程基本資料!$B$8+工程基本資料!$B$7+$L88+$M88-1</f>
        <v>-1</v>
      </c>
      <c r="Q88" s="9">
        <v>0</v>
      </c>
    </row>
    <row r="89" spans="1:17" ht="63" customHeight="1" x14ac:dyDescent="0.3">
      <c r="A89" s="60"/>
      <c r="B89" s="61">
        <f t="shared" si="4"/>
        <v>86</v>
      </c>
      <c r="C89" s="62"/>
      <c r="D89" s="62"/>
      <c r="E89" s="63"/>
      <c r="F89" s="63"/>
      <c r="G89" s="63"/>
      <c r="H89" s="64">
        <f t="shared" si="3"/>
        <v>0</v>
      </c>
      <c r="I89" s="63"/>
      <c r="J89" s="65">
        <f t="shared" si="5"/>
        <v>86</v>
      </c>
      <c r="K89" s="65">
        <f>工程基本資料!$B$7-$J89+$L89+$M89</f>
        <v>-86</v>
      </c>
      <c r="L89" s="66"/>
      <c r="M89" s="66"/>
      <c r="N89" s="66"/>
      <c r="O89" s="70"/>
      <c r="P89" s="58">
        <f>工程基本資料!$B$8+工程基本資料!$B$7+$L89+$M89-1</f>
        <v>-1</v>
      </c>
      <c r="Q89" s="9">
        <v>0</v>
      </c>
    </row>
    <row r="90" spans="1:17" ht="63" customHeight="1" x14ac:dyDescent="0.3">
      <c r="A90" s="60"/>
      <c r="B90" s="61">
        <f t="shared" si="4"/>
        <v>87</v>
      </c>
      <c r="C90" s="62"/>
      <c r="D90" s="62"/>
      <c r="E90" s="63"/>
      <c r="F90" s="63"/>
      <c r="G90" s="63"/>
      <c r="H90" s="64">
        <f t="shared" si="3"/>
        <v>0</v>
      </c>
      <c r="I90" s="63"/>
      <c r="J90" s="65">
        <f t="shared" si="5"/>
        <v>87</v>
      </c>
      <c r="K90" s="65">
        <f>工程基本資料!$B$7-$J90+$L90+$M90</f>
        <v>-87</v>
      </c>
      <c r="L90" s="66"/>
      <c r="M90" s="66"/>
      <c r="N90" s="66"/>
      <c r="O90" s="70"/>
      <c r="P90" s="58">
        <f>工程基本資料!$B$8+工程基本資料!$B$7+$L90+$M90-1</f>
        <v>-1</v>
      </c>
      <c r="Q90" s="9">
        <v>0</v>
      </c>
    </row>
    <row r="91" spans="1:17" ht="63" customHeight="1" x14ac:dyDescent="0.3">
      <c r="A91" s="60"/>
      <c r="B91" s="61">
        <f t="shared" si="4"/>
        <v>88</v>
      </c>
      <c r="C91" s="62"/>
      <c r="D91" s="62"/>
      <c r="E91" s="63"/>
      <c r="F91" s="63"/>
      <c r="G91" s="63"/>
      <c r="H91" s="64">
        <f t="shared" si="3"/>
        <v>0</v>
      </c>
      <c r="I91" s="63"/>
      <c r="J91" s="65">
        <f t="shared" si="5"/>
        <v>88</v>
      </c>
      <c r="K91" s="65">
        <f>工程基本資料!$B$7-$J91+$L91+$M91</f>
        <v>-88</v>
      </c>
      <c r="L91" s="66"/>
      <c r="M91" s="66"/>
      <c r="N91" s="66"/>
      <c r="O91" s="70"/>
      <c r="P91" s="58">
        <f>工程基本資料!$B$8+工程基本資料!$B$7+$L91+$M91-1</f>
        <v>-1</v>
      </c>
      <c r="Q91" s="9">
        <v>0</v>
      </c>
    </row>
    <row r="92" spans="1:17" ht="63" customHeight="1" x14ac:dyDescent="0.3">
      <c r="A92" s="60"/>
      <c r="B92" s="61">
        <f t="shared" si="4"/>
        <v>89</v>
      </c>
      <c r="C92" s="62"/>
      <c r="D92" s="62"/>
      <c r="E92" s="63"/>
      <c r="F92" s="63"/>
      <c r="G92" s="63"/>
      <c r="H92" s="64">
        <f t="shared" si="3"/>
        <v>0</v>
      </c>
      <c r="I92" s="63"/>
      <c r="J92" s="65">
        <f t="shared" si="5"/>
        <v>89</v>
      </c>
      <c r="K92" s="65">
        <f>工程基本資料!$B$7-$J92+$L92+$M92</f>
        <v>-89</v>
      </c>
      <c r="L92" s="66"/>
      <c r="M92" s="66"/>
      <c r="N92" s="66"/>
      <c r="O92" s="70"/>
      <c r="P92" s="58">
        <f>工程基本資料!$B$8+工程基本資料!$B$7+$L92+$M92-1</f>
        <v>-1</v>
      </c>
      <c r="Q92" s="9">
        <v>0</v>
      </c>
    </row>
    <row r="93" spans="1:17" ht="63" customHeight="1" x14ac:dyDescent="0.3">
      <c r="A93" s="60"/>
      <c r="B93" s="61">
        <f t="shared" si="4"/>
        <v>90</v>
      </c>
      <c r="C93" s="62"/>
      <c r="D93" s="62"/>
      <c r="E93" s="63"/>
      <c r="F93" s="63"/>
      <c r="G93" s="63"/>
      <c r="H93" s="64">
        <f t="shared" si="3"/>
        <v>0</v>
      </c>
      <c r="I93" s="63"/>
      <c r="J93" s="65">
        <f t="shared" si="5"/>
        <v>90</v>
      </c>
      <c r="K93" s="65">
        <f>工程基本資料!$B$7-$J93+$L93+$M93</f>
        <v>-90</v>
      </c>
      <c r="L93" s="66"/>
      <c r="M93" s="66"/>
      <c r="N93" s="66"/>
      <c r="O93" s="70"/>
      <c r="P93" s="58">
        <f>工程基本資料!$B$8+工程基本資料!$B$7+$L93+$M93-1</f>
        <v>-1</v>
      </c>
      <c r="Q93" s="9">
        <v>0</v>
      </c>
    </row>
    <row r="94" spans="1:17" ht="63" customHeight="1" x14ac:dyDescent="0.3">
      <c r="A94" s="60"/>
      <c r="B94" s="61">
        <f t="shared" si="4"/>
        <v>91</v>
      </c>
      <c r="C94" s="62"/>
      <c r="D94" s="62"/>
      <c r="E94" s="63"/>
      <c r="F94" s="63"/>
      <c r="G94" s="63"/>
      <c r="H94" s="64">
        <f t="shared" si="3"/>
        <v>0</v>
      </c>
      <c r="I94" s="63"/>
      <c r="J94" s="65">
        <f t="shared" si="5"/>
        <v>91</v>
      </c>
      <c r="K94" s="65">
        <f>工程基本資料!$B$7-$J94+$L94+$M94</f>
        <v>-91</v>
      </c>
      <c r="L94" s="66"/>
      <c r="M94" s="66"/>
      <c r="N94" s="66"/>
      <c r="O94" s="70"/>
      <c r="P94" s="58">
        <f>工程基本資料!$B$8+工程基本資料!$B$7+$L94+$M94-1</f>
        <v>-1</v>
      </c>
      <c r="Q94" s="9">
        <v>0</v>
      </c>
    </row>
    <row r="95" spans="1:17" ht="63" customHeight="1" x14ac:dyDescent="0.3">
      <c r="A95" s="60"/>
      <c r="B95" s="61">
        <f t="shared" si="4"/>
        <v>92</v>
      </c>
      <c r="C95" s="62"/>
      <c r="D95" s="62"/>
      <c r="E95" s="63"/>
      <c r="F95" s="63"/>
      <c r="G95" s="63"/>
      <c r="H95" s="64">
        <f t="shared" si="3"/>
        <v>0</v>
      </c>
      <c r="I95" s="63"/>
      <c r="J95" s="65">
        <f t="shared" si="5"/>
        <v>92</v>
      </c>
      <c r="K95" s="65">
        <f>工程基本資料!$B$7-$J95+$L95+$M95</f>
        <v>-92</v>
      </c>
      <c r="L95" s="66"/>
      <c r="M95" s="66"/>
      <c r="N95" s="66"/>
      <c r="O95" s="70"/>
      <c r="P95" s="58">
        <f>工程基本資料!$B$8+工程基本資料!$B$7+$L95+$M95-1</f>
        <v>-1</v>
      </c>
      <c r="Q95" s="9">
        <v>0</v>
      </c>
    </row>
    <row r="96" spans="1:17" ht="63" customHeight="1" x14ac:dyDescent="0.3">
      <c r="A96" s="60"/>
      <c r="B96" s="61">
        <f t="shared" si="4"/>
        <v>93</v>
      </c>
      <c r="C96" s="62"/>
      <c r="D96" s="62"/>
      <c r="E96" s="63"/>
      <c r="F96" s="63"/>
      <c r="G96" s="63"/>
      <c r="H96" s="64">
        <f t="shared" si="3"/>
        <v>0</v>
      </c>
      <c r="I96" s="63"/>
      <c r="J96" s="65">
        <f t="shared" si="5"/>
        <v>93</v>
      </c>
      <c r="K96" s="65">
        <f>工程基本資料!$B$7-$J96+$L96+$M96</f>
        <v>-93</v>
      </c>
      <c r="L96" s="66"/>
      <c r="M96" s="66"/>
      <c r="N96" s="66"/>
      <c r="O96" s="70"/>
      <c r="P96" s="58">
        <f>工程基本資料!$B$8+工程基本資料!$B$7+$L96+$M96-1</f>
        <v>-1</v>
      </c>
      <c r="Q96" s="9">
        <v>0</v>
      </c>
    </row>
    <row r="97" spans="1:17" ht="63" customHeight="1" x14ac:dyDescent="0.3">
      <c r="A97" s="60"/>
      <c r="B97" s="61">
        <f t="shared" si="4"/>
        <v>94</v>
      </c>
      <c r="C97" s="62"/>
      <c r="D97" s="62"/>
      <c r="E97" s="63"/>
      <c r="F97" s="63"/>
      <c r="G97" s="63"/>
      <c r="H97" s="64">
        <f t="shared" si="3"/>
        <v>0</v>
      </c>
      <c r="I97" s="63"/>
      <c r="J97" s="65">
        <f t="shared" si="5"/>
        <v>94</v>
      </c>
      <c r="K97" s="65">
        <f>工程基本資料!$B$7-$J97+$L97+$M97</f>
        <v>-94</v>
      </c>
      <c r="L97" s="66"/>
      <c r="M97" s="66"/>
      <c r="N97" s="66"/>
      <c r="O97" s="70"/>
      <c r="P97" s="58">
        <f>工程基本資料!$B$8+工程基本資料!$B$7+$L97+$M97-1</f>
        <v>-1</v>
      </c>
      <c r="Q97" s="9">
        <v>0</v>
      </c>
    </row>
    <row r="98" spans="1:17" ht="63" customHeight="1" x14ac:dyDescent="0.3">
      <c r="A98" s="60"/>
      <c r="B98" s="61">
        <f t="shared" si="4"/>
        <v>95</v>
      </c>
      <c r="C98" s="62"/>
      <c r="D98" s="62"/>
      <c r="E98" s="63"/>
      <c r="F98" s="63"/>
      <c r="G98" s="63"/>
      <c r="H98" s="64">
        <f t="shared" si="3"/>
        <v>0</v>
      </c>
      <c r="I98" s="63"/>
      <c r="J98" s="65">
        <f t="shared" si="5"/>
        <v>95</v>
      </c>
      <c r="K98" s="65">
        <f>工程基本資料!$B$7-$J98+$L98+$M98</f>
        <v>-95</v>
      </c>
      <c r="L98" s="66"/>
      <c r="M98" s="66"/>
      <c r="N98" s="66"/>
      <c r="O98" s="70"/>
      <c r="P98" s="58">
        <f>工程基本資料!$B$8+工程基本資料!$B$7+$L98+$M98-1</f>
        <v>-1</v>
      </c>
      <c r="Q98" s="9">
        <v>0</v>
      </c>
    </row>
    <row r="99" spans="1:17" ht="63" customHeight="1" x14ac:dyDescent="0.3">
      <c r="A99" s="60"/>
      <c r="B99" s="61">
        <f t="shared" si="4"/>
        <v>96</v>
      </c>
      <c r="C99" s="62"/>
      <c r="D99" s="62"/>
      <c r="E99" s="63"/>
      <c r="F99" s="63"/>
      <c r="G99" s="63"/>
      <c r="H99" s="64">
        <f t="shared" si="3"/>
        <v>0</v>
      </c>
      <c r="I99" s="63"/>
      <c r="J99" s="65">
        <f t="shared" si="5"/>
        <v>96</v>
      </c>
      <c r="K99" s="65">
        <f>工程基本資料!$B$7-$J99+$L99+$M99</f>
        <v>-96</v>
      </c>
      <c r="L99" s="66"/>
      <c r="M99" s="66"/>
      <c r="N99" s="66"/>
      <c r="O99" s="70"/>
      <c r="P99" s="58">
        <f>工程基本資料!$B$8+工程基本資料!$B$7+$L99+$M99-1</f>
        <v>-1</v>
      </c>
      <c r="Q99" s="9">
        <v>0</v>
      </c>
    </row>
    <row r="100" spans="1:17" ht="63" customHeight="1" x14ac:dyDescent="0.3">
      <c r="A100" s="60"/>
      <c r="B100" s="61">
        <f t="shared" si="4"/>
        <v>97</v>
      </c>
      <c r="C100" s="62"/>
      <c r="D100" s="62"/>
      <c r="E100" s="63"/>
      <c r="F100" s="63"/>
      <c r="G100" s="63"/>
      <c r="H100" s="64">
        <f t="shared" si="3"/>
        <v>0</v>
      </c>
      <c r="I100" s="63"/>
      <c r="J100" s="65">
        <f t="shared" si="5"/>
        <v>97</v>
      </c>
      <c r="K100" s="65">
        <f>工程基本資料!$B$7-$J100+$L100+$M100</f>
        <v>-97</v>
      </c>
      <c r="L100" s="66"/>
      <c r="M100" s="66"/>
      <c r="N100" s="66"/>
      <c r="O100" s="70"/>
      <c r="P100" s="58">
        <f>工程基本資料!$B$8+工程基本資料!$B$7+$L100+$M100-1</f>
        <v>-1</v>
      </c>
      <c r="Q100" s="9">
        <v>0</v>
      </c>
    </row>
    <row r="101" spans="1:17" ht="63" customHeight="1" x14ac:dyDescent="0.3">
      <c r="A101" s="60"/>
      <c r="B101" s="61">
        <f t="shared" si="4"/>
        <v>98</v>
      </c>
      <c r="C101" s="62"/>
      <c r="D101" s="62"/>
      <c r="E101" s="63"/>
      <c r="F101" s="63"/>
      <c r="G101" s="63"/>
      <c r="H101" s="64">
        <f t="shared" si="3"/>
        <v>0</v>
      </c>
      <c r="I101" s="63"/>
      <c r="J101" s="65">
        <f t="shared" si="5"/>
        <v>98</v>
      </c>
      <c r="K101" s="65">
        <f>工程基本資料!$B$7-$J101+$L101+$M101</f>
        <v>-98</v>
      </c>
      <c r="L101" s="66"/>
      <c r="M101" s="66"/>
      <c r="N101" s="66"/>
      <c r="O101" s="70"/>
      <c r="P101" s="58">
        <f>工程基本資料!$B$8+工程基本資料!$B$7+$L101+$M101-1</f>
        <v>-1</v>
      </c>
      <c r="Q101" s="9">
        <v>0</v>
      </c>
    </row>
    <row r="102" spans="1:17" ht="63" customHeight="1" x14ac:dyDescent="0.3">
      <c r="A102" s="60"/>
      <c r="B102" s="61">
        <f t="shared" si="4"/>
        <v>99</v>
      </c>
      <c r="C102" s="62"/>
      <c r="D102" s="62"/>
      <c r="E102" s="63"/>
      <c r="F102" s="63"/>
      <c r="G102" s="63"/>
      <c r="H102" s="64">
        <f t="shared" si="3"/>
        <v>0</v>
      </c>
      <c r="I102" s="63"/>
      <c r="J102" s="65">
        <f t="shared" si="5"/>
        <v>99</v>
      </c>
      <c r="K102" s="65">
        <f>工程基本資料!$B$7-$J102+$L102+$M102</f>
        <v>-99</v>
      </c>
      <c r="L102" s="66"/>
      <c r="M102" s="66"/>
      <c r="N102" s="66"/>
      <c r="O102" s="70"/>
      <c r="P102" s="58">
        <f>工程基本資料!$B$8+工程基本資料!$B$7+$L102+$M102-1</f>
        <v>-1</v>
      </c>
      <c r="Q102" s="9">
        <v>0</v>
      </c>
    </row>
    <row r="103" spans="1:17" ht="63" customHeight="1" x14ac:dyDescent="0.3">
      <c r="A103" s="60"/>
      <c r="B103" s="61">
        <f t="shared" si="4"/>
        <v>100</v>
      </c>
      <c r="C103" s="62"/>
      <c r="D103" s="62"/>
      <c r="E103" s="63"/>
      <c r="F103" s="63"/>
      <c r="G103" s="63"/>
      <c r="H103" s="64">
        <f t="shared" si="3"/>
        <v>0</v>
      </c>
      <c r="I103" s="63"/>
      <c r="J103" s="65">
        <f t="shared" si="5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>
        <f>工程基本資料!$B$8+工程基本資料!$B$7+$L103+$M103-1</f>
        <v>-1</v>
      </c>
      <c r="Q103" s="9">
        <v>0</v>
      </c>
    </row>
    <row r="104" spans="1:17" ht="63" customHeight="1" x14ac:dyDescent="0.3">
      <c r="A104" s="60"/>
      <c r="B104" s="61">
        <f t="shared" si="4"/>
        <v>101</v>
      </c>
      <c r="C104" s="62"/>
      <c r="D104" s="62"/>
      <c r="E104" s="63"/>
      <c r="F104" s="63"/>
      <c r="G104" s="63"/>
      <c r="H104" s="64">
        <f t="shared" si="3"/>
        <v>0</v>
      </c>
      <c r="I104" s="63"/>
      <c r="J104" s="65">
        <f t="shared" si="5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>
        <f>工程基本資料!$B$8+工程基本資料!$B$7+$L104+$M104-1</f>
        <v>-1</v>
      </c>
      <c r="Q104" s="9">
        <v>0</v>
      </c>
    </row>
    <row r="105" spans="1:17" ht="63" customHeight="1" x14ac:dyDescent="0.3">
      <c r="A105" s="60"/>
      <c r="B105" s="61">
        <f t="shared" si="4"/>
        <v>102</v>
      </c>
      <c r="C105" s="62"/>
      <c r="D105" s="62"/>
      <c r="E105" s="63"/>
      <c r="F105" s="63"/>
      <c r="G105" s="63"/>
      <c r="H105" s="64">
        <f t="shared" si="3"/>
        <v>0</v>
      </c>
      <c r="I105" s="63"/>
      <c r="J105" s="65">
        <f t="shared" si="5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>
        <f>工程基本資料!$B$8+工程基本資料!$B$7+$L105+$M105-1</f>
        <v>-1</v>
      </c>
      <c r="Q105" s="9">
        <v>0</v>
      </c>
    </row>
    <row r="106" spans="1:17" ht="63" customHeight="1" x14ac:dyDescent="0.3">
      <c r="A106" s="60"/>
      <c r="B106" s="61">
        <f t="shared" si="4"/>
        <v>103</v>
      </c>
      <c r="C106" s="62"/>
      <c r="D106" s="62"/>
      <c r="E106" s="63"/>
      <c r="F106" s="63"/>
      <c r="G106" s="63"/>
      <c r="H106" s="64">
        <f t="shared" si="3"/>
        <v>0</v>
      </c>
      <c r="I106" s="63"/>
      <c r="J106" s="65">
        <f t="shared" si="5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>
        <f>工程基本資料!$B$8+工程基本資料!$B$7+$L106+$M106-1</f>
        <v>-1</v>
      </c>
      <c r="Q106" s="9">
        <v>0</v>
      </c>
    </row>
    <row r="107" spans="1:17" ht="63" customHeight="1" x14ac:dyDescent="0.3">
      <c r="A107" s="60"/>
      <c r="B107" s="61">
        <f t="shared" si="4"/>
        <v>104</v>
      </c>
      <c r="C107" s="62"/>
      <c r="D107" s="62"/>
      <c r="E107" s="63"/>
      <c r="F107" s="63"/>
      <c r="G107" s="63"/>
      <c r="H107" s="64">
        <f t="shared" si="3"/>
        <v>0</v>
      </c>
      <c r="I107" s="63"/>
      <c r="J107" s="65">
        <f t="shared" si="5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>
        <f>工程基本資料!$B$8+工程基本資料!$B$7+$L107+$M107-1</f>
        <v>-1</v>
      </c>
      <c r="Q107" s="9">
        <v>0</v>
      </c>
    </row>
    <row r="108" spans="1:17" ht="63" customHeight="1" x14ac:dyDescent="0.3">
      <c r="A108" s="60"/>
      <c r="B108" s="61">
        <f t="shared" si="4"/>
        <v>105</v>
      </c>
      <c r="C108" s="62"/>
      <c r="D108" s="62"/>
      <c r="E108" s="63"/>
      <c r="F108" s="63"/>
      <c r="G108" s="63"/>
      <c r="H108" s="64">
        <f t="shared" si="3"/>
        <v>0</v>
      </c>
      <c r="I108" s="63"/>
      <c r="J108" s="65">
        <f t="shared" si="5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>
        <f>工程基本資料!$B$8+工程基本資料!$B$7+$L108+$M108-1</f>
        <v>-1</v>
      </c>
      <c r="Q108" s="9">
        <v>0</v>
      </c>
    </row>
    <row r="109" spans="1:17" ht="63" customHeight="1" x14ac:dyDescent="0.3">
      <c r="A109" s="60"/>
      <c r="B109" s="61">
        <f t="shared" si="4"/>
        <v>106</v>
      </c>
      <c r="C109" s="62"/>
      <c r="D109" s="62"/>
      <c r="E109" s="63"/>
      <c r="F109" s="63"/>
      <c r="G109" s="63"/>
      <c r="H109" s="64">
        <f t="shared" si="3"/>
        <v>0</v>
      </c>
      <c r="I109" s="63"/>
      <c r="J109" s="65">
        <f t="shared" si="5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>
        <f>工程基本資料!$B$8+工程基本資料!$B$7+$L109+$M109-1</f>
        <v>-1</v>
      </c>
      <c r="Q109" s="9">
        <v>0</v>
      </c>
    </row>
    <row r="110" spans="1:17" ht="63" customHeight="1" x14ac:dyDescent="0.3">
      <c r="A110" s="60"/>
      <c r="B110" s="61">
        <f t="shared" si="4"/>
        <v>107</v>
      </c>
      <c r="C110" s="62"/>
      <c r="D110" s="62"/>
      <c r="E110" s="63"/>
      <c r="F110" s="63"/>
      <c r="G110" s="63"/>
      <c r="H110" s="64">
        <f t="shared" si="3"/>
        <v>0</v>
      </c>
      <c r="I110" s="63"/>
      <c r="J110" s="65">
        <f t="shared" si="5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>
        <f>工程基本資料!$B$8+工程基本資料!$B$7+$L110+$M110-1</f>
        <v>-1</v>
      </c>
      <c r="Q110" s="9">
        <v>0</v>
      </c>
    </row>
    <row r="111" spans="1:17" ht="63" customHeight="1" x14ac:dyDescent="0.3">
      <c r="A111" s="60"/>
      <c r="B111" s="61">
        <f t="shared" si="4"/>
        <v>108</v>
      </c>
      <c r="C111" s="62"/>
      <c r="D111" s="62"/>
      <c r="E111" s="63"/>
      <c r="F111" s="63"/>
      <c r="G111" s="63"/>
      <c r="H111" s="64">
        <f t="shared" si="3"/>
        <v>0</v>
      </c>
      <c r="I111" s="63"/>
      <c r="J111" s="65">
        <f t="shared" si="5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>
        <f>工程基本資料!$B$8+工程基本資料!$B$7+$L111+$M111-1</f>
        <v>-1</v>
      </c>
      <c r="Q111" s="9">
        <v>0</v>
      </c>
    </row>
    <row r="112" spans="1:17" ht="63" customHeight="1" x14ac:dyDescent="0.3">
      <c r="A112" s="60"/>
      <c r="B112" s="61">
        <f t="shared" si="4"/>
        <v>109</v>
      </c>
      <c r="C112" s="62"/>
      <c r="D112" s="62"/>
      <c r="E112" s="63"/>
      <c r="F112" s="63"/>
      <c r="G112" s="63"/>
      <c r="H112" s="64">
        <f t="shared" si="3"/>
        <v>0</v>
      </c>
      <c r="I112" s="63"/>
      <c r="J112" s="65">
        <f t="shared" si="5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>
        <f>工程基本資料!$B$8+工程基本資料!$B$7+$L112+$M112-1</f>
        <v>-1</v>
      </c>
      <c r="Q112" s="9">
        <v>0</v>
      </c>
    </row>
    <row r="113" spans="1:17" ht="63" customHeight="1" x14ac:dyDescent="0.3">
      <c r="A113" s="60"/>
      <c r="B113" s="61">
        <f t="shared" si="4"/>
        <v>110</v>
      </c>
      <c r="C113" s="62"/>
      <c r="D113" s="62"/>
      <c r="E113" s="63"/>
      <c r="F113" s="63"/>
      <c r="G113" s="63"/>
      <c r="H113" s="64">
        <f t="shared" si="3"/>
        <v>0</v>
      </c>
      <c r="I113" s="63"/>
      <c r="J113" s="65">
        <f t="shared" si="5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>
        <f>工程基本資料!$B$8+工程基本資料!$B$7+$L113+$M113-1</f>
        <v>-1</v>
      </c>
      <c r="Q113" s="9">
        <v>0</v>
      </c>
    </row>
    <row r="114" spans="1:17" ht="63" customHeight="1" x14ac:dyDescent="0.3">
      <c r="A114" s="60"/>
      <c r="B114" s="61">
        <f t="shared" si="4"/>
        <v>111</v>
      </c>
      <c r="C114" s="62"/>
      <c r="D114" s="62"/>
      <c r="E114" s="63"/>
      <c r="F114" s="63"/>
      <c r="G114" s="63"/>
      <c r="H114" s="64">
        <f t="shared" si="3"/>
        <v>0</v>
      </c>
      <c r="I114" s="63"/>
      <c r="J114" s="65">
        <f t="shared" si="5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>
        <f>工程基本資料!$B$8+工程基本資料!$B$7+$L114+$M114-1</f>
        <v>-1</v>
      </c>
      <c r="Q114" s="9">
        <v>0</v>
      </c>
    </row>
    <row r="115" spans="1:17" ht="63" customHeight="1" x14ac:dyDescent="0.3">
      <c r="A115" s="60"/>
      <c r="B115" s="61">
        <f t="shared" si="4"/>
        <v>112</v>
      </c>
      <c r="C115" s="62"/>
      <c r="D115" s="62"/>
      <c r="E115" s="63"/>
      <c r="F115" s="63"/>
      <c r="G115" s="63"/>
      <c r="H115" s="64">
        <f t="shared" si="3"/>
        <v>0</v>
      </c>
      <c r="I115" s="63"/>
      <c r="J115" s="65">
        <f t="shared" si="5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>
        <f>工程基本資料!$B$8+工程基本資料!$B$7+$L115+$M115-1</f>
        <v>-1</v>
      </c>
      <c r="Q115" s="9">
        <v>0</v>
      </c>
    </row>
    <row r="116" spans="1:17" ht="63" customHeight="1" x14ac:dyDescent="0.3">
      <c r="A116" s="60"/>
      <c r="B116" s="61">
        <f t="shared" si="4"/>
        <v>113</v>
      </c>
      <c r="C116" s="62"/>
      <c r="D116" s="62"/>
      <c r="E116" s="63"/>
      <c r="F116" s="63"/>
      <c r="G116" s="63"/>
      <c r="H116" s="64">
        <f t="shared" si="3"/>
        <v>0</v>
      </c>
      <c r="I116" s="63"/>
      <c r="J116" s="65">
        <f t="shared" si="5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>
        <f>工程基本資料!$B$8+工程基本資料!$B$7+$L116+$M116-1</f>
        <v>-1</v>
      </c>
      <c r="Q116" s="9">
        <v>0</v>
      </c>
    </row>
    <row r="117" spans="1:17" ht="63" customHeight="1" x14ac:dyDescent="0.3">
      <c r="A117" s="60"/>
      <c r="B117" s="61">
        <f t="shared" si="4"/>
        <v>114</v>
      </c>
      <c r="C117" s="62"/>
      <c r="D117" s="62"/>
      <c r="E117" s="63"/>
      <c r="F117" s="63"/>
      <c r="G117" s="63"/>
      <c r="H117" s="64">
        <f t="shared" si="3"/>
        <v>0</v>
      </c>
      <c r="I117" s="63"/>
      <c r="J117" s="65">
        <f t="shared" si="5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>
        <f>工程基本資料!$B$8+工程基本資料!$B$7+$L117+$M117-1</f>
        <v>-1</v>
      </c>
      <c r="Q117" s="9">
        <v>0</v>
      </c>
    </row>
    <row r="118" spans="1:17" ht="63" customHeight="1" x14ac:dyDescent="0.3">
      <c r="A118" s="60"/>
      <c r="B118" s="61">
        <f t="shared" si="4"/>
        <v>115</v>
      </c>
      <c r="C118" s="62"/>
      <c r="D118" s="62"/>
      <c r="E118" s="63"/>
      <c r="F118" s="63"/>
      <c r="G118" s="63"/>
      <c r="H118" s="64">
        <f t="shared" si="3"/>
        <v>0</v>
      </c>
      <c r="I118" s="63"/>
      <c r="J118" s="65">
        <f t="shared" si="5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>
        <f>工程基本資料!$B$8+工程基本資料!$B$7+$L118+$M118-1</f>
        <v>-1</v>
      </c>
      <c r="Q118" s="9">
        <v>0</v>
      </c>
    </row>
    <row r="119" spans="1:17" ht="63" customHeight="1" x14ac:dyDescent="0.3">
      <c r="A119" s="60"/>
      <c r="B119" s="61">
        <f t="shared" si="4"/>
        <v>116</v>
      </c>
      <c r="C119" s="62"/>
      <c r="D119" s="62"/>
      <c r="E119" s="63"/>
      <c r="F119" s="63"/>
      <c r="G119" s="63"/>
      <c r="H119" s="64">
        <f t="shared" si="3"/>
        <v>0</v>
      </c>
      <c r="I119" s="63"/>
      <c r="J119" s="65">
        <f t="shared" si="5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>
        <f>工程基本資料!$B$8+工程基本資料!$B$7+$L119+$M119-1</f>
        <v>-1</v>
      </c>
      <c r="Q119" s="9">
        <v>0</v>
      </c>
    </row>
    <row r="120" spans="1:17" ht="63" customHeight="1" x14ac:dyDescent="0.3">
      <c r="A120" s="60"/>
      <c r="B120" s="61">
        <f t="shared" si="4"/>
        <v>117</v>
      </c>
      <c r="C120" s="62"/>
      <c r="D120" s="62"/>
      <c r="E120" s="63"/>
      <c r="F120" s="63"/>
      <c r="G120" s="63"/>
      <c r="H120" s="64">
        <f t="shared" si="3"/>
        <v>0</v>
      </c>
      <c r="I120" s="63"/>
      <c r="J120" s="65">
        <f t="shared" si="5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>
        <f>工程基本資料!$B$8+工程基本資料!$B$7+$L120+$M120-1</f>
        <v>-1</v>
      </c>
      <c r="Q120" s="9">
        <v>0</v>
      </c>
    </row>
    <row r="121" spans="1:17" ht="63" customHeight="1" x14ac:dyDescent="0.3">
      <c r="A121" s="60"/>
      <c r="B121" s="61">
        <f t="shared" si="4"/>
        <v>118</v>
      </c>
      <c r="C121" s="62"/>
      <c r="D121" s="62"/>
      <c r="E121" s="63"/>
      <c r="F121" s="63"/>
      <c r="G121" s="63"/>
      <c r="H121" s="64">
        <f t="shared" si="3"/>
        <v>0</v>
      </c>
      <c r="I121" s="63"/>
      <c r="J121" s="65">
        <f t="shared" si="5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>
        <f>工程基本資料!$B$8+工程基本資料!$B$7+$L121+$M121-1</f>
        <v>-1</v>
      </c>
      <c r="Q121" s="9">
        <v>0</v>
      </c>
    </row>
    <row r="122" spans="1:17" ht="63" customHeight="1" x14ac:dyDescent="0.3">
      <c r="A122" s="60"/>
      <c r="B122" s="61">
        <f t="shared" si="4"/>
        <v>119</v>
      </c>
      <c r="C122" s="62"/>
      <c r="D122" s="62"/>
      <c r="E122" s="63"/>
      <c r="F122" s="63"/>
      <c r="G122" s="63"/>
      <c r="H122" s="64">
        <f t="shared" si="3"/>
        <v>0</v>
      </c>
      <c r="I122" s="63"/>
      <c r="J122" s="65">
        <f t="shared" si="5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>
        <f>工程基本資料!$B$8+工程基本資料!$B$7+$L122+$M122-1</f>
        <v>-1</v>
      </c>
      <c r="Q122" s="9">
        <v>0</v>
      </c>
    </row>
    <row r="123" spans="1:17" ht="63" customHeight="1" x14ac:dyDescent="0.3">
      <c r="A123" s="60"/>
      <c r="B123" s="61">
        <f t="shared" si="4"/>
        <v>120</v>
      </c>
      <c r="C123" s="62"/>
      <c r="D123" s="62"/>
      <c r="E123" s="63"/>
      <c r="F123" s="63"/>
      <c r="G123" s="63"/>
      <c r="H123" s="64">
        <f t="shared" si="3"/>
        <v>0</v>
      </c>
      <c r="I123" s="63"/>
      <c r="J123" s="65">
        <f t="shared" si="5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>
        <f>工程基本資料!$B$8+工程基本資料!$B$7+$L123+$M123-1</f>
        <v>-1</v>
      </c>
      <c r="Q123" s="9">
        <v>0</v>
      </c>
    </row>
    <row r="124" spans="1:17" ht="63" customHeight="1" x14ac:dyDescent="0.3">
      <c r="A124" s="60"/>
      <c r="B124" s="61">
        <f t="shared" si="4"/>
        <v>121</v>
      </c>
      <c r="C124" s="62"/>
      <c r="D124" s="62"/>
      <c r="E124" s="63"/>
      <c r="F124" s="63"/>
      <c r="G124" s="63"/>
      <c r="H124" s="64">
        <f t="shared" si="3"/>
        <v>0</v>
      </c>
      <c r="I124" s="63"/>
      <c r="J124" s="65">
        <f t="shared" si="5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>
        <f>工程基本資料!$B$8+工程基本資料!$B$7+$L124+$M124-1</f>
        <v>-1</v>
      </c>
      <c r="Q124" s="9">
        <v>0</v>
      </c>
    </row>
    <row r="125" spans="1:17" ht="63" customHeight="1" x14ac:dyDescent="0.3">
      <c r="A125" s="60"/>
      <c r="B125" s="61">
        <f t="shared" si="4"/>
        <v>122</v>
      </c>
      <c r="C125" s="62"/>
      <c r="D125" s="62"/>
      <c r="E125" s="63"/>
      <c r="F125" s="63"/>
      <c r="G125" s="63"/>
      <c r="H125" s="64">
        <f t="shared" si="3"/>
        <v>0</v>
      </c>
      <c r="I125" s="63"/>
      <c r="J125" s="65">
        <f t="shared" si="5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>
        <f>工程基本資料!$B$8+工程基本資料!$B$7+$L125+$M125-1</f>
        <v>-1</v>
      </c>
      <c r="Q125" s="9">
        <v>0</v>
      </c>
    </row>
    <row r="126" spans="1:17" ht="63" customHeight="1" x14ac:dyDescent="0.3">
      <c r="A126" s="60"/>
      <c r="B126" s="61">
        <f t="shared" si="4"/>
        <v>123</v>
      </c>
      <c r="C126" s="62"/>
      <c r="D126" s="62"/>
      <c r="E126" s="63"/>
      <c r="F126" s="63"/>
      <c r="G126" s="63"/>
      <c r="H126" s="64">
        <f t="shared" si="3"/>
        <v>0</v>
      </c>
      <c r="I126" s="63"/>
      <c r="J126" s="65">
        <f t="shared" si="5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>
        <f>工程基本資料!$B$8+工程基本資料!$B$7+$L126+$M126-1</f>
        <v>-1</v>
      </c>
      <c r="Q126" s="9">
        <v>0</v>
      </c>
    </row>
    <row r="127" spans="1:17" ht="63" customHeight="1" x14ac:dyDescent="0.3">
      <c r="A127" s="60"/>
      <c r="B127" s="61">
        <f t="shared" si="4"/>
        <v>124</v>
      </c>
      <c r="C127" s="62"/>
      <c r="D127" s="62"/>
      <c r="E127" s="63"/>
      <c r="F127" s="63"/>
      <c r="G127" s="63"/>
      <c r="H127" s="64">
        <f t="shared" si="3"/>
        <v>0</v>
      </c>
      <c r="I127" s="63"/>
      <c r="J127" s="65">
        <f t="shared" si="5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>
        <f>工程基本資料!$B$8+工程基本資料!$B$7+$L127+$M127-1</f>
        <v>-1</v>
      </c>
      <c r="Q127" s="9">
        <v>0</v>
      </c>
    </row>
    <row r="128" spans="1:17" ht="63" customHeight="1" x14ac:dyDescent="0.3">
      <c r="A128" s="60"/>
      <c r="B128" s="61">
        <f t="shared" si="4"/>
        <v>125</v>
      </c>
      <c r="C128" s="62"/>
      <c r="D128" s="62"/>
      <c r="E128" s="63"/>
      <c r="F128" s="63"/>
      <c r="G128" s="63"/>
      <c r="H128" s="64">
        <f t="shared" si="3"/>
        <v>0</v>
      </c>
      <c r="I128" s="63"/>
      <c r="J128" s="65">
        <f t="shared" si="5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>
        <f>工程基本資料!$B$8+工程基本資料!$B$7+$L128+$M128-1</f>
        <v>-1</v>
      </c>
      <c r="Q128" s="9">
        <v>0</v>
      </c>
    </row>
    <row r="129" spans="1:17" ht="63" customHeight="1" x14ac:dyDescent="0.3">
      <c r="A129" s="60"/>
      <c r="B129" s="61">
        <f t="shared" si="4"/>
        <v>126</v>
      </c>
      <c r="C129" s="62"/>
      <c r="D129" s="62"/>
      <c r="E129" s="63"/>
      <c r="F129" s="63"/>
      <c r="G129" s="63"/>
      <c r="H129" s="64">
        <f t="shared" si="3"/>
        <v>0</v>
      </c>
      <c r="I129" s="63"/>
      <c r="J129" s="65">
        <f t="shared" si="5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>
        <f>工程基本資料!$B$8+工程基本資料!$B$7+$L129+$M129-1</f>
        <v>-1</v>
      </c>
      <c r="Q129" s="9">
        <v>0</v>
      </c>
    </row>
    <row r="130" spans="1:17" ht="63" customHeight="1" x14ac:dyDescent="0.3">
      <c r="A130" s="60"/>
      <c r="B130" s="61">
        <f t="shared" si="4"/>
        <v>127</v>
      </c>
      <c r="C130" s="62"/>
      <c r="D130" s="62"/>
      <c r="E130" s="63"/>
      <c r="F130" s="63"/>
      <c r="G130" s="63"/>
      <c r="H130" s="64">
        <f t="shared" si="3"/>
        <v>0</v>
      </c>
      <c r="I130" s="63"/>
      <c r="J130" s="65">
        <f t="shared" si="5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>
        <f>工程基本資料!$B$8+工程基本資料!$B$7+$L130+$M130-1</f>
        <v>-1</v>
      </c>
      <c r="Q130" s="9">
        <v>0</v>
      </c>
    </row>
    <row r="131" spans="1:17" ht="63" customHeight="1" x14ac:dyDescent="0.3">
      <c r="A131" s="60"/>
      <c r="B131" s="61">
        <f t="shared" si="4"/>
        <v>128</v>
      </c>
      <c r="C131" s="62"/>
      <c r="D131" s="62"/>
      <c r="E131" s="63"/>
      <c r="F131" s="63"/>
      <c r="G131" s="63"/>
      <c r="H131" s="64">
        <f t="shared" si="3"/>
        <v>0</v>
      </c>
      <c r="I131" s="63"/>
      <c r="J131" s="65">
        <f t="shared" si="5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>
        <f>工程基本資料!$B$8+工程基本資料!$B$7+$L131+$M131-1</f>
        <v>-1</v>
      </c>
      <c r="Q131" s="9">
        <v>0</v>
      </c>
    </row>
    <row r="132" spans="1:17" ht="63" customHeight="1" x14ac:dyDescent="0.3">
      <c r="A132" s="60"/>
      <c r="B132" s="61">
        <f t="shared" si="4"/>
        <v>129</v>
      </c>
      <c r="C132" s="62"/>
      <c r="D132" s="62"/>
      <c r="E132" s="63"/>
      <c r="F132" s="63"/>
      <c r="G132" s="63"/>
      <c r="H132" s="64">
        <f t="shared" ref="H132:H195" si="6">IF(Q132&gt;1,$R$3,$R$4)</f>
        <v>0</v>
      </c>
      <c r="I132" s="63"/>
      <c r="J132" s="65">
        <f t="shared" si="5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>
        <f>工程基本資料!$B$8+工程基本資料!$B$7+$L132+$M132-1</f>
        <v>-1</v>
      </c>
      <c r="Q132" s="9">
        <v>0</v>
      </c>
    </row>
    <row r="133" spans="1:17" ht="63" customHeight="1" x14ac:dyDescent="0.3">
      <c r="A133" s="60"/>
      <c r="B133" s="61">
        <f t="shared" ref="B133:B196" si="7">B132+1</f>
        <v>130</v>
      </c>
      <c r="C133" s="62"/>
      <c r="D133" s="62"/>
      <c r="E133" s="63"/>
      <c r="F133" s="63"/>
      <c r="G133" s="63"/>
      <c r="H133" s="64">
        <f t="shared" si="6"/>
        <v>0</v>
      </c>
      <c r="I133" s="63"/>
      <c r="J133" s="65">
        <f t="shared" ref="J133:J196" si="8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>
        <f>工程基本資料!$B$8+工程基本資料!$B$7+$L133+$M133-1</f>
        <v>-1</v>
      </c>
      <c r="Q133" s="9">
        <v>0</v>
      </c>
    </row>
    <row r="134" spans="1:17" ht="63" customHeight="1" x14ac:dyDescent="0.3">
      <c r="A134" s="60"/>
      <c r="B134" s="61">
        <f t="shared" si="7"/>
        <v>131</v>
      </c>
      <c r="C134" s="62"/>
      <c r="D134" s="62"/>
      <c r="E134" s="63"/>
      <c r="F134" s="63"/>
      <c r="G134" s="63"/>
      <c r="H134" s="64">
        <f t="shared" si="6"/>
        <v>0</v>
      </c>
      <c r="I134" s="63"/>
      <c r="J134" s="65">
        <f t="shared" si="8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>
        <f>工程基本資料!$B$8+工程基本資料!$B$7+$L134+$M134-1</f>
        <v>-1</v>
      </c>
      <c r="Q134" s="9">
        <v>0</v>
      </c>
    </row>
    <row r="135" spans="1:17" ht="63" customHeight="1" x14ac:dyDescent="0.3">
      <c r="A135" s="60"/>
      <c r="B135" s="61">
        <f t="shared" si="7"/>
        <v>132</v>
      </c>
      <c r="C135" s="62"/>
      <c r="D135" s="62"/>
      <c r="E135" s="63"/>
      <c r="F135" s="63"/>
      <c r="G135" s="63"/>
      <c r="H135" s="64">
        <f t="shared" si="6"/>
        <v>0</v>
      </c>
      <c r="I135" s="63"/>
      <c r="J135" s="65">
        <f t="shared" si="8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>
        <f>工程基本資料!$B$8+工程基本資料!$B$7+$L135+$M135-1</f>
        <v>-1</v>
      </c>
      <c r="Q135" s="9">
        <v>0</v>
      </c>
    </row>
    <row r="136" spans="1:17" ht="63" customHeight="1" x14ac:dyDescent="0.3">
      <c r="A136" s="60"/>
      <c r="B136" s="61">
        <f t="shared" si="7"/>
        <v>133</v>
      </c>
      <c r="C136" s="62"/>
      <c r="D136" s="62"/>
      <c r="E136" s="63"/>
      <c r="F136" s="63"/>
      <c r="G136" s="63"/>
      <c r="H136" s="64">
        <f t="shared" si="6"/>
        <v>0</v>
      </c>
      <c r="I136" s="63"/>
      <c r="J136" s="65">
        <f t="shared" si="8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>
        <f>工程基本資料!$B$8+工程基本資料!$B$7+$L136+$M136-1</f>
        <v>-1</v>
      </c>
      <c r="Q136" s="9">
        <v>0</v>
      </c>
    </row>
    <row r="137" spans="1:17" ht="63" customHeight="1" x14ac:dyDescent="0.3">
      <c r="A137" s="60"/>
      <c r="B137" s="61">
        <f t="shared" si="7"/>
        <v>134</v>
      </c>
      <c r="C137" s="62"/>
      <c r="D137" s="62"/>
      <c r="E137" s="63"/>
      <c r="F137" s="63"/>
      <c r="G137" s="63"/>
      <c r="H137" s="64">
        <f t="shared" si="6"/>
        <v>0</v>
      </c>
      <c r="I137" s="63"/>
      <c r="J137" s="65">
        <f t="shared" si="8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>
        <f>工程基本資料!$B$8+工程基本資料!$B$7+$L137+$M137-1</f>
        <v>-1</v>
      </c>
      <c r="Q137" s="9">
        <v>0</v>
      </c>
    </row>
    <row r="138" spans="1:17" ht="63" customHeight="1" x14ac:dyDescent="0.3">
      <c r="A138" s="60"/>
      <c r="B138" s="61">
        <f t="shared" si="7"/>
        <v>135</v>
      </c>
      <c r="C138" s="62"/>
      <c r="D138" s="62"/>
      <c r="E138" s="63"/>
      <c r="F138" s="63"/>
      <c r="G138" s="63"/>
      <c r="H138" s="64">
        <f t="shared" si="6"/>
        <v>0</v>
      </c>
      <c r="I138" s="63"/>
      <c r="J138" s="65">
        <f t="shared" si="8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>
        <f>工程基本資料!$B$8+工程基本資料!$B$7+$L138+$M138-1</f>
        <v>-1</v>
      </c>
      <c r="Q138" s="9">
        <v>0</v>
      </c>
    </row>
    <row r="139" spans="1:17" ht="63" customHeight="1" x14ac:dyDescent="0.3">
      <c r="A139" s="60"/>
      <c r="B139" s="61">
        <f t="shared" si="7"/>
        <v>136</v>
      </c>
      <c r="C139" s="62"/>
      <c r="D139" s="62"/>
      <c r="E139" s="63"/>
      <c r="F139" s="63"/>
      <c r="G139" s="63"/>
      <c r="H139" s="64">
        <f t="shared" si="6"/>
        <v>0</v>
      </c>
      <c r="I139" s="63"/>
      <c r="J139" s="65">
        <f t="shared" si="8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>
        <f>工程基本資料!$B$8+工程基本資料!$B$7+$L139+$M139-1</f>
        <v>-1</v>
      </c>
      <c r="Q139" s="9">
        <v>0</v>
      </c>
    </row>
    <row r="140" spans="1:17" ht="63" customHeight="1" x14ac:dyDescent="0.3">
      <c r="A140" s="60"/>
      <c r="B140" s="61">
        <f t="shared" si="7"/>
        <v>137</v>
      </c>
      <c r="C140" s="62"/>
      <c r="D140" s="62"/>
      <c r="E140" s="63"/>
      <c r="F140" s="63"/>
      <c r="G140" s="63"/>
      <c r="H140" s="64">
        <f t="shared" si="6"/>
        <v>0</v>
      </c>
      <c r="I140" s="63"/>
      <c r="J140" s="65">
        <f t="shared" si="8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>
        <f>工程基本資料!$B$8+工程基本資料!$B$7+$L140+$M140-1</f>
        <v>-1</v>
      </c>
      <c r="Q140" s="9">
        <v>0</v>
      </c>
    </row>
    <row r="141" spans="1:17" ht="63" customHeight="1" x14ac:dyDescent="0.3">
      <c r="A141" s="60"/>
      <c r="B141" s="61">
        <f t="shared" si="7"/>
        <v>138</v>
      </c>
      <c r="C141" s="62"/>
      <c r="D141" s="62"/>
      <c r="E141" s="63"/>
      <c r="F141" s="63"/>
      <c r="G141" s="63"/>
      <c r="H141" s="64">
        <f t="shared" si="6"/>
        <v>0</v>
      </c>
      <c r="I141" s="63"/>
      <c r="J141" s="65">
        <f t="shared" si="8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>
        <f>工程基本資料!$B$8+工程基本資料!$B$7+$L141+$M141-1</f>
        <v>-1</v>
      </c>
      <c r="Q141" s="9">
        <v>0</v>
      </c>
    </row>
    <row r="142" spans="1:17" ht="63" customHeight="1" x14ac:dyDescent="0.3">
      <c r="A142" s="60"/>
      <c r="B142" s="61">
        <f t="shared" si="7"/>
        <v>139</v>
      </c>
      <c r="C142" s="62"/>
      <c r="D142" s="62"/>
      <c r="E142" s="63"/>
      <c r="F142" s="63"/>
      <c r="G142" s="63"/>
      <c r="H142" s="64">
        <f t="shared" si="6"/>
        <v>0</v>
      </c>
      <c r="I142" s="63"/>
      <c r="J142" s="65">
        <f t="shared" si="8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>
        <f>工程基本資料!$B$8+工程基本資料!$B$7+$L142+$M142-1</f>
        <v>-1</v>
      </c>
      <c r="Q142" s="9">
        <v>0</v>
      </c>
    </row>
    <row r="143" spans="1:17" ht="63" customHeight="1" x14ac:dyDescent="0.3">
      <c r="A143" s="60"/>
      <c r="B143" s="61">
        <f t="shared" si="7"/>
        <v>140</v>
      </c>
      <c r="C143" s="62"/>
      <c r="D143" s="62"/>
      <c r="E143" s="63"/>
      <c r="F143" s="63"/>
      <c r="G143" s="63"/>
      <c r="H143" s="64">
        <f t="shared" si="6"/>
        <v>0</v>
      </c>
      <c r="I143" s="63"/>
      <c r="J143" s="65">
        <f t="shared" si="8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>
        <f>工程基本資料!$B$8+工程基本資料!$B$7+$L143+$M143-1</f>
        <v>-1</v>
      </c>
      <c r="Q143" s="9">
        <v>0</v>
      </c>
    </row>
    <row r="144" spans="1:17" ht="63" customHeight="1" x14ac:dyDescent="0.3">
      <c r="A144" s="60"/>
      <c r="B144" s="61">
        <f t="shared" si="7"/>
        <v>141</v>
      </c>
      <c r="C144" s="62"/>
      <c r="D144" s="62"/>
      <c r="E144" s="63"/>
      <c r="F144" s="63"/>
      <c r="G144" s="63"/>
      <c r="H144" s="64">
        <f t="shared" si="6"/>
        <v>0</v>
      </c>
      <c r="I144" s="63"/>
      <c r="J144" s="65">
        <f t="shared" si="8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>
        <f>工程基本資料!$B$8+工程基本資料!$B$7+$L144+$M144-1</f>
        <v>-1</v>
      </c>
      <c r="Q144" s="9">
        <v>0</v>
      </c>
    </row>
    <row r="145" spans="1:17" ht="63" customHeight="1" x14ac:dyDescent="0.3">
      <c r="A145" s="60"/>
      <c r="B145" s="61">
        <f t="shared" si="7"/>
        <v>142</v>
      </c>
      <c r="C145" s="62"/>
      <c r="D145" s="62"/>
      <c r="E145" s="63"/>
      <c r="F145" s="63"/>
      <c r="G145" s="63"/>
      <c r="H145" s="64">
        <f t="shared" si="6"/>
        <v>0</v>
      </c>
      <c r="I145" s="63"/>
      <c r="J145" s="65">
        <f t="shared" si="8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>
        <f>工程基本資料!$B$8+工程基本資料!$B$7+$L145+$M145-1</f>
        <v>-1</v>
      </c>
      <c r="Q145" s="9">
        <v>0</v>
      </c>
    </row>
    <row r="146" spans="1:17" ht="63" customHeight="1" x14ac:dyDescent="0.3">
      <c r="A146" s="60"/>
      <c r="B146" s="61">
        <f t="shared" si="7"/>
        <v>143</v>
      </c>
      <c r="C146" s="62"/>
      <c r="D146" s="62"/>
      <c r="E146" s="63"/>
      <c r="F146" s="63"/>
      <c r="G146" s="63"/>
      <c r="H146" s="64">
        <f t="shared" si="6"/>
        <v>0</v>
      </c>
      <c r="I146" s="63"/>
      <c r="J146" s="65">
        <f t="shared" si="8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>
        <f>工程基本資料!$B$8+工程基本資料!$B$7+$L146+$M146-1</f>
        <v>-1</v>
      </c>
      <c r="Q146" s="9">
        <v>0</v>
      </c>
    </row>
    <row r="147" spans="1:17" ht="63" customHeight="1" x14ac:dyDescent="0.3">
      <c r="A147" s="60"/>
      <c r="B147" s="61">
        <f t="shared" si="7"/>
        <v>144</v>
      </c>
      <c r="C147" s="62"/>
      <c r="D147" s="62"/>
      <c r="E147" s="63"/>
      <c r="F147" s="63"/>
      <c r="G147" s="63"/>
      <c r="H147" s="64">
        <f t="shared" si="6"/>
        <v>0</v>
      </c>
      <c r="I147" s="63"/>
      <c r="J147" s="65">
        <f t="shared" si="8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>
        <f>工程基本資料!$B$8+工程基本資料!$B$7+$L147+$M147-1</f>
        <v>-1</v>
      </c>
      <c r="Q147" s="9">
        <v>0</v>
      </c>
    </row>
    <row r="148" spans="1:17" ht="63" customHeight="1" x14ac:dyDescent="0.3">
      <c r="A148" s="60"/>
      <c r="B148" s="61">
        <f t="shared" si="7"/>
        <v>145</v>
      </c>
      <c r="C148" s="62"/>
      <c r="D148" s="62"/>
      <c r="E148" s="63"/>
      <c r="F148" s="63"/>
      <c r="G148" s="63"/>
      <c r="H148" s="64">
        <f t="shared" si="6"/>
        <v>0</v>
      </c>
      <c r="I148" s="63"/>
      <c r="J148" s="65">
        <f t="shared" si="8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>
        <f>工程基本資料!$B$8+工程基本資料!$B$7+$L148+$M148-1</f>
        <v>-1</v>
      </c>
      <c r="Q148" s="9">
        <v>0</v>
      </c>
    </row>
    <row r="149" spans="1:17" ht="63" customHeight="1" x14ac:dyDescent="0.3">
      <c r="A149" s="60"/>
      <c r="B149" s="61">
        <f t="shared" si="7"/>
        <v>146</v>
      </c>
      <c r="C149" s="62"/>
      <c r="D149" s="62"/>
      <c r="E149" s="63"/>
      <c r="F149" s="63"/>
      <c r="G149" s="63"/>
      <c r="H149" s="64">
        <f t="shared" si="6"/>
        <v>0</v>
      </c>
      <c r="I149" s="63"/>
      <c r="J149" s="65">
        <f t="shared" si="8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>
        <f>工程基本資料!$B$8+工程基本資料!$B$7+$L149+$M149-1</f>
        <v>-1</v>
      </c>
      <c r="Q149" s="9">
        <v>0</v>
      </c>
    </row>
    <row r="150" spans="1:17" ht="63" customHeight="1" x14ac:dyDescent="0.3">
      <c r="A150" s="60"/>
      <c r="B150" s="61">
        <f t="shared" si="7"/>
        <v>147</v>
      </c>
      <c r="C150" s="62"/>
      <c r="D150" s="62"/>
      <c r="E150" s="63"/>
      <c r="F150" s="63"/>
      <c r="G150" s="63"/>
      <c r="H150" s="64">
        <f t="shared" si="6"/>
        <v>0</v>
      </c>
      <c r="I150" s="63"/>
      <c r="J150" s="65">
        <f t="shared" si="8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>
        <f>工程基本資料!$B$8+工程基本資料!$B$7+$L150+$M150-1</f>
        <v>-1</v>
      </c>
      <c r="Q150" s="9">
        <v>0</v>
      </c>
    </row>
    <row r="151" spans="1:17" ht="63" customHeight="1" x14ac:dyDescent="0.3">
      <c r="A151" s="60"/>
      <c r="B151" s="61">
        <f t="shared" si="7"/>
        <v>148</v>
      </c>
      <c r="C151" s="62"/>
      <c r="D151" s="62"/>
      <c r="E151" s="63"/>
      <c r="F151" s="63"/>
      <c r="G151" s="63"/>
      <c r="H151" s="64">
        <f t="shared" si="6"/>
        <v>0</v>
      </c>
      <c r="I151" s="63"/>
      <c r="J151" s="65">
        <f t="shared" si="8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>
        <f>工程基本資料!$B$8+工程基本資料!$B$7+$L151+$M151-1</f>
        <v>-1</v>
      </c>
      <c r="Q151" s="9">
        <v>0</v>
      </c>
    </row>
    <row r="152" spans="1:17" ht="63" customHeight="1" x14ac:dyDescent="0.3">
      <c r="A152" s="60"/>
      <c r="B152" s="61">
        <f t="shared" si="7"/>
        <v>149</v>
      </c>
      <c r="C152" s="62"/>
      <c r="D152" s="62"/>
      <c r="E152" s="63"/>
      <c r="F152" s="63"/>
      <c r="G152" s="63"/>
      <c r="H152" s="64">
        <f t="shared" si="6"/>
        <v>0</v>
      </c>
      <c r="I152" s="63"/>
      <c r="J152" s="65">
        <f t="shared" si="8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>
        <f>工程基本資料!$B$8+工程基本資料!$B$7+$L152+$M152-1</f>
        <v>-1</v>
      </c>
      <c r="Q152" s="9">
        <v>0</v>
      </c>
    </row>
    <row r="153" spans="1:17" ht="63" customHeight="1" x14ac:dyDescent="0.3">
      <c r="A153" s="60"/>
      <c r="B153" s="61">
        <f t="shared" si="7"/>
        <v>150</v>
      </c>
      <c r="C153" s="62"/>
      <c r="D153" s="62"/>
      <c r="E153" s="63"/>
      <c r="F153" s="63"/>
      <c r="G153" s="63"/>
      <c r="H153" s="64">
        <f t="shared" si="6"/>
        <v>0</v>
      </c>
      <c r="I153" s="63"/>
      <c r="J153" s="65">
        <f t="shared" si="8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>
        <f>工程基本資料!$B$8+工程基本資料!$B$7+$L153+$M153-1</f>
        <v>-1</v>
      </c>
      <c r="Q153" s="9">
        <v>0</v>
      </c>
    </row>
    <row r="154" spans="1:17" ht="63" customHeight="1" x14ac:dyDescent="0.3">
      <c r="A154" s="60"/>
      <c r="B154" s="61">
        <f t="shared" si="7"/>
        <v>151</v>
      </c>
      <c r="C154" s="62"/>
      <c r="D154" s="62"/>
      <c r="E154" s="63"/>
      <c r="F154" s="63"/>
      <c r="G154" s="63"/>
      <c r="H154" s="64">
        <f t="shared" si="6"/>
        <v>0</v>
      </c>
      <c r="I154" s="63"/>
      <c r="J154" s="65">
        <f t="shared" si="8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>
        <f>工程基本資料!$B$8+工程基本資料!$B$7+$L154+$M154-1</f>
        <v>-1</v>
      </c>
      <c r="Q154" s="9">
        <v>0</v>
      </c>
    </row>
    <row r="155" spans="1:17" ht="63" customHeight="1" x14ac:dyDescent="0.3">
      <c r="A155" s="60"/>
      <c r="B155" s="61">
        <f t="shared" si="7"/>
        <v>152</v>
      </c>
      <c r="C155" s="62"/>
      <c r="D155" s="62"/>
      <c r="E155" s="63"/>
      <c r="F155" s="63"/>
      <c r="G155" s="63"/>
      <c r="H155" s="64">
        <f t="shared" si="6"/>
        <v>0</v>
      </c>
      <c r="I155" s="63"/>
      <c r="J155" s="65">
        <f t="shared" si="8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>
        <f>工程基本資料!$B$8+工程基本資料!$B$7+$L155+$M155-1</f>
        <v>-1</v>
      </c>
      <c r="Q155" s="9">
        <v>0</v>
      </c>
    </row>
    <row r="156" spans="1:17" ht="63" customHeight="1" x14ac:dyDescent="0.3">
      <c r="A156" s="60"/>
      <c r="B156" s="61">
        <f t="shared" si="7"/>
        <v>153</v>
      </c>
      <c r="C156" s="62"/>
      <c r="D156" s="62"/>
      <c r="E156" s="63"/>
      <c r="F156" s="63"/>
      <c r="G156" s="63"/>
      <c r="H156" s="64">
        <f t="shared" si="6"/>
        <v>0</v>
      </c>
      <c r="I156" s="63"/>
      <c r="J156" s="65">
        <f t="shared" si="8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>
        <f>工程基本資料!$B$8+工程基本資料!$B$7+$L156+$M156-1</f>
        <v>-1</v>
      </c>
      <c r="Q156" s="9">
        <v>0</v>
      </c>
    </row>
    <row r="157" spans="1:17" ht="63" customHeight="1" x14ac:dyDescent="0.3">
      <c r="A157" s="60"/>
      <c r="B157" s="61">
        <f t="shared" si="7"/>
        <v>154</v>
      </c>
      <c r="C157" s="62"/>
      <c r="D157" s="62"/>
      <c r="E157" s="63"/>
      <c r="F157" s="63"/>
      <c r="G157" s="63"/>
      <c r="H157" s="64">
        <f t="shared" si="6"/>
        <v>0</v>
      </c>
      <c r="I157" s="63"/>
      <c r="J157" s="65">
        <f t="shared" si="8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>
        <f>工程基本資料!$B$8+工程基本資料!$B$7+$L157+$M157-1</f>
        <v>-1</v>
      </c>
      <c r="Q157" s="9">
        <v>0</v>
      </c>
    </row>
    <row r="158" spans="1:17" ht="63" customHeight="1" x14ac:dyDescent="0.3">
      <c r="A158" s="60"/>
      <c r="B158" s="61">
        <f t="shared" si="7"/>
        <v>155</v>
      </c>
      <c r="C158" s="62"/>
      <c r="D158" s="62"/>
      <c r="E158" s="63"/>
      <c r="F158" s="63"/>
      <c r="G158" s="63"/>
      <c r="H158" s="64">
        <f t="shared" si="6"/>
        <v>0</v>
      </c>
      <c r="I158" s="63"/>
      <c r="J158" s="65">
        <f t="shared" si="8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>
        <f>工程基本資料!$B$8+工程基本資料!$B$7+$L158+$M158-1</f>
        <v>-1</v>
      </c>
      <c r="Q158" s="9">
        <v>0</v>
      </c>
    </row>
    <row r="159" spans="1:17" ht="63" customHeight="1" x14ac:dyDescent="0.3">
      <c r="A159" s="60"/>
      <c r="B159" s="61">
        <f t="shared" si="7"/>
        <v>156</v>
      </c>
      <c r="C159" s="62"/>
      <c r="D159" s="62"/>
      <c r="E159" s="63"/>
      <c r="F159" s="63"/>
      <c r="G159" s="63"/>
      <c r="H159" s="64">
        <f t="shared" si="6"/>
        <v>0</v>
      </c>
      <c r="I159" s="63"/>
      <c r="J159" s="65">
        <f t="shared" si="8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>
        <f>工程基本資料!$B$8+工程基本資料!$B$7+$L159+$M159-1</f>
        <v>-1</v>
      </c>
      <c r="Q159" s="9">
        <v>0</v>
      </c>
    </row>
    <row r="160" spans="1:17" ht="63" customHeight="1" x14ac:dyDescent="0.3">
      <c r="A160" s="60"/>
      <c r="B160" s="61">
        <f t="shared" si="7"/>
        <v>157</v>
      </c>
      <c r="C160" s="62"/>
      <c r="D160" s="62"/>
      <c r="E160" s="63"/>
      <c r="F160" s="63"/>
      <c r="G160" s="63"/>
      <c r="H160" s="64">
        <f t="shared" si="6"/>
        <v>0</v>
      </c>
      <c r="I160" s="63"/>
      <c r="J160" s="65">
        <f t="shared" si="8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>
        <f>工程基本資料!$B$8+工程基本資料!$B$7+$L160+$M160-1</f>
        <v>-1</v>
      </c>
      <c r="Q160" s="9">
        <v>0</v>
      </c>
    </row>
    <row r="161" spans="1:17" ht="63" customHeight="1" x14ac:dyDescent="0.3">
      <c r="A161" s="60"/>
      <c r="B161" s="61">
        <f t="shared" si="7"/>
        <v>158</v>
      </c>
      <c r="C161" s="62"/>
      <c r="D161" s="62"/>
      <c r="E161" s="63"/>
      <c r="F161" s="63"/>
      <c r="G161" s="63"/>
      <c r="H161" s="64">
        <f t="shared" si="6"/>
        <v>0</v>
      </c>
      <c r="I161" s="63"/>
      <c r="J161" s="65">
        <f t="shared" si="8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>
        <f>工程基本資料!$B$8+工程基本資料!$B$7+$L161+$M161-1</f>
        <v>-1</v>
      </c>
      <c r="Q161" s="9">
        <v>0</v>
      </c>
    </row>
    <row r="162" spans="1:17" ht="63" customHeight="1" x14ac:dyDescent="0.3">
      <c r="A162" s="60"/>
      <c r="B162" s="61">
        <f t="shared" si="7"/>
        <v>159</v>
      </c>
      <c r="C162" s="62"/>
      <c r="D162" s="62"/>
      <c r="E162" s="63"/>
      <c r="F162" s="63"/>
      <c r="G162" s="63"/>
      <c r="H162" s="64">
        <f t="shared" si="6"/>
        <v>0</v>
      </c>
      <c r="I162" s="63"/>
      <c r="J162" s="65">
        <f t="shared" si="8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>
        <f>工程基本資料!$B$8+工程基本資料!$B$7+$L162+$M162-1</f>
        <v>-1</v>
      </c>
      <c r="Q162" s="9">
        <v>0</v>
      </c>
    </row>
    <row r="163" spans="1:17" ht="63" customHeight="1" x14ac:dyDescent="0.3">
      <c r="A163" s="60"/>
      <c r="B163" s="61">
        <f t="shared" si="7"/>
        <v>160</v>
      </c>
      <c r="C163" s="62"/>
      <c r="D163" s="62"/>
      <c r="E163" s="63"/>
      <c r="F163" s="63"/>
      <c r="G163" s="63"/>
      <c r="H163" s="64">
        <f t="shared" si="6"/>
        <v>0</v>
      </c>
      <c r="I163" s="63"/>
      <c r="J163" s="65">
        <f t="shared" si="8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>
        <f>工程基本資料!$B$8+工程基本資料!$B$7+$L163+$M163-1</f>
        <v>-1</v>
      </c>
      <c r="Q163" s="9">
        <v>0</v>
      </c>
    </row>
    <row r="164" spans="1:17" ht="63" customHeight="1" x14ac:dyDescent="0.3">
      <c r="A164" s="60"/>
      <c r="B164" s="61">
        <f t="shared" si="7"/>
        <v>161</v>
      </c>
      <c r="C164" s="62"/>
      <c r="D164" s="62"/>
      <c r="E164" s="63"/>
      <c r="F164" s="63"/>
      <c r="G164" s="63"/>
      <c r="H164" s="64">
        <f t="shared" si="6"/>
        <v>0</v>
      </c>
      <c r="I164" s="63"/>
      <c r="J164" s="65">
        <f t="shared" si="8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>
        <f>工程基本資料!$B$8+工程基本資料!$B$7+$L164+$M164-1</f>
        <v>-1</v>
      </c>
      <c r="Q164" s="9">
        <v>0</v>
      </c>
    </row>
    <row r="165" spans="1:17" ht="63" customHeight="1" x14ac:dyDescent="0.3">
      <c r="A165" s="60"/>
      <c r="B165" s="61">
        <f t="shared" si="7"/>
        <v>162</v>
      </c>
      <c r="C165" s="62"/>
      <c r="D165" s="62"/>
      <c r="E165" s="63"/>
      <c r="F165" s="63"/>
      <c r="G165" s="63"/>
      <c r="H165" s="64">
        <f t="shared" si="6"/>
        <v>0</v>
      </c>
      <c r="I165" s="63"/>
      <c r="J165" s="65">
        <f t="shared" si="8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>
        <f>工程基本資料!$B$8+工程基本資料!$B$7+$L165+$M165-1</f>
        <v>-1</v>
      </c>
      <c r="Q165" s="9">
        <v>0</v>
      </c>
    </row>
    <row r="166" spans="1:17" ht="63" customHeight="1" x14ac:dyDescent="0.3">
      <c r="A166" s="60"/>
      <c r="B166" s="61">
        <f t="shared" si="7"/>
        <v>163</v>
      </c>
      <c r="C166" s="62"/>
      <c r="D166" s="62"/>
      <c r="E166" s="63"/>
      <c r="F166" s="63"/>
      <c r="G166" s="63"/>
      <c r="H166" s="64">
        <f t="shared" si="6"/>
        <v>0</v>
      </c>
      <c r="I166" s="63"/>
      <c r="J166" s="65">
        <f t="shared" si="8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>
        <f>工程基本資料!$B$8+工程基本資料!$B$7+$L166+$M166-1</f>
        <v>-1</v>
      </c>
      <c r="Q166" s="9">
        <v>0</v>
      </c>
    </row>
    <row r="167" spans="1:17" ht="63" customHeight="1" x14ac:dyDescent="0.3">
      <c r="A167" s="60"/>
      <c r="B167" s="61">
        <f t="shared" si="7"/>
        <v>164</v>
      </c>
      <c r="C167" s="62"/>
      <c r="D167" s="62"/>
      <c r="E167" s="63"/>
      <c r="F167" s="63"/>
      <c r="G167" s="63"/>
      <c r="H167" s="64">
        <f t="shared" si="6"/>
        <v>0</v>
      </c>
      <c r="I167" s="63"/>
      <c r="J167" s="65">
        <f t="shared" si="8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>
        <f>工程基本資料!$B$8+工程基本資料!$B$7+$L167+$M167-1</f>
        <v>-1</v>
      </c>
      <c r="Q167" s="9">
        <v>0</v>
      </c>
    </row>
    <row r="168" spans="1:17" ht="63" customHeight="1" x14ac:dyDescent="0.3">
      <c r="A168" s="60"/>
      <c r="B168" s="61">
        <f t="shared" si="7"/>
        <v>165</v>
      </c>
      <c r="C168" s="62"/>
      <c r="D168" s="62"/>
      <c r="E168" s="63"/>
      <c r="F168" s="63"/>
      <c r="G168" s="63"/>
      <c r="H168" s="64">
        <f t="shared" si="6"/>
        <v>0</v>
      </c>
      <c r="I168" s="63"/>
      <c r="J168" s="65">
        <f t="shared" si="8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>
        <f>工程基本資料!$B$8+工程基本資料!$B$7+$L168+$M168-1</f>
        <v>-1</v>
      </c>
      <c r="Q168" s="9">
        <v>0</v>
      </c>
    </row>
    <row r="169" spans="1:17" ht="63" customHeight="1" x14ac:dyDescent="0.3">
      <c r="A169" s="60"/>
      <c r="B169" s="61">
        <f t="shared" si="7"/>
        <v>166</v>
      </c>
      <c r="C169" s="62"/>
      <c r="D169" s="62"/>
      <c r="E169" s="63"/>
      <c r="F169" s="63"/>
      <c r="G169" s="63"/>
      <c r="H169" s="64">
        <f t="shared" si="6"/>
        <v>0</v>
      </c>
      <c r="I169" s="63"/>
      <c r="J169" s="65">
        <f t="shared" si="8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>
        <f>工程基本資料!$B$8+工程基本資料!$B$7+$L169+$M169-1</f>
        <v>-1</v>
      </c>
      <c r="Q169" s="9">
        <v>0</v>
      </c>
    </row>
    <row r="170" spans="1:17" ht="63" customHeight="1" x14ac:dyDescent="0.3">
      <c r="A170" s="60"/>
      <c r="B170" s="61">
        <f t="shared" si="7"/>
        <v>167</v>
      </c>
      <c r="C170" s="62"/>
      <c r="D170" s="62"/>
      <c r="E170" s="63"/>
      <c r="F170" s="63"/>
      <c r="G170" s="63"/>
      <c r="H170" s="64">
        <f t="shared" si="6"/>
        <v>0</v>
      </c>
      <c r="I170" s="63"/>
      <c r="J170" s="65">
        <f t="shared" si="8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>
        <f>工程基本資料!$B$8+工程基本資料!$B$7+$L170+$M170-1</f>
        <v>-1</v>
      </c>
      <c r="Q170" s="9">
        <v>0</v>
      </c>
    </row>
    <row r="171" spans="1:17" ht="63" customHeight="1" x14ac:dyDescent="0.3">
      <c r="A171" s="60"/>
      <c r="B171" s="61">
        <f t="shared" si="7"/>
        <v>168</v>
      </c>
      <c r="C171" s="62"/>
      <c r="D171" s="62"/>
      <c r="E171" s="63"/>
      <c r="F171" s="63"/>
      <c r="G171" s="63"/>
      <c r="H171" s="64">
        <f t="shared" si="6"/>
        <v>0</v>
      </c>
      <c r="I171" s="63"/>
      <c r="J171" s="65">
        <f t="shared" si="8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>
        <f>工程基本資料!$B$8+工程基本資料!$B$7+$L171+$M171-1</f>
        <v>-1</v>
      </c>
      <c r="Q171" s="9">
        <v>0</v>
      </c>
    </row>
    <row r="172" spans="1:17" ht="63" customHeight="1" x14ac:dyDescent="0.3">
      <c r="A172" s="60"/>
      <c r="B172" s="61">
        <f t="shared" si="7"/>
        <v>169</v>
      </c>
      <c r="C172" s="62"/>
      <c r="D172" s="62"/>
      <c r="E172" s="63"/>
      <c r="F172" s="63"/>
      <c r="G172" s="63"/>
      <c r="H172" s="64">
        <f t="shared" si="6"/>
        <v>0</v>
      </c>
      <c r="I172" s="63"/>
      <c r="J172" s="65">
        <f t="shared" si="8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>
        <f>工程基本資料!$B$8+工程基本資料!$B$7+$L172+$M172-1</f>
        <v>-1</v>
      </c>
      <c r="Q172" s="9">
        <v>0</v>
      </c>
    </row>
    <row r="173" spans="1:17" ht="63" customHeight="1" x14ac:dyDescent="0.3">
      <c r="A173" s="60"/>
      <c r="B173" s="61">
        <f t="shared" si="7"/>
        <v>170</v>
      </c>
      <c r="C173" s="62"/>
      <c r="D173" s="62"/>
      <c r="E173" s="63"/>
      <c r="F173" s="63"/>
      <c r="G173" s="63"/>
      <c r="H173" s="64">
        <f t="shared" si="6"/>
        <v>0</v>
      </c>
      <c r="I173" s="63"/>
      <c r="J173" s="65">
        <f t="shared" si="8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>
        <f>工程基本資料!$B$8+工程基本資料!$B$7+$L173+$M173-1</f>
        <v>-1</v>
      </c>
      <c r="Q173" s="9">
        <v>0</v>
      </c>
    </row>
    <row r="174" spans="1:17" ht="63" customHeight="1" x14ac:dyDescent="0.3">
      <c r="A174" s="60"/>
      <c r="B174" s="61">
        <f t="shared" si="7"/>
        <v>171</v>
      </c>
      <c r="C174" s="62"/>
      <c r="D174" s="62"/>
      <c r="E174" s="63"/>
      <c r="F174" s="63"/>
      <c r="G174" s="63"/>
      <c r="H174" s="64">
        <f t="shared" si="6"/>
        <v>0</v>
      </c>
      <c r="I174" s="63"/>
      <c r="J174" s="65">
        <f t="shared" si="8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>
        <f>工程基本資料!$B$8+工程基本資料!$B$7+$L174+$M174-1</f>
        <v>-1</v>
      </c>
      <c r="Q174" s="9">
        <v>0</v>
      </c>
    </row>
    <row r="175" spans="1:17" ht="63" customHeight="1" x14ac:dyDescent="0.3">
      <c r="A175" s="60"/>
      <c r="B175" s="61">
        <f t="shared" si="7"/>
        <v>172</v>
      </c>
      <c r="C175" s="62"/>
      <c r="D175" s="62"/>
      <c r="E175" s="63"/>
      <c r="F175" s="63"/>
      <c r="G175" s="63"/>
      <c r="H175" s="64">
        <f t="shared" si="6"/>
        <v>0</v>
      </c>
      <c r="I175" s="63"/>
      <c r="J175" s="65">
        <f t="shared" si="8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>
        <f>工程基本資料!$B$8+工程基本資料!$B$7+$L175+$M175-1</f>
        <v>-1</v>
      </c>
      <c r="Q175" s="9">
        <v>0</v>
      </c>
    </row>
    <row r="176" spans="1:17" ht="63" customHeight="1" x14ac:dyDescent="0.3">
      <c r="A176" s="60"/>
      <c r="B176" s="61">
        <f t="shared" si="7"/>
        <v>173</v>
      </c>
      <c r="C176" s="62"/>
      <c r="D176" s="62"/>
      <c r="E176" s="63"/>
      <c r="F176" s="63"/>
      <c r="G176" s="63"/>
      <c r="H176" s="64">
        <f t="shared" si="6"/>
        <v>0</v>
      </c>
      <c r="I176" s="63"/>
      <c r="J176" s="65">
        <f t="shared" si="8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>
        <f>工程基本資料!$B$8+工程基本資料!$B$7+$L176+$M176-1</f>
        <v>-1</v>
      </c>
      <c r="Q176" s="9">
        <v>0</v>
      </c>
    </row>
    <row r="177" spans="1:17" ht="63" customHeight="1" x14ac:dyDescent="0.3">
      <c r="A177" s="60"/>
      <c r="B177" s="61">
        <f t="shared" si="7"/>
        <v>174</v>
      </c>
      <c r="C177" s="62"/>
      <c r="D177" s="62"/>
      <c r="E177" s="63"/>
      <c r="F177" s="63"/>
      <c r="G177" s="63"/>
      <c r="H177" s="64">
        <f t="shared" si="6"/>
        <v>0</v>
      </c>
      <c r="I177" s="63"/>
      <c r="J177" s="65">
        <f t="shared" si="8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>
        <f>工程基本資料!$B$8+工程基本資料!$B$7+$L177+$M177-1</f>
        <v>-1</v>
      </c>
      <c r="Q177" s="9">
        <v>0</v>
      </c>
    </row>
    <row r="178" spans="1:17" ht="63" customHeight="1" x14ac:dyDescent="0.3">
      <c r="A178" s="60"/>
      <c r="B178" s="61">
        <f t="shared" si="7"/>
        <v>175</v>
      </c>
      <c r="C178" s="62"/>
      <c r="D178" s="62"/>
      <c r="E178" s="63"/>
      <c r="F178" s="63"/>
      <c r="G178" s="63"/>
      <c r="H178" s="64">
        <f t="shared" si="6"/>
        <v>0</v>
      </c>
      <c r="I178" s="63"/>
      <c r="J178" s="65">
        <f t="shared" si="8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>
        <f>工程基本資料!$B$8+工程基本資料!$B$7+$L178+$M178-1</f>
        <v>-1</v>
      </c>
      <c r="Q178" s="9">
        <v>0</v>
      </c>
    </row>
    <row r="179" spans="1:17" ht="63" customHeight="1" x14ac:dyDescent="0.3">
      <c r="A179" s="60"/>
      <c r="B179" s="61">
        <f t="shared" si="7"/>
        <v>176</v>
      </c>
      <c r="C179" s="62"/>
      <c r="D179" s="62"/>
      <c r="E179" s="63"/>
      <c r="F179" s="63"/>
      <c r="G179" s="63"/>
      <c r="H179" s="64">
        <f t="shared" si="6"/>
        <v>0</v>
      </c>
      <c r="I179" s="63"/>
      <c r="J179" s="65">
        <f t="shared" si="8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>
        <f>工程基本資料!$B$8+工程基本資料!$B$7+$L179+$M179-1</f>
        <v>-1</v>
      </c>
      <c r="Q179" s="9">
        <v>0</v>
      </c>
    </row>
    <row r="180" spans="1:17" ht="63" customHeight="1" x14ac:dyDescent="0.3">
      <c r="A180" s="60"/>
      <c r="B180" s="61">
        <f t="shared" si="7"/>
        <v>177</v>
      </c>
      <c r="C180" s="62"/>
      <c r="D180" s="62"/>
      <c r="E180" s="63"/>
      <c r="F180" s="63"/>
      <c r="G180" s="63"/>
      <c r="H180" s="64">
        <f t="shared" si="6"/>
        <v>0</v>
      </c>
      <c r="I180" s="63"/>
      <c r="J180" s="65">
        <f t="shared" si="8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>
        <f>工程基本資料!$B$8+工程基本資料!$B$7+$L180+$M180-1</f>
        <v>-1</v>
      </c>
      <c r="Q180" s="9">
        <v>0</v>
      </c>
    </row>
    <row r="181" spans="1:17" ht="63" customHeight="1" x14ac:dyDescent="0.3">
      <c r="A181" s="60"/>
      <c r="B181" s="61">
        <f t="shared" si="7"/>
        <v>178</v>
      </c>
      <c r="C181" s="62"/>
      <c r="D181" s="62"/>
      <c r="E181" s="63"/>
      <c r="F181" s="63"/>
      <c r="G181" s="63"/>
      <c r="H181" s="64">
        <f t="shared" si="6"/>
        <v>0</v>
      </c>
      <c r="I181" s="63"/>
      <c r="J181" s="65">
        <f t="shared" si="8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>
        <f>工程基本資料!$B$8+工程基本資料!$B$7+$L181+$M181-1</f>
        <v>-1</v>
      </c>
      <c r="Q181" s="9">
        <v>0</v>
      </c>
    </row>
    <row r="182" spans="1:17" ht="63" customHeight="1" x14ac:dyDescent="0.3">
      <c r="A182" s="60"/>
      <c r="B182" s="61">
        <f t="shared" si="7"/>
        <v>179</v>
      </c>
      <c r="C182" s="62"/>
      <c r="D182" s="62"/>
      <c r="E182" s="63"/>
      <c r="F182" s="63"/>
      <c r="G182" s="63"/>
      <c r="H182" s="64">
        <f t="shared" si="6"/>
        <v>0</v>
      </c>
      <c r="I182" s="63"/>
      <c r="J182" s="65">
        <f t="shared" si="8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>
        <f>工程基本資料!$B$8+工程基本資料!$B$7+$L182+$M182-1</f>
        <v>-1</v>
      </c>
      <c r="Q182" s="9">
        <v>0</v>
      </c>
    </row>
    <row r="183" spans="1:17" ht="63" customHeight="1" x14ac:dyDescent="0.3">
      <c r="A183" s="60"/>
      <c r="B183" s="61">
        <f t="shared" si="7"/>
        <v>180</v>
      </c>
      <c r="C183" s="62"/>
      <c r="D183" s="62"/>
      <c r="E183" s="63"/>
      <c r="F183" s="63"/>
      <c r="G183" s="63"/>
      <c r="H183" s="64">
        <f t="shared" si="6"/>
        <v>0</v>
      </c>
      <c r="I183" s="63"/>
      <c r="J183" s="65">
        <f t="shared" si="8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>
        <f>工程基本資料!$B$8+工程基本資料!$B$7+$L183+$M183-1</f>
        <v>-1</v>
      </c>
      <c r="Q183" s="9">
        <v>0</v>
      </c>
    </row>
    <row r="184" spans="1:17" ht="63" customHeight="1" x14ac:dyDescent="0.3">
      <c r="A184" s="60"/>
      <c r="B184" s="61">
        <f t="shared" si="7"/>
        <v>181</v>
      </c>
      <c r="C184" s="62"/>
      <c r="D184" s="62"/>
      <c r="E184" s="63"/>
      <c r="F184" s="63"/>
      <c r="G184" s="63"/>
      <c r="H184" s="64">
        <f t="shared" si="6"/>
        <v>0</v>
      </c>
      <c r="I184" s="63"/>
      <c r="J184" s="65">
        <f t="shared" si="8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>
        <f>工程基本資料!$B$8+工程基本資料!$B$7+$L184+$M184-1</f>
        <v>-1</v>
      </c>
      <c r="Q184" s="9">
        <v>0</v>
      </c>
    </row>
    <row r="185" spans="1:17" ht="63" customHeight="1" x14ac:dyDescent="0.3">
      <c r="A185" s="60"/>
      <c r="B185" s="61">
        <f t="shared" si="7"/>
        <v>182</v>
      </c>
      <c r="C185" s="62"/>
      <c r="D185" s="62"/>
      <c r="E185" s="63"/>
      <c r="F185" s="63"/>
      <c r="G185" s="63"/>
      <c r="H185" s="64">
        <f t="shared" si="6"/>
        <v>0</v>
      </c>
      <c r="I185" s="63"/>
      <c r="J185" s="65">
        <f t="shared" si="8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>
        <f>工程基本資料!$B$8+工程基本資料!$B$7+$L185+$M185-1</f>
        <v>-1</v>
      </c>
      <c r="Q185" s="9">
        <v>0</v>
      </c>
    </row>
    <row r="186" spans="1:17" ht="63" customHeight="1" x14ac:dyDescent="0.3">
      <c r="A186" s="60"/>
      <c r="B186" s="61">
        <f t="shared" si="7"/>
        <v>183</v>
      </c>
      <c r="C186" s="62"/>
      <c r="D186" s="62"/>
      <c r="E186" s="63"/>
      <c r="F186" s="63"/>
      <c r="G186" s="63"/>
      <c r="H186" s="64">
        <f t="shared" si="6"/>
        <v>0</v>
      </c>
      <c r="I186" s="63"/>
      <c r="J186" s="65">
        <f t="shared" si="8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>
        <f>工程基本資料!$B$8+工程基本資料!$B$7+$L186+$M186-1</f>
        <v>-1</v>
      </c>
      <c r="Q186" s="9">
        <v>0</v>
      </c>
    </row>
    <row r="187" spans="1:17" ht="63" customHeight="1" x14ac:dyDescent="0.3">
      <c r="A187" s="60"/>
      <c r="B187" s="61">
        <f t="shared" si="7"/>
        <v>184</v>
      </c>
      <c r="C187" s="62"/>
      <c r="D187" s="62"/>
      <c r="E187" s="63"/>
      <c r="F187" s="63"/>
      <c r="G187" s="63"/>
      <c r="H187" s="64">
        <f t="shared" si="6"/>
        <v>0</v>
      </c>
      <c r="I187" s="63"/>
      <c r="J187" s="65">
        <f t="shared" si="8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>
        <f>工程基本資料!$B$8+工程基本資料!$B$7+$L187+$M187-1</f>
        <v>-1</v>
      </c>
      <c r="Q187" s="9">
        <v>0</v>
      </c>
    </row>
    <row r="188" spans="1:17" ht="63" customHeight="1" x14ac:dyDescent="0.3">
      <c r="A188" s="60"/>
      <c r="B188" s="61">
        <f t="shared" si="7"/>
        <v>185</v>
      </c>
      <c r="C188" s="62"/>
      <c r="D188" s="62"/>
      <c r="E188" s="63"/>
      <c r="F188" s="63"/>
      <c r="G188" s="63"/>
      <c r="H188" s="64">
        <f t="shared" si="6"/>
        <v>0</v>
      </c>
      <c r="I188" s="63"/>
      <c r="J188" s="65">
        <f t="shared" si="8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>
        <f>工程基本資料!$B$8+工程基本資料!$B$7+$L188+$M188-1</f>
        <v>-1</v>
      </c>
      <c r="Q188" s="9">
        <v>0</v>
      </c>
    </row>
    <row r="189" spans="1:17" ht="63" customHeight="1" x14ac:dyDescent="0.3">
      <c r="A189" s="60"/>
      <c r="B189" s="61">
        <f t="shared" si="7"/>
        <v>186</v>
      </c>
      <c r="C189" s="62"/>
      <c r="D189" s="62"/>
      <c r="E189" s="63"/>
      <c r="F189" s="63"/>
      <c r="G189" s="63"/>
      <c r="H189" s="64">
        <f t="shared" si="6"/>
        <v>0</v>
      </c>
      <c r="I189" s="63"/>
      <c r="J189" s="65">
        <f t="shared" si="8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>
        <f>工程基本資料!$B$8+工程基本資料!$B$7+$L189+$M189-1</f>
        <v>-1</v>
      </c>
      <c r="Q189" s="9">
        <v>0</v>
      </c>
    </row>
    <row r="190" spans="1:17" ht="63" customHeight="1" x14ac:dyDescent="0.3">
      <c r="A190" s="60"/>
      <c r="B190" s="61">
        <f t="shared" si="7"/>
        <v>187</v>
      </c>
      <c r="C190" s="62"/>
      <c r="D190" s="62"/>
      <c r="E190" s="63"/>
      <c r="F190" s="63"/>
      <c r="G190" s="63"/>
      <c r="H190" s="64">
        <f t="shared" si="6"/>
        <v>0</v>
      </c>
      <c r="I190" s="63"/>
      <c r="J190" s="65">
        <f t="shared" si="8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>
        <f>工程基本資料!$B$8+工程基本資料!$B$7+$L190+$M190-1</f>
        <v>-1</v>
      </c>
      <c r="Q190" s="9">
        <v>0</v>
      </c>
    </row>
    <row r="191" spans="1:17" ht="63" customHeight="1" x14ac:dyDescent="0.3">
      <c r="A191" s="60"/>
      <c r="B191" s="61">
        <f t="shared" si="7"/>
        <v>188</v>
      </c>
      <c r="C191" s="62"/>
      <c r="D191" s="62"/>
      <c r="E191" s="63"/>
      <c r="F191" s="63"/>
      <c r="G191" s="63"/>
      <c r="H191" s="64">
        <f t="shared" si="6"/>
        <v>0</v>
      </c>
      <c r="I191" s="63"/>
      <c r="J191" s="65">
        <f t="shared" si="8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>
        <f>工程基本資料!$B$8+工程基本資料!$B$7+$L191+$M191-1</f>
        <v>-1</v>
      </c>
      <c r="Q191" s="9">
        <v>0</v>
      </c>
    </row>
    <row r="192" spans="1:17" ht="63" customHeight="1" x14ac:dyDescent="0.3">
      <c r="A192" s="60"/>
      <c r="B192" s="61">
        <f t="shared" si="7"/>
        <v>189</v>
      </c>
      <c r="C192" s="62"/>
      <c r="D192" s="62"/>
      <c r="E192" s="63"/>
      <c r="F192" s="63"/>
      <c r="G192" s="63"/>
      <c r="H192" s="64">
        <f t="shared" si="6"/>
        <v>0</v>
      </c>
      <c r="I192" s="63"/>
      <c r="J192" s="65">
        <f t="shared" si="8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>
        <f>工程基本資料!$B$8+工程基本資料!$B$7+$L192+$M192-1</f>
        <v>-1</v>
      </c>
      <c r="Q192" s="9">
        <v>0</v>
      </c>
    </row>
    <row r="193" spans="1:17" ht="63" customHeight="1" x14ac:dyDescent="0.3">
      <c r="A193" s="60"/>
      <c r="B193" s="61">
        <f t="shared" si="7"/>
        <v>190</v>
      </c>
      <c r="C193" s="62"/>
      <c r="D193" s="62"/>
      <c r="E193" s="63"/>
      <c r="F193" s="63"/>
      <c r="G193" s="63"/>
      <c r="H193" s="64">
        <f t="shared" si="6"/>
        <v>0</v>
      </c>
      <c r="I193" s="63"/>
      <c r="J193" s="65">
        <f t="shared" si="8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>
        <f>工程基本資料!$B$8+工程基本資料!$B$7+$L193+$M193-1</f>
        <v>-1</v>
      </c>
      <c r="Q193" s="9">
        <v>0</v>
      </c>
    </row>
    <row r="194" spans="1:17" ht="63" customHeight="1" x14ac:dyDescent="0.3">
      <c r="A194" s="60"/>
      <c r="B194" s="61">
        <f t="shared" si="7"/>
        <v>191</v>
      </c>
      <c r="C194" s="62"/>
      <c r="D194" s="62"/>
      <c r="E194" s="63"/>
      <c r="F194" s="63"/>
      <c r="G194" s="63"/>
      <c r="H194" s="64">
        <f t="shared" si="6"/>
        <v>0</v>
      </c>
      <c r="I194" s="63"/>
      <c r="J194" s="65">
        <f t="shared" si="8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>
        <f>工程基本資料!$B$8+工程基本資料!$B$7+$L194+$M194-1</f>
        <v>-1</v>
      </c>
      <c r="Q194" s="9">
        <v>0</v>
      </c>
    </row>
    <row r="195" spans="1:17" ht="63" customHeight="1" x14ac:dyDescent="0.3">
      <c r="A195" s="60"/>
      <c r="B195" s="61">
        <f t="shared" si="7"/>
        <v>192</v>
      </c>
      <c r="C195" s="62"/>
      <c r="D195" s="62"/>
      <c r="E195" s="63"/>
      <c r="F195" s="63"/>
      <c r="G195" s="63"/>
      <c r="H195" s="64">
        <f t="shared" si="6"/>
        <v>0</v>
      </c>
      <c r="I195" s="63"/>
      <c r="J195" s="65">
        <f t="shared" si="8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>
        <f>工程基本資料!$B$8+工程基本資料!$B$7+$L195+$M195-1</f>
        <v>-1</v>
      </c>
      <c r="Q195" s="9">
        <v>0</v>
      </c>
    </row>
    <row r="196" spans="1:17" ht="63" customHeight="1" x14ac:dyDescent="0.3">
      <c r="A196" s="60"/>
      <c r="B196" s="61">
        <f t="shared" si="7"/>
        <v>193</v>
      </c>
      <c r="C196" s="62"/>
      <c r="D196" s="62"/>
      <c r="E196" s="63"/>
      <c r="F196" s="63"/>
      <c r="G196" s="63"/>
      <c r="H196" s="64">
        <f t="shared" ref="H196:H259" si="9">IF(Q196&gt;1,$R$3,$R$4)</f>
        <v>0</v>
      </c>
      <c r="I196" s="63"/>
      <c r="J196" s="65">
        <f t="shared" si="8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>
        <f>工程基本資料!$B$8+工程基本資料!$B$7+$L196+$M196-1</f>
        <v>-1</v>
      </c>
      <c r="Q196" s="9">
        <v>0</v>
      </c>
    </row>
    <row r="197" spans="1:17" ht="63" customHeight="1" x14ac:dyDescent="0.3">
      <c r="A197" s="60"/>
      <c r="B197" s="61">
        <f t="shared" ref="B197:B260" si="10">B196+1</f>
        <v>194</v>
      </c>
      <c r="C197" s="62"/>
      <c r="D197" s="62"/>
      <c r="E197" s="63"/>
      <c r="F197" s="63"/>
      <c r="G197" s="63"/>
      <c r="H197" s="64">
        <f t="shared" si="9"/>
        <v>0</v>
      </c>
      <c r="I197" s="63"/>
      <c r="J197" s="65">
        <f t="shared" ref="J197:J260" si="11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>
        <f>工程基本資料!$B$8+工程基本資料!$B$7+$L197+$M197-1</f>
        <v>-1</v>
      </c>
      <c r="Q197" s="9">
        <v>0</v>
      </c>
    </row>
    <row r="198" spans="1:17" ht="63" customHeight="1" x14ac:dyDescent="0.3">
      <c r="A198" s="60"/>
      <c r="B198" s="61">
        <f t="shared" si="10"/>
        <v>195</v>
      </c>
      <c r="C198" s="62"/>
      <c r="D198" s="62"/>
      <c r="E198" s="63"/>
      <c r="F198" s="63"/>
      <c r="G198" s="63"/>
      <c r="H198" s="64">
        <f t="shared" si="9"/>
        <v>0</v>
      </c>
      <c r="I198" s="63"/>
      <c r="J198" s="65">
        <f t="shared" si="11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>
        <f>工程基本資料!$B$8+工程基本資料!$B$7+$L198+$M198-1</f>
        <v>-1</v>
      </c>
      <c r="Q198" s="9">
        <v>0</v>
      </c>
    </row>
    <row r="199" spans="1:17" ht="63" customHeight="1" x14ac:dyDescent="0.3">
      <c r="A199" s="60"/>
      <c r="B199" s="61">
        <f t="shared" si="10"/>
        <v>196</v>
      </c>
      <c r="C199" s="62"/>
      <c r="D199" s="62"/>
      <c r="E199" s="63"/>
      <c r="F199" s="63"/>
      <c r="G199" s="63"/>
      <c r="H199" s="64">
        <f t="shared" si="9"/>
        <v>0</v>
      </c>
      <c r="I199" s="63"/>
      <c r="J199" s="65">
        <f t="shared" si="11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>
        <f>工程基本資料!$B$8+工程基本資料!$B$7+$L199+$M199-1</f>
        <v>-1</v>
      </c>
      <c r="Q199" s="9">
        <v>0</v>
      </c>
    </row>
    <row r="200" spans="1:17" ht="63" customHeight="1" x14ac:dyDescent="0.3">
      <c r="A200" s="60"/>
      <c r="B200" s="61">
        <f t="shared" si="10"/>
        <v>197</v>
      </c>
      <c r="C200" s="62"/>
      <c r="D200" s="62"/>
      <c r="E200" s="63"/>
      <c r="F200" s="63"/>
      <c r="G200" s="63"/>
      <c r="H200" s="64">
        <f t="shared" si="9"/>
        <v>0</v>
      </c>
      <c r="I200" s="63"/>
      <c r="J200" s="65">
        <f t="shared" si="11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>
        <f>工程基本資料!$B$8+工程基本資料!$B$7+$L200+$M200-1</f>
        <v>-1</v>
      </c>
      <c r="Q200" s="9">
        <v>0</v>
      </c>
    </row>
    <row r="201" spans="1:17" ht="63" customHeight="1" x14ac:dyDescent="0.3">
      <c r="A201" s="60"/>
      <c r="B201" s="61">
        <f t="shared" si="10"/>
        <v>198</v>
      </c>
      <c r="C201" s="62"/>
      <c r="D201" s="62"/>
      <c r="E201" s="63"/>
      <c r="F201" s="63"/>
      <c r="G201" s="63"/>
      <c r="H201" s="64">
        <f t="shared" si="9"/>
        <v>0</v>
      </c>
      <c r="I201" s="63"/>
      <c r="J201" s="65">
        <f t="shared" si="11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>
        <f>工程基本資料!$B$8+工程基本資料!$B$7+$L201+$M201-1</f>
        <v>-1</v>
      </c>
      <c r="Q201" s="9">
        <v>0</v>
      </c>
    </row>
    <row r="202" spans="1:17" ht="63" customHeight="1" x14ac:dyDescent="0.3">
      <c r="A202" s="60"/>
      <c r="B202" s="61">
        <f t="shared" si="10"/>
        <v>199</v>
      </c>
      <c r="C202" s="62"/>
      <c r="D202" s="62"/>
      <c r="E202" s="63"/>
      <c r="F202" s="63"/>
      <c r="G202" s="63"/>
      <c r="H202" s="64">
        <f t="shared" si="9"/>
        <v>0</v>
      </c>
      <c r="I202" s="63"/>
      <c r="J202" s="65">
        <f t="shared" si="11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>
        <f>工程基本資料!$B$8+工程基本資料!$B$7+$L202+$M202-1</f>
        <v>-1</v>
      </c>
      <c r="Q202" s="9">
        <v>0</v>
      </c>
    </row>
    <row r="203" spans="1:17" ht="63" customHeight="1" x14ac:dyDescent="0.3">
      <c r="A203" s="60"/>
      <c r="B203" s="61">
        <f t="shared" si="10"/>
        <v>200</v>
      </c>
      <c r="C203" s="62"/>
      <c r="D203" s="62"/>
      <c r="E203" s="63"/>
      <c r="F203" s="63"/>
      <c r="G203" s="63"/>
      <c r="H203" s="64">
        <f t="shared" si="9"/>
        <v>0</v>
      </c>
      <c r="I203" s="63"/>
      <c r="J203" s="65">
        <f t="shared" si="11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>
        <f>工程基本資料!$B$8+工程基本資料!$B$7+$L203+$M203-1</f>
        <v>-1</v>
      </c>
      <c r="Q203" s="9">
        <v>0</v>
      </c>
    </row>
    <row r="204" spans="1:17" ht="63" customHeight="1" x14ac:dyDescent="0.3">
      <c r="A204" s="60"/>
      <c r="B204" s="61">
        <f t="shared" si="10"/>
        <v>201</v>
      </c>
      <c r="C204" s="62"/>
      <c r="D204" s="62"/>
      <c r="E204" s="63"/>
      <c r="F204" s="63"/>
      <c r="G204" s="63"/>
      <c r="H204" s="64">
        <f t="shared" si="9"/>
        <v>0</v>
      </c>
      <c r="I204" s="63"/>
      <c r="J204" s="65">
        <f t="shared" si="11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>
        <f>工程基本資料!$B$8+工程基本資料!$B$7+$L204+$M204-1</f>
        <v>-1</v>
      </c>
      <c r="Q204" s="9">
        <v>0</v>
      </c>
    </row>
    <row r="205" spans="1:17" ht="63" customHeight="1" x14ac:dyDescent="0.3">
      <c r="A205" s="60"/>
      <c r="B205" s="61">
        <f t="shared" si="10"/>
        <v>202</v>
      </c>
      <c r="C205" s="62"/>
      <c r="D205" s="62"/>
      <c r="E205" s="63"/>
      <c r="F205" s="63"/>
      <c r="G205" s="63"/>
      <c r="H205" s="64">
        <f t="shared" si="9"/>
        <v>0</v>
      </c>
      <c r="I205" s="63"/>
      <c r="J205" s="65">
        <f t="shared" si="11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>
        <f>工程基本資料!$B$8+工程基本資料!$B$7+$L205+$M205-1</f>
        <v>-1</v>
      </c>
      <c r="Q205" s="9">
        <v>0</v>
      </c>
    </row>
    <row r="206" spans="1:17" ht="63" customHeight="1" x14ac:dyDescent="0.3">
      <c r="A206" s="60"/>
      <c r="B206" s="61">
        <f t="shared" si="10"/>
        <v>203</v>
      </c>
      <c r="C206" s="62"/>
      <c r="D206" s="62"/>
      <c r="E206" s="63"/>
      <c r="F206" s="63"/>
      <c r="G206" s="63"/>
      <c r="H206" s="64">
        <f t="shared" si="9"/>
        <v>0</v>
      </c>
      <c r="I206" s="63"/>
      <c r="J206" s="65">
        <f t="shared" si="11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>
        <f>工程基本資料!$B$8+工程基本資料!$B$7+$L206+$M206-1</f>
        <v>-1</v>
      </c>
      <c r="Q206" s="9">
        <v>0</v>
      </c>
    </row>
    <row r="207" spans="1:17" ht="63" customHeight="1" x14ac:dyDescent="0.3">
      <c r="A207" s="60"/>
      <c r="B207" s="61">
        <f t="shared" si="10"/>
        <v>204</v>
      </c>
      <c r="C207" s="62"/>
      <c r="D207" s="62"/>
      <c r="E207" s="63"/>
      <c r="F207" s="63"/>
      <c r="G207" s="63"/>
      <c r="H207" s="64">
        <f t="shared" si="9"/>
        <v>0</v>
      </c>
      <c r="I207" s="63"/>
      <c r="J207" s="65">
        <f t="shared" si="11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>
        <f>工程基本資料!$B$8+工程基本資料!$B$7+$L207+$M207-1</f>
        <v>-1</v>
      </c>
      <c r="Q207" s="9">
        <v>0</v>
      </c>
    </row>
    <row r="208" spans="1:17" ht="63" customHeight="1" x14ac:dyDescent="0.3">
      <c r="A208" s="60"/>
      <c r="B208" s="61">
        <f t="shared" si="10"/>
        <v>205</v>
      </c>
      <c r="C208" s="62"/>
      <c r="D208" s="62"/>
      <c r="E208" s="63"/>
      <c r="F208" s="63"/>
      <c r="G208" s="63"/>
      <c r="H208" s="64">
        <f t="shared" si="9"/>
        <v>0</v>
      </c>
      <c r="I208" s="63"/>
      <c r="J208" s="65">
        <f t="shared" si="11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>
        <f>工程基本資料!$B$8+工程基本資料!$B$7+$L208+$M208-1</f>
        <v>-1</v>
      </c>
      <c r="Q208" s="9">
        <v>0</v>
      </c>
    </row>
    <row r="209" spans="1:17" ht="63" customHeight="1" x14ac:dyDescent="0.3">
      <c r="A209" s="60"/>
      <c r="B209" s="61">
        <f t="shared" si="10"/>
        <v>206</v>
      </c>
      <c r="C209" s="62"/>
      <c r="D209" s="62"/>
      <c r="E209" s="63"/>
      <c r="F209" s="63"/>
      <c r="G209" s="63"/>
      <c r="H209" s="64">
        <f t="shared" si="9"/>
        <v>0</v>
      </c>
      <c r="I209" s="63"/>
      <c r="J209" s="65">
        <f t="shared" si="11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>
        <f>工程基本資料!$B$8+工程基本資料!$B$7+$L209+$M209-1</f>
        <v>-1</v>
      </c>
      <c r="Q209" s="9">
        <v>0</v>
      </c>
    </row>
    <row r="210" spans="1:17" ht="63" customHeight="1" x14ac:dyDescent="0.3">
      <c r="A210" s="60"/>
      <c r="B210" s="61">
        <f t="shared" si="10"/>
        <v>207</v>
      </c>
      <c r="C210" s="62"/>
      <c r="D210" s="62"/>
      <c r="E210" s="63"/>
      <c r="F210" s="63"/>
      <c r="G210" s="63"/>
      <c r="H210" s="64">
        <f t="shared" si="9"/>
        <v>0</v>
      </c>
      <c r="I210" s="63"/>
      <c r="J210" s="65">
        <f t="shared" si="11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>
        <f>工程基本資料!$B$8+工程基本資料!$B$7+$L210+$M210-1</f>
        <v>-1</v>
      </c>
      <c r="Q210" s="9">
        <v>0</v>
      </c>
    </row>
    <row r="211" spans="1:17" ht="63" customHeight="1" x14ac:dyDescent="0.3">
      <c r="A211" s="60"/>
      <c r="B211" s="61">
        <f t="shared" si="10"/>
        <v>208</v>
      </c>
      <c r="C211" s="62"/>
      <c r="D211" s="62"/>
      <c r="E211" s="63"/>
      <c r="F211" s="63"/>
      <c r="G211" s="63"/>
      <c r="H211" s="64">
        <f t="shared" si="9"/>
        <v>0</v>
      </c>
      <c r="I211" s="63"/>
      <c r="J211" s="65">
        <f t="shared" si="11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>
        <f>工程基本資料!$B$8+工程基本資料!$B$7+$L211+$M211-1</f>
        <v>-1</v>
      </c>
      <c r="Q211" s="9">
        <v>0</v>
      </c>
    </row>
    <row r="212" spans="1:17" ht="63" customHeight="1" x14ac:dyDescent="0.3">
      <c r="A212" s="60"/>
      <c r="B212" s="61">
        <f t="shared" si="10"/>
        <v>209</v>
      </c>
      <c r="C212" s="62"/>
      <c r="D212" s="62"/>
      <c r="E212" s="63"/>
      <c r="F212" s="63"/>
      <c r="G212" s="63"/>
      <c r="H212" s="64">
        <f t="shared" si="9"/>
        <v>0</v>
      </c>
      <c r="I212" s="63"/>
      <c r="J212" s="65">
        <f t="shared" si="11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>
        <f>工程基本資料!$B$8+工程基本資料!$B$7+$L212+$M212-1</f>
        <v>-1</v>
      </c>
      <c r="Q212" s="9">
        <v>0</v>
      </c>
    </row>
    <row r="213" spans="1:17" ht="63" customHeight="1" x14ac:dyDescent="0.3">
      <c r="A213" s="60"/>
      <c r="B213" s="61">
        <f t="shared" si="10"/>
        <v>210</v>
      </c>
      <c r="C213" s="62"/>
      <c r="D213" s="62"/>
      <c r="E213" s="63"/>
      <c r="F213" s="63"/>
      <c r="G213" s="63"/>
      <c r="H213" s="64">
        <f t="shared" si="9"/>
        <v>0</v>
      </c>
      <c r="I213" s="63"/>
      <c r="J213" s="65">
        <f t="shared" si="11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>
        <f>工程基本資料!$B$8+工程基本資料!$B$7+$L213+$M213-1</f>
        <v>-1</v>
      </c>
      <c r="Q213" s="9">
        <v>0</v>
      </c>
    </row>
    <row r="214" spans="1:17" ht="63" customHeight="1" x14ac:dyDescent="0.3">
      <c r="A214" s="60"/>
      <c r="B214" s="61">
        <f t="shared" si="10"/>
        <v>211</v>
      </c>
      <c r="C214" s="62"/>
      <c r="D214" s="62"/>
      <c r="E214" s="63"/>
      <c r="F214" s="63"/>
      <c r="G214" s="63"/>
      <c r="H214" s="64">
        <f t="shared" si="9"/>
        <v>0</v>
      </c>
      <c r="I214" s="63"/>
      <c r="J214" s="65">
        <f t="shared" si="11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>
        <f>工程基本資料!$B$8+工程基本資料!$B$7+$L214+$M214-1</f>
        <v>-1</v>
      </c>
      <c r="Q214" s="9">
        <v>0</v>
      </c>
    </row>
    <row r="215" spans="1:17" ht="63" customHeight="1" x14ac:dyDescent="0.3">
      <c r="A215" s="60"/>
      <c r="B215" s="61">
        <f t="shared" si="10"/>
        <v>212</v>
      </c>
      <c r="C215" s="62"/>
      <c r="D215" s="62"/>
      <c r="E215" s="63"/>
      <c r="F215" s="63"/>
      <c r="G215" s="63"/>
      <c r="H215" s="64">
        <f t="shared" si="9"/>
        <v>0</v>
      </c>
      <c r="I215" s="63"/>
      <c r="J215" s="65">
        <f t="shared" si="11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>
        <f>工程基本資料!$B$8+工程基本資料!$B$7+$L215+$M215-1</f>
        <v>-1</v>
      </c>
      <c r="Q215" s="9">
        <v>0</v>
      </c>
    </row>
    <row r="216" spans="1:17" ht="63" customHeight="1" x14ac:dyDescent="0.3">
      <c r="A216" s="60"/>
      <c r="B216" s="61">
        <f t="shared" si="10"/>
        <v>213</v>
      </c>
      <c r="C216" s="62"/>
      <c r="D216" s="62"/>
      <c r="E216" s="63"/>
      <c r="F216" s="63"/>
      <c r="G216" s="63"/>
      <c r="H216" s="64">
        <f t="shared" si="9"/>
        <v>0</v>
      </c>
      <c r="I216" s="63"/>
      <c r="J216" s="65">
        <f t="shared" si="11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>
        <f>工程基本資料!$B$8+工程基本資料!$B$7+$L216+$M216-1</f>
        <v>-1</v>
      </c>
      <c r="Q216" s="9">
        <v>0</v>
      </c>
    </row>
    <row r="217" spans="1:17" ht="63" customHeight="1" x14ac:dyDescent="0.3">
      <c r="A217" s="60"/>
      <c r="B217" s="61">
        <f t="shared" si="10"/>
        <v>214</v>
      </c>
      <c r="C217" s="62"/>
      <c r="D217" s="62"/>
      <c r="E217" s="63"/>
      <c r="F217" s="63"/>
      <c r="G217" s="63"/>
      <c r="H217" s="64">
        <f t="shared" si="9"/>
        <v>0</v>
      </c>
      <c r="I217" s="63"/>
      <c r="J217" s="65">
        <f t="shared" si="11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>
        <f>工程基本資料!$B$8+工程基本資料!$B$7+$L217+$M217-1</f>
        <v>-1</v>
      </c>
      <c r="Q217" s="9">
        <v>0</v>
      </c>
    </row>
    <row r="218" spans="1:17" ht="63" customHeight="1" x14ac:dyDescent="0.3">
      <c r="A218" s="60"/>
      <c r="B218" s="61">
        <f t="shared" si="10"/>
        <v>215</v>
      </c>
      <c r="C218" s="62"/>
      <c r="D218" s="62"/>
      <c r="E218" s="63"/>
      <c r="F218" s="63"/>
      <c r="G218" s="63"/>
      <c r="H218" s="64">
        <f t="shared" si="9"/>
        <v>0</v>
      </c>
      <c r="I218" s="63"/>
      <c r="J218" s="65">
        <f t="shared" si="11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>
        <f>工程基本資料!$B$8+工程基本資料!$B$7+$L218+$M218-1</f>
        <v>-1</v>
      </c>
      <c r="Q218" s="9">
        <v>0</v>
      </c>
    </row>
    <row r="219" spans="1:17" ht="63" customHeight="1" x14ac:dyDescent="0.3">
      <c r="A219" s="60"/>
      <c r="B219" s="61">
        <f t="shared" si="10"/>
        <v>216</v>
      </c>
      <c r="C219" s="62"/>
      <c r="D219" s="62"/>
      <c r="E219" s="63"/>
      <c r="F219" s="63"/>
      <c r="G219" s="63"/>
      <c r="H219" s="64">
        <f t="shared" si="9"/>
        <v>0</v>
      </c>
      <c r="I219" s="63"/>
      <c r="J219" s="65">
        <f t="shared" si="11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>
        <f>工程基本資料!$B$8+工程基本資料!$B$7+$L219+$M219-1</f>
        <v>-1</v>
      </c>
      <c r="Q219" s="9">
        <v>0</v>
      </c>
    </row>
    <row r="220" spans="1:17" ht="63" customHeight="1" x14ac:dyDescent="0.3">
      <c r="A220" s="60"/>
      <c r="B220" s="61">
        <f t="shared" si="10"/>
        <v>217</v>
      </c>
      <c r="C220" s="62"/>
      <c r="D220" s="62"/>
      <c r="E220" s="63"/>
      <c r="F220" s="63"/>
      <c r="G220" s="63"/>
      <c r="H220" s="64">
        <f t="shared" si="9"/>
        <v>0</v>
      </c>
      <c r="I220" s="63"/>
      <c r="J220" s="65">
        <f t="shared" si="11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>
        <f>工程基本資料!$B$8+工程基本資料!$B$7+$L220+$M220-1</f>
        <v>-1</v>
      </c>
      <c r="Q220" s="9">
        <v>0</v>
      </c>
    </row>
    <row r="221" spans="1:17" ht="63" customHeight="1" x14ac:dyDescent="0.3">
      <c r="A221" s="60"/>
      <c r="B221" s="61">
        <f t="shared" si="10"/>
        <v>218</v>
      </c>
      <c r="C221" s="62"/>
      <c r="D221" s="62"/>
      <c r="E221" s="63"/>
      <c r="F221" s="63"/>
      <c r="G221" s="63"/>
      <c r="H221" s="64">
        <f t="shared" si="9"/>
        <v>0</v>
      </c>
      <c r="I221" s="63"/>
      <c r="J221" s="65">
        <f t="shared" si="11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>
        <f>工程基本資料!$B$8+工程基本資料!$B$7+$L221+$M221-1</f>
        <v>-1</v>
      </c>
      <c r="Q221" s="9">
        <v>0</v>
      </c>
    </row>
    <row r="222" spans="1:17" ht="63" customHeight="1" x14ac:dyDescent="0.3">
      <c r="A222" s="60"/>
      <c r="B222" s="61">
        <f t="shared" si="10"/>
        <v>219</v>
      </c>
      <c r="C222" s="62"/>
      <c r="D222" s="62"/>
      <c r="E222" s="63"/>
      <c r="F222" s="63"/>
      <c r="G222" s="63"/>
      <c r="H222" s="64">
        <f t="shared" si="9"/>
        <v>0</v>
      </c>
      <c r="I222" s="63"/>
      <c r="J222" s="65">
        <f t="shared" si="11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>
        <f>工程基本資料!$B$8+工程基本資料!$B$7+$L222+$M222-1</f>
        <v>-1</v>
      </c>
      <c r="Q222" s="9">
        <v>0</v>
      </c>
    </row>
    <row r="223" spans="1:17" ht="63" customHeight="1" x14ac:dyDescent="0.3">
      <c r="A223" s="60"/>
      <c r="B223" s="61">
        <f t="shared" si="10"/>
        <v>220</v>
      </c>
      <c r="C223" s="62"/>
      <c r="D223" s="62"/>
      <c r="E223" s="63"/>
      <c r="F223" s="63"/>
      <c r="G223" s="63"/>
      <c r="H223" s="64">
        <f t="shared" si="9"/>
        <v>0</v>
      </c>
      <c r="I223" s="63"/>
      <c r="J223" s="65">
        <f t="shared" si="11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>
        <f>工程基本資料!$B$8+工程基本資料!$B$7+$L223+$M223-1</f>
        <v>-1</v>
      </c>
      <c r="Q223" s="9">
        <v>0</v>
      </c>
    </row>
    <row r="224" spans="1:17" ht="63" customHeight="1" x14ac:dyDescent="0.3">
      <c r="A224" s="60"/>
      <c r="B224" s="61">
        <f t="shared" si="10"/>
        <v>221</v>
      </c>
      <c r="C224" s="62"/>
      <c r="D224" s="62"/>
      <c r="E224" s="63"/>
      <c r="F224" s="63"/>
      <c r="G224" s="63"/>
      <c r="H224" s="64">
        <f t="shared" si="9"/>
        <v>0</v>
      </c>
      <c r="I224" s="63"/>
      <c r="J224" s="65">
        <f t="shared" si="11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>
        <f>工程基本資料!$B$8+工程基本資料!$B$7+$L224+$M224-1</f>
        <v>-1</v>
      </c>
      <c r="Q224" s="9">
        <v>0</v>
      </c>
    </row>
    <row r="225" spans="1:17" ht="63" customHeight="1" x14ac:dyDescent="0.3">
      <c r="A225" s="60"/>
      <c r="B225" s="61">
        <f t="shared" si="10"/>
        <v>222</v>
      </c>
      <c r="C225" s="62"/>
      <c r="D225" s="62"/>
      <c r="E225" s="63"/>
      <c r="F225" s="63"/>
      <c r="G225" s="63"/>
      <c r="H225" s="64">
        <f t="shared" si="9"/>
        <v>0</v>
      </c>
      <c r="I225" s="63"/>
      <c r="J225" s="65">
        <f t="shared" si="11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>
        <f>工程基本資料!$B$8+工程基本資料!$B$7+$L225+$M225-1</f>
        <v>-1</v>
      </c>
      <c r="Q225" s="9">
        <v>0</v>
      </c>
    </row>
    <row r="226" spans="1:17" ht="63" customHeight="1" x14ac:dyDescent="0.3">
      <c r="A226" s="60"/>
      <c r="B226" s="61">
        <f t="shared" si="10"/>
        <v>223</v>
      </c>
      <c r="C226" s="62"/>
      <c r="D226" s="62"/>
      <c r="E226" s="63"/>
      <c r="F226" s="63"/>
      <c r="G226" s="63"/>
      <c r="H226" s="64">
        <f t="shared" si="9"/>
        <v>0</v>
      </c>
      <c r="I226" s="63"/>
      <c r="J226" s="65">
        <f t="shared" si="11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>
        <f>工程基本資料!$B$8+工程基本資料!$B$7+$L226+$M226-1</f>
        <v>-1</v>
      </c>
      <c r="Q226" s="9">
        <v>0</v>
      </c>
    </row>
    <row r="227" spans="1:17" ht="63" customHeight="1" x14ac:dyDescent="0.3">
      <c r="A227" s="60"/>
      <c r="B227" s="61">
        <f t="shared" si="10"/>
        <v>224</v>
      </c>
      <c r="C227" s="62"/>
      <c r="D227" s="62"/>
      <c r="E227" s="63"/>
      <c r="F227" s="63"/>
      <c r="G227" s="63"/>
      <c r="H227" s="64">
        <f t="shared" si="9"/>
        <v>0</v>
      </c>
      <c r="I227" s="63"/>
      <c r="J227" s="65">
        <f t="shared" si="11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>
        <f>工程基本資料!$B$8+工程基本資料!$B$7+$L227+$M227-1</f>
        <v>-1</v>
      </c>
      <c r="Q227" s="9">
        <v>0</v>
      </c>
    </row>
    <row r="228" spans="1:17" ht="63" customHeight="1" x14ac:dyDescent="0.3">
      <c r="A228" s="60"/>
      <c r="B228" s="61">
        <f t="shared" si="10"/>
        <v>225</v>
      </c>
      <c r="C228" s="62"/>
      <c r="D228" s="62"/>
      <c r="E228" s="63"/>
      <c r="F228" s="63"/>
      <c r="G228" s="63"/>
      <c r="H228" s="64">
        <f t="shared" si="9"/>
        <v>0</v>
      </c>
      <c r="I228" s="63"/>
      <c r="J228" s="65">
        <f t="shared" si="11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>
        <f>工程基本資料!$B$8+工程基本資料!$B$7+$L228+$M228-1</f>
        <v>-1</v>
      </c>
      <c r="Q228" s="9">
        <v>0</v>
      </c>
    </row>
    <row r="229" spans="1:17" ht="63" customHeight="1" x14ac:dyDescent="0.3">
      <c r="A229" s="60"/>
      <c r="B229" s="61">
        <f t="shared" si="10"/>
        <v>226</v>
      </c>
      <c r="C229" s="62"/>
      <c r="D229" s="62"/>
      <c r="E229" s="63"/>
      <c r="F229" s="63"/>
      <c r="G229" s="63"/>
      <c r="H229" s="64">
        <f t="shared" si="9"/>
        <v>0</v>
      </c>
      <c r="I229" s="63"/>
      <c r="J229" s="65">
        <f t="shared" si="11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>
        <f>工程基本資料!$B$8+工程基本資料!$B$7+$L229+$M229-1</f>
        <v>-1</v>
      </c>
      <c r="Q229" s="9">
        <v>0</v>
      </c>
    </row>
    <row r="230" spans="1:17" ht="63" customHeight="1" x14ac:dyDescent="0.3">
      <c r="A230" s="60"/>
      <c r="B230" s="61">
        <f t="shared" si="10"/>
        <v>227</v>
      </c>
      <c r="C230" s="62"/>
      <c r="D230" s="62"/>
      <c r="E230" s="63"/>
      <c r="F230" s="63"/>
      <c r="G230" s="63"/>
      <c r="H230" s="64">
        <f t="shared" si="9"/>
        <v>0</v>
      </c>
      <c r="I230" s="63"/>
      <c r="J230" s="65">
        <f t="shared" si="11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>
        <f>工程基本資料!$B$8+工程基本資料!$B$7+$L230+$M230-1</f>
        <v>-1</v>
      </c>
      <c r="Q230" s="9">
        <v>0</v>
      </c>
    </row>
    <row r="231" spans="1:17" ht="63" customHeight="1" x14ac:dyDescent="0.3">
      <c r="A231" s="60"/>
      <c r="B231" s="61">
        <f t="shared" si="10"/>
        <v>228</v>
      </c>
      <c r="C231" s="62"/>
      <c r="D231" s="62"/>
      <c r="E231" s="63"/>
      <c r="F231" s="63"/>
      <c r="G231" s="63"/>
      <c r="H231" s="64">
        <f t="shared" si="9"/>
        <v>0</v>
      </c>
      <c r="I231" s="63"/>
      <c r="J231" s="65">
        <f t="shared" si="11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>
        <f>工程基本資料!$B$8+工程基本資料!$B$7+$L231+$M231-1</f>
        <v>-1</v>
      </c>
      <c r="Q231" s="9">
        <v>0</v>
      </c>
    </row>
    <row r="232" spans="1:17" ht="63" customHeight="1" x14ac:dyDescent="0.3">
      <c r="A232" s="60"/>
      <c r="B232" s="61">
        <f t="shared" si="10"/>
        <v>229</v>
      </c>
      <c r="C232" s="62"/>
      <c r="D232" s="62"/>
      <c r="E232" s="63"/>
      <c r="F232" s="63"/>
      <c r="G232" s="63"/>
      <c r="H232" s="64">
        <f t="shared" si="9"/>
        <v>0</v>
      </c>
      <c r="I232" s="63"/>
      <c r="J232" s="65">
        <f t="shared" si="11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>
        <f>工程基本資料!$B$8+工程基本資料!$B$7+$L232+$M232-1</f>
        <v>-1</v>
      </c>
      <c r="Q232" s="9">
        <v>0</v>
      </c>
    </row>
    <row r="233" spans="1:17" ht="63" customHeight="1" x14ac:dyDescent="0.3">
      <c r="A233" s="60"/>
      <c r="B233" s="61">
        <f t="shared" si="10"/>
        <v>230</v>
      </c>
      <c r="C233" s="62"/>
      <c r="D233" s="62"/>
      <c r="E233" s="68"/>
      <c r="F233" s="68"/>
      <c r="G233" s="68"/>
      <c r="H233" s="64">
        <f t="shared" si="9"/>
        <v>0</v>
      </c>
      <c r="I233" s="68"/>
      <c r="J233" s="65">
        <f t="shared" si="11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>
        <f>工程基本資料!$B$8+工程基本資料!$B$7+$L233+$M233-1</f>
        <v>-1</v>
      </c>
      <c r="Q233" s="9">
        <v>0</v>
      </c>
    </row>
    <row r="234" spans="1:17" ht="63" customHeight="1" x14ac:dyDescent="0.3">
      <c r="A234" s="60"/>
      <c r="B234" s="61">
        <f t="shared" si="10"/>
        <v>231</v>
      </c>
      <c r="C234" s="62"/>
      <c r="D234" s="62"/>
      <c r="E234" s="68"/>
      <c r="F234" s="68"/>
      <c r="G234" s="68"/>
      <c r="H234" s="64">
        <f t="shared" si="9"/>
        <v>0</v>
      </c>
      <c r="I234" s="68"/>
      <c r="J234" s="65">
        <f t="shared" si="11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>
        <f>工程基本資料!$B$8+工程基本資料!$B$7+$L234+$M234-1</f>
        <v>-1</v>
      </c>
      <c r="Q234" s="9">
        <v>0</v>
      </c>
    </row>
    <row r="235" spans="1:17" ht="63" customHeight="1" x14ac:dyDescent="0.3">
      <c r="A235" s="60"/>
      <c r="B235" s="61">
        <f t="shared" si="10"/>
        <v>232</v>
      </c>
      <c r="C235" s="62"/>
      <c r="D235" s="62"/>
      <c r="E235" s="68"/>
      <c r="F235" s="68"/>
      <c r="G235" s="68"/>
      <c r="H235" s="64">
        <f t="shared" si="9"/>
        <v>0</v>
      </c>
      <c r="I235" s="68"/>
      <c r="J235" s="65">
        <f t="shared" si="11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>
        <f>工程基本資料!$B$8+工程基本資料!$B$7+$L235+$M235-1</f>
        <v>-1</v>
      </c>
      <c r="Q235" s="9">
        <v>0</v>
      </c>
    </row>
    <row r="236" spans="1:17" ht="63" customHeight="1" x14ac:dyDescent="0.3">
      <c r="A236" s="60"/>
      <c r="B236" s="61">
        <f t="shared" si="10"/>
        <v>233</v>
      </c>
      <c r="C236" s="62"/>
      <c r="D236" s="62"/>
      <c r="E236" s="68"/>
      <c r="F236" s="68"/>
      <c r="G236" s="68"/>
      <c r="H236" s="64">
        <f t="shared" si="9"/>
        <v>0</v>
      </c>
      <c r="I236" s="68"/>
      <c r="J236" s="65">
        <f t="shared" si="11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>
        <f>工程基本資料!$B$8+工程基本資料!$B$7+$L236+$M236-1</f>
        <v>-1</v>
      </c>
      <c r="Q236" s="9">
        <v>0</v>
      </c>
    </row>
    <row r="237" spans="1:17" ht="63" customHeight="1" x14ac:dyDescent="0.3">
      <c r="A237" s="60"/>
      <c r="B237" s="61">
        <f t="shared" si="10"/>
        <v>234</v>
      </c>
      <c r="C237" s="62"/>
      <c r="D237" s="62"/>
      <c r="E237" s="68"/>
      <c r="F237" s="68"/>
      <c r="G237" s="68"/>
      <c r="H237" s="64">
        <f t="shared" si="9"/>
        <v>0</v>
      </c>
      <c r="I237" s="68"/>
      <c r="J237" s="65">
        <f t="shared" si="11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>
        <f>工程基本資料!$B$8+工程基本資料!$B$7+$L237+$M237-1</f>
        <v>-1</v>
      </c>
      <c r="Q237" s="9">
        <v>0</v>
      </c>
    </row>
    <row r="238" spans="1:17" ht="63" customHeight="1" x14ac:dyDescent="0.3">
      <c r="A238" s="60"/>
      <c r="B238" s="61">
        <f t="shared" si="10"/>
        <v>235</v>
      </c>
      <c r="C238" s="62"/>
      <c r="D238" s="62"/>
      <c r="E238" s="68"/>
      <c r="F238" s="68"/>
      <c r="G238" s="68"/>
      <c r="H238" s="64">
        <f t="shared" si="9"/>
        <v>0</v>
      </c>
      <c r="I238" s="68"/>
      <c r="J238" s="65">
        <f t="shared" si="11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>
        <f>工程基本資料!$B$8+工程基本資料!$B$7+$L238+$M238-1</f>
        <v>-1</v>
      </c>
      <c r="Q238" s="9">
        <v>0</v>
      </c>
    </row>
    <row r="239" spans="1:17" ht="63" customHeight="1" x14ac:dyDescent="0.3">
      <c r="A239" s="60"/>
      <c r="B239" s="61">
        <f t="shared" si="10"/>
        <v>236</v>
      </c>
      <c r="C239" s="62"/>
      <c r="D239" s="62"/>
      <c r="E239" s="68"/>
      <c r="F239" s="68"/>
      <c r="G239" s="68"/>
      <c r="H239" s="64">
        <f t="shared" si="9"/>
        <v>0</v>
      </c>
      <c r="I239" s="68"/>
      <c r="J239" s="65">
        <f t="shared" si="11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>
        <f>工程基本資料!$B$8+工程基本資料!$B$7+$L239+$M239-1</f>
        <v>-1</v>
      </c>
      <c r="Q239" s="9">
        <v>0</v>
      </c>
    </row>
    <row r="240" spans="1:17" ht="63" customHeight="1" x14ac:dyDescent="0.3">
      <c r="A240" s="60"/>
      <c r="B240" s="61">
        <f t="shared" si="10"/>
        <v>237</v>
      </c>
      <c r="C240" s="62"/>
      <c r="D240" s="62"/>
      <c r="E240" s="68"/>
      <c r="F240" s="68"/>
      <c r="G240" s="68"/>
      <c r="H240" s="64">
        <f t="shared" si="9"/>
        <v>0</v>
      </c>
      <c r="I240" s="68"/>
      <c r="J240" s="65">
        <f t="shared" si="11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>
        <f>工程基本資料!$B$8+工程基本資料!$B$7+$L240+$M240-1</f>
        <v>-1</v>
      </c>
      <c r="Q240" s="9">
        <v>0</v>
      </c>
    </row>
    <row r="241" spans="1:17" ht="63" customHeight="1" x14ac:dyDescent="0.3">
      <c r="A241" s="60"/>
      <c r="B241" s="61">
        <f t="shared" si="10"/>
        <v>238</v>
      </c>
      <c r="C241" s="62"/>
      <c r="D241" s="62"/>
      <c r="E241" s="68"/>
      <c r="F241" s="68"/>
      <c r="G241" s="68"/>
      <c r="H241" s="64">
        <f t="shared" si="9"/>
        <v>0</v>
      </c>
      <c r="I241" s="68"/>
      <c r="J241" s="65">
        <f t="shared" si="11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>
        <f>工程基本資料!$B$8+工程基本資料!$B$7+$L241+$M241-1</f>
        <v>-1</v>
      </c>
      <c r="Q241" s="9">
        <v>0</v>
      </c>
    </row>
    <row r="242" spans="1:17" ht="63" customHeight="1" x14ac:dyDescent="0.3">
      <c r="A242" s="60"/>
      <c r="B242" s="61">
        <f t="shared" si="10"/>
        <v>239</v>
      </c>
      <c r="C242" s="62"/>
      <c r="D242" s="62"/>
      <c r="E242" s="68"/>
      <c r="F242" s="68"/>
      <c r="G242" s="68"/>
      <c r="H242" s="64">
        <f t="shared" si="9"/>
        <v>0</v>
      </c>
      <c r="I242" s="68"/>
      <c r="J242" s="65">
        <f t="shared" si="11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>
        <f>工程基本資料!$B$8+工程基本資料!$B$7+$L242+$M242-1</f>
        <v>-1</v>
      </c>
      <c r="Q242" s="9">
        <v>0</v>
      </c>
    </row>
    <row r="243" spans="1:17" ht="63" customHeight="1" x14ac:dyDescent="0.3">
      <c r="A243" s="60"/>
      <c r="B243" s="61">
        <f t="shared" si="10"/>
        <v>240</v>
      </c>
      <c r="C243" s="62"/>
      <c r="D243" s="62"/>
      <c r="E243" s="68"/>
      <c r="F243" s="68"/>
      <c r="G243" s="68"/>
      <c r="H243" s="64">
        <f t="shared" si="9"/>
        <v>0</v>
      </c>
      <c r="I243" s="68"/>
      <c r="J243" s="65">
        <f t="shared" si="11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>
        <f>工程基本資料!$B$8+工程基本資料!$B$7+$L243+$M243-1</f>
        <v>-1</v>
      </c>
      <c r="Q243" s="9">
        <v>0</v>
      </c>
    </row>
    <row r="244" spans="1:17" ht="63" customHeight="1" x14ac:dyDescent="0.3">
      <c r="A244" s="60"/>
      <c r="B244" s="61">
        <f t="shared" si="10"/>
        <v>241</v>
      </c>
      <c r="C244" s="62"/>
      <c r="D244" s="62"/>
      <c r="E244" s="68"/>
      <c r="F244" s="68"/>
      <c r="G244" s="68"/>
      <c r="H244" s="64">
        <f t="shared" si="9"/>
        <v>0</v>
      </c>
      <c r="I244" s="68"/>
      <c r="J244" s="65">
        <f t="shared" si="11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>
        <f>工程基本資料!$B$8+工程基本資料!$B$7+$L244+$M244-1</f>
        <v>-1</v>
      </c>
      <c r="Q244" s="9">
        <v>0</v>
      </c>
    </row>
    <row r="245" spans="1:17" ht="63" customHeight="1" x14ac:dyDescent="0.3">
      <c r="A245" s="60"/>
      <c r="B245" s="61">
        <f t="shared" si="10"/>
        <v>242</v>
      </c>
      <c r="C245" s="62"/>
      <c r="D245" s="62"/>
      <c r="E245" s="68"/>
      <c r="F245" s="68"/>
      <c r="G245" s="68"/>
      <c r="H245" s="64">
        <f t="shared" si="9"/>
        <v>0</v>
      </c>
      <c r="I245" s="68"/>
      <c r="J245" s="65">
        <f t="shared" si="11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>
        <f>工程基本資料!$B$8+工程基本資料!$B$7+$L245+$M245-1</f>
        <v>-1</v>
      </c>
      <c r="Q245" s="9">
        <v>0</v>
      </c>
    </row>
    <row r="246" spans="1:17" ht="63" customHeight="1" x14ac:dyDescent="0.3">
      <c r="A246" s="60"/>
      <c r="B246" s="61">
        <f t="shared" si="10"/>
        <v>243</v>
      </c>
      <c r="C246" s="62"/>
      <c r="D246" s="62"/>
      <c r="E246" s="68"/>
      <c r="F246" s="68"/>
      <c r="G246" s="68"/>
      <c r="H246" s="64">
        <f t="shared" si="9"/>
        <v>0</v>
      </c>
      <c r="I246" s="68"/>
      <c r="J246" s="65">
        <f t="shared" si="11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>
        <f>工程基本資料!$B$8+工程基本資料!$B$7+$L246+$M246-1</f>
        <v>-1</v>
      </c>
      <c r="Q246" s="9">
        <v>0</v>
      </c>
    </row>
    <row r="247" spans="1:17" ht="63" customHeight="1" x14ac:dyDescent="0.3">
      <c r="A247" s="60"/>
      <c r="B247" s="61">
        <f t="shared" si="10"/>
        <v>244</v>
      </c>
      <c r="C247" s="62"/>
      <c r="D247" s="62"/>
      <c r="E247" s="68"/>
      <c r="F247" s="68"/>
      <c r="G247" s="68"/>
      <c r="H247" s="64">
        <f t="shared" si="9"/>
        <v>0</v>
      </c>
      <c r="I247" s="68"/>
      <c r="J247" s="65">
        <f t="shared" si="11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>
        <f>工程基本資料!$B$8+工程基本資料!$B$7+$L247+$M247-1</f>
        <v>-1</v>
      </c>
      <c r="Q247" s="9">
        <v>0</v>
      </c>
    </row>
    <row r="248" spans="1:17" ht="63" customHeight="1" x14ac:dyDescent="0.3">
      <c r="A248" s="60"/>
      <c r="B248" s="61">
        <f t="shared" si="10"/>
        <v>245</v>
      </c>
      <c r="C248" s="62"/>
      <c r="D248" s="62"/>
      <c r="E248" s="68"/>
      <c r="F248" s="68"/>
      <c r="G248" s="68"/>
      <c r="H248" s="64">
        <f t="shared" si="9"/>
        <v>0</v>
      </c>
      <c r="I248" s="68"/>
      <c r="J248" s="65">
        <f t="shared" si="11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>
        <f>工程基本資料!$B$8+工程基本資料!$B$7+$L248+$M248-1</f>
        <v>-1</v>
      </c>
      <c r="Q248" s="9">
        <v>0</v>
      </c>
    </row>
    <row r="249" spans="1:17" ht="63" customHeight="1" x14ac:dyDescent="0.3">
      <c r="A249" s="60"/>
      <c r="B249" s="61">
        <f t="shared" si="10"/>
        <v>246</v>
      </c>
      <c r="C249" s="62"/>
      <c r="D249" s="62"/>
      <c r="E249" s="68"/>
      <c r="F249" s="68"/>
      <c r="G249" s="68"/>
      <c r="H249" s="64">
        <f t="shared" si="9"/>
        <v>0</v>
      </c>
      <c r="I249" s="68"/>
      <c r="J249" s="65">
        <f t="shared" si="11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>
        <f>工程基本資料!$B$8+工程基本資料!$B$7+$L249+$M249-1</f>
        <v>-1</v>
      </c>
      <c r="Q249" s="9">
        <v>0</v>
      </c>
    </row>
    <row r="250" spans="1:17" ht="63" customHeight="1" x14ac:dyDescent="0.3">
      <c r="A250" s="60"/>
      <c r="B250" s="61">
        <f t="shared" si="10"/>
        <v>247</v>
      </c>
      <c r="C250" s="62"/>
      <c r="D250" s="62"/>
      <c r="E250" s="68"/>
      <c r="F250" s="68"/>
      <c r="G250" s="68"/>
      <c r="H250" s="64">
        <f t="shared" si="9"/>
        <v>0</v>
      </c>
      <c r="I250" s="68"/>
      <c r="J250" s="65">
        <f t="shared" si="11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>
        <f>工程基本資料!$B$8+工程基本資料!$B$7+$L250+$M250-1</f>
        <v>-1</v>
      </c>
      <c r="Q250" s="9">
        <v>0</v>
      </c>
    </row>
    <row r="251" spans="1:17" ht="63" customHeight="1" x14ac:dyDescent="0.3">
      <c r="A251" s="60"/>
      <c r="B251" s="61">
        <f t="shared" si="10"/>
        <v>248</v>
      </c>
      <c r="C251" s="62"/>
      <c r="D251" s="62"/>
      <c r="E251" s="68"/>
      <c r="F251" s="68"/>
      <c r="G251" s="68"/>
      <c r="H251" s="64">
        <f t="shared" si="9"/>
        <v>0</v>
      </c>
      <c r="I251" s="68"/>
      <c r="J251" s="65">
        <f t="shared" si="11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>
        <f>工程基本資料!$B$8+工程基本資料!$B$7+$L251+$M251-1</f>
        <v>-1</v>
      </c>
      <c r="Q251" s="9">
        <v>0</v>
      </c>
    </row>
    <row r="252" spans="1:17" ht="63" customHeight="1" x14ac:dyDescent="0.3">
      <c r="A252" s="60"/>
      <c r="B252" s="61">
        <f t="shared" si="10"/>
        <v>249</v>
      </c>
      <c r="C252" s="62"/>
      <c r="D252" s="62"/>
      <c r="E252" s="68"/>
      <c r="F252" s="68"/>
      <c r="G252" s="68"/>
      <c r="H252" s="64">
        <f t="shared" si="9"/>
        <v>0</v>
      </c>
      <c r="I252" s="68"/>
      <c r="J252" s="65">
        <f t="shared" si="11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>
        <f>工程基本資料!$B$8+工程基本資料!$B$7+$L252+$M252-1</f>
        <v>-1</v>
      </c>
      <c r="Q252" s="9">
        <v>0</v>
      </c>
    </row>
    <row r="253" spans="1:17" ht="63" customHeight="1" x14ac:dyDescent="0.3">
      <c r="A253" s="60"/>
      <c r="B253" s="61">
        <f t="shared" si="10"/>
        <v>250</v>
      </c>
      <c r="C253" s="62"/>
      <c r="D253" s="62"/>
      <c r="E253" s="68"/>
      <c r="F253" s="68"/>
      <c r="G253" s="68"/>
      <c r="H253" s="64">
        <f t="shared" si="9"/>
        <v>0</v>
      </c>
      <c r="I253" s="68"/>
      <c r="J253" s="65">
        <f t="shared" si="11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>
        <f>工程基本資料!$B$8+工程基本資料!$B$7+$L253+$M253-1</f>
        <v>-1</v>
      </c>
      <c r="Q253" s="9">
        <v>0</v>
      </c>
    </row>
    <row r="254" spans="1:17" ht="63" customHeight="1" x14ac:dyDescent="0.3">
      <c r="A254" s="60"/>
      <c r="B254" s="61">
        <f t="shared" si="10"/>
        <v>251</v>
      </c>
      <c r="C254" s="62"/>
      <c r="D254" s="62"/>
      <c r="E254" s="68"/>
      <c r="F254" s="68"/>
      <c r="G254" s="68"/>
      <c r="H254" s="64">
        <f t="shared" si="9"/>
        <v>0</v>
      </c>
      <c r="I254" s="68"/>
      <c r="J254" s="65">
        <f t="shared" si="11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>
        <f>工程基本資料!$B$8+工程基本資料!$B$7+$L254+$M254-1</f>
        <v>-1</v>
      </c>
      <c r="Q254" s="9">
        <v>0</v>
      </c>
    </row>
    <row r="255" spans="1:17" ht="63" customHeight="1" x14ac:dyDescent="0.3">
      <c r="A255" s="60"/>
      <c r="B255" s="61">
        <f t="shared" si="10"/>
        <v>252</v>
      </c>
      <c r="C255" s="62"/>
      <c r="D255" s="62"/>
      <c r="E255" s="68"/>
      <c r="F255" s="68"/>
      <c r="G255" s="68"/>
      <c r="H255" s="64">
        <f t="shared" si="9"/>
        <v>0</v>
      </c>
      <c r="I255" s="68"/>
      <c r="J255" s="65">
        <f t="shared" si="11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>
        <f>工程基本資料!$B$8+工程基本資料!$B$7+$L255+$M255-1</f>
        <v>-1</v>
      </c>
      <c r="Q255" s="9">
        <v>0</v>
      </c>
    </row>
    <row r="256" spans="1:17" ht="63" customHeight="1" x14ac:dyDescent="0.3">
      <c r="A256" s="60"/>
      <c r="B256" s="61">
        <f t="shared" si="10"/>
        <v>253</v>
      </c>
      <c r="C256" s="62"/>
      <c r="D256" s="62"/>
      <c r="E256" s="68"/>
      <c r="F256" s="68"/>
      <c r="G256" s="68"/>
      <c r="H256" s="64">
        <f t="shared" si="9"/>
        <v>0</v>
      </c>
      <c r="I256" s="68"/>
      <c r="J256" s="65">
        <f t="shared" si="11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>
        <f>工程基本資料!$B$8+工程基本資料!$B$7+$L256+$M256-1</f>
        <v>-1</v>
      </c>
      <c r="Q256" s="9">
        <v>0</v>
      </c>
    </row>
    <row r="257" spans="1:17" ht="63" customHeight="1" x14ac:dyDescent="0.3">
      <c r="A257" s="60"/>
      <c r="B257" s="61">
        <f t="shared" si="10"/>
        <v>254</v>
      </c>
      <c r="C257" s="62"/>
      <c r="D257" s="62"/>
      <c r="E257" s="68"/>
      <c r="F257" s="68"/>
      <c r="G257" s="68"/>
      <c r="H257" s="64">
        <f t="shared" si="9"/>
        <v>0</v>
      </c>
      <c r="I257" s="68"/>
      <c r="J257" s="65">
        <f t="shared" si="11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>
        <f>工程基本資料!$B$8+工程基本資料!$B$7+$L257+$M257-1</f>
        <v>-1</v>
      </c>
      <c r="Q257" s="9">
        <v>0</v>
      </c>
    </row>
    <row r="258" spans="1:17" ht="63" customHeight="1" x14ac:dyDescent="0.3">
      <c r="A258" s="60"/>
      <c r="B258" s="61">
        <f t="shared" si="10"/>
        <v>255</v>
      </c>
      <c r="C258" s="62"/>
      <c r="D258" s="62"/>
      <c r="E258" s="68"/>
      <c r="F258" s="68"/>
      <c r="G258" s="68"/>
      <c r="H258" s="64">
        <f t="shared" si="9"/>
        <v>0</v>
      </c>
      <c r="I258" s="68"/>
      <c r="J258" s="65">
        <f t="shared" si="11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>
        <f>工程基本資料!$B$8+工程基本資料!$B$7+$L258+$M258-1</f>
        <v>-1</v>
      </c>
      <c r="Q258" s="9">
        <v>0</v>
      </c>
    </row>
    <row r="259" spans="1:17" ht="63" customHeight="1" x14ac:dyDescent="0.3">
      <c r="A259" s="60"/>
      <c r="B259" s="61">
        <f t="shared" si="10"/>
        <v>256</v>
      </c>
      <c r="C259" s="62"/>
      <c r="D259" s="62"/>
      <c r="E259" s="68"/>
      <c r="F259" s="68"/>
      <c r="G259" s="68"/>
      <c r="H259" s="64">
        <f t="shared" si="9"/>
        <v>0</v>
      </c>
      <c r="I259" s="68"/>
      <c r="J259" s="65">
        <f t="shared" si="11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>
        <f>工程基本資料!$B$8+工程基本資料!$B$7+$L259+$M259-1</f>
        <v>-1</v>
      </c>
      <c r="Q259" s="9">
        <v>0</v>
      </c>
    </row>
    <row r="260" spans="1:17" ht="63" customHeight="1" x14ac:dyDescent="0.3">
      <c r="A260" s="60"/>
      <c r="B260" s="61">
        <f t="shared" si="10"/>
        <v>257</v>
      </c>
      <c r="C260" s="62"/>
      <c r="D260" s="62"/>
      <c r="E260" s="68"/>
      <c r="F260" s="68"/>
      <c r="G260" s="68"/>
      <c r="H260" s="64">
        <f t="shared" ref="H260:H323" si="12">IF(Q260&gt;1,$R$3,$R$4)</f>
        <v>0</v>
      </c>
      <c r="I260" s="68"/>
      <c r="J260" s="65">
        <f t="shared" si="11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>
        <f>工程基本資料!$B$8+工程基本資料!$B$7+$L260+$M260-1</f>
        <v>-1</v>
      </c>
      <c r="Q260" s="9">
        <v>0</v>
      </c>
    </row>
    <row r="261" spans="1:17" ht="63" customHeight="1" x14ac:dyDescent="0.3">
      <c r="A261" s="60"/>
      <c r="B261" s="61">
        <f t="shared" ref="B261:B324" si="13">B260+1</f>
        <v>258</v>
      </c>
      <c r="C261" s="62"/>
      <c r="D261" s="62"/>
      <c r="E261" s="68"/>
      <c r="F261" s="68"/>
      <c r="G261" s="68"/>
      <c r="H261" s="64">
        <f t="shared" si="12"/>
        <v>0</v>
      </c>
      <c r="I261" s="68"/>
      <c r="J261" s="65">
        <f t="shared" ref="J261:J324" si="14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>
        <f>工程基本資料!$B$8+工程基本資料!$B$7+$L261+$M261-1</f>
        <v>-1</v>
      </c>
      <c r="Q261" s="9">
        <v>0</v>
      </c>
    </row>
    <row r="262" spans="1:17" ht="63" customHeight="1" x14ac:dyDescent="0.3">
      <c r="A262" s="60"/>
      <c r="B262" s="61">
        <f t="shared" si="13"/>
        <v>259</v>
      </c>
      <c r="C262" s="62"/>
      <c r="D262" s="62"/>
      <c r="E262" s="68"/>
      <c r="F262" s="68"/>
      <c r="G262" s="68"/>
      <c r="H262" s="64">
        <f t="shared" si="12"/>
        <v>0</v>
      </c>
      <c r="I262" s="68"/>
      <c r="J262" s="65">
        <f t="shared" si="14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>
        <f>工程基本資料!$B$8+工程基本資料!$B$7+$L262+$M262-1</f>
        <v>-1</v>
      </c>
      <c r="Q262" s="9">
        <v>0</v>
      </c>
    </row>
    <row r="263" spans="1:17" ht="63" customHeight="1" x14ac:dyDescent="0.3">
      <c r="A263" s="60"/>
      <c r="B263" s="61">
        <f t="shared" si="13"/>
        <v>260</v>
      </c>
      <c r="C263" s="62"/>
      <c r="D263" s="62"/>
      <c r="E263" s="68"/>
      <c r="F263" s="68"/>
      <c r="G263" s="68"/>
      <c r="H263" s="64">
        <f t="shared" si="12"/>
        <v>0</v>
      </c>
      <c r="I263" s="68"/>
      <c r="J263" s="65">
        <f t="shared" si="14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>
        <f>工程基本資料!$B$8+工程基本資料!$B$7+$L263+$M263-1</f>
        <v>-1</v>
      </c>
      <c r="Q263" s="9">
        <v>0</v>
      </c>
    </row>
    <row r="264" spans="1:17" ht="63" customHeight="1" x14ac:dyDescent="0.3">
      <c r="A264" s="60"/>
      <c r="B264" s="61">
        <f t="shared" si="13"/>
        <v>261</v>
      </c>
      <c r="C264" s="62"/>
      <c r="D264" s="62"/>
      <c r="E264" s="68"/>
      <c r="F264" s="68"/>
      <c r="G264" s="68"/>
      <c r="H264" s="64">
        <f t="shared" si="12"/>
        <v>0</v>
      </c>
      <c r="I264" s="68"/>
      <c r="J264" s="65">
        <f t="shared" si="14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>
        <f>工程基本資料!$B$8+工程基本資料!$B$7+$L264+$M264-1</f>
        <v>-1</v>
      </c>
      <c r="Q264" s="9">
        <v>0</v>
      </c>
    </row>
    <row r="265" spans="1:17" ht="63" customHeight="1" x14ac:dyDescent="0.3">
      <c r="A265" s="60"/>
      <c r="B265" s="61">
        <f t="shared" si="13"/>
        <v>262</v>
      </c>
      <c r="C265" s="62"/>
      <c r="D265" s="62"/>
      <c r="E265" s="68"/>
      <c r="F265" s="68"/>
      <c r="G265" s="68"/>
      <c r="H265" s="64">
        <f t="shared" si="12"/>
        <v>0</v>
      </c>
      <c r="I265" s="68"/>
      <c r="J265" s="65">
        <f t="shared" si="14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>
        <f>工程基本資料!$B$8+工程基本資料!$B$7+$L265+$M265-1</f>
        <v>-1</v>
      </c>
      <c r="Q265" s="9">
        <v>0</v>
      </c>
    </row>
    <row r="266" spans="1:17" ht="63" customHeight="1" x14ac:dyDescent="0.3">
      <c r="A266" s="60"/>
      <c r="B266" s="61">
        <f t="shared" si="13"/>
        <v>263</v>
      </c>
      <c r="C266" s="62"/>
      <c r="D266" s="62"/>
      <c r="E266" s="68"/>
      <c r="F266" s="68"/>
      <c r="G266" s="68"/>
      <c r="H266" s="64">
        <f t="shared" si="12"/>
        <v>0</v>
      </c>
      <c r="I266" s="68"/>
      <c r="J266" s="65">
        <f t="shared" si="14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>
        <f>工程基本資料!$B$8+工程基本資料!$B$7+$L266+$M266-1</f>
        <v>-1</v>
      </c>
      <c r="Q266" s="9">
        <v>0</v>
      </c>
    </row>
    <row r="267" spans="1:17" ht="63" customHeight="1" x14ac:dyDescent="0.3">
      <c r="A267" s="60"/>
      <c r="B267" s="61">
        <f t="shared" si="13"/>
        <v>264</v>
      </c>
      <c r="C267" s="62"/>
      <c r="D267" s="62"/>
      <c r="E267" s="68"/>
      <c r="F267" s="68"/>
      <c r="G267" s="68"/>
      <c r="H267" s="64">
        <f t="shared" si="12"/>
        <v>0</v>
      </c>
      <c r="I267" s="68"/>
      <c r="J267" s="65">
        <f t="shared" si="14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>
        <f>工程基本資料!$B$8+工程基本資料!$B$7+$L267+$M267-1</f>
        <v>-1</v>
      </c>
      <c r="Q267" s="9">
        <v>0</v>
      </c>
    </row>
    <row r="268" spans="1:17" ht="63" customHeight="1" x14ac:dyDescent="0.3">
      <c r="A268" s="60"/>
      <c r="B268" s="61">
        <f t="shared" si="13"/>
        <v>265</v>
      </c>
      <c r="C268" s="62"/>
      <c r="D268" s="62"/>
      <c r="E268" s="68"/>
      <c r="F268" s="68"/>
      <c r="G268" s="68"/>
      <c r="H268" s="64">
        <f t="shared" si="12"/>
        <v>0</v>
      </c>
      <c r="I268" s="68"/>
      <c r="J268" s="65">
        <f t="shared" si="14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>
        <f>工程基本資料!$B$8+工程基本資料!$B$7+$L268+$M268-1</f>
        <v>-1</v>
      </c>
      <c r="Q268" s="9">
        <v>0</v>
      </c>
    </row>
    <row r="269" spans="1:17" ht="63" customHeight="1" x14ac:dyDescent="0.3">
      <c r="A269" s="60"/>
      <c r="B269" s="61">
        <f t="shared" si="13"/>
        <v>266</v>
      </c>
      <c r="C269" s="62"/>
      <c r="D269" s="62"/>
      <c r="E269" s="68"/>
      <c r="F269" s="68"/>
      <c r="G269" s="68"/>
      <c r="H269" s="64">
        <f t="shared" si="12"/>
        <v>0</v>
      </c>
      <c r="I269" s="68"/>
      <c r="J269" s="65">
        <f t="shared" si="14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>
        <f>工程基本資料!$B$8+工程基本資料!$B$7+$L269+$M269-1</f>
        <v>-1</v>
      </c>
      <c r="Q269" s="9">
        <v>0</v>
      </c>
    </row>
    <row r="270" spans="1:17" ht="63" customHeight="1" x14ac:dyDescent="0.3">
      <c r="A270" s="60"/>
      <c r="B270" s="61">
        <f t="shared" si="13"/>
        <v>267</v>
      </c>
      <c r="C270" s="62"/>
      <c r="D270" s="62"/>
      <c r="E270" s="68"/>
      <c r="F270" s="68"/>
      <c r="G270" s="68"/>
      <c r="H270" s="64">
        <f t="shared" si="12"/>
        <v>0</v>
      </c>
      <c r="I270" s="68"/>
      <c r="J270" s="65">
        <f t="shared" si="14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>
        <f>工程基本資料!$B$8+工程基本資料!$B$7+$L270+$M270-1</f>
        <v>-1</v>
      </c>
      <c r="Q270" s="9">
        <v>0</v>
      </c>
    </row>
    <row r="271" spans="1:17" ht="63" customHeight="1" x14ac:dyDescent="0.3">
      <c r="A271" s="60"/>
      <c r="B271" s="61">
        <f t="shared" si="13"/>
        <v>268</v>
      </c>
      <c r="C271" s="62"/>
      <c r="D271" s="62"/>
      <c r="E271" s="68"/>
      <c r="F271" s="68"/>
      <c r="G271" s="68"/>
      <c r="H271" s="64">
        <f t="shared" si="12"/>
        <v>0</v>
      </c>
      <c r="I271" s="68"/>
      <c r="J271" s="65">
        <f t="shared" si="14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>
        <f>工程基本資料!$B$8+工程基本資料!$B$7+$L271+$M271-1</f>
        <v>-1</v>
      </c>
      <c r="Q271" s="9">
        <v>0</v>
      </c>
    </row>
    <row r="272" spans="1:17" ht="63" customHeight="1" x14ac:dyDescent="0.3">
      <c r="A272" s="60"/>
      <c r="B272" s="61">
        <f t="shared" si="13"/>
        <v>269</v>
      </c>
      <c r="C272" s="62"/>
      <c r="D272" s="62"/>
      <c r="E272" s="68"/>
      <c r="F272" s="68"/>
      <c r="G272" s="68"/>
      <c r="H272" s="64">
        <f t="shared" si="12"/>
        <v>0</v>
      </c>
      <c r="I272" s="68"/>
      <c r="J272" s="65">
        <f t="shared" si="14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>
        <f>工程基本資料!$B$8+工程基本資料!$B$7+$L272+$M272-1</f>
        <v>-1</v>
      </c>
      <c r="Q272" s="9">
        <v>0</v>
      </c>
    </row>
    <row r="273" spans="1:17" ht="63" customHeight="1" x14ac:dyDescent="0.3">
      <c r="A273" s="60"/>
      <c r="B273" s="61">
        <f t="shared" si="13"/>
        <v>270</v>
      </c>
      <c r="C273" s="62"/>
      <c r="D273" s="62"/>
      <c r="E273" s="68"/>
      <c r="F273" s="68"/>
      <c r="G273" s="68"/>
      <c r="H273" s="64">
        <f t="shared" si="12"/>
        <v>0</v>
      </c>
      <c r="I273" s="68"/>
      <c r="J273" s="65">
        <f t="shared" si="14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>
        <f>工程基本資料!$B$8+工程基本資料!$B$7+$L273+$M273-1</f>
        <v>-1</v>
      </c>
      <c r="Q273" s="9">
        <v>0</v>
      </c>
    </row>
    <row r="274" spans="1:17" ht="63" customHeight="1" x14ac:dyDescent="0.3">
      <c r="A274" s="60"/>
      <c r="B274" s="61">
        <f t="shared" si="13"/>
        <v>271</v>
      </c>
      <c r="C274" s="62"/>
      <c r="D274" s="62"/>
      <c r="E274" s="68"/>
      <c r="F274" s="68"/>
      <c r="G274" s="68"/>
      <c r="H274" s="64">
        <f t="shared" si="12"/>
        <v>0</v>
      </c>
      <c r="I274" s="68"/>
      <c r="J274" s="65">
        <f t="shared" si="14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>
        <f>工程基本資料!$B$8+工程基本資料!$B$7+$L274+$M274-1</f>
        <v>-1</v>
      </c>
      <c r="Q274" s="9">
        <v>0</v>
      </c>
    </row>
    <row r="275" spans="1:17" ht="63" customHeight="1" x14ac:dyDescent="0.3">
      <c r="A275" s="60"/>
      <c r="B275" s="61">
        <f t="shared" si="13"/>
        <v>272</v>
      </c>
      <c r="C275" s="62"/>
      <c r="D275" s="62"/>
      <c r="E275" s="68"/>
      <c r="F275" s="68"/>
      <c r="G275" s="68"/>
      <c r="H275" s="64">
        <f t="shared" si="12"/>
        <v>0</v>
      </c>
      <c r="I275" s="68"/>
      <c r="J275" s="65">
        <f t="shared" si="14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>
        <f>工程基本資料!$B$8+工程基本資料!$B$7+$L275+$M275-1</f>
        <v>-1</v>
      </c>
      <c r="Q275" s="9">
        <v>0</v>
      </c>
    </row>
    <row r="276" spans="1:17" ht="63" customHeight="1" x14ac:dyDescent="0.3">
      <c r="A276" s="60"/>
      <c r="B276" s="61">
        <f t="shared" si="13"/>
        <v>273</v>
      </c>
      <c r="C276" s="62"/>
      <c r="D276" s="62"/>
      <c r="E276" s="68"/>
      <c r="F276" s="68"/>
      <c r="G276" s="68"/>
      <c r="H276" s="64">
        <f t="shared" si="12"/>
        <v>0</v>
      </c>
      <c r="I276" s="68"/>
      <c r="J276" s="65">
        <f t="shared" si="14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>
        <f>工程基本資料!$B$8+工程基本資料!$B$7+$L276+$M276-1</f>
        <v>-1</v>
      </c>
      <c r="Q276" s="9">
        <v>0</v>
      </c>
    </row>
    <row r="277" spans="1:17" ht="63" customHeight="1" x14ac:dyDescent="0.3">
      <c r="A277" s="60"/>
      <c r="B277" s="61">
        <f t="shared" si="13"/>
        <v>274</v>
      </c>
      <c r="C277" s="62"/>
      <c r="D277" s="62"/>
      <c r="E277" s="68"/>
      <c r="F277" s="68"/>
      <c r="G277" s="68"/>
      <c r="H277" s="64">
        <f t="shared" si="12"/>
        <v>0</v>
      </c>
      <c r="I277" s="68"/>
      <c r="J277" s="65">
        <f t="shared" si="14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>
        <f>工程基本資料!$B$8+工程基本資料!$B$7+$L277+$M277-1</f>
        <v>-1</v>
      </c>
      <c r="Q277" s="9">
        <v>0</v>
      </c>
    </row>
    <row r="278" spans="1:17" ht="63" customHeight="1" x14ac:dyDescent="0.3">
      <c r="A278" s="60"/>
      <c r="B278" s="61">
        <f t="shared" si="13"/>
        <v>275</v>
      </c>
      <c r="C278" s="62"/>
      <c r="D278" s="62"/>
      <c r="E278" s="68"/>
      <c r="F278" s="68"/>
      <c r="G278" s="68"/>
      <c r="H278" s="64">
        <f t="shared" si="12"/>
        <v>0</v>
      </c>
      <c r="I278" s="68"/>
      <c r="J278" s="65">
        <f t="shared" si="14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>
        <f>工程基本資料!$B$8+工程基本資料!$B$7+$L278+$M278-1</f>
        <v>-1</v>
      </c>
      <c r="Q278" s="9">
        <v>0</v>
      </c>
    </row>
    <row r="279" spans="1:17" ht="63" customHeight="1" x14ac:dyDescent="0.3">
      <c r="A279" s="60"/>
      <c r="B279" s="61">
        <f t="shared" si="13"/>
        <v>276</v>
      </c>
      <c r="C279" s="62"/>
      <c r="D279" s="62"/>
      <c r="E279" s="68"/>
      <c r="F279" s="68"/>
      <c r="G279" s="68"/>
      <c r="H279" s="64">
        <f t="shared" si="12"/>
        <v>0</v>
      </c>
      <c r="I279" s="68"/>
      <c r="J279" s="65">
        <f t="shared" si="14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>
        <f>工程基本資料!$B$8+工程基本資料!$B$7+$L279+$M279-1</f>
        <v>-1</v>
      </c>
      <c r="Q279" s="9">
        <v>0</v>
      </c>
    </row>
    <row r="280" spans="1:17" ht="63" customHeight="1" x14ac:dyDescent="0.3">
      <c r="A280" s="60"/>
      <c r="B280" s="61">
        <f t="shared" si="13"/>
        <v>277</v>
      </c>
      <c r="C280" s="62"/>
      <c r="D280" s="62"/>
      <c r="E280" s="68"/>
      <c r="F280" s="68"/>
      <c r="G280" s="68"/>
      <c r="H280" s="64">
        <f t="shared" si="12"/>
        <v>0</v>
      </c>
      <c r="I280" s="68"/>
      <c r="J280" s="65">
        <f t="shared" si="14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>
        <f>工程基本資料!$B$8+工程基本資料!$B$7+$L280+$M280-1</f>
        <v>-1</v>
      </c>
      <c r="Q280" s="9">
        <v>0</v>
      </c>
    </row>
    <row r="281" spans="1:17" ht="63" customHeight="1" x14ac:dyDescent="0.3">
      <c r="A281" s="60"/>
      <c r="B281" s="61">
        <f t="shared" si="13"/>
        <v>278</v>
      </c>
      <c r="C281" s="62"/>
      <c r="D281" s="62"/>
      <c r="E281" s="68"/>
      <c r="F281" s="68"/>
      <c r="G281" s="68"/>
      <c r="H281" s="64">
        <f t="shared" si="12"/>
        <v>0</v>
      </c>
      <c r="I281" s="68"/>
      <c r="J281" s="65">
        <f t="shared" si="14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>
        <f>工程基本資料!$B$8+工程基本資料!$B$7+$L281+$M281-1</f>
        <v>-1</v>
      </c>
      <c r="Q281" s="9">
        <v>0</v>
      </c>
    </row>
    <row r="282" spans="1:17" ht="63" customHeight="1" x14ac:dyDescent="0.3">
      <c r="A282" s="60"/>
      <c r="B282" s="61">
        <f t="shared" si="13"/>
        <v>279</v>
      </c>
      <c r="C282" s="62"/>
      <c r="D282" s="62"/>
      <c r="E282" s="68"/>
      <c r="F282" s="68"/>
      <c r="G282" s="68"/>
      <c r="H282" s="64">
        <f t="shared" si="12"/>
        <v>0</v>
      </c>
      <c r="I282" s="68"/>
      <c r="J282" s="65">
        <f t="shared" si="14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>
        <f>工程基本資料!$B$8+工程基本資料!$B$7+$L282+$M282-1</f>
        <v>-1</v>
      </c>
      <c r="Q282" s="9">
        <v>0</v>
      </c>
    </row>
    <row r="283" spans="1:17" ht="63" customHeight="1" x14ac:dyDescent="0.3">
      <c r="A283" s="60"/>
      <c r="B283" s="61">
        <f t="shared" si="13"/>
        <v>280</v>
      </c>
      <c r="C283" s="62"/>
      <c r="D283" s="62"/>
      <c r="E283" s="68"/>
      <c r="F283" s="68"/>
      <c r="G283" s="68"/>
      <c r="H283" s="64">
        <f t="shared" si="12"/>
        <v>0</v>
      </c>
      <c r="I283" s="68"/>
      <c r="J283" s="65">
        <f t="shared" si="14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>
        <f>工程基本資料!$B$8+工程基本資料!$B$7+$L283+$M283-1</f>
        <v>-1</v>
      </c>
      <c r="Q283" s="9">
        <v>0</v>
      </c>
    </row>
    <row r="284" spans="1:17" ht="63" customHeight="1" x14ac:dyDescent="0.3">
      <c r="A284" s="60"/>
      <c r="B284" s="61">
        <f t="shared" si="13"/>
        <v>281</v>
      </c>
      <c r="C284" s="62"/>
      <c r="D284" s="62"/>
      <c r="E284" s="68"/>
      <c r="F284" s="68"/>
      <c r="G284" s="68"/>
      <c r="H284" s="64">
        <f t="shared" si="12"/>
        <v>0</v>
      </c>
      <c r="I284" s="68"/>
      <c r="J284" s="65">
        <f t="shared" si="14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>
        <f>工程基本資料!$B$8+工程基本資料!$B$7+$L284+$M284-1</f>
        <v>-1</v>
      </c>
      <c r="Q284" s="9">
        <v>0</v>
      </c>
    </row>
    <row r="285" spans="1:17" ht="63" customHeight="1" x14ac:dyDescent="0.3">
      <c r="A285" s="60"/>
      <c r="B285" s="61">
        <f t="shared" si="13"/>
        <v>282</v>
      </c>
      <c r="C285" s="62"/>
      <c r="D285" s="62"/>
      <c r="E285" s="68"/>
      <c r="F285" s="68"/>
      <c r="G285" s="68"/>
      <c r="H285" s="64">
        <f t="shared" si="12"/>
        <v>0</v>
      </c>
      <c r="I285" s="68"/>
      <c r="J285" s="65">
        <f t="shared" si="14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>
        <f>工程基本資料!$B$8+工程基本資料!$B$7+$L285+$M285-1</f>
        <v>-1</v>
      </c>
      <c r="Q285" s="9">
        <v>0</v>
      </c>
    </row>
    <row r="286" spans="1:17" ht="63" customHeight="1" x14ac:dyDescent="0.3">
      <c r="A286" s="60"/>
      <c r="B286" s="61">
        <f t="shared" si="13"/>
        <v>283</v>
      </c>
      <c r="C286" s="62"/>
      <c r="D286" s="62"/>
      <c r="E286" s="68"/>
      <c r="F286" s="68"/>
      <c r="G286" s="68"/>
      <c r="H286" s="64">
        <f t="shared" si="12"/>
        <v>0</v>
      </c>
      <c r="I286" s="68"/>
      <c r="J286" s="65">
        <f t="shared" si="14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>
        <f>工程基本資料!$B$8+工程基本資料!$B$7+$L286+$M286-1</f>
        <v>-1</v>
      </c>
      <c r="Q286" s="9">
        <v>0</v>
      </c>
    </row>
    <row r="287" spans="1:17" ht="63" customHeight="1" x14ac:dyDescent="0.3">
      <c r="A287" s="60"/>
      <c r="B287" s="61">
        <f t="shared" si="13"/>
        <v>284</v>
      </c>
      <c r="C287" s="62"/>
      <c r="D287" s="62"/>
      <c r="E287" s="68"/>
      <c r="F287" s="68"/>
      <c r="G287" s="68"/>
      <c r="H287" s="64">
        <f t="shared" si="12"/>
        <v>0</v>
      </c>
      <c r="I287" s="68"/>
      <c r="J287" s="65">
        <f t="shared" si="14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>
        <f>工程基本資料!$B$8+工程基本資料!$B$7+$L287+$M287-1</f>
        <v>-1</v>
      </c>
      <c r="Q287" s="9">
        <v>0</v>
      </c>
    </row>
    <row r="288" spans="1:17" ht="63" customHeight="1" x14ac:dyDescent="0.3">
      <c r="A288" s="60"/>
      <c r="B288" s="61">
        <f t="shared" si="13"/>
        <v>285</v>
      </c>
      <c r="C288" s="62"/>
      <c r="D288" s="62"/>
      <c r="E288" s="68"/>
      <c r="F288" s="68"/>
      <c r="G288" s="68"/>
      <c r="H288" s="64">
        <f t="shared" si="12"/>
        <v>0</v>
      </c>
      <c r="I288" s="68"/>
      <c r="J288" s="65">
        <f t="shared" si="14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>
        <f>工程基本資料!$B$8+工程基本資料!$B$7+$L288+$M288-1</f>
        <v>-1</v>
      </c>
      <c r="Q288" s="9">
        <v>0</v>
      </c>
    </row>
    <row r="289" spans="1:17" ht="63" customHeight="1" x14ac:dyDescent="0.3">
      <c r="A289" s="60"/>
      <c r="B289" s="61">
        <f t="shared" si="13"/>
        <v>286</v>
      </c>
      <c r="C289" s="62"/>
      <c r="D289" s="62"/>
      <c r="E289" s="68"/>
      <c r="F289" s="68"/>
      <c r="G289" s="68"/>
      <c r="H289" s="64">
        <f t="shared" si="12"/>
        <v>0</v>
      </c>
      <c r="I289" s="68"/>
      <c r="J289" s="65">
        <f t="shared" si="14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>
        <f>工程基本資料!$B$8+工程基本資料!$B$7+$L289+$M289-1</f>
        <v>-1</v>
      </c>
      <c r="Q289" s="9">
        <v>0</v>
      </c>
    </row>
    <row r="290" spans="1:17" ht="63" customHeight="1" x14ac:dyDescent="0.3">
      <c r="A290" s="60"/>
      <c r="B290" s="61">
        <f t="shared" si="13"/>
        <v>287</v>
      </c>
      <c r="C290" s="62"/>
      <c r="D290" s="62"/>
      <c r="E290" s="68"/>
      <c r="F290" s="68"/>
      <c r="G290" s="68"/>
      <c r="H290" s="64">
        <f t="shared" si="12"/>
        <v>0</v>
      </c>
      <c r="I290" s="68"/>
      <c r="J290" s="65">
        <f t="shared" si="14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>
        <f>工程基本資料!$B$8+工程基本資料!$B$7+$L290+$M290-1</f>
        <v>-1</v>
      </c>
      <c r="Q290" s="9">
        <v>0</v>
      </c>
    </row>
    <row r="291" spans="1:17" ht="63" customHeight="1" x14ac:dyDescent="0.3">
      <c r="A291" s="60"/>
      <c r="B291" s="61">
        <f t="shared" si="13"/>
        <v>288</v>
      </c>
      <c r="C291" s="62"/>
      <c r="D291" s="62"/>
      <c r="E291" s="68"/>
      <c r="F291" s="68"/>
      <c r="G291" s="68"/>
      <c r="H291" s="64">
        <f t="shared" si="12"/>
        <v>0</v>
      </c>
      <c r="I291" s="68"/>
      <c r="J291" s="65">
        <f t="shared" si="14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>
        <f>工程基本資料!$B$8+工程基本資料!$B$7+$L291+$M291-1</f>
        <v>-1</v>
      </c>
      <c r="Q291" s="9">
        <v>0</v>
      </c>
    </row>
    <row r="292" spans="1:17" ht="63" customHeight="1" x14ac:dyDescent="0.3">
      <c r="A292" s="60"/>
      <c r="B292" s="61">
        <f t="shared" si="13"/>
        <v>289</v>
      </c>
      <c r="C292" s="62"/>
      <c r="D292" s="62"/>
      <c r="E292" s="68"/>
      <c r="F292" s="68"/>
      <c r="G292" s="68"/>
      <c r="H292" s="64">
        <f t="shared" si="12"/>
        <v>0</v>
      </c>
      <c r="I292" s="68"/>
      <c r="J292" s="65">
        <f t="shared" si="14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>
        <f>工程基本資料!$B$8+工程基本資料!$B$7+$L292+$M292-1</f>
        <v>-1</v>
      </c>
      <c r="Q292" s="9">
        <v>0</v>
      </c>
    </row>
    <row r="293" spans="1:17" ht="63" customHeight="1" x14ac:dyDescent="0.3">
      <c r="A293" s="60"/>
      <c r="B293" s="61">
        <f t="shared" si="13"/>
        <v>290</v>
      </c>
      <c r="C293" s="62"/>
      <c r="D293" s="62"/>
      <c r="E293" s="68"/>
      <c r="F293" s="68"/>
      <c r="G293" s="68"/>
      <c r="H293" s="64">
        <f t="shared" si="12"/>
        <v>0</v>
      </c>
      <c r="I293" s="68"/>
      <c r="J293" s="65">
        <f t="shared" si="14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>
        <f>工程基本資料!$B$8+工程基本資料!$B$7+$L293+$M293-1</f>
        <v>-1</v>
      </c>
      <c r="Q293" s="9">
        <v>0</v>
      </c>
    </row>
    <row r="294" spans="1:17" ht="63" customHeight="1" x14ac:dyDescent="0.3">
      <c r="A294" s="60"/>
      <c r="B294" s="61">
        <f t="shared" si="13"/>
        <v>291</v>
      </c>
      <c r="C294" s="62"/>
      <c r="D294" s="62"/>
      <c r="E294" s="68"/>
      <c r="F294" s="68"/>
      <c r="G294" s="68"/>
      <c r="H294" s="64">
        <f t="shared" si="12"/>
        <v>0</v>
      </c>
      <c r="I294" s="68"/>
      <c r="J294" s="65">
        <f t="shared" si="14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>
        <f>工程基本資料!$B$8+工程基本資料!$B$7+$L294+$M294-1</f>
        <v>-1</v>
      </c>
      <c r="Q294" s="9">
        <v>0</v>
      </c>
    </row>
    <row r="295" spans="1:17" ht="63" customHeight="1" x14ac:dyDescent="0.3">
      <c r="A295" s="60"/>
      <c r="B295" s="61">
        <f t="shared" si="13"/>
        <v>292</v>
      </c>
      <c r="C295" s="62"/>
      <c r="D295" s="62"/>
      <c r="E295" s="68"/>
      <c r="F295" s="68"/>
      <c r="G295" s="68"/>
      <c r="H295" s="64">
        <f t="shared" si="12"/>
        <v>0</v>
      </c>
      <c r="I295" s="68"/>
      <c r="J295" s="65">
        <f t="shared" si="14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>
        <f>工程基本資料!$B$8+工程基本資料!$B$7+$L295+$M295-1</f>
        <v>-1</v>
      </c>
      <c r="Q295" s="9">
        <v>0</v>
      </c>
    </row>
    <row r="296" spans="1:17" ht="63" customHeight="1" x14ac:dyDescent="0.3">
      <c r="A296" s="60"/>
      <c r="B296" s="61">
        <f t="shared" si="13"/>
        <v>293</v>
      </c>
      <c r="C296" s="62"/>
      <c r="D296" s="62"/>
      <c r="E296" s="68"/>
      <c r="F296" s="68"/>
      <c r="G296" s="68"/>
      <c r="H296" s="64">
        <f t="shared" si="12"/>
        <v>0</v>
      </c>
      <c r="I296" s="68"/>
      <c r="J296" s="65">
        <f t="shared" si="14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>
        <f>工程基本資料!$B$8+工程基本資料!$B$7+$L296+$M296-1</f>
        <v>-1</v>
      </c>
      <c r="Q296" s="9">
        <v>0</v>
      </c>
    </row>
    <row r="297" spans="1:17" ht="63" customHeight="1" x14ac:dyDescent="0.3">
      <c r="A297" s="60"/>
      <c r="B297" s="61">
        <f t="shared" si="13"/>
        <v>294</v>
      </c>
      <c r="C297" s="62"/>
      <c r="D297" s="62"/>
      <c r="E297" s="68"/>
      <c r="F297" s="68"/>
      <c r="G297" s="68"/>
      <c r="H297" s="64">
        <f t="shared" si="12"/>
        <v>0</v>
      </c>
      <c r="I297" s="68"/>
      <c r="J297" s="65">
        <f t="shared" si="14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>
        <f>工程基本資料!$B$8+工程基本資料!$B$7+$L297+$M297-1</f>
        <v>-1</v>
      </c>
      <c r="Q297" s="9">
        <v>0</v>
      </c>
    </row>
    <row r="298" spans="1:17" ht="63" customHeight="1" x14ac:dyDescent="0.3">
      <c r="A298" s="60"/>
      <c r="B298" s="61">
        <f t="shared" si="13"/>
        <v>295</v>
      </c>
      <c r="C298" s="62"/>
      <c r="D298" s="62"/>
      <c r="E298" s="68"/>
      <c r="F298" s="68"/>
      <c r="G298" s="68"/>
      <c r="H298" s="64">
        <f t="shared" si="12"/>
        <v>0</v>
      </c>
      <c r="I298" s="68"/>
      <c r="J298" s="65">
        <f t="shared" si="14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>
        <f>工程基本資料!$B$8+工程基本資料!$B$7+$L298+$M298-1</f>
        <v>-1</v>
      </c>
      <c r="Q298" s="9">
        <v>0</v>
      </c>
    </row>
    <row r="299" spans="1:17" ht="63" customHeight="1" x14ac:dyDescent="0.3">
      <c r="A299" s="60"/>
      <c r="B299" s="61">
        <f t="shared" si="13"/>
        <v>296</v>
      </c>
      <c r="C299" s="62"/>
      <c r="D299" s="62"/>
      <c r="E299" s="68"/>
      <c r="F299" s="68"/>
      <c r="G299" s="68"/>
      <c r="H299" s="64">
        <f t="shared" si="12"/>
        <v>0</v>
      </c>
      <c r="I299" s="68"/>
      <c r="J299" s="65">
        <f t="shared" si="14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>
        <f>工程基本資料!$B$8+工程基本資料!$B$7+$L299+$M299-1</f>
        <v>-1</v>
      </c>
      <c r="Q299" s="9">
        <v>0</v>
      </c>
    </row>
    <row r="300" spans="1:17" ht="63" customHeight="1" x14ac:dyDescent="0.3">
      <c r="A300" s="60"/>
      <c r="B300" s="61">
        <f t="shared" si="13"/>
        <v>297</v>
      </c>
      <c r="C300" s="62"/>
      <c r="D300" s="62"/>
      <c r="E300" s="68"/>
      <c r="F300" s="68"/>
      <c r="G300" s="68"/>
      <c r="H300" s="64">
        <f t="shared" si="12"/>
        <v>0</v>
      </c>
      <c r="I300" s="68"/>
      <c r="J300" s="65">
        <f t="shared" si="14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>
        <f>工程基本資料!$B$8+工程基本資料!$B$7+$L300+$M300-1</f>
        <v>-1</v>
      </c>
      <c r="Q300" s="9">
        <v>0</v>
      </c>
    </row>
    <row r="301" spans="1:17" ht="63" customHeight="1" x14ac:dyDescent="0.3">
      <c r="A301" s="60"/>
      <c r="B301" s="61">
        <f t="shared" si="13"/>
        <v>298</v>
      </c>
      <c r="C301" s="62"/>
      <c r="D301" s="62"/>
      <c r="E301" s="68"/>
      <c r="F301" s="68"/>
      <c r="G301" s="68"/>
      <c r="H301" s="64">
        <f t="shared" si="12"/>
        <v>0</v>
      </c>
      <c r="I301" s="68"/>
      <c r="J301" s="65">
        <f t="shared" si="14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>
        <f>工程基本資料!$B$8+工程基本資料!$B$7+$L301+$M301-1</f>
        <v>-1</v>
      </c>
      <c r="Q301" s="9">
        <v>0</v>
      </c>
    </row>
    <row r="302" spans="1:17" ht="63" customHeight="1" x14ac:dyDescent="0.3">
      <c r="A302" s="60"/>
      <c r="B302" s="61">
        <f t="shared" si="13"/>
        <v>299</v>
      </c>
      <c r="C302" s="62"/>
      <c r="D302" s="62"/>
      <c r="E302" s="68"/>
      <c r="F302" s="68"/>
      <c r="G302" s="68"/>
      <c r="H302" s="64">
        <f t="shared" si="12"/>
        <v>0</v>
      </c>
      <c r="I302" s="68"/>
      <c r="J302" s="65">
        <f t="shared" si="14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>
        <f>工程基本資料!$B$8+工程基本資料!$B$7+$L302+$M302-1</f>
        <v>-1</v>
      </c>
      <c r="Q302" s="9">
        <v>0</v>
      </c>
    </row>
    <row r="303" spans="1:17" ht="63" customHeight="1" x14ac:dyDescent="0.3">
      <c r="A303" s="60"/>
      <c r="B303" s="61">
        <f t="shared" si="13"/>
        <v>300</v>
      </c>
      <c r="C303" s="62"/>
      <c r="D303" s="62"/>
      <c r="E303" s="68"/>
      <c r="F303" s="68"/>
      <c r="G303" s="68"/>
      <c r="H303" s="64">
        <f t="shared" si="12"/>
        <v>0</v>
      </c>
      <c r="I303" s="68"/>
      <c r="J303" s="65">
        <f t="shared" si="14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>
        <f>工程基本資料!$B$8+工程基本資料!$B$7+$L303+$M303-1</f>
        <v>-1</v>
      </c>
      <c r="Q303" s="9">
        <v>0</v>
      </c>
    </row>
    <row r="304" spans="1:17" ht="63" customHeight="1" x14ac:dyDescent="0.3">
      <c r="A304" s="60"/>
      <c r="B304" s="61">
        <f t="shared" si="13"/>
        <v>301</v>
      </c>
      <c r="C304" s="62"/>
      <c r="D304" s="62"/>
      <c r="E304" s="68"/>
      <c r="F304" s="68"/>
      <c r="G304" s="68"/>
      <c r="H304" s="64">
        <f t="shared" si="12"/>
        <v>0</v>
      </c>
      <c r="I304" s="68"/>
      <c r="J304" s="65">
        <f t="shared" si="14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>
        <f>工程基本資料!$B$8+工程基本資料!$B$7+$L304+$M304-1</f>
        <v>-1</v>
      </c>
      <c r="Q304" s="9">
        <v>0</v>
      </c>
    </row>
    <row r="305" spans="1:17" ht="63" customHeight="1" x14ac:dyDescent="0.3">
      <c r="A305" s="60"/>
      <c r="B305" s="61">
        <f t="shared" si="13"/>
        <v>302</v>
      </c>
      <c r="C305" s="62"/>
      <c r="D305" s="62"/>
      <c r="E305" s="68"/>
      <c r="F305" s="68"/>
      <c r="G305" s="68"/>
      <c r="H305" s="64">
        <f t="shared" si="12"/>
        <v>0</v>
      </c>
      <c r="I305" s="68"/>
      <c r="J305" s="65">
        <f t="shared" si="14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>
        <f>工程基本資料!$B$8+工程基本資料!$B$7+$L305+$M305-1</f>
        <v>-1</v>
      </c>
      <c r="Q305" s="9">
        <v>0</v>
      </c>
    </row>
    <row r="306" spans="1:17" ht="63" customHeight="1" x14ac:dyDescent="0.3">
      <c r="A306" s="60"/>
      <c r="B306" s="61">
        <f t="shared" si="13"/>
        <v>303</v>
      </c>
      <c r="C306" s="62"/>
      <c r="D306" s="62"/>
      <c r="E306" s="68"/>
      <c r="F306" s="68"/>
      <c r="G306" s="68"/>
      <c r="H306" s="64">
        <f t="shared" si="12"/>
        <v>0</v>
      </c>
      <c r="I306" s="68"/>
      <c r="J306" s="65">
        <f t="shared" si="14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>
        <f>工程基本資料!$B$8+工程基本資料!$B$7+$L306+$M306-1</f>
        <v>-1</v>
      </c>
      <c r="Q306" s="9">
        <v>0</v>
      </c>
    </row>
    <row r="307" spans="1:17" ht="63" customHeight="1" x14ac:dyDescent="0.3">
      <c r="A307" s="60"/>
      <c r="B307" s="61">
        <f t="shared" si="13"/>
        <v>304</v>
      </c>
      <c r="C307" s="62"/>
      <c r="D307" s="62"/>
      <c r="E307" s="68"/>
      <c r="F307" s="68"/>
      <c r="G307" s="68"/>
      <c r="H307" s="64">
        <f t="shared" si="12"/>
        <v>0</v>
      </c>
      <c r="I307" s="68"/>
      <c r="J307" s="65">
        <f t="shared" si="14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>
        <f>工程基本資料!$B$8+工程基本資料!$B$7+$L307+$M307-1</f>
        <v>-1</v>
      </c>
      <c r="Q307" s="9">
        <v>0</v>
      </c>
    </row>
    <row r="308" spans="1:17" ht="63" customHeight="1" x14ac:dyDescent="0.3">
      <c r="A308" s="60"/>
      <c r="B308" s="61">
        <f t="shared" si="13"/>
        <v>305</v>
      </c>
      <c r="C308" s="62"/>
      <c r="D308" s="62"/>
      <c r="E308" s="68"/>
      <c r="F308" s="68"/>
      <c r="G308" s="68"/>
      <c r="H308" s="64">
        <f t="shared" si="12"/>
        <v>0</v>
      </c>
      <c r="I308" s="68"/>
      <c r="J308" s="65">
        <f t="shared" si="14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>
        <f>工程基本資料!$B$8+工程基本資料!$B$7+$L308+$M308-1</f>
        <v>-1</v>
      </c>
      <c r="Q308" s="9">
        <v>0</v>
      </c>
    </row>
    <row r="309" spans="1:17" ht="63" customHeight="1" x14ac:dyDescent="0.3">
      <c r="A309" s="60"/>
      <c r="B309" s="61">
        <f t="shared" si="13"/>
        <v>306</v>
      </c>
      <c r="C309" s="62"/>
      <c r="D309" s="62"/>
      <c r="E309" s="68"/>
      <c r="F309" s="68"/>
      <c r="G309" s="68"/>
      <c r="H309" s="64">
        <f t="shared" si="12"/>
        <v>0</v>
      </c>
      <c r="I309" s="68"/>
      <c r="J309" s="65">
        <f t="shared" si="14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>
        <f>工程基本資料!$B$8+工程基本資料!$B$7+$L309+$M309-1</f>
        <v>-1</v>
      </c>
      <c r="Q309" s="9">
        <v>0</v>
      </c>
    </row>
    <row r="310" spans="1:17" ht="63" customHeight="1" x14ac:dyDescent="0.3">
      <c r="A310" s="60"/>
      <c r="B310" s="61">
        <f t="shared" si="13"/>
        <v>307</v>
      </c>
      <c r="C310" s="62"/>
      <c r="D310" s="62"/>
      <c r="E310" s="68"/>
      <c r="F310" s="68"/>
      <c r="G310" s="68"/>
      <c r="H310" s="64">
        <f t="shared" si="12"/>
        <v>0</v>
      </c>
      <c r="I310" s="68"/>
      <c r="J310" s="65">
        <f t="shared" si="14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>
        <f>工程基本資料!$B$8+工程基本資料!$B$7+$L310+$M310-1</f>
        <v>-1</v>
      </c>
      <c r="Q310" s="9">
        <v>0</v>
      </c>
    </row>
    <row r="311" spans="1:17" ht="63" customHeight="1" x14ac:dyDescent="0.3">
      <c r="A311" s="60"/>
      <c r="B311" s="61">
        <f t="shared" si="13"/>
        <v>308</v>
      </c>
      <c r="C311" s="62"/>
      <c r="D311" s="62"/>
      <c r="E311" s="68"/>
      <c r="F311" s="68"/>
      <c r="G311" s="68"/>
      <c r="H311" s="64">
        <f t="shared" si="12"/>
        <v>0</v>
      </c>
      <c r="I311" s="68"/>
      <c r="J311" s="65">
        <f t="shared" si="14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>
        <f>工程基本資料!$B$8+工程基本資料!$B$7+$L311+$M311-1</f>
        <v>-1</v>
      </c>
      <c r="Q311" s="9">
        <v>0</v>
      </c>
    </row>
    <row r="312" spans="1:17" ht="63" customHeight="1" x14ac:dyDescent="0.3">
      <c r="A312" s="60"/>
      <c r="B312" s="61">
        <f t="shared" si="13"/>
        <v>309</v>
      </c>
      <c r="C312" s="62"/>
      <c r="D312" s="62"/>
      <c r="E312" s="68"/>
      <c r="F312" s="68"/>
      <c r="G312" s="68"/>
      <c r="H312" s="64">
        <f t="shared" si="12"/>
        <v>0</v>
      </c>
      <c r="I312" s="68"/>
      <c r="J312" s="65">
        <f t="shared" si="14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>
        <f>工程基本資料!$B$8+工程基本資料!$B$7+$L312+$M312-1</f>
        <v>-1</v>
      </c>
      <c r="Q312" s="9">
        <v>0</v>
      </c>
    </row>
    <row r="313" spans="1:17" ht="63" customHeight="1" x14ac:dyDescent="0.3">
      <c r="A313" s="60"/>
      <c r="B313" s="61">
        <f t="shared" si="13"/>
        <v>310</v>
      </c>
      <c r="C313" s="62"/>
      <c r="D313" s="62"/>
      <c r="E313" s="68"/>
      <c r="F313" s="68"/>
      <c r="G313" s="68"/>
      <c r="H313" s="64">
        <f t="shared" si="12"/>
        <v>0</v>
      </c>
      <c r="I313" s="68"/>
      <c r="J313" s="65">
        <f t="shared" si="14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>
        <f>工程基本資料!$B$8+工程基本資料!$B$7+$L313+$M313-1</f>
        <v>-1</v>
      </c>
      <c r="Q313" s="9">
        <v>0</v>
      </c>
    </row>
    <row r="314" spans="1:17" ht="63" customHeight="1" x14ac:dyDescent="0.3">
      <c r="A314" s="60"/>
      <c r="B314" s="61">
        <f t="shared" si="13"/>
        <v>311</v>
      </c>
      <c r="C314" s="62"/>
      <c r="D314" s="62"/>
      <c r="E314" s="68"/>
      <c r="F314" s="68"/>
      <c r="G314" s="68"/>
      <c r="H314" s="64">
        <f t="shared" si="12"/>
        <v>0</v>
      </c>
      <c r="I314" s="68"/>
      <c r="J314" s="65">
        <f t="shared" si="14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>
        <f>工程基本資料!$B$8+工程基本資料!$B$7+$L314+$M314-1</f>
        <v>-1</v>
      </c>
      <c r="Q314" s="9">
        <v>0</v>
      </c>
    </row>
    <row r="315" spans="1:17" ht="63" customHeight="1" x14ac:dyDescent="0.3">
      <c r="A315" s="60"/>
      <c r="B315" s="61">
        <f t="shared" si="13"/>
        <v>312</v>
      </c>
      <c r="C315" s="62"/>
      <c r="D315" s="62"/>
      <c r="E315" s="68"/>
      <c r="F315" s="68"/>
      <c r="G315" s="68"/>
      <c r="H315" s="64">
        <f t="shared" si="12"/>
        <v>0</v>
      </c>
      <c r="I315" s="68"/>
      <c r="J315" s="65">
        <f t="shared" si="14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>
        <f>工程基本資料!$B$8+工程基本資料!$B$7+$L315+$M315-1</f>
        <v>-1</v>
      </c>
      <c r="Q315" s="9">
        <v>0</v>
      </c>
    </row>
    <row r="316" spans="1:17" ht="63" customHeight="1" x14ac:dyDescent="0.3">
      <c r="A316" s="60"/>
      <c r="B316" s="61">
        <f t="shared" si="13"/>
        <v>313</v>
      </c>
      <c r="C316" s="62"/>
      <c r="D316" s="62"/>
      <c r="E316" s="68"/>
      <c r="F316" s="68"/>
      <c r="G316" s="68"/>
      <c r="H316" s="64">
        <f t="shared" si="12"/>
        <v>0</v>
      </c>
      <c r="I316" s="68"/>
      <c r="J316" s="65">
        <f t="shared" si="14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>
        <f>工程基本資料!$B$8+工程基本資料!$B$7+$L316+$M316-1</f>
        <v>-1</v>
      </c>
      <c r="Q316" s="9">
        <v>0</v>
      </c>
    </row>
    <row r="317" spans="1:17" ht="63" customHeight="1" x14ac:dyDescent="0.3">
      <c r="A317" s="60"/>
      <c r="B317" s="61">
        <f t="shared" si="13"/>
        <v>314</v>
      </c>
      <c r="C317" s="62"/>
      <c r="D317" s="62"/>
      <c r="E317" s="68"/>
      <c r="F317" s="68"/>
      <c r="G317" s="68"/>
      <c r="H317" s="64">
        <f t="shared" si="12"/>
        <v>0</v>
      </c>
      <c r="I317" s="68"/>
      <c r="J317" s="65">
        <f t="shared" si="14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>
        <f>工程基本資料!$B$8+工程基本資料!$B$7+$L317+$M317-1</f>
        <v>-1</v>
      </c>
      <c r="Q317" s="9">
        <v>0</v>
      </c>
    </row>
    <row r="318" spans="1:17" ht="63" customHeight="1" x14ac:dyDescent="0.3">
      <c r="A318" s="60"/>
      <c r="B318" s="61">
        <f t="shared" si="13"/>
        <v>315</v>
      </c>
      <c r="C318" s="62"/>
      <c r="D318" s="62"/>
      <c r="E318" s="68"/>
      <c r="F318" s="68"/>
      <c r="G318" s="68"/>
      <c r="H318" s="64">
        <f t="shared" si="12"/>
        <v>0</v>
      </c>
      <c r="I318" s="68"/>
      <c r="J318" s="65">
        <f t="shared" si="14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>
        <f>工程基本資料!$B$8+工程基本資料!$B$7+$L318+$M318-1</f>
        <v>-1</v>
      </c>
      <c r="Q318" s="9">
        <v>0</v>
      </c>
    </row>
    <row r="319" spans="1:17" ht="63" customHeight="1" x14ac:dyDescent="0.3">
      <c r="A319" s="60"/>
      <c r="B319" s="61">
        <f t="shared" si="13"/>
        <v>316</v>
      </c>
      <c r="C319" s="62"/>
      <c r="D319" s="62"/>
      <c r="E319" s="68"/>
      <c r="F319" s="68"/>
      <c r="G319" s="68"/>
      <c r="H319" s="64">
        <f t="shared" si="12"/>
        <v>0</v>
      </c>
      <c r="I319" s="68"/>
      <c r="J319" s="65">
        <f t="shared" si="14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>
        <f>工程基本資料!$B$8+工程基本資料!$B$7+$L319+$M319-1</f>
        <v>-1</v>
      </c>
      <c r="Q319" s="9">
        <v>0</v>
      </c>
    </row>
    <row r="320" spans="1:17" ht="63" customHeight="1" x14ac:dyDescent="0.3">
      <c r="A320" s="60"/>
      <c r="B320" s="61">
        <f t="shared" si="13"/>
        <v>317</v>
      </c>
      <c r="C320" s="62"/>
      <c r="D320" s="62"/>
      <c r="E320" s="68"/>
      <c r="F320" s="68"/>
      <c r="G320" s="68"/>
      <c r="H320" s="64">
        <f t="shared" si="12"/>
        <v>0</v>
      </c>
      <c r="I320" s="68"/>
      <c r="J320" s="65">
        <f t="shared" si="14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>
        <f>工程基本資料!$B$8+工程基本資料!$B$7+$L320+$M320-1</f>
        <v>-1</v>
      </c>
      <c r="Q320" s="9">
        <v>0</v>
      </c>
    </row>
    <row r="321" spans="1:17" ht="63" customHeight="1" x14ac:dyDescent="0.3">
      <c r="A321" s="60"/>
      <c r="B321" s="61">
        <f t="shared" si="13"/>
        <v>318</v>
      </c>
      <c r="C321" s="62"/>
      <c r="D321" s="62"/>
      <c r="E321" s="68"/>
      <c r="F321" s="68"/>
      <c r="G321" s="68"/>
      <c r="H321" s="64">
        <f t="shared" si="12"/>
        <v>0</v>
      </c>
      <c r="I321" s="68"/>
      <c r="J321" s="65">
        <f t="shared" si="14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>
        <f>工程基本資料!$B$8+工程基本資料!$B$7+$L321+$M321-1</f>
        <v>-1</v>
      </c>
      <c r="Q321" s="9">
        <v>0</v>
      </c>
    </row>
    <row r="322" spans="1:17" ht="63" customHeight="1" x14ac:dyDescent="0.3">
      <c r="A322" s="60"/>
      <c r="B322" s="61">
        <f t="shared" si="13"/>
        <v>319</v>
      </c>
      <c r="C322" s="62"/>
      <c r="D322" s="62"/>
      <c r="E322" s="68"/>
      <c r="F322" s="68"/>
      <c r="G322" s="68"/>
      <c r="H322" s="64">
        <f t="shared" si="12"/>
        <v>0</v>
      </c>
      <c r="I322" s="68"/>
      <c r="J322" s="65">
        <f t="shared" si="14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>
        <f>工程基本資料!$B$8+工程基本資料!$B$7+$L322+$M322-1</f>
        <v>-1</v>
      </c>
      <c r="Q322" s="9">
        <v>0</v>
      </c>
    </row>
    <row r="323" spans="1:17" ht="63" customHeight="1" x14ac:dyDescent="0.3">
      <c r="A323" s="60"/>
      <c r="B323" s="61">
        <f t="shared" si="13"/>
        <v>320</v>
      </c>
      <c r="C323" s="62"/>
      <c r="D323" s="62"/>
      <c r="E323" s="68"/>
      <c r="F323" s="68"/>
      <c r="G323" s="68"/>
      <c r="H323" s="64">
        <f t="shared" si="12"/>
        <v>0</v>
      </c>
      <c r="I323" s="68"/>
      <c r="J323" s="65">
        <f t="shared" si="14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>
        <f>工程基本資料!$B$8+工程基本資料!$B$7+$L323+$M323-1</f>
        <v>-1</v>
      </c>
      <c r="Q323" s="9">
        <v>0</v>
      </c>
    </row>
    <row r="324" spans="1:17" ht="63" customHeight="1" x14ac:dyDescent="0.3">
      <c r="A324" s="60"/>
      <c r="B324" s="61">
        <f t="shared" si="13"/>
        <v>321</v>
      </c>
      <c r="C324" s="62"/>
      <c r="D324" s="62"/>
      <c r="E324" s="68"/>
      <c r="F324" s="68"/>
      <c r="G324" s="68"/>
      <c r="H324" s="64">
        <f t="shared" ref="H324:H387" si="15">IF(Q324&gt;1,$R$3,$R$4)</f>
        <v>0</v>
      </c>
      <c r="I324" s="68"/>
      <c r="J324" s="65">
        <f t="shared" si="14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>
        <f>工程基本資料!$B$8+工程基本資料!$B$7+$L324+$M324-1</f>
        <v>-1</v>
      </c>
      <c r="Q324" s="9">
        <v>0</v>
      </c>
    </row>
    <row r="325" spans="1:17" ht="63" customHeight="1" x14ac:dyDescent="0.3">
      <c r="A325" s="60"/>
      <c r="B325" s="61">
        <f t="shared" ref="B325:B388" si="16">B324+1</f>
        <v>322</v>
      </c>
      <c r="C325" s="62"/>
      <c r="D325" s="62"/>
      <c r="E325" s="68"/>
      <c r="F325" s="68"/>
      <c r="G325" s="68"/>
      <c r="H325" s="64">
        <f t="shared" si="15"/>
        <v>0</v>
      </c>
      <c r="I325" s="68"/>
      <c r="J325" s="65">
        <f t="shared" ref="J325:J388" si="17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>
        <f>工程基本資料!$B$8+工程基本資料!$B$7+$L325+$M325-1</f>
        <v>-1</v>
      </c>
      <c r="Q325" s="9">
        <v>0</v>
      </c>
    </row>
    <row r="326" spans="1:17" ht="63" customHeight="1" x14ac:dyDescent="0.3">
      <c r="A326" s="60"/>
      <c r="B326" s="61">
        <f t="shared" si="16"/>
        <v>323</v>
      </c>
      <c r="C326" s="62"/>
      <c r="D326" s="62"/>
      <c r="E326" s="68"/>
      <c r="F326" s="68"/>
      <c r="G326" s="68"/>
      <c r="H326" s="64">
        <f t="shared" si="15"/>
        <v>0</v>
      </c>
      <c r="I326" s="68"/>
      <c r="J326" s="65">
        <f t="shared" si="17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>
        <f>工程基本資料!$B$8+工程基本資料!$B$7+$L326+$M326-1</f>
        <v>-1</v>
      </c>
      <c r="Q326" s="9">
        <v>0</v>
      </c>
    </row>
    <row r="327" spans="1:17" ht="63" customHeight="1" x14ac:dyDescent="0.3">
      <c r="A327" s="60"/>
      <c r="B327" s="61">
        <f t="shared" si="16"/>
        <v>324</v>
      </c>
      <c r="C327" s="62"/>
      <c r="D327" s="62"/>
      <c r="E327" s="68"/>
      <c r="F327" s="68"/>
      <c r="G327" s="68"/>
      <c r="H327" s="64">
        <f t="shared" si="15"/>
        <v>0</v>
      </c>
      <c r="I327" s="68"/>
      <c r="J327" s="65">
        <f t="shared" si="17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>
        <f>工程基本資料!$B$8+工程基本資料!$B$7+$L327+$M327-1</f>
        <v>-1</v>
      </c>
      <c r="Q327" s="9">
        <v>0</v>
      </c>
    </row>
    <row r="328" spans="1:17" ht="63" customHeight="1" x14ac:dyDescent="0.3">
      <c r="A328" s="60"/>
      <c r="B328" s="61">
        <f t="shared" si="16"/>
        <v>325</v>
      </c>
      <c r="C328" s="62"/>
      <c r="D328" s="62"/>
      <c r="E328" s="68"/>
      <c r="F328" s="68"/>
      <c r="G328" s="68"/>
      <c r="H328" s="64">
        <f t="shared" si="15"/>
        <v>0</v>
      </c>
      <c r="I328" s="68"/>
      <c r="J328" s="65">
        <f t="shared" si="17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>
        <f>工程基本資料!$B$8+工程基本資料!$B$7+$L328+$M328-1</f>
        <v>-1</v>
      </c>
      <c r="Q328" s="9">
        <v>0</v>
      </c>
    </row>
    <row r="329" spans="1:17" ht="63" customHeight="1" x14ac:dyDescent="0.3">
      <c r="A329" s="60"/>
      <c r="B329" s="61">
        <f t="shared" si="16"/>
        <v>326</v>
      </c>
      <c r="C329" s="62"/>
      <c r="D329" s="62"/>
      <c r="E329" s="68"/>
      <c r="F329" s="68"/>
      <c r="G329" s="68"/>
      <c r="H329" s="64">
        <f t="shared" si="15"/>
        <v>0</v>
      </c>
      <c r="I329" s="68"/>
      <c r="J329" s="65">
        <f t="shared" si="17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>
        <f>工程基本資料!$B$8+工程基本資料!$B$7+$L329+$M329-1</f>
        <v>-1</v>
      </c>
      <c r="Q329" s="9">
        <v>0</v>
      </c>
    </row>
    <row r="330" spans="1:17" ht="63" customHeight="1" x14ac:dyDescent="0.3">
      <c r="A330" s="60"/>
      <c r="B330" s="61">
        <f t="shared" si="16"/>
        <v>327</v>
      </c>
      <c r="C330" s="62"/>
      <c r="D330" s="62"/>
      <c r="E330" s="68"/>
      <c r="F330" s="68"/>
      <c r="G330" s="68"/>
      <c r="H330" s="64">
        <f t="shared" si="15"/>
        <v>0</v>
      </c>
      <c r="I330" s="68"/>
      <c r="J330" s="65">
        <f t="shared" si="17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>
        <f>工程基本資料!$B$8+工程基本資料!$B$7+$L330+$M330-1</f>
        <v>-1</v>
      </c>
      <c r="Q330" s="9">
        <v>0</v>
      </c>
    </row>
    <row r="331" spans="1:17" ht="63" customHeight="1" x14ac:dyDescent="0.3">
      <c r="A331" s="60"/>
      <c r="B331" s="61">
        <f t="shared" si="16"/>
        <v>328</v>
      </c>
      <c r="C331" s="62"/>
      <c r="D331" s="62"/>
      <c r="E331" s="68"/>
      <c r="F331" s="68"/>
      <c r="G331" s="68"/>
      <c r="H331" s="64">
        <f t="shared" si="15"/>
        <v>0</v>
      </c>
      <c r="I331" s="68"/>
      <c r="J331" s="65">
        <f t="shared" si="17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>
        <f>工程基本資料!$B$8+工程基本資料!$B$7+$L331+$M331-1</f>
        <v>-1</v>
      </c>
      <c r="Q331" s="9">
        <v>0</v>
      </c>
    </row>
    <row r="332" spans="1:17" ht="63" customHeight="1" x14ac:dyDescent="0.3">
      <c r="A332" s="60"/>
      <c r="B332" s="61">
        <f t="shared" si="16"/>
        <v>329</v>
      </c>
      <c r="C332" s="62"/>
      <c r="D332" s="62"/>
      <c r="E332" s="68"/>
      <c r="F332" s="68"/>
      <c r="G332" s="68"/>
      <c r="H332" s="64">
        <f t="shared" si="15"/>
        <v>0</v>
      </c>
      <c r="I332" s="68"/>
      <c r="J332" s="65">
        <f t="shared" si="17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>
        <f>工程基本資料!$B$8+工程基本資料!$B$7+$L332+$M332-1</f>
        <v>-1</v>
      </c>
      <c r="Q332" s="9">
        <v>0</v>
      </c>
    </row>
    <row r="333" spans="1:17" ht="63" customHeight="1" x14ac:dyDescent="0.3">
      <c r="A333" s="60"/>
      <c r="B333" s="61">
        <f t="shared" si="16"/>
        <v>330</v>
      </c>
      <c r="C333" s="62"/>
      <c r="D333" s="62"/>
      <c r="E333" s="68"/>
      <c r="F333" s="68"/>
      <c r="G333" s="68"/>
      <c r="H333" s="64">
        <f t="shared" si="15"/>
        <v>0</v>
      </c>
      <c r="I333" s="68"/>
      <c r="J333" s="65">
        <f t="shared" si="17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>
        <f>工程基本資料!$B$8+工程基本資料!$B$7+$L333+$M333-1</f>
        <v>-1</v>
      </c>
      <c r="Q333" s="9">
        <v>0</v>
      </c>
    </row>
    <row r="334" spans="1:17" ht="63" customHeight="1" x14ac:dyDescent="0.3">
      <c r="A334" s="60"/>
      <c r="B334" s="61">
        <f t="shared" si="16"/>
        <v>331</v>
      </c>
      <c r="C334" s="62"/>
      <c r="D334" s="62"/>
      <c r="E334" s="68"/>
      <c r="F334" s="68"/>
      <c r="G334" s="68"/>
      <c r="H334" s="64">
        <f t="shared" si="15"/>
        <v>0</v>
      </c>
      <c r="I334" s="68"/>
      <c r="J334" s="65">
        <f t="shared" si="17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>
        <f>工程基本資料!$B$8+工程基本資料!$B$7+$L334+$M334-1</f>
        <v>-1</v>
      </c>
      <c r="Q334" s="9">
        <v>0</v>
      </c>
    </row>
    <row r="335" spans="1:17" ht="63" customHeight="1" x14ac:dyDescent="0.3">
      <c r="A335" s="60"/>
      <c r="B335" s="61">
        <f t="shared" si="16"/>
        <v>332</v>
      </c>
      <c r="C335" s="62"/>
      <c r="D335" s="62"/>
      <c r="E335" s="68"/>
      <c r="F335" s="68"/>
      <c r="G335" s="68"/>
      <c r="H335" s="64">
        <f t="shared" si="15"/>
        <v>0</v>
      </c>
      <c r="I335" s="68"/>
      <c r="J335" s="65">
        <f t="shared" si="17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>
        <f>工程基本資料!$B$8+工程基本資料!$B$7+$L335+$M335-1</f>
        <v>-1</v>
      </c>
      <c r="Q335" s="9">
        <v>0</v>
      </c>
    </row>
    <row r="336" spans="1:17" ht="63" customHeight="1" x14ac:dyDescent="0.3">
      <c r="A336" s="60"/>
      <c r="B336" s="61">
        <f t="shared" si="16"/>
        <v>333</v>
      </c>
      <c r="C336" s="62"/>
      <c r="D336" s="62"/>
      <c r="E336" s="68"/>
      <c r="F336" s="68"/>
      <c r="G336" s="68"/>
      <c r="H336" s="64">
        <f t="shared" si="15"/>
        <v>0</v>
      </c>
      <c r="I336" s="68"/>
      <c r="J336" s="65">
        <f t="shared" si="17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>
        <f>工程基本資料!$B$8+工程基本資料!$B$7+$L336+$M336-1</f>
        <v>-1</v>
      </c>
      <c r="Q336" s="9">
        <v>0</v>
      </c>
    </row>
    <row r="337" spans="1:17" ht="63" customHeight="1" x14ac:dyDescent="0.3">
      <c r="A337" s="60"/>
      <c r="B337" s="61">
        <f t="shared" si="16"/>
        <v>334</v>
      </c>
      <c r="C337" s="62"/>
      <c r="D337" s="62"/>
      <c r="E337" s="68"/>
      <c r="F337" s="68"/>
      <c r="G337" s="68"/>
      <c r="H337" s="64">
        <f t="shared" si="15"/>
        <v>0</v>
      </c>
      <c r="I337" s="68"/>
      <c r="J337" s="65">
        <f t="shared" si="17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>
        <f>工程基本資料!$B$8+工程基本資料!$B$7+$L337+$M337-1</f>
        <v>-1</v>
      </c>
      <c r="Q337" s="9">
        <v>0</v>
      </c>
    </row>
    <row r="338" spans="1:17" ht="63" customHeight="1" x14ac:dyDescent="0.3">
      <c r="A338" s="60"/>
      <c r="B338" s="61">
        <f t="shared" si="16"/>
        <v>335</v>
      </c>
      <c r="C338" s="62"/>
      <c r="D338" s="62"/>
      <c r="E338" s="68"/>
      <c r="F338" s="68"/>
      <c r="G338" s="68"/>
      <c r="H338" s="64">
        <f t="shared" si="15"/>
        <v>0</v>
      </c>
      <c r="I338" s="68"/>
      <c r="J338" s="65">
        <f t="shared" si="17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>
        <f>工程基本資料!$B$8+工程基本資料!$B$7+$L338+$M338-1</f>
        <v>-1</v>
      </c>
      <c r="Q338" s="9">
        <v>0</v>
      </c>
    </row>
    <row r="339" spans="1:17" ht="63" customHeight="1" x14ac:dyDescent="0.3">
      <c r="A339" s="60"/>
      <c r="B339" s="61">
        <f t="shared" si="16"/>
        <v>336</v>
      </c>
      <c r="C339" s="62"/>
      <c r="D339" s="62"/>
      <c r="E339" s="68"/>
      <c r="F339" s="68"/>
      <c r="G339" s="68"/>
      <c r="H339" s="64">
        <f t="shared" si="15"/>
        <v>0</v>
      </c>
      <c r="I339" s="68"/>
      <c r="J339" s="65">
        <f t="shared" si="17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>
        <f>工程基本資料!$B$8+工程基本資料!$B$7+$L339+$M339-1</f>
        <v>-1</v>
      </c>
      <c r="Q339" s="9">
        <v>0</v>
      </c>
    </row>
    <row r="340" spans="1:17" ht="63" customHeight="1" x14ac:dyDescent="0.3">
      <c r="A340" s="60"/>
      <c r="B340" s="61">
        <f t="shared" si="16"/>
        <v>337</v>
      </c>
      <c r="C340" s="62"/>
      <c r="D340" s="62"/>
      <c r="E340" s="68"/>
      <c r="F340" s="68"/>
      <c r="G340" s="68"/>
      <c r="H340" s="64">
        <f t="shared" si="15"/>
        <v>0</v>
      </c>
      <c r="I340" s="68"/>
      <c r="J340" s="65">
        <f t="shared" si="17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>
        <f>工程基本資料!$B$8+工程基本資料!$B$7+$L340+$M340-1</f>
        <v>-1</v>
      </c>
      <c r="Q340" s="9">
        <v>0</v>
      </c>
    </row>
    <row r="341" spans="1:17" ht="63" customHeight="1" x14ac:dyDescent="0.3">
      <c r="A341" s="60"/>
      <c r="B341" s="61">
        <f t="shared" si="16"/>
        <v>338</v>
      </c>
      <c r="C341" s="62"/>
      <c r="D341" s="62"/>
      <c r="E341" s="68"/>
      <c r="F341" s="68"/>
      <c r="G341" s="68"/>
      <c r="H341" s="64">
        <f t="shared" si="15"/>
        <v>0</v>
      </c>
      <c r="I341" s="68"/>
      <c r="J341" s="65">
        <f t="shared" si="17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>
        <f>工程基本資料!$B$8+工程基本資料!$B$7+$L341+$M341-1</f>
        <v>-1</v>
      </c>
      <c r="Q341" s="9">
        <v>0</v>
      </c>
    </row>
    <row r="342" spans="1:17" ht="63" customHeight="1" x14ac:dyDescent="0.3">
      <c r="A342" s="60"/>
      <c r="B342" s="61">
        <f t="shared" si="16"/>
        <v>339</v>
      </c>
      <c r="C342" s="62"/>
      <c r="D342" s="62"/>
      <c r="E342" s="68"/>
      <c r="F342" s="68"/>
      <c r="G342" s="68"/>
      <c r="H342" s="64">
        <f t="shared" si="15"/>
        <v>0</v>
      </c>
      <c r="I342" s="68"/>
      <c r="J342" s="65">
        <f t="shared" si="17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>
        <f>工程基本資料!$B$8+工程基本資料!$B$7+$L342+$M342-1</f>
        <v>-1</v>
      </c>
      <c r="Q342" s="9">
        <v>0</v>
      </c>
    </row>
    <row r="343" spans="1:17" ht="63" customHeight="1" x14ac:dyDescent="0.3">
      <c r="A343" s="60"/>
      <c r="B343" s="61">
        <f t="shared" si="16"/>
        <v>340</v>
      </c>
      <c r="C343" s="62"/>
      <c r="D343" s="62"/>
      <c r="E343" s="68"/>
      <c r="F343" s="68"/>
      <c r="G343" s="68"/>
      <c r="H343" s="64">
        <f t="shared" si="15"/>
        <v>0</v>
      </c>
      <c r="I343" s="68"/>
      <c r="J343" s="65">
        <f t="shared" si="17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>
        <f>工程基本資料!$B$8+工程基本資料!$B$7+$L343+$M343-1</f>
        <v>-1</v>
      </c>
      <c r="Q343" s="9">
        <v>0</v>
      </c>
    </row>
    <row r="344" spans="1:17" ht="63" customHeight="1" x14ac:dyDescent="0.3">
      <c r="A344" s="60"/>
      <c r="B344" s="61">
        <f t="shared" si="16"/>
        <v>341</v>
      </c>
      <c r="C344" s="62"/>
      <c r="D344" s="62"/>
      <c r="E344" s="68"/>
      <c r="F344" s="68"/>
      <c r="G344" s="68"/>
      <c r="H344" s="64">
        <f t="shared" si="15"/>
        <v>0</v>
      </c>
      <c r="I344" s="68"/>
      <c r="J344" s="65">
        <f t="shared" si="17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>
        <f>工程基本資料!$B$8+工程基本資料!$B$7+$L344+$M344-1</f>
        <v>-1</v>
      </c>
      <c r="Q344" s="9">
        <v>0</v>
      </c>
    </row>
    <row r="345" spans="1:17" ht="63" customHeight="1" x14ac:dyDescent="0.3">
      <c r="A345" s="60"/>
      <c r="B345" s="61">
        <f t="shared" si="16"/>
        <v>342</v>
      </c>
      <c r="C345" s="62"/>
      <c r="D345" s="62"/>
      <c r="E345" s="68"/>
      <c r="F345" s="68"/>
      <c r="G345" s="68"/>
      <c r="H345" s="64">
        <f t="shared" si="15"/>
        <v>0</v>
      </c>
      <c r="I345" s="68"/>
      <c r="J345" s="65">
        <f t="shared" si="17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>
        <f>工程基本資料!$B$8+工程基本資料!$B$7+$L345+$M345-1</f>
        <v>-1</v>
      </c>
      <c r="Q345" s="9">
        <v>0</v>
      </c>
    </row>
    <row r="346" spans="1:17" ht="63" customHeight="1" x14ac:dyDescent="0.3">
      <c r="A346" s="60"/>
      <c r="B346" s="61">
        <f t="shared" si="16"/>
        <v>343</v>
      </c>
      <c r="C346" s="62"/>
      <c r="D346" s="62"/>
      <c r="E346" s="68"/>
      <c r="F346" s="68"/>
      <c r="G346" s="68"/>
      <c r="H346" s="64">
        <f t="shared" si="15"/>
        <v>0</v>
      </c>
      <c r="I346" s="68"/>
      <c r="J346" s="65">
        <f t="shared" si="17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>
        <f>工程基本資料!$B$8+工程基本資料!$B$7+$L346+$M346-1</f>
        <v>-1</v>
      </c>
      <c r="Q346" s="9">
        <v>0</v>
      </c>
    </row>
    <row r="347" spans="1:17" ht="63" customHeight="1" x14ac:dyDescent="0.3">
      <c r="A347" s="60"/>
      <c r="B347" s="61">
        <f t="shared" si="16"/>
        <v>344</v>
      </c>
      <c r="C347" s="62"/>
      <c r="D347" s="62"/>
      <c r="E347" s="68"/>
      <c r="F347" s="68"/>
      <c r="G347" s="68"/>
      <c r="H347" s="64">
        <f t="shared" si="15"/>
        <v>0</v>
      </c>
      <c r="I347" s="68"/>
      <c r="J347" s="65">
        <f t="shared" si="17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>
        <f>工程基本資料!$B$8+工程基本資料!$B$7+$L347+$M347-1</f>
        <v>-1</v>
      </c>
      <c r="Q347" s="9">
        <v>0</v>
      </c>
    </row>
    <row r="348" spans="1:17" ht="63" customHeight="1" x14ac:dyDescent="0.3">
      <c r="A348" s="60"/>
      <c r="B348" s="61">
        <f t="shared" si="16"/>
        <v>345</v>
      </c>
      <c r="C348" s="62"/>
      <c r="D348" s="62"/>
      <c r="E348" s="68"/>
      <c r="F348" s="68"/>
      <c r="G348" s="68"/>
      <c r="H348" s="64">
        <f t="shared" si="15"/>
        <v>0</v>
      </c>
      <c r="I348" s="68"/>
      <c r="J348" s="65">
        <f t="shared" si="17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>
        <f>工程基本資料!$B$8+工程基本資料!$B$7+$L348+$M348-1</f>
        <v>-1</v>
      </c>
      <c r="Q348" s="9">
        <v>0</v>
      </c>
    </row>
    <row r="349" spans="1:17" ht="63" customHeight="1" x14ac:dyDescent="0.3">
      <c r="A349" s="60"/>
      <c r="B349" s="61">
        <f t="shared" si="16"/>
        <v>346</v>
      </c>
      <c r="C349" s="62"/>
      <c r="D349" s="62"/>
      <c r="E349" s="68"/>
      <c r="F349" s="68"/>
      <c r="G349" s="68"/>
      <c r="H349" s="64">
        <f t="shared" si="15"/>
        <v>0</v>
      </c>
      <c r="I349" s="68"/>
      <c r="J349" s="65">
        <f t="shared" si="17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>
        <f>工程基本資料!$B$8+工程基本資料!$B$7+$L349+$M349-1</f>
        <v>-1</v>
      </c>
      <c r="Q349" s="9">
        <v>0</v>
      </c>
    </row>
    <row r="350" spans="1:17" ht="63" customHeight="1" x14ac:dyDescent="0.3">
      <c r="A350" s="60"/>
      <c r="B350" s="61">
        <f t="shared" si="16"/>
        <v>347</v>
      </c>
      <c r="C350" s="62"/>
      <c r="D350" s="62"/>
      <c r="E350" s="68"/>
      <c r="F350" s="68"/>
      <c r="G350" s="68"/>
      <c r="H350" s="64">
        <f t="shared" si="15"/>
        <v>0</v>
      </c>
      <c r="I350" s="68"/>
      <c r="J350" s="65">
        <f t="shared" si="17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>
        <f>工程基本資料!$B$8+工程基本資料!$B$7+$L350+$M350-1</f>
        <v>-1</v>
      </c>
      <c r="Q350" s="9">
        <v>0</v>
      </c>
    </row>
    <row r="351" spans="1:17" ht="63" customHeight="1" x14ac:dyDescent="0.3">
      <c r="A351" s="60"/>
      <c r="B351" s="61">
        <f t="shared" si="16"/>
        <v>348</v>
      </c>
      <c r="C351" s="62"/>
      <c r="D351" s="62"/>
      <c r="E351" s="68"/>
      <c r="F351" s="68"/>
      <c r="G351" s="68"/>
      <c r="H351" s="64">
        <f t="shared" si="15"/>
        <v>0</v>
      </c>
      <c r="I351" s="68"/>
      <c r="J351" s="65">
        <f t="shared" si="17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>
        <f>工程基本資料!$B$8+工程基本資料!$B$7+$L351+$M351-1</f>
        <v>-1</v>
      </c>
      <c r="Q351" s="9">
        <v>0</v>
      </c>
    </row>
    <row r="352" spans="1:17" ht="63" customHeight="1" x14ac:dyDescent="0.3">
      <c r="A352" s="60"/>
      <c r="B352" s="61">
        <f t="shared" si="16"/>
        <v>349</v>
      </c>
      <c r="C352" s="62"/>
      <c r="D352" s="62"/>
      <c r="E352" s="68"/>
      <c r="F352" s="68"/>
      <c r="G352" s="68"/>
      <c r="H352" s="64">
        <f t="shared" si="15"/>
        <v>0</v>
      </c>
      <c r="I352" s="68"/>
      <c r="J352" s="65">
        <f t="shared" si="17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>
        <f>工程基本資料!$B$8+工程基本資料!$B$7+$L352+$M352-1</f>
        <v>-1</v>
      </c>
      <c r="Q352" s="9">
        <v>0</v>
      </c>
    </row>
    <row r="353" spans="1:17" ht="63" customHeight="1" x14ac:dyDescent="0.3">
      <c r="A353" s="60"/>
      <c r="B353" s="61">
        <f t="shared" si="16"/>
        <v>350</v>
      </c>
      <c r="C353" s="62"/>
      <c r="D353" s="62"/>
      <c r="E353" s="68"/>
      <c r="F353" s="68"/>
      <c r="G353" s="68"/>
      <c r="H353" s="64">
        <f t="shared" si="15"/>
        <v>0</v>
      </c>
      <c r="I353" s="68"/>
      <c r="J353" s="65">
        <f t="shared" si="17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>
        <f>工程基本資料!$B$8+工程基本資料!$B$7+$L353+$M353-1</f>
        <v>-1</v>
      </c>
      <c r="Q353" s="9">
        <v>0</v>
      </c>
    </row>
    <row r="354" spans="1:17" ht="63" customHeight="1" x14ac:dyDescent="0.3">
      <c r="A354" s="60"/>
      <c r="B354" s="61">
        <f t="shared" si="16"/>
        <v>351</v>
      </c>
      <c r="C354" s="62"/>
      <c r="D354" s="62"/>
      <c r="E354" s="68"/>
      <c r="F354" s="68"/>
      <c r="G354" s="68"/>
      <c r="H354" s="64">
        <f t="shared" si="15"/>
        <v>0</v>
      </c>
      <c r="I354" s="68"/>
      <c r="J354" s="65">
        <f t="shared" si="17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>
        <f>工程基本資料!$B$8+工程基本資料!$B$7+$L354+$M354-1</f>
        <v>-1</v>
      </c>
      <c r="Q354" s="9">
        <v>0</v>
      </c>
    </row>
    <row r="355" spans="1:17" ht="63" customHeight="1" x14ac:dyDescent="0.3">
      <c r="A355" s="60"/>
      <c r="B355" s="61">
        <f t="shared" si="16"/>
        <v>352</v>
      </c>
      <c r="C355" s="62"/>
      <c r="D355" s="62"/>
      <c r="E355" s="68"/>
      <c r="F355" s="68"/>
      <c r="G355" s="68"/>
      <c r="H355" s="64">
        <f t="shared" si="15"/>
        <v>0</v>
      </c>
      <c r="I355" s="68"/>
      <c r="J355" s="65">
        <f t="shared" si="17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>
        <f>工程基本資料!$B$8+工程基本資料!$B$7+$L355+$M355-1</f>
        <v>-1</v>
      </c>
      <c r="Q355" s="9">
        <v>0</v>
      </c>
    </row>
    <row r="356" spans="1:17" ht="63" customHeight="1" x14ac:dyDescent="0.3">
      <c r="A356" s="60"/>
      <c r="B356" s="61">
        <f t="shared" si="16"/>
        <v>353</v>
      </c>
      <c r="C356" s="62"/>
      <c r="D356" s="62"/>
      <c r="E356" s="68"/>
      <c r="F356" s="68"/>
      <c r="G356" s="68"/>
      <c r="H356" s="64">
        <f t="shared" si="15"/>
        <v>0</v>
      </c>
      <c r="I356" s="68"/>
      <c r="J356" s="65">
        <f t="shared" si="17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>
        <f>工程基本資料!$B$8+工程基本資料!$B$7+$L356+$M356-1</f>
        <v>-1</v>
      </c>
      <c r="Q356" s="9">
        <v>0</v>
      </c>
    </row>
    <row r="357" spans="1:17" ht="63" customHeight="1" x14ac:dyDescent="0.3">
      <c r="A357" s="60"/>
      <c r="B357" s="61">
        <f t="shared" si="16"/>
        <v>354</v>
      </c>
      <c r="C357" s="62"/>
      <c r="D357" s="62"/>
      <c r="E357" s="68"/>
      <c r="F357" s="68"/>
      <c r="G357" s="68"/>
      <c r="H357" s="64">
        <f t="shared" si="15"/>
        <v>0</v>
      </c>
      <c r="I357" s="68"/>
      <c r="J357" s="65">
        <f t="shared" si="17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>
        <f>工程基本資料!$B$8+工程基本資料!$B$7+$L357+$M357-1</f>
        <v>-1</v>
      </c>
      <c r="Q357" s="9">
        <v>0</v>
      </c>
    </row>
    <row r="358" spans="1:17" ht="63" customHeight="1" x14ac:dyDescent="0.3">
      <c r="A358" s="60"/>
      <c r="B358" s="61">
        <f t="shared" si="16"/>
        <v>355</v>
      </c>
      <c r="C358" s="62"/>
      <c r="D358" s="62"/>
      <c r="E358" s="68"/>
      <c r="F358" s="68"/>
      <c r="G358" s="68"/>
      <c r="H358" s="64">
        <f t="shared" si="15"/>
        <v>0</v>
      </c>
      <c r="I358" s="68"/>
      <c r="J358" s="65">
        <f t="shared" si="17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>
        <f>工程基本資料!$B$8+工程基本資料!$B$7+$L358+$M358-1</f>
        <v>-1</v>
      </c>
      <c r="Q358" s="9">
        <v>0</v>
      </c>
    </row>
    <row r="359" spans="1:17" ht="63" customHeight="1" x14ac:dyDescent="0.3">
      <c r="A359" s="60"/>
      <c r="B359" s="61">
        <f t="shared" si="16"/>
        <v>356</v>
      </c>
      <c r="C359" s="62"/>
      <c r="D359" s="62"/>
      <c r="E359" s="68"/>
      <c r="F359" s="68"/>
      <c r="G359" s="68"/>
      <c r="H359" s="64">
        <f t="shared" si="15"/>
        <v>0</v>
      </c>
      <c r="I359" s="68"/>
      <c r="J359" s="65">
        <f t="shared" si="17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>
        <f>工程基本資料!$B$8+工程基本資料!$B$7+$L359+$M359-1</f>
        <v>-1</v>
      </c>
      <c r="Q359" s="9">
        <v>0</v>
      </c>
    </row>
    <row r="360" spans="1:17" ht="63" customHeight="1" x14ac:dyDescent="0.3">
      <c r="A360" s="60"/>
      <c r="B360" s="61">
        <f t="shared" si="16"/>
        <v>357</v>
      </c>
      <c r="C360" s="62"/>
      <c r="D360" s="62"/>
      <c r="E360" s="68"/>
      <c r="F360" s="68"/>
      <c r="G360" s="68"/>
      <c r="H360" s="64">
        <f t="shared" si="15"/>
        <v>0</v>
      </c>
      <c r="I360" s="68"/>
      <c r="J360" s="65">
        <f t="shared" si="17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>
        <f>工程基本資料!$B$8+工程基本資料!$B$7+$L360+$M360-1</f>
        <v>-1</v>
      </c>
      <c r="Q360" s="9">
        <v>0</v>
      </c>
    </row>
    <row r="361" spans="1:17" ht="63" customHeight="1" x14ac:dyDescent="0.3">
      <c r="A361" s="60"/>
      <c r="B361" s="61">
        <f t="shared" si="16"/>
        <v>358</v>
      </c>
      <c r="C361" s="62"/>
      <c r="D361" s="62"/>
      <c r="E361" s="68"/>
      <c r="F361" s="68"/>
      <c r="G361" s="68"/>
      <c r="H361" s="64">
        <f t="shared" si="15"/>
        <v>0</v>
      </c>
      <c r="I361" s="68"/>
      <c r="J361" s="65">
        <f t="shared" si="17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>
        <f>工程基本資料!$B$8+工程基本資料!$B$7+$L361+$M361-1</f>
        <v>-1</v>
      </c>
      <c r="Q361" s="9">
        <v>0</v>
      </c>
    </row>
    <row r="362" spans="1:17" ht="63" customHeight="1" x14ac:dyDescent="0.3">
      <c r="A362" s="60"/>
      <c r="B362" s="61">
        <f t="shared" si="16"/>
        <v>359</v>
      </c>
      <c r="C362" s="62"/>
      <c r="D362" s="62"/>
      <c r="E362" s="68"/>
      <c r="F362" s="68"/>
      <c r="G362" s="68"/>
      <c r="H362" s="64">
        <f t="shared" si="15"/>
        <v>0</v>
      </c>
      <c r="I362" s="68"/>
      <c r="J362" s="65">
        <f t="shared" si="17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>
        <f>工程基本資料!$B$8+工程基本資料!$B$7+$L362+$M362-1</f>
        <v>-1</v>
      </c>
      <c r="Q362" s="9">
        <v>0</v>
      </c>
    </row>
    <row r="363" spans="1:17" ht="63" customHeight="1" x14ac:dyDescent="0.3">
      <c r="A363" s="60"/>
      <c r="B363" s="61">
        <f t="shared" si="16"/>
        <v>360</v>
      </c>
      <c r="C363" s="62"/>
      <c r="D363" s="62"/>
      <c r="E363" s="68"/>
      <c r="F363" s="68"/>
      <c r="G363" s="68"/>
      <c r="H363" s="64">
        <f t="shared" si="15"/>
        <v>0</v>
      </c>
      <c r="I363" s="68"/>
      <c r="J363" s="65">
        <f t="shared" si="17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>
        <f>工程基本資料!$B$8+工程基本資料!$B$7+$L363+$M363-1</f>
        <v>-1</v>
      </c>
      <c r="Q363" s="9">
        <v>0</v>
      </c>
    </row>
    <row r="364" spans="1:17" ht="63" customHeight="1" x14ac:dyDescent="0.3">
      <c r="A364" s="60"/>
      <c r="B364" s="61">
        <f t="shared" si="16"/>
        <v>361</v>
      </c>
      <c r="C364" s="62"/>
      <c r="D364" s="62"/>
      <c r="E364" s="68"/>
      <c r="F364" s="68"/>
      <c r="G364" s="68"/>
      <c r="H364" s="64">
        <f t="shared" si="15"/>
        <v>0</v>
      </c>
      <c r="I364" s="68"/>
      <c r="J364" s="65">
        <f t="shared" si="17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>
        <f>工程基本資料!$B$8+工程基本資料!$B$7+$L364+$M364-1</f>
        <v>-1</v>
      </c>
      <c r="Q364" s="9">
        <v>0</v>
      </c>
    </row>
    <row r="365" spans="1:17" ht="63" customHeight="1" x14ac:dyDescent="0.3">
      <c r="A365" s="60"/>
      <c r="B365" s="61">
        <f t="shared" si="16"/>
        <v>362</v>
      </c>
      <c r="C365" s="62"/>
      <c r="D365" s="62"/>
      <c r="E365" s="68"/>
      <c r="F365" s="68"/>
      <c r="G365" s="68"/>
      <c r="H365" s="64">
        <f t="shared" si="15"/>
        <v>0</v>
      </c>
      <c r="I365" s="68"/>
      <c r="J365" s="65">
        <f t="shared" si="17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>
        <f>工程基本資料!$B$8+工程基本資料!$B$7+$L365+$M365-1</f>
        <v>-1</v>
      </c>
      <c r="Q365" s="9">
        <v>0</v>
      </c>
    </row>
    <row r="366" spans="1:17" ht="63" customHeight="1" x14ac:dyDescent="0.3">
      <c r="A366" s="60"/>
      <c r="B366" s="61">
        <f t="shared" si="16"/>
        <v>363</v>
      </c>
      <c r="C366" s="62"/>
      <c r="D366" s="62"/>
      <c r="E366" s="68"/>
      <c r="F366" s="68"/>
      <c r="G366" s="68"/>
      <c r="H366" s="64">
        <f t="shared" si="15"/>
        <v>0</v>
      </c>
      <c r="I366" s="68"/>
      <c r="J366" s="65">
        <f t="shared" si="17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>
        <f>工程基本資料!$B$8+工程基本資料!$B$7+$L366+$M366-1</f>
        <v>-1</v>
      </c>
      <c r="Q366" s="9">
        <v>0</v>
      </c>
    </row>
    <row r="367" spans="1:17" ht="63" customHeight="1" x14ac:dyDescent="0.3">
      <c r="A367" s="60"/>
      <c r="B367" s="61">
        <f t="shared" si="16"/>
        <v>364</v>
      </c>
      <c r="C367" s="62"/>
      <c r="D367" s="62"/>
      <c r="E367" s="68"/>
      <c r="F367" s="68"/>
      <c r="G367" s="68"/>
      <c r="H367" s="64">
        <f t="shared" si="15"/>
        <v>0</v>
      </c>
      <c r="I367" s="68"/>
      <c r="J367" s="65">
        <f t="shared" si="17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>
        <f>工程基本資料!$B$8+工程基本資料!$B$7+$L367+$M367-1</f>
        <v>-1</v>
      </c>
      <c r="Q367" s="9">
        <v>0</v>
      </c>
    </row>
    <row r="368" spans="1:17" ht="63" customHeight="1" x14ac:dyDescent="0.3">
      <c r="A368" s="60"/>
      <c r="B368" s="61">
        <f t="shared" si="16"/>
        <v>365</v>
      </c>
      <c r="C368" s="62"/>
      <c r="D368" s="62"/>
      <c r="E368" s="68"/>
      <c r="F368" s="68"/>
      <c r="G368" s="68"/>
      <c r="H368" s="64">
        <f t="shared" si="15"/>
        <v>0</v>
      </c>
      <c r="I368" s="68"/>
      <c r="J368" s="65">
        <f t="shared" si="17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>
        <f>工程基本資料!$B$8+工程基本資料!$B$7+$L368+$M368-1</f>
        <v>-1</v>
      </c>
      <c r="Q368" s="9">
        <v>0</v>
      </c>
    </row>
    <row r="369" spans="1:17" ht="63" customHeight="1" x14ac:dyDescent="0.3">
      <c r="A369" s="60"/>
      <c r="B369" s="61">
        <f t="shared" si="16"/>
        <v>366</v>
      </c>
      <c r="C369" s="62"/>
      <c r="D369" s="62"/>
      <c r="E369" s="68"/>
      <c r="F369" s="68"/>
      <c r="G369" s="68"/>
      <c r="H369" s="64">
        <f t="shared" si="15"/>
        <v>0</v>
      </c>
      <c r="I369" s="68"/>
      <c r="J369" s="65">
        <f t="shared" si="17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>
        <f>工程基本資料!$B$8+工程基本資料!$B$7+$L369+$M369-1</f>
        <v>-1</v>
      </c>
      <c r="Q369" s="9">
        <v>0</v>
      </c>
    </row>
    <row r="370" spans="1:17" ht="63" customHeight="1" x14ac:dyDescent="0.3">
      <c r="A370" s="60"/>
      <c r="B370" s="61">
        <f t="shared" si="16"/>
        <v>367</v>
      </c>
      <c r="C370" s="62"/>
      <c r="D370" s="62"/>
      <c r="E370" s="68"/>
      <c r="F370" s="68"/>
      <c r="G370" s="68"/>
      <c r="H370" s="64">
        <f t="shared" si="15"/>
        <v>0</v>
      </c>
      <c r="I370" s="68"/>
      <c r="J370" s="65">
        <f t="shared" si="17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>
        <f>工程基本資料!$B$8+工程基本資料!$B$7+$L370+$M370-1</f>
        <v>-1</v>
      </c>
      <c r="Q370" s="9">
        <v>0</v>
      </c>
    </row>
    <row r="371" spans="1:17" ht="63" customHeight="1" x14ac:dyDescent="0.3">
      <c r="A371" s="60"/>
      <c r="B371" s="61">
        <f t="shared" si="16"/>
        <v>368</v>
      </c>
      <c r="C371" s="62"/>
      <c r="D371" s="62"/>
      <c r="E371" s="68"/>
      <c r="F371" s="68"/>
      <c r="G371" s="68"/>
      <c r="H371" s="64">
        <f t="shared" si="15"/>
        <v>0</v>
      </c>
      <c r="I371" s="68"/>
      <c r="J371" s="65">
        <f t="shared" si="17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>
        <f>工程基本資料!$B$8+工程基本資料!$B$7+$L371+$M371-1</f>
        <v>-1</v>
      </c>
      <c r="Q371" s="9">
        <v>0</v>
      </c>
    </row>
    <row r="372" spans="1:17" ht="63" customHeight="1" x14ac:dyDescent="0.3">
      <c r="A372" s="60"/>
      <c r="B372" s="61">
        <f t="shared" si="16"/>
        <v>369</v>
      </c>
      <c r="C372" s="62"/>
      <c r="D372" s="62"/>
      <c r="E372" s="68"/>
      <c r="F372" s="68"/>
      <c r="G372" s="68"/>
      <c r="H372" s="64">
        <f t="shared" si="15"/>
        <v>0</v>
      </c>
      <c r="I372" s="68"/>
      <c r="J372" s="65">
        <f t="shared" si="17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>
        <f>工程基本資料!$B$8+工程基本資料!$B$7+$L372+$M372-1</f>
        <v>-1</v>
      </c>
      <c r="Q372" s="9">
        <v>0</v>
      </c>
    </row>
    <row r="373" spans="1:17" ht="63" customHeight="1" x14ac:dyDescent="0.3">
      <c r="A373" s="60"/>
      <c r="B373" s="61">
        <f t="shared" si="16"/>
        <v>370</v>
      </c>
      <c r="C373" s="62"/>
      <c r="D373" s="62"/>
      <c r="E373" s="68"/>
      <c r="F373" s="68"/>
      <c r="G373" s="68"/>
      <c r="H373" s="64">
        <f t="shared" si="15"/>
        <v>0</v>
      </c>
      <c r="I373" s="68"/>
      <c r="J373" s="65">
        <f t="shared" si="17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>
        <f>工程基本資料!$B$8+工程基本資料!$B$7+$L373+$M373-1</f>
        <v>-1</v>
      </c>
      <c r="Q373" s="9">
        <v>0</v>
      </c>
    </row>
    <row r="374" spans="1:17" ht="63" customHeight="1" x14ac:dyDescent="0.3">
      <c r="A374" s="60"/>
      <c r="B374" s="61">
        <f t="shared" si="16"/>
        <v>371</v>
      </c>
      <c r="C374" s="62"/>
      <c r="D374" s="62"/>
      <c r="E374" s="68"/>
      <c r="F374" s="68"/>
      <c r="G374" s="68"/>
      <c r="H374" s="64">
        <f t="shared" si="15"/>
        <v>0</v>
      </c>
      <c r="I374" s="68"/>
      <c r="J374" s="65">
        <f t="shared" si="17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>
        <f>工程基本資料!$B$8+工程基本資料!$B$7+$L374+$M374-1</f>
        <v>-1</v>
      </c>
      <c r="Q374" s="9">
        <v>0</v>
      </c>
    </row>
    <row r="375" spans="1:17" ht="63" customHeight="1" x14ac:dyDescent="0.3">
      <c r="A375" s="60"/>
      <c r="B375" s="61">
        <f t="shared" si="16"/>
        <v>372</v>
      </c>
      <c r="C375" s="62"/>
      <c r="D375" s="62"/>
      <c r="E375" s="68"/>
      <c r="F375" s="68"/>
      <c r="G375" s="68"/>
      <c r="H375" s="64">
        <f t="shared" si="15"/>
        <v>0</v>
      </c>
      <c r="I375" s="68"/>
      <c r="J375" s="65">
        <f t="shared" si="17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>
        <f>工程基本資料!$B$8+工程基本資料!$B$7+$L375+$M375-1</f>
        <v>-1</v>
      </c>
      <c r="Q375" s="9">
        <v>0</v>
      </c>
    </row>
    <row r="376" spans="1:17" ht="63" customHeight="1" x14ac:dyDescent="0.3">
      <c r="A376" s="60"/>
      <c r="B376" s="61">
        <f t="shared" si="16"/>
        <v>373</v>
      </c>
      <c r="C376" s="62"/>
      <c r="D376" s="62"/>
      <c r="E376" s="68"/>
      <c r="F376" s="68"/>
      <c r="G376" s="68"/>
      <c r="H376" s="64">
        <f t="shared" si="15"/>
        <v>0</v>
      </c>
      <c r="I376" s="68"/>
      <c r="J376" s="65">
        <f t="shared" si="17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>
        <f>工程基本資料!$B$8+工程基本資料!$B$7+$L376+$M376-1</f>
        <v>-1</v>
      </c>
      <c r="Q376" s="9">
        <v>0</v>
      </c>
    </row>
    <row r="377" spans="1:17" ht="63" customHeight="1" x14ac:dyDescent="0.3">
      <c r="A377" s="60"/>
      <c r="B377" s="61">
        <f t="shared" si="16"/>
        <v>374</v>
      </c>
      <c r="C377" s="62"/>
      <c r="D377" s="62"/>
      <c r="E377" s="68"/>
      <c r="F377" s="68"/>
      <c r="G377" s="68"/>
      <c r="H377" s="64">
        <f t="shared" si="15"/>
        <v>0</v>
      </c>
      <c r="I377" s="68"/>
      <c r="J377" s="65">
        <f t="shared" si="17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>
        <f>工程基本資料!$B$8+工程基本資料!$B$7+$L377+$M377-1</f>
        <v>-1</v>
      </c>
      <c r="Q377" s="9">
        <v>0</v>
      </c>
    </row>
    <row r="378" spans="1:17" ht="63" customHeight="1" x14ac:dyDescent="0.3">
      <c r="A378" s="60"/>
      <c r="B378" s="61">
        <f t="shared" si="16"/>
        <v>375</v>
      </c>
      <c r="C378" s="62"/>
      <c r="D378" s="62"/>
      <c r="E378" s="68"/>
      <c r="F378" s="68"/>
      <c r="G378" s="68"/>
      <c r="H378" s="64">
        <f t="shared" si="15"/>
        <v>0</v>
      </c>
      <c r="I378" s="68"/>
      <c r="J378" s="65">
        <f t="shared" si="17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>
        <f>工程基本資料!$B$8+工程基本資料!$B$7+$L378+$M378-1</f>
        <v>-1</v>
      </c>
      <c r="Q378" s="9">
        <v>0</v>
      </c>
    </row>
    <row r="379" spans="1:17" ht="63" customHeight="1" x14ac:dyDescent="0.3">
      <c r="A379" s="60"/>
      <c r="B379" s="61">
        <f t="shared" si="16"/>
        <v>376</v>
      </c>
      <c r="C379" s="62"/>
      <c r="D379" s="62"/>
      <c r="E379" s="68"/>
      <c r="F379" s="68"/>
      <c r="G379" s="68"/>
      <c r="H379" s="64">
        <f t="shared" si="15"/>
        <v>0</v>
      </c>
      <c r="I379" s="68"/>
      <c r="J379" s="65">
        <f t="shared" si="17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>
        <f>工程基本資料!$B$8+工程基本資料!$B$7+$L379+$M379-1</f>
        <v>-1</v>
      </c>
      <c r="Q379" s="9">
        <v>0</v>
      </c>
    </row>
    <row r="380" spans="1:17" ht="63" customHeight="1" x14ac:dyDescent="0.3">
      <c r="A380" s="60"/>
      <c r="B380" s="61">
        <f t="shared" si="16"/>
        <v>377</v>
      </c>
      <c r="C380" s="62"/>
      <c r="D380" s="62"/>
      <c r="E380" s="68"/>
      <c r="F380" s="68"/>
      <c r="G380" s="68"/>
      <c r="H380" s="64">
        <f t="shared" si="15"/>
        <v>0</v>
      </c>
      <c r="I380" s="68"/>
      <c r="J380" s="65">
        <f t="shared" si="17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>
        <f>工程基本資料!$B$8+工程基本資料!$B$7+$L380+$M380-1</f>
        <v>-1</v>
      </c>
      <c r="Q380" s="9">
        <v>0</v>
      </c>
    </row>
    <row r="381" spans="1:17" ht="63" customHeight="1" x14ac:dyDescent="0.3">
      <c r="A381" s="60"/>
      <c r="B381" s="61">
        <f t="shared" si="16"/>
        <v>378</v>
      </c>
      <c r="C381" s="62"/>
      <c r="D381" s="62"/>
      <c r="E381" s="68"/>
      <c r="F381" s="68"/>
      <c r="G381" s="68"/>
      <c r="H381" s="64">
        <f t="shared" si="15"/>
        <v>0</v>
      </c>
      <c r="I381" s="68"/>
      <c r="J381" s="65">
        <f t="shared" si="17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>
        <f>工程基本資料!$B$8+工程基本資料!$B$7+$L381+$M381-1</f>
        <v>-1</v>
      </c>
      <c r="Q381" s="9">
        <v>0</v>
      </c>
    </row>
    <row r="382" spans="1:17" ht="63" customHeight="1" x14ac:dyDescent="0.3">
      <c r="A382" s="60"/>
      <c r="B382" s="61">
        <f t="shared" si="16"/>
        <v>379</v>
      </c>
      <c r="C382" s="62"/>
      <c r="D382" s="62"/>
      <c r="E382" s="68"/>
      <c r="F382" s="68"/>
      <c r="G382" s="68"/>
      <c r="H382" s="64">
        <f t="shared" si="15"/>
        <v>0</v>
      </c>
      <c r="I382" s="68"/>
      <c r="J382" s="65">
        <f t="shared" si="17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>
        <f>工程基本資料!$B$8+工程基本資料!$B$7+$L382+$M382-1</f>
        <v>-1</v>
      </c>
      <c r="Q382" s="9">
        <v>0</v>
      </c>
    </row>
    <row r="383" spans="1:17" ht="63" customHeight="1" x14ac:dyDescent="0.3">
      <c r="A383" s="60"/>
      <c r="B383" s="61">
        <f t="shared" si="16"/>
        <v>380</v>
      </c>
      <c r="C383" s="62"/>
      <c r="D383" s="62"/>
      <c r="E383" s="68"/>
      <c r="F383" s="68"/>
      <c r="G383" s="68"/>
      <c r="H383" s="64">
        <f t="shared" si="15"/>
        <v>0</v>
      </c>
      <c r="I383" s="68"/>
      <c r="J383" s="65">
        <f t="shared" si="17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>
        <f>工程基本資料!$B$8+工程基本資料!$B$7+$L383+$M383-1</f>
        <v>-1</v>
      </c>
      <c r="Q383" s="9">
        <v>0</v>
      </c>
    </row>
    <row r="384" spans="1:17" ht="63" customHeight="1" x14ac:dyDescent="0.3">
      <c r="A384" s="60"/>
      <c r="B384" s="61">
        <f t="shared" si="16"/>
        <v>381</v>
      </c>
      <c r="C384" s="62"/>
      <c r="D384" s="62"/>
      <c r="E384" s="68"/>
      <c r="F384" s="68"/>
      <c r="G384" s="68"/>
      <c r="H384" s="64">
        <f t="shared" si="15"/>
        <v>0</v>
      </c>
      <c r="I384" s="68"/>
      <c r="J384" s="65">
        <f t="shared" si="17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>
        <f>工程基本資料!$B$8+工程基本資料!$B$7+$L384+$M384-1</f>
        <v>-1</v>
      </c>
      <c r="Q384" s="9">
        <v>0</v>
      </c>
    </row>
    <row r="385" spans="1:17" ht="63" customHeight="1" x14ac:dyDescent="0.3">
      <c r="A385" s="60"/>
      <c r="B385" s="61">
        <f t="shared" si="16"/>
        <v>382</v>
      </c>
      <c r="C385" s="62"/>
      <c r="D385" s="62"/>
      <c r="E385" s="68"/>
      <c r="F385" s="68"/>
      <c r="G385" s="68"/>
      <c r="H385" s="64">
        <f t="shared" si="15"/>
        <v>0</v>
      </c>
      <c r="I385" s="68"/>
      <c r="J385" s="65">
        <f t="shared" si="17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>
        <f>工程基本資料!$B$8+工程基本資料!$B$7+$L385+$M385-1</f>
        <v>-1</v>
      </c>
      <c r="Q385" s="9">
        <v>0</v>
      </c>
    </row>
    <row r="386" spans="1:17" ht="63" customHeight="1" x14ac:dyDescent="0.3">
      <c r="A386" s="60"/>
      <c r="B386" s="61">
        <f t="shared" si="16"/>
        <v>383</v>
      </c>
      <c r="C386" s="62"/>
      <c r="D386" s="62"/>
      <c r="E386" s="68"/>
      <c r="F386" s="68"/>
      <c r="G386" s="68"/>
      <c r="H386" s="64">
        <f t="shared" si="15"/>
        <v>0</v>
      </c>
      <c r="I386" s="68"/>
      <c r="J386" s="65">
        <f t="shared" si="17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>
        <f>工程基本資料!$B$8+工程基本資料!$B$7+$L386+$M386-1</f>
        <v>-1</v>
      </c>
      <c r="Q386" s="9">
        <v>0</v>
      </c>
    </row>
    <row r="387" spans="1:17" ht="63" customHeight="1" x14ac:dyDescent="0.3">
      <c r="A387" s="60"/>
      <c r="B387" s="61">
        <f t="shared" si="16"/>
        <v>384</v>
      </c>
      <c r="C387" s="62"/>
      <c r="D387" s="62"/>
      <c r="E387" s="68"/>
      <c r="F387" s="68"/>
      <c r="G387" s="68"/>
      <c r="H387" s="64">
        <f t="shared" si="15"/>
        <v>0</v>
      </c>
      <c r="I387" s="68"/>
      <c r="J387" s="65">
        <f t="shared" si="17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>
        <f>工程基本資料!$B$8+工程基本資料!$B$7+$L387+$M387-1</f>
        <v>-1</v>
      </c>
      <c r="Q387" s="9">
        <v>0</v>
      </c>
    </row>
    <row r="388" spans="1:17" ht="63" customHeight="1" x14ac:dyDescent="0.3">
      <c r="A388" s="60"/>
      <c r="B388" s="61">
        <f t="shared" si="16"/>
        <v>385</v>
      </c>
      <c r="C388" s="62"/>
      <c r="D388" s="62"/>
      <c r="E388" s="68"/>
      <c r="F388" s="68"/>
      <c r="G388" s="68"/>
      <c r="H388" s="64">
        <f t="shared" ref="H388:H451" si="18">IF(Q388&gt;1,$R$3,$R$4)</f>
        <v>0</v>
      </c>
      <c r="I388" s="68"/>
      <c r="J388" s="65">
        <f t="shared" si="17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>
        <f>工程基本資料!$B$8+工程基本資料!$B$7+$L388+$M388-1</f>
        <v>-1</v>
      </c>
      <c r="Q388" s="9">
        <v>0</v>
      </c>
    </row>
    <row r="389" spans="1:17" ht="63" customHeight="1" x14ac:dyDescent="0.3">
      <c r="A389" s="60"/>
      <c r="B389" s="61">
        <f t="shared" ref="B389:B452" si="19">B388+1</f>
        <v>386</v>
      </c>
      <c r="C389" s="62"/>
      <c r="D389" s="62"/>
      <c r="E389" s="68"/>
      <c r="F389" s="68"/>
      <c r="G389" s="68"/>
      <c r="H389" s="64">
        <f t="shared" si="18"/>
        <v>0</v>
      </c>
      <c r="I389" s="68"/>
      <c r="J389" s="65">
        <f t="shared" ref="J389:J452" si="20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>
        <f>工程基本資料!$B$8+工程基本資料!$B$7+$L389+$M389-1</f>
        <v>-1</v>
      </c>
      <c r="Q389" s="9">
        <v>0</v>
      </c>
    </row>
    <row r="390" spans="1:17" ht="63" customHeight="1" x14ac:dyDescent="0.3">
      <c r="A390" s="60"/>
      <c r="B390" s="61">
        <f t="shared" si="19"/>
        <v>387</v>
      </c>
      <c r="C390" s="62"/>
      <c r="D390" s="62"/>
      <c r="E390" s="68"/>
      <c r="F390" s="68"/>
      <c r="G390" s="68"/>
      <c r="H390" s="64">
        <f t="shared" si="18"/>
        <v>0</v>
      </c>
      <c r="I390" s="68"/>
      <c r="J390" s="65">
        <f t="shared" si="20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>
        <f>工程基本資料!$B$8+工程基本資料!$B$7+$L390+$M390-1</f>
        <v>-1</v>
      </c>
      <c r="Q390" s="9">
        <v>0</v>
      </c>
    </row>
    <row r="391" spans="1:17" ht="63" customHeight="1" x14ac:dyDescent="0.3">
      <c r="A391" s="60"/>
      <c r="B391" s="61">
        <f t="shared" si="19"/>
        <v>388</v>
      </c>
      <c r="C391" s="62"/>
      <c r="D391" s="62"/>
      <c r="E391" s="68"/>
      <c r="F391" s="68"/>
      <c r="G391" s="68"/>
      <c r="H391" s="64">
        <f t="shared" si="18"/>
        <v>0</v>
      </c>
      <c r="I391" s="68"/>
      <c r="J391" s="65">
        <f t="shared" si="20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>
        <f>工程基本資料!$B$8+工程基本資料!$B$7+$L391+$M391-1</f>
        <v>-1</v>
      </c>
      <c r="Q391" s="9">
        <v>0</v>
      </c>
    </row>
    <row r="392" spans="1:17" ht="63" customHeight="1" x14ac:dyDescent="0.3">
      <c r="A392" s="60"/>
      <c r="B392" s="61">
        <f t="shared" si="19"/>
        <v>389</v>
      </c>
      <c r="C392" s="62"/>
      <c r="D392" s="62"/>
      <c r="E392" s="68"/>
      <c r="F392" s="68"/>
      <c r="G392" s="68"/>
      <c r="H392" s="64">
        <f t="shared" si="18"/>
        <v>0</v>
      </c>
      <c r="I392" s="68"/>
      <c r="J392" s="65">
        <f t="shared" si="20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>
        <f>工程基本資料!$B$8+工程基本資料!$B$7+$L392+$M392-1</f>
        <v>-1</v>
      </c>
      <c r="Q392" s="9">
        <v>0</v>
      </c>
    </row>
    <row r="393" spans="1:17" ht="63" customHeight="1" x14ac:dyDescent="0.3">
      <c r="A393" s="60"/>
      <c r="B393" s="61">
        <f t="shared" si="19"/>
        <v>390</v>
      </c>
      <c r="C393" s="62"/>
      <c r="D393" s="62"/>
      <c r="E393" s="68"/>
      <c r="F393" s="68"/>
      <c r="G393" s="68"/>
      <c r="H393" s="64">
        <f t="shared" si="18"/>
        <v>0</v>
      </c>
      <c r="I393" s="68"/>
      <c r="J393" s="65">
        <f t="shared" si="20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>
        <f>工程基本資料!$B$8+工程基本資料!$B$7+$L393+$M393-1</f>
        <v>-1</v>
      </c>
      <c r="Q393" s="9">
        <v>0</v>
      </c>
    </row>
    <row r="394" spans="1:17" ht="63" customHeight="1" x14ac:dyDescent="0.3">
      <c r="A394" s="60"/>
      <c r="B394" s="61">
        <f t="shared" si="19"/>
        <v>391</v>
      </c>
      <c r="C394" s="62"/>
      <c r="D394" s="62"/>
      <c r="E394" s="68"/>
      <c r="F394" s="68"/>
      <c r="G394" s="68"/>
      <c r="H394" s="64">
        <f t="shared" si="18"/>
        <v>0</v>
      </c>
      <c r="I394" s="68"/>
      <c r="J394" s="65">
        <f t="shared" si="20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>
        <f>工程基本資料!$B$8+工程基本資料!$B$7+$L394+$M394-1</f>
        <v>-1</v>
      </c>
      <c r="Q394" s="9">
        <v>0</v>
      </c>
    </row>
    <row r="395" spans="1:17" ht="63" customHeight="1" x14ac:dyDescent="0.3">
      <c r="A395" s="60"/>
      <c r="B395" s="61">
        <f t="shared" si="19"/>
        <v>392</v>
      </c>
      <c r="C395" s="62"/>
      <c r="D395" s="62"/>
      <c r="E395" s="68"/>
      <c r="F395" s="68"/>
      <c r="G395" s="68"/>
      <c r="H395" s="64">
        <f t="shared" si="18"/>
        <v>0</v>
      </c>
      <c r="I395" s="68"/>
      <c r="J395" s="65">
        <f t="shared" si="20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>
        <f>工程基本資料!$B$8+工程基本資料!$B$7+$L395+$M395-1</f>
        <v>-1</v>
      </c>
      <c r="Q395" s="9">
        <v>0</v>
      </c>
    </row>
    <row r="396" spans="1:17" ht="63" customHeight="1" x14ac:dyDescent="0.3">
      <c r="A396" s="60"/>
      <c r="B396" s="61">
        <f t="shared" si="19"/>
        <v>393</v>
      </c>
      <c r="C396" s="62"/>
      <c r="D396" s="62"/>
      <c r="E396" s="68"/>
      <c r="F396" s="68"/>
      <c r="G396" s="68"/>
      <c r="H396" s="64">
        <f t="shared" si="18"/>
        <v>0</v>
      </c>
      <c r="I396" s="68"/>
      <c r="J396" s="65">
        <f t="shared" si="20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>
        <f>工程基本資料!$B$8+工程基本資料!$B$7+$L396+$M396-1</f>
        <v>-1</v>
      </c>
      <c r="Q396" s="9">
        <v>0</v>
      </c>
    </row>
    <row r="397" spans="1:17" ht="63" customHeight="1" x14ac:dyDescent="0.3">
      <c r="A397" s="60"/>
      <c r="B397" s="61">
        <f t="shared" si="19"/>
        <v>394</v>
      </c>
      <c r="C397" s="62"/>
      <c r="D397" s="62"/>
      <c r="E397" s="68"/>
      <c r="F397" s="68"/>
      <c r="G397" s="68"/>
      <c r="H397" s="64">
        <f t="shared" si="18"/>
        <v>0</v>
      </c>
      <c r="I397" s="68"/>
      <c r="J397" s="65">
        <f t="shared" si="20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>
        <f>工程基本資料!$B$8+工程基本資料!$B$7+$L397+$M397-1</f>
        <v>-1</v>
      </c>
      <c r="Q397" s="9">
        <v>0</v>
      </c>
    </row>
    <row r="398" spans="1:17" ht="63" customHeight="1" x14ac:dyDescent="0.3">
      <c r="A398" s="60"/>
      <c r="B398" s="61">
        <f t="shared" si="19"/>
        <v>395</v>
      </c>
      <c r="C398" s="62"/>
      <c r="D398" s="62"/>
      <c r="E398" s="68"/>
      <c r="F398" s="68"/>
      <c r="G398" s="68"/>
      <c r="H398" s="64">
        <f t="shared" si="18"/>
        <v>0</v>
      </c>
      <c r="I398" s="68"/>
      <c r="J398" s="65">
        <f t="shared" si="20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>
        <f>工程基本資料!$B$8+工程基本資料!$B$7+$L398+$M398-1</f>
        <v>-1</v>
      </c>
      <c r="Q398" s="9">
        <v>0</v>
      </c>
    </row>
    <row r="399" spans="1:17" ht="63" customHeight="1" x14ac:dyDescent="0.3">
      <c r="A399" s="60"/>
      <c r="B399" s="61">
        <f t="shared" si="19"/>
        <v>396</v>
      </c>
      <c r="C399" s="62"/>
      <c r="D399" s="62"/>
      <c r="E399" s="68"/>
      <c r="F399" s="68"/>
      <c r="G399" s="68"/>
      <c r="H399" s="64">
        <f t="shared" si="18"/>
        <v>0</v>
      </c>
      <c r="I399" s="68"/>
      <c r="J399" s="65">
        <f t="shared" si="20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>
        <f>工程基本資料!$B$8+工程基本資料!$B$7+$L399+$M399-1</f>
        <v>-1</v>
      </c>
      <c r="Q399" s="9">
        <v>0</v>
      </c>
    </row>
    <row r="400" spans="1:17" ht="63" customHeight="1" x14ac:dyDescent="0.3">
      <c r="A400" s="60"/>
      <c r="B400" s="61">
        <f t="shared" si="19"/>
        <v>397</v>
      </c>
      <c r="C400" s="62"/>
      <c r="D400" s="62"/>
      <c r="E400" s="68"/>
      <c r="F400" s="68"/>
      <c r="G400" s="68"/>
      <c r="H400" s="64">
        <f t="shared" si="18"/>
        <v>0</v>
      </c>
      <c r="I400" s="68"/>
      <c r="J400" s="65">
        <f t="shared" si="20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>
        <f>工程基本資料!$B$8+工程基本資料!$B$7+$L400+$M400-1</f>
        <v>-1</v>
      </c>
      <c r="Q400" s="9">
        <v>0</v>
      </c>
    </row>
    <row r="401" spans="1:17" ht="63" customHeight="1" x14ac:dyDescent="0.3">
      <c r="A401" s="60"/>
      <c r="B401" s="61">
        <f t="shared" si="19"/>
        <v>398</v>
      </c>
      <c r="C401" s="62"/>
      <c r="D401" s="62"/>
      <c r="E401" s="68"/>
      <c r="F401" s="68"/>
      <c r="G401" s="68"/>
      <c r="H401" s="64">
        <f t="shared" si="18"/>
        <v>0</v>
      </c>
      <c r="I401" s="68"/>
      <c r="J401" s="65">
        <f t="shared" si="20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>
        <f>工程基本資料!$B$8+工程基本資料!$B$7+$L401+$M401-1</f>
        <v>-1</v>
      </c>
      <c r="Q401" s="9">
        <v>0</v>
      </c>
    </row>
    <row r="402" spans="1:17" ht="63" customHeight="1" x14ac:dyDescent="0.3">
      <c r="A402" s="60"/>
      <c r="B402" s="61">
        <f t="shared" si="19"/>
        <v>399</v>
      </c>
      <c r="C402" s="62"/>
      <c r="D402" s="62"/>
      <c r="E402" s="68"/>
      <c r="F402" s="68"/>
      <c r="G402" s="68"/>
      <c r="H402" s="64">
        <f t="shared" si="18"/>
        <v>0</v>
      </c>
      <c r="I402" s="68"/>
      <c r="J402" s="65">
        <f t="shared" si="20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>
        <f>工程基本資料!$B$8+工程基本資料!$B$7+$L402+$M402-1</f>
        <v>-1</v>
      </c>
      <c r="Q402" s="9">
        <v>0</v>
      </c>
    </row>
    <row r="403" spans="1:17" ht="63" customHeight="1" x14ac:dyDescent="0.3">
      <c r="A403" s="60"/>
      <c r="B403" s="61">
        <f t="shared" si="19"/>
        <v>400</v>
      </c>
      <c r="C403" s="62"/>
      <c r="D403" s="62"/>
      <c r="E403" s="68"/>
      <c r="F403" s="68"/>
      <c r="G403" s="68"/>
      <c r="H403" s="64">
        <f t="shared" si="18"/>
        <v>0</v>
      </c>
      <c r="I403" s="68"/>
      <c r="J403" s="65">
        <f t="shared" si="20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>
        <f>工程基本資料!$B$8+工程基本資料!$B$7+$L403+$M403-1</f>
        <v>-1</v>
      </c>
      <c r="Q403" s="9">
        <v>0</v>
      </c>
    </row>
    <row r="404" spans="1:17" ht="63" customHeight="1" x14ac:dyDescent="0.3">
      <c r="A404" s="60"/>
      <c r="B404" s="61">
        <f t="shared" si="19"/>
        <v>401</v>
      </c>
      <c r="C404" s="62"/>
      <c r="D404" s="62"/>
      <c r="E404" s="68"/>
      <c r="F404" s="68"/>
      <c r="G404" s="68"/>
      <c r="H404" s="64">
        <f t="shared" si="18"/>
        <v>0</v>
      </c>
      <c r="I404" s="68"/>
      <c r="J404" s="65">
        <f t="shared" si="20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>
        <f>工程基本資料!$B$8+工程基本資料!$B$7+$L404+$M404-1</f>
        <v>-1</v>
      </c>
      <c r="Q404" s="9">
        <v>0</v>
      </c>
    </row>
    <row r="405" spans="1:17" ht="63" customHeight="1" x14ac:dyDescent="0.3">
      <c r="A405" s="60"/>
      <c r="B405" s="61">
        <f t="shared" si="19"/>
        <v>402</v>
      </c>
      <c r="C405" s="62"/>
      <c r="D405" s="62"/>
      <c r="E405" s="68"/>
      <c r="F405" s="68"/>
      <c r="G405" s="68"/>
      <c r="H405" s="64">
        <f t="shared" si="18"/>
        <v>0</v>
      </c>
      <c r="I405" s="68"/>
      <c r="J405" s="65">
        <f t="shared" si="20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>
        <f>工程基本資料!$B$8+工程基本資料!$B$7+$L405+$M405-1</f>
        <v>-1</v>
      </c>
      <c r="Q405" s="9">
        <v>0</v>
      </c>
    </row>
    <row r="406" spans="1:17" ht="63" customHeight="1" x14ac:dyDescent="0.3">
      <c r="A406" s="60"/>
      <c r="B406" s="61">
        <f t="shared" si="19"/>
        <v>403</v>
      </c>
      <c r="C406" s="62"/>
      <c r="D406" s="62"/>
      <c r="E406" s="68"/>
      <c r="F406" s="68"/>
      <c r="G406" s="68"/>
      <c r="H406" s="64">
        <f t="shared" si="18"/>
        <v>0</v>
      </c>
      <c r="I406" s="68"/>
      <c r="J406" s="65">
        <f t="shared" si="20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>
        <f>工程基本資料!$B$8+工程基本資料!$B$7+$L406+$M406-1</f>
        <v>-1</v>
      </c>
      <c r="Q406" s="9">
        <v>0</v>
      </c>
    </row>
    <row r="407" spans="1:17" ht="63" customHeight="1" x14ac:dyDescent="0.3">
      <c r="A407" s="60"/>
      <c r="B407" s="61">
        <f t="shared" si="19"/>
        <v>404</v>
      </c>
      <c r="C407" s="62"/>
      <c r="D407" s="62"/>
      <c r="E407" s="68"/>
      <c r="F407" s="68"/>
      <c r="G407" s="68"/>
      <c r="H407" s="64">
        <f t="shared" si="18"/>
        <v>0</v>
      </c>
      <c r="I407" s="68"/>
      <c r="J407" s="65">
        <f t="shared" si="20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>
        <f>工程基本資料!$B$8+工程基本資料!$B$7+$L407+$M407-1</f>
        <v>-1</v>
      </c>
      <c r="Q407" s="9">
        <v>0</v>
      </c>
    </row>
    <row r="408" spans="1:17" ht="63" customHeight="1" x14ac:dyDescent="0.3">
      <c r="A408" s="60"/>
      <c r="B408" s="61">
        <f t="shared" si="19"/>
        <v>405</v>
      </c>
      <c r="C408" s="62"/>
      <c r="D408" s="62"/>
      <c r="E408" s="68"/>
      <c r="F408" s="68"/>
      <c r="G408" s="68"/>
      <c r="H408" s="64">
        <f t="shared" si="18"/>
        <v>0</v>
      </c>
      <c r="I408" s="68"/>
      <c r="J408" s="65">
        <f t="shared" si="20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>
        <f>工程基本資料!$B$8+工程基本資料!$B$7+$L408+$M408-1</f>
        <v>-1</v>
      </c>
      <c r="Q408" s="9">
        <v>0</v>
      </c>
    </row>
    <row r="409" spans="1:17" ht="63" customHeight="1" x14ac:dyDescent="0.3">
      <c r="A409" s="60"/>
      <c r="B409" s="61">
        <f t="shared" si="19"/>
        <v>406</v>
      </c>
      <c r="C409" s="62"/>
      <c r="D409" s="62"/>
      <c r="E409" s="68"/>
      <c r="F409" s="68"/>
      <c r="G409" s="68"/>
      <c r="H409" s="64">
        <f t="shared" si="18"/>
        <v>0</v>
      </c>
      <c r="I409" s="68"/>
      <c r="J409" s="65">
        <f t="shared" si="20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>
        <f>工程基本資料!$B$8+工程基本資料!$B$7+$L409+$M409-1</f>
        <v>-1</v>
      </c>
      <c r="Q409" s="9">
        <v>0</v>
      </c>
    </row>
    <row r="410" spans="1:17" ht="63" customHeight="1" x14ac:dyDescent="0.3">
      <c r="A410" s="60"/>
      <c r="B410" s="61">
        <f t="shared" si="19"/>
        <v>407</v>
      </c>
      <c r="C410" s="62"/>
      <c r="D410" s="62"/>
      <c r="E410" s="68"/>
      <c r="F410" s="68"/>
      <c r="G410" s="68"/>
      <c r="H410" s="64">
        <f t="shared" si="18"/>
        <v>0</v>
      </c>
      <c r="I410" s="68"/>
      <c r="J410" s="65">
        <f t="shared" si="20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>
        <f>工程基本資料!$B$8+工程基本資料!$B$7+$L410+$M410-1</f>
        <v>-1</v>
      </c>
      <c r="Q410" s="9">
        <v>0</v>
      </c>
    </row>
    <row r="411" spans="1:17" ht="63" customHeight="1" x14ac:dyDescent="0.3">
      <c r="A411" s="60"/>
      <c r="B411" s="61">
        <f t="shared" si="19"/>
        <v>408</v>
      </c>
      <c r="C411" s="62"/>
      <c r="D411" s="62"/>
      <c r="E411" s="68"/>
      <c r="F411" s="68"/>
      <c r="G411" s="68"/>
      <c r="H411" s="64">
        <f t="shared" si="18"/>
        <v>0</v>
      </c>
      <c r="I411" s="68"/>
      <c r="J411" s="65">
        <f t="shared" si="20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>
        <f>工程基本資料!$B$8+工程基本資料!$B$7+$L411+$M411-1</f>
        <v>-1</v>
      </c>
      <c r="Q411" s="9">
        <v>0</v>
      </c>
    </row>
    <row r="412" spans="1:17" ht="63" customHeight="1" x14ac:dyDescent="0.3">
      <c r="A412" s="60"/>
      <c r="B412" s="61">
        <f t="shared" si="19"/>
        <v>409</v>
      </c>
      <c r="C412" s="62"/>
      <c r="D412" s="62"/>
      <c r="E412" s="68"/>
      <c r="F412" s="68"/>
      <c r="G412" s="68"/>
      <c r="H412" s="64">
        <f t="shared" si="18"/>
        <v>0</v>
      </c>
      <c r="I412" s="68"/>
      <c r="J412" s="65">
        <f t="shared" si="20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>
        <f>工程基本資料!$B$8+工程基本資料!$B$7+$L412+$M412-1</f>
        <v>-1</v>
      </c>
      <c r="Q412" s="9">
        <v>0</v>
      </c>
    </row>
    <row r="413" spans="1:17" ht="63" customHeight="1" x14ac:dyDescent="0.3">
      <c r="A413" s="60"/>
      <c r="B413" s="61">
        <f t="shared" si="19"/>
        <v>410</v>
      </c>
      <c r="C413" s="62"/>
      <c r="D413" s="62"/>
      <c r="E413" s="68"/>
      <c r="F413" s="68"/>
      <c r="G413" s="68"/>
      <c r="H413" s="64">
        <f t="shared" si="18"/>
        <v>0</v>
      </c>
      <c r="I413" s="68"/>
      <c r="J413" s="65">
        <f t="shared" si="20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>
        <f>工程基本資料!$B$8+工程基本資料!$B$7+$L413+$M413-1</f>
        <v>-1</v>
      </c>
      <c r="Q413" s="9">
        <v>0</v>
      </c>
    </row>
    <row r="414" spans="1:17" ht="63" customHeight="1" x14ac:dyDescent="0.3">
      <c r="A414" s="60"/>
      <c r="B414" s="61">
        <f t="shared" si="19"/>
        <v>411</v>
      </c>
      <c r="C414" s="62"/>
      <c r="D414" s="62"/>
      <c r="E414" s="68"/>
      <c r="F414" s="68"/>
      <c r="G414" s="68"/>
      <c r="H414" s="64">
        <f t="shared" si="18"/>
        <v>0</v>
      </c>
      <c r="I414" s="68"/>
      <c r="J414" s="65">
        <f t="shared" si="20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>
        <f>工程基本資料!$B$8+工程基本資料!$B$7+$L414+$M414-1</f>
        <v>-1</v>
      </c>
      <c r="Q414" s="9">
        <v>0</v>
      </c>
    </row>
    <row r="415" spans="1:17" ht="63" customHeight="1" x14ac:dyDescent="0.3">
      <c r="A415" s="60"/>
      <c r="B415" s="61">
        <f t="shared" si="19"/>
        <v>412</v>
      </c>
      <c r="C415" s="62"/>
      <c r="D415" s="62"/>
      <c r="E415" s="68"/>
      <c r="F415" s="68"/>
      <c r="G415" s="68"/>
      <c r="H415" s="64">
        <f t="shared" si="18"/>
        <v>0</v>
      </c>
      <c r="I415" s="68"/>
      <c r="J415" s="65">
        <f t="shared" si="20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>
        <f>工程基本資料!$B$8+工程基本資料!$B$7+$L415+$M415-1</f>
        <v>-1</v>
      </c>
      <c r="Q415" s="9">
        <v>0</v>
      </c>
    </row>
    <row r="416" spans="1:17" ht="63" customHeight="1" x14ac:dyDescent="0.3">
      <c r="A416" s="60"/>
      <c r="B416" s="61">
        <f t="shared" si="19"/>
        <v>413</v>
      </c>
      <c r="C416" s="62"/>
      <c r="D416" s="62"/>
      <c r="E416" s="68"/>
      <c r="F416" s="68"/>
      <c r="G416" s="68"/>
      <c r="H416" s="64">
        <f t="shared" si="18"/>
        <v>0</v>
      </c>
      <c r="I416" s="68"/>
      <c r="J416" s="65">
        <f t="shared" si="20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>
        <f>工程基本資料!$B$8+工程基本資料!$B$7+$L416+$M416-1</f>
        <v>-1</v>
      </c>
      <c r="Q416" s="9">
        <v>0</v>
      </c>
    </row>
    <row r="417" spans="1:17" ht="63" customHeight="1" x14ac:dyDescent="0.3">
      <c r="A417" s="60"/>
      <c r="B417" s="61">
        <f t="shared" si="19"/>
        <v>414</v>
      </c>
      <c r="C417" s="62"/>
      <c r="D417" s="62"/>
      <c r="E417" s="68"/>
      <c r="F417" s="68"/>
      <c r="G417" s="68"/>
      <c r="H417" s="64">
        <f t="shared" si="18"/>
        <v>0</v>
      </c>
      <c r="I417" s="68"/>
      <c r="J417" s="65">
        <f t="shared" si="20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>
        <f>工程基本資料!$B$8+工程基本資料!$B$7+$L417+$M417-1</f>
        <v>-1</v>
      </c>
      <c r="Q417" s="9">
        <v>0</v>
      </c>
    </row>
    <row r="418" spans="1:17" ht="63" customHeight="1" x14ac:dyDescent="0.3">
      <c r="A418" s="60"/>
      <c r="B418" s="61">
        <f t="shared" si="19"/>
        <v>415</v>
      </c>
      <c r="C418" s="62"/>
      <c r="D418" s="62"/>
      <c r="E418" s="68"/>
      <c r="F418" s="68"/>
      <c r="G418" s="68"/>
      <c r="H418" s="64">
        <f t="shared" si="18"/>
        <v>0</v>
      </c>
      <c r="I418" s="68"/>
      <c r="J418" s="65">
        <f t="shared" si="20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>
        <f>工程基本資料!$B$8+工程基本資料!$B$7+$L418+$M418-1</f>
        <v>-1</v>
      </c>
      <c r="Q418" s="9">
        <v>0</v>
      </c>
    </row>
    <row r="419" spans="1:17" ht="63" customHeight="1" x14ac:dyDescent="0.3">
      <c r="A419" s="60"/>
      <c r="B419" s="61">
        <f t="shared" si="19"/>
        <v>416</v>
      </c>
      <c r="C419" s="62"/>
      <c r="D419" s="62"/>
      <c r="E419" s="68"/>
      <c r="F419" s="68"/>
      <c r="G419" s="68"/>
      <c r="H419" s="64">
        <f t="shared" si="18"/>
        <v>0</v>
      </c>
      <c r="I419" s="68"/>
      <c r="J419" s="65">
        <f t="shared" si="20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>
        <f>工程基本資料!$B$8+工程基本資料!$B$7+$L419+$M419-1</f>
        <v>-1</v>
      </c>
      <c r="Q419" s="9">
        <v>0</v>
      </c>
    </row>
    <row r="420" spans="1:17" ht="63" customHeight="1" x14ac:dyDescent="0.3">
      <c r="A420" s="60"/>
      <c r="B420" s="61">
        <f t="shared" si="19"/>
        <v>417</v>
      </c>
      <c r="C420" s="62"/>
      <c r="D420" s="62"/>
      <c r="E420" s="68"/>
      <c r="F420" s="68"/>
      <c r="G420" s="68"/>
      <c r="H420" s="64">
        <f t="shared" si="18"/>
        <v>0</v>
      </c>
      <c r="I420" s="68"/>
      <c r="J420" s="65">
        <f t="shared" si="20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>
        <f>工程基本資料!$B$8+工程基本資料!$B$7+$L420+$M420-1</f>
        <v>-1</v>
      </c>
      <c r="Q420" s="9">
        <v>0</v>
      </c>
    </row>
    <row r="421" spans="1:17" ht="63" customHeight="1" x14ac:dyDescent="0.3">
      <c r="A421" s="60"/>
      <c r="B421" s="61">
        <f t="shared" si="19"/>
        <v>418</v>
      </c>
      <c r="C421" s="62"/>
      <c r="D421" s="62"/>
      <c r="E421" s="68"/>
      <c r="F421" s="68"/>
      <c r="G421" s="68"/>
      <c r="H421" s="64">
        <f t="shared" si="18"/>
        <v>0</v>
      </c>
      <c r="I421" s="68"/>
      <c r="J421" s="65">
        <f t="shared" si="20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>
        <f>工程基本資料!$B$8+工程基本資料!$B$7+$L421+$M421-1</f>
        <v>-1</v>
      </c>
      <c r="Q421" s="9">
        <v>0</v>
      </c>
    </row>
    <row r="422" spans="1:17" ht="63" customHeight="1" x14ac:dyDescent="0.3">
      <c r="A422" s="60"/>
      <c r="B422" s="61">
        <f t="shared" si="19"/>
        <v>419</v>
      </c>
      <c r="C422" s="62"/>
      <c r="D422" s="62"/>
      <c r="E422" s="68"/>
      <c r="F422" s="68"/>
      <c r="G422" s="68"/>
      <c r="H422" s="64">
        <f t="shared" si="18"/>
        <v>0</v>
      </c>
      <c r="I422" s="68"/>
      <c r="J422" s="65">
        <f t="shared" si="20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>
        <f>工程基本資料!$B$8+工程基本資料!$B$7+$L422+$M422-1</f>
        <v>-1</v>
      </c>
      <c r="Q422" s="9">
        <v>0</v>
      </c>
    </row>
    <row r="423" spans="1:17" ht="63" customHeight="1" x14ac:dyDescent="0.3">
      <c r="A423" s="60"/>
      <c r="B423" s="61">
        <f t="shared" si="19"/>
        <v>420</v>
      </c>
      <c r="C423" s="62"/>
      <c r="D423" s="62"/>
      <c r="E423" s="68"/>
      <c r="F423" s="68"/>
      <c r="G423" s="68"/>
      <c r="H423" s="64">
        <f t="shared" si="18"/>
        <v>0</v>
      </c>
      <c r="I423" s="68"/>
      <c r="J423" s="65">
        <f t="shared" si="20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>
        <f>工程基本資料!$B$8+工程基本資料!$B$7+$L423+$M423-1</f>
        <v>-1</v>
      </c>
      <c r="Q423" s="9">
        <v>0</v>
      </c>
    </row>
    <row r="424" spans="1:17" ht="63" customHeight="1" x14ac:dyDescent="0.3">
      <c r="A424" s="60"/>
      <c r="B424" s="61">
        <f t="shared" si="19"/>
        <v>421</v>
      </c>
      <c r="C424" s="62"/>
      <c r="D424" s="62"/>
      <c r="E424" s="68"/>
      <c r="F424" s="68"/>
      <c r="G424" s="68"/>
      <c r="H424" s="64">
        <f t="shared" si="18"/>
        <v>0</v>
      </c>
      <c r="I424" s="68"/>
      <c r="J424" s="65">
        <f t="shared" si="20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>
        <f>工程基本資料!$B$8+工程基本資料!$B$7+$L424+$M424-1</f>
        <v>-1</v>
      </c>
      <c r="Q424" s="9">
        <v>0</v>
      </c>
    </row>
    <row r="425" spans="1:17" ht="63" customHeight="1" x14ac:dyDescent="0.3">
      <c r="A425" s="60"/>
      <c r="B425" s="61">
        <f t="shared" si="19"/>
        <v>422</v>
      </c>
      <c r="C425" s="62"/>
      <c r="D425" s="62"/>
      <c r="E425" s="68"/>
      <c r="F425" s="68"/>
      <c r="G425" s="68"/>
      <c r="H425" s="64">
        <f t="shared" si="18"/>
        <v>0</v>
      </c>
      <c r="I425" s="68"/>
      <c r="J425" s="65">
        <f t="shared" si="20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>
        <f>工程基本資料!$B$8+工程基本資料!$B$7+$L425+$M425-1</f>
        <v>-1</v>
      </c>
      <c r="Q425" s="9">
        <v>0</v>
      </c>
    </row>
    <row r="426" spans="1:17" ht="63" customHeight="1" x14ac:dyDescent="0.3">
      <c r="A426" s="60"/>
      <c r="B426" s="61">
        <f t="shared" si="19"/>
        <v>423</v>
      </c>
      <c r="C426" s="62"/>
      <c r="D426" s="62"/>
      <c r="E426" s="68"/>
      <c r="F426" s="68"/>
      <c r="G426" s="68"/>
      <c r="H426" s="64">
        <f t="shared" si="18"/>
        <v>0</v>
      </c>
      <c r="I426" s="68"/>
      <c r="J426" s="65">
        <f t="shared" si="20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>
        <f>工程基本資料!$B$8+工程基本資料!$B$7+$L426+$M426-1</f>
        <v>-1</v>
      </c>
      <c r="Q426" s="9">
        <v>0</v>
      </c>
    </row>
    <row r="427" spans="1:17" ht="63" customHeight="1" x14ac:dyDescent="0.3">
      <c r="A427" s="60"/>
      <c r="B427" s="61">
        <f t="shared" si="19"/>
        <v>424</v>
      </c>
      <c r="C427" s="62"/>
      <c r="D427" s="62"/>
      <c r="E427" s="68"/>
      <c r="F427" s="68"/>
      <c r="G427" s="68"/>
      <c r="H427" s="64">
        <f t="shared" si="18"/>
        <v>0</v>
      </c>
      <c r="I427" s="68"/>
      <c r="J427" s="65">
        <f t="shared" si="20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>
        <f>工程基本資料!$B$8+工程基本資料!$B$7+$L427+$M427-1</f>
        <v>-1</v>
      </c>
      <c r="Q427" s="9">
        <v>0</v>
      </c>
    </row>
    <row r="428" spans="1:17" ht="63" customHeight="1" x14ac:dyDescent="0.3">
      <c r="A428" s="60"/>
      <c r="B428" s="61">
        <f t="shared" si="19"/>
        <v>425</v>
      </c>
      <c r="C428" s="62"/>
      <c r="D428" s="62"/>
      <c r="E428" s="68"/>
      <c r="F428" s="68"/>
      <c r="G428" s="68"/>
      <c r="H428" s="64">
        <f t="shared" si="18"/>
        <v>0</v>
      </c>
      <c r="I428" s="68"/>
      <c r="J428" s="65">
        <f t="shared" si="20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>
        <f>工程基本資料!$B$8+工程基本資料!$B$7+$L428+$M428-1</f>
        <v>-1</v>
      </c>
      <c r="Q428" s="9">
        <v>0</v>
      </c>
    </row>
    <row r="429" spans="1:17" ht="63" customHeight="1" x14ac:dyDescent="0.3">
      <c r="A429" s="60"/>
      <c r="B429" s="61">
        <f t="shared" si="19"/>
        <v>426</v>
      </c>
      <c r="C429" s="62"/>
      <c r="D429" s="62"/>
      <c r="E429" s="68"/>
      <c r="F429" s="68"/>
      <c r="G429" s="68"/>
      <c r="H429" s="64">
        <f t="shared" si="18"/>
        <v>0</v>
      </c>
      <c r="I429" s="68"/>
      <c r="J429" s="65">
        <f t="shared" si="20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>
        <f>工程基本資料!$B$8+工程基本資料!$B$7+$L429+$M429-1</f>
        <v>-1</v>
      </c>
      <c r="Q429" s="9">
        <v>0</v>
      </c>
    </row>
    <row r="430" spans="1:17" ht="63" customHeight="1" x14ac:dyDescent="0.3">
      <c r="A430" s="60"/>
      <c r="B430" s="61">
        <f t="shared" si="19"/>
        <v>427</v>
      </c>
      <c r="C430" s="62"/>
      <c r="D430" s="62"/>
      <c r="E430" s="68"/>
      <c r="F430" s="68"/>
      <c r="G430" s="68"/>
      <c r="H430" s="64">
        <f t="shared" si="18"/>
        <v>0</v>
      </c>
      <c r="I430" s="68"/>
      <c r="J430" s="65">
        <f t="shared" si="20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>
        <f>工程基本資料!$B$8+工程基本資料!$B$7+$L430+$M430-1</f>
        <v>-1</v>
      </c>
      <c r="Q430" s="9">
        <v>0</v>
      </c>
    </row>
    <row r="431" spans="1:17" ht="63" customHeight="1" x14ac:dyDescent="0.3">
      <c r="A431" s="60"/>
      <c r="B431" s="61">
        <f t="shared" si="19"/>
        <v>428</v>
      </c>
      <c r="C431" s="62"/>
      <c r="D431" s="62"/>
      <c r="E431" s="68"/>
      <c r="F431" s="68"/>
      <c r="G431" s="68"/>
      <c r="H431" s="64">
        <f t="shared" si="18"/>
        <v>0</v>
      </c>
      <c r="I431" s="68"/>
      <c r="J431" s="65">
        <f t="shared" si="20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>
        <f>工程基本資料!$B$8+工程基本資料!$B$7+$L431+$M431-1</f>
        <v>-1</v>
      </c>
      <c r="Q431" s="9">
        <v>0</v>
      </c>
    </row>
    <row r="432" spans="1:17" ht="63" customHeight="1" x14ac:dyDescent="0.3">
      <c r="A432" s="60"/>
      <c r="B432" s="61">
        <f t="shared" si="19"/>
        <v>429</v>
      </c>
      <c r="C432" s="62"/>
      <c r="D432" s="62"/>
      <c r="E432" s="68"/>
      <c r="F432" s="68"/>
      <c r="G432" s="68"/>
      <c r="H432" s="64">
        <f t="shared" si="18"/>
        <v>0</v>
      </c>
      <c r="I432" s="68"/>
      <c r="J432" s="65">
        <f t="shared" si="20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>
        <f>工程基本資料!$B$8+工程基本資料!$B$7+$L432+$M432-1</f>
        <v>-1</v>
      </c>
      <c r="Q432" s="9">
        <v>0</v>
      </c>
    </row>
    <row r="433" spans="1:17" ht="63" customHeight="1" x14ac:dyDescent="0.3">
      <c r="A433" s="60"/>
      <c r="B433" s="61">
        <f t="shared" si="19"/>
        <v>430</v>
      </c>
      <c r="C433" s="62"/>
      <c r="D433" s="62"/>
      <c r="E433" s="68"/>
      <c r="F433" s="68"/>
      <c r="G433" s="68"/>
      <c r="H433" s="64">
        <f t="shared" si="18"/>
        <v>0</v>
      </c>
      <c r="I433" s="68"/>
      <c r="J433" s="65">
        <f t="shared" si="20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>
        <f>工程基本資料!$B$8+工程基本資料!$B$7+$L433+$M433-1</f>
        <v>-1</v>
      </c>
      <c r="Q433" s="9">
        <v>0</v>
      </c>
    </row>
    <row r="434" spans="1:17" ht="63" customHeight="1" x14ac:dyDescent="0.3">
      <c r="A434" s="60"/>
      <c r="B434" s="61">
        <f t="shared" si="19"/>
        <v>431</v>
      </c>
      <c r="C434" s="62"/>
      <c r="D434" s="62"/>
      <c r="E434" s="68"/>
      <c r="F434" s="68"/>
      <c r="G434" s="68"/>
      <c r="H434" s="64">
        <f t="shared" si="18"/>
        <v>0</v>
      </c>
      <c r="I434" s="68"/>
      <c r="J434" s="65">
        <f t="shared" si="20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>
        <f>工程基本資料!$B$8+工程基本資料!$B$7+$L434+$M434-1</f>
        <v>-1</v>
      </c>
      <c r="Q434" s="9">
        <v>0</v>
      </c>
    </row>
    <row r="435" spans="1:17" ht="63" customHeight="1" x14ac:dyDescent="0.3">
      <c r="A435" s="60"/>
      <c r="B435" s="61">
        <f t="shared" si="19"/>
        <v>432</v>
      </c>
      <c r="C435" s="62"/>
      <c r="D435" s="62"/>
      <c r="E435" s="68"/>
      <c r="F435" s="68"/>
      <c r="G435" s="68"/>
      <c r="H435" s="64">
        <f t="shared" si="18"/>
        <v>0</v>
      </c>
      <c r="I435" s="68"/>
      <c r="J435" s="65">
        <f t="shared" si="20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>
        <f>工程基本資料!$B$8+工程基本資料!$B$7+$L435+$M435-1</f>
        <v>-1</v>
      </c>
      <c r="Q435" s="9">
        <v>0</v>
      </c>
    </row>
    <row r="436" spans="1:17" ht="63" customHeight="1" x14ac:dyDescent="0.3">
      <c r="A436" s="60"/>
      <c r="B436" s="61">
        <f t="shared" si="19"/>
        <v>433</v>
      </c>
      <c r="C436" s="62"/>
      <c r="D436" s="62"/>
      <c r="E436" s="68"/>
      <c r="F436" s="68"/>
      <c r="G436" s="68"/>
      <c r="H436" s="64">
        <f t="shared" si="18"/>
        <v>0</v>
      </c>
      <c r="I436" s="68"/>
      <c r="J436" s="65">
        <f t="shared" si="20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>
        <f>工程基本資料!$B$8+工程基本資料!$B$7+$L436+$M436-1</f>
        <v>-1</v>
      </c>
      <c r="Q436" s="9">
        <v>0</v>
      </c>
    </row>
    <row r="437" spans="1:17" ht="63" customHeight="1" x14ac:dyDescent="0.3">
      <c r="A437" s="60"/>
      <c r="B437" s="61">
        <f t="shared" si="19"/>
        <v>434</v>
      </c>
      <c r="C437" s="62"/>
      <c r="D437" s="62"/>
      <c r="E437" s="68"/>
      <c r="F437" s="68"/>
      <c r="G437" s="68"/>
      <c r="H437" s="64">
        <f t="shared" si="18"/>
        <v>0</v>
      </c>
      <c r="I437" s="68"/>
      <c r="J437" s="65">
        <f t="shared" si="20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>
        <f>工程基本資料!$B$8+工程基本資料!$B$7+$L437+$M437-1</f>
        <v>-1</v>
      </c>
      <c r="Q437" s="9">
        <v>0</v>
      </c>
    </row>
    <row r="438" spans="1:17" ht="63" customHeight="1" x14ac:dyDescent="0.3">
      <c r="A438" s="60"/>
      <c r="B438" s="61">
        <f t="shared" si="19"/>
        <v>435</v>
      </c>
      <c r="C438" s="62"/>
      <c r="D438" s="62"/>
      <c r="E438" s="68"/>
      <c r="F438" s="68"/>
      <c r="G438" s="68"/>
      <c r="H438" s="64">
        <f t="shared" si="18"/>
        <v>0</v>
      </c>
      <c r="I438" s="68"/>
      <c r="J438" s="65">
        <f t="shared" si="20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>
        <f>工程基本資料!$B$8+工程基本資料!$B$7+$L438+$M438-1</f>
        <v>-1</v>
      </c>
      <c r="Q438" s="9">
        <v>0</v>
      </c>
    </row>
    <row r="439" spans="1:17" ht="63" customHeight="1" x14ac:dyDescent="0.3">
      <c r="A439" s="60"/>
      <c r="B439" s="61">
        <f t="shared" si="19"/>
        <v>436</v>
      </c>
      <c r="C439" s="62"/>
      <c r="D439" s="62"/>
      <c r="E439" s="68"/>
      <c r="F439" s="68"/>
      <c r="G439" s="68"/>
      <c r="H439" s="64">
        <f t="shared" si="18"/>
        <v>0</v>
      </c>
      <c r="I439" s="68"/>
      <c r="J439" s="65">
        <f t="shared" si="20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>
        <f>工程基本資料!$B$8+工程基本資料!$B$7+$L439+$M439-1</f>
        <v>-1</v>
      </c>
      <c r="Q439" s="9">
        <v>0</v>
      </c>
    </row>
    <row r="440" spans="1:17" ht="63" customHeight="1" x14ac:dyDescent="0.3">
      <c r="A440" s="60"/>
      <c r="B440" s="61">
        <f t="shared" si="19"/>
        <v>437</v>
      </c>
      <c r="C440" s="62"/>
      <c r="D440" s="62"/>
      <c r="E440" s="68"/>
      <c r="F440" s="68"/>
      <c r="G440" s="68"/>
      <c r="H440" s="64">
        <f t="shared" si="18"/>
        <v>0</v>
      </c>
      <c r="I440" s="68"/>
      <c r="J440" s="65">
        <f t="shared" si="20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>
        <f>工程基本資料!$B$8+工程基本資料!$B$7+$L440+$M440-1</f>
        <v>-1</v>
      </c>
      <c r="Q440" s="9">
        <v>0</v>
      </c>
    </row>
    <row r="441" spans="1:17" ht="63" customHeight="1" x14ac:dyDescent="0.3">
      <c r="A441" s="60"/>
      <c r="B441" s="61">
        <f t="shared" si="19"/>
        <v>438</v>
      </c>
      <c r="C441" s="62"/>
      <c r="D441" s="62"/>
      <c r="E441" s="68"/>
      <c r="F441" s="68"/>
      <c r="G441" s="68"/>
      <c r="H441" s="64">
        <f t="shared" si="18"/>
        <v>0</v>
      </c>
      <c r="I441" s="68"/>
      <c r="J441" s="65">
        <f t="shared" si="20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>
        <f>工程基本資料!$B$8+工程基本資料!$B$7+$L441+$M441-1</f>
        <v>-1</v>
      </c>
      <c r="Q441" s="9">
        <v>0</v>
      </c>
    </row>
    <row r="442" spans="1:17" ht="63" customHeight="1" x14ac:dyDescent="0.3">
      <c r="A442" s="60"/>
      <c r="B442" s="61">
        <f t="shared" si="19"/>
        <v>439</v>
      </c>
      <c r="C442" s="62"/>
      <c r="D442" s="62"/>
      <c r="E442" s="68"/>
      <c r="F442" s="68"/>
      <c r="G442" s="68"/>
      <c r="H442" s="64">
        <f t="shared" si="18"/>
        <v>0</v>
      </c>
      <c r="I442" s="68"/>
      <c r="J442" s="65">
        <f t="shared" si="20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>
        <f>工程基本資料!$B$8+工程基本資料!$B$7+$L442+$M442-1</f>
        <v>-1</v>
      </c>
      <c r="Q442" s="9">
        <v>0</v>
      </c>
    </row>
    <row r="443" spans="1:17" ht="63" customHeight="1" x14ac:dyDescent="0.3">
      <c r="A443" s="60"/>
      <c r="B443" s="61">
        <f t="shared" si="19"/>
        <v>440</v>
      </c>
      <c r="C443" s="62"/>
      <c r="D443" s="62"/>
      <c r="E443" s="68"/>
      <c r="F443" s="68"/>
      <c r="G443" s="68"/>
      <c r="H443" s="64">
        <f t="shared" si="18"/>
        <v>0</v>
      </c>
      <c r="I443" s="68"/>
      <c r="J443" s="65">
        <f t="shared" si="20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>
        <f>工程基本資料!$B$8+工程基本資料!$B$7+$L443+$M443-1</f>
        <v>-1</v>
      </c>
      <c r="Q443" s="9">
        <v>0</v>
      </c>
    </row>
    <row r="444" spans="1:17" ht="63" customHeight="1" x14ac:dyDescent="0.3">
      <c r="A444" s="60"/>
      <c r="B444" s="61">
        <f t="shared" si="19"/>
        <v>441</v>
      </c>
      <c r="C444" s="62"/>
      <c r="D444" s="62"/>
      <c r="E444" s="68"/>
      <c r="F444" s="68"/>
      <c r="G444" s="68"/>
      <c r="H444" s="64">
        <f t="shared" si="18"/>
        <v>0</v>
      </c>
      <c r="I444" s="68"/>
      <c r="J444" s="65">
        <f t="shared" si="20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>
        <f>工程基本資料!$B$8+工程基本資料!$B$7+$L444+$M444-1</f>
        <v>-1</v>
      </c>
      <c r="Q444" s="9">
        <v>0</v>
      </c>
    </row>
    <row r="445" spans="1:17" ht="63" customHeight="1" x14ac:dyDescent="0.3">
      <c r="A445" s="60"/>
      <c r="B445" s="61">
        <f t="shared" si="19"/>
        <v>442</v>
      </c>
      <c r="C445" s="62"/>
      <c r="D445" s="62"/>
      <c r="E445" s="68"/>
      <c r="F445" s="68"/>
      <c r="G445" s="68"/>
      <c r="H445" s="64">
        <f t="shared" si="18"/>
        <v>0</v>
      </c>
      <c r="I445" s="68"/>
      <c r="J445" s="65">
        <f t="shared" si="20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>
        <f>工程基本資料!$B$8+工程基本資料!$B$7+$L445+$M445-1</f>
        <v>-1</v>
      </c>
      <c r="Q445" s="9">
        <v>0</v>
      </c>
    </row>
    <row r="446" spans="1:17" ht="63" customHeight="1" x14ac:dyDescent="0.3">
      <c r="A446" s="60"/>
      <c r="B446" s="61">
        <f t="shared" si="19"/>
        <v>443</v>
      </c>
      <c r="C446" s="62"/>
      <c r="D446" s="62"/>
      <c r="E446" s="68"/>
      <c r="F446" s="68"/>
      <c r="G446" s="68"/>
      <c r="H446" s="64">
        <f t="shared" si="18"/>
        <v>0</v>
      </c>
      <c r="I446" s="68"/>
      <c r="J446" s="65">
        <f t="shared" si="20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>
        <f>工程基本資料!$B$8+工程基本資料!$B$7+$L446+$M446-1</f>
        <v>-1</v>
      </c>
      <c r="Q446" s="9">
        <v>0</v>
      </c>
    </row>
    <row r="447" spans="1:17" ht="63" customHeight="1" x14ac:dyDescent="0.3">
      <c r="A447" s="60"/>
      <c r="B447" s="61">
        <f t="shared" si="19"/>
        <v>444</v>
      </c>
      <c r="C447" s="62"/>
      <c r="D447" s="62"/>
      <c r="E447" s="68"/>
      <c r="F447" s="68"/>
      <c r="G447" s="68"/>
      <c r="H447" s="64">
        <f t="shared" si="18"/>
        <v>0</v>
      </c>
      <c r="I447" s="68"/>
      <c r="J447" s="65">
        <f t="shared" si="20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>
        <f>工程基本資料!$B$8+工程基本資料!$B$7+$L447+$M447-1</f>
        <v>-1</v>
      </c>
      <c r="Q447" s="9">
        <v>0</v>
      </c>
    </row>
    <row r="448" spans="1:17" ht="63" customHeight="1" x14ac:dyDescent="0.3">
      <c r="A448" s="60"/>
      <c r="B448" s="61">
        <f t="shared" si="19"/>
        <v>445</v>
      </c>
      <c r="C448" s="62"/>
      <c r="D448" s="62"/>
      <c r="E448" s="68"/>
      <c r="F448" s="68"/>
      <c r="G448" s="68"/>
      <c r="H448" s="64">
        <f t="shared" si="18"/>
        <v>0</v>
      </c>
      <c r="I448" s="68"/>
      <c r="J448" s="65">
        <f t="shared" si="20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>
        <f>工程基本資料!$B$8+工程基本資料!$B$7+$L448+$M448-1</f>
        <v>-1</v>
      </c>
      <c r="Q448" s="9">
        <v>0</v>
      </c>
    </row>
    <row r="449" spans="1:17" ht="63" customHeight="1" x14ac:dyDescent="0.3">
      <c r="A449" s="60"/>
      <c r="B449" s="61">
        <f t="shared" si="19"/>
        <v>446</v>
      </c>
      <c r="C449" s="62"/>
      <c r="D449" s="62"/>
      <c r="E449" s="68"/>
      <c r="F449" s="68"/>
      <c r="G449" s="68"/>
      <c r="H449" s="64">
        <f t="shared" si="18"/>
        <v>0</v>
      </c>
      <c r="I449" s="68"/>
      <c r="J449" s="65">
        <f t="shared" si="20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>
        <f>工程基本資料!$B$8+工程基本資料!$B$7+$L449+$M449-1</f>
        <v>-1</v>
      </c>
      <c r="Q449" s="9">
        <v>0</v>
      </c>
    </row>
    <row r="450" spans="1:17" ht="63" customHeight="1" x14ac:dyDescent="0.3">
      <c r="A450" s="60"/>
      <c r="B450" s="61">
        <f t="shared" si="19"/>
        <v>447</v>
      </c>
      <c r="C450" s="62"/>
      <c r="D450" s="62"/>
      <c r="E450" s="68"/>
      <c r="F450" s="68"/>
      <c r="G450" s="68"/>
      <c r="H450" s="64">
        <f t="shared" si="18"/>
        <v>0</v>
      </c>
      <c r="I450" s="68"/>
      <c r="J450" s="65">
        <f t="shared" si="20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>
        <f>工程基本資料!$B$8+工程基本資料!$B$7+$L450+$M450-1</f>
        <v>-1</v>
      </c>
      <c r="Q450" s="9">
        <v>0</v>
      </c>
    </row>
    <row r="451" spans="1:17" ht="63" customHeight="1" x14ac:dyDescent="0.3">
      <c r="A451" s="60"/>
      <c r="B451" s="61">
        <f t="shared" si="19"/>
        <v>448</v>
      </c>
      <c r="C451" s="62"/>
      <c r="D451" s="62"/>
      <c r="E451" s="68"/>
      <c r="F451" s="68"/>
      <c r="G451" s="68"/>
      <c r="H451" s="64">
        <f t="shared" si="18"/>
        <v>0</v>
      </c>
      <c r="I451" s="68"/>
      <c r="J451" s="65">
        <f t="shared" si="20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>
        <f>工程基本資料!$B$8+工程基本資料!$B$7+$L451+$M451-1</f>
        <v>-1</v>
      </c>
      <c r="Q451" s="9">
        <v>0</v>
      </c>
    </row>
    <row r="452" spans="1:17" ht="63" customHeight="1" x14ac:dyDescent="0.3">
      <c r="A452" s="60"/>
      <c r="B452" s="61">
        <f t="shared" si="19"/>
        <v>449</v>
      </c>
      <c r="C452" s="62"/>
      <c r="D452" s="62"/>
      <c r="E452" s="68"/>
      <c r="F452" s="68"/>
      <c r="G452" s="68"/>
      <c r="H452" s="64">
        <f t="shared" ref="H452:H515" si="21">IF(Q452&gt;1,$R$3,$R$4)</f>
        <v>0</v>
      </c>
      <c r="I452" s="68"/>
      <c r="J452" s="65">
        <f t="shared" si="20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>
        <f>工程基本資料!$B$8+工程基本資料!$B$7+$L452+$M452-1</f>
        <v>-1</v>
      </c>
      <c r="Q452" s="9">
        <v>0</v>
      </c>
    </row>
    <row r="453" spans="1:17" ht="63" customHeight="1" x14ac:dyDescent="0.3">
      <c r="A453" s="60"/>
      <c r="B453" s="61">
        <f t="shared" ref="B453:B516" si="22">B452+1</f>
        <v>450</v>
      </c>
      <c r="C453" s="62"/>
      <c r="D453" s="62"/>
      <c r="E453" s="68"/>
      <c r="F453" s="68"/>
      <c r="G453" s="68"/>
      <c r="H453" s="64">
        <f t="shared" si="21"/>
        <v>0</v>
      </c>
      <c r="I453" s="68"/>
      <c r="J453" s="65">
        <f t="shared" ref="J453:J516" si="23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>
        <f>工程基本資料!$B$8+工程基本資料!$B$7+$L453+$M453-1</f>
        <v>-1</v>
      </c>
      <c r="Q453" s="9">
        <v>0</v>
      </c>
    </row>
    <row r="454" spans="1:17" ht="63" customHeight="1" x14ac:dyDescent="0.3">
      <c r="A454" s="60"/>
      <c r="B454" s="61">
        <f t="shared" si="22"/>
        <v>451</v>
      </c>
      <c r="C454" s="62"/>
      <c r="D454" s="62"/>
      <c r="E454" s="68"/>
      <c r="F454" s="68"/>
      <c r="G454" s="68"/>
      <c r="H454" s="64">
        <f t="shared" si="21"/>
        <v>0</v>
      </c>
      <c r="I454" s="68"/>
      <c r="J454" s="65">
        <f t="shared" si="23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>
        <f>工程基本資料!$B$8+工程基本資料!$B$7+$L454+$M454-1</f>
        <v>-1</v>
      </c>
      <c r="Q454" s="9">
        <v>0</v>
      </c>
    </row>
    <row r="455" spans="1:17" ht="63" customHeight="1" x14ac:dyDescent="0.3">
      <c r="A455" s="60"/>
      <c r="B455" s="61">
        <f t="shared" si="22"/>
        <v>452</v>
      </c>
      <c r="C455" s="62"/>
      <c r="D455" s="62"/>
      <c r="E455" s="68"/>
      <c r="F455" s="68"/>
      <c r="G455" s="68"/>
      <c r="H455" s="64">
        <f t="shared" si="21"/>
        <v>0</v>
      </c>
      <c r="I455" s="68"/>
      <c r="J455" s="65">
        <f t="shared" si="23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>
        <f>工程基本資料!$B$8+工程基本資料!$B$7+$L455+$M455-1</f>
        <v>-1</v>
      </c>
      <c r="Q455" s="9">
        <v>0</v>
      </c>
    </row>
    <row r="456" spans="1:17" ht="63" customHeight="1" x14ac:dyDescent="0.3">
      <c r="A456" s="60"/>
      <c r="B456" s="61">
        <f t="shared" si="22"/>
        <v>453</v>
      </c>
      <c r="C456" s="62"/>
      <c r="D456" s="62"/>
      <c r="E456" s="68"/>
      <c r="F456" s="68"/>
      <c r="G456" s="68"/>
      <c r="H456" s="64">
        <f t="shared" si="21"/>
        <v>0</v>
      </c>
      <c r="I456" s="68"/>
      <c r="J456" s="65">
        <f t="shared" si="23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>
        <f>工程基本資料!$B$8+工程基本資料!$B$7+$L456+$M456-1</f>
        <v>-1</v>
      </c>
      <c r="Q456" s="9">
        <v>0</v>
      </c>
    </row>
    <row r="457" spans="1:17" ht="63" customHeight="1" x14ac:dyDescent="0.3">
      <c r="A457" s="60"/>
      <c r="B457" s="61">
        <f t="shared" si="22"/>
        <v>454</v>
      </c>
      <c r="C457" s="62"/>
      <c r="D457" s="62"/>
      <c r="E457" s="68"/>
      <c r="F457" s="68"/>
      <c r="G457" s="68"/>
      <c r="H457" s="64">
        <f t="shared" si="21"/>
        <v>0</v>
      </c>
      <c r="I457" s="68"/>
      <c r="J457" s="65">
        <f t="shared" si="23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>
        <f>工程基本資料!$B$8+工程基本資料!$B$7+$L457+$M457-1</f>
        <v>-1</v>
      </c>
      <c r="Q457" s="9">
        <v>0</v>
      </c>
    </row>
    <row r="458" spans="1:17" ht="63" customHeight="1" x14ac:dyDescent="0.3">
      <c r="A458" s="60"/>
      <c r="B458" s="61">
        <f t="shared" si="22"/>
        <v>455</v>
      </c>
      <c r="C458" s="62"/>
      <c r="D458" s="62"/>
      <c r="E458" s="68"/>
      <c r="F458" s="68"/>
      <c r="G458" s="68"/>
      <c r="H458" s="64">
        <f t="shared" si="21"/>
        <v>0</v>
      </c>
      <c r="I458" s="68"/>
      <c r="J458" s="65">
        <f t="shared" si="23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>
        <f>工程基本資料!$B$8+工程基本資料!$B$7+$L458+$M458-1</f>
        <v>-1</v>
      </c>
      <c r="Q458" s="9">
        <v>0</v>
      </c>
    </row>
    <row r="459" spans="1:17" ht="63" customHeight="1" x14ac:dyDescent="0.3">
      <c r="A459" s="60"/>
      <c r="B459" s="61">
        <f t="shared" si="22"/>
        <v>456</v>
      </c>
      <c r="C459" s="62"/>
      <c r="D459" s="62"/>
      <c r="E459" s="68"/>
      <c r="F459" s="68"/>
      <c r="G459" s="68"/>
      <c r="H459" s="64">
        <f t="shared" si="21"/>
        <v>0</v>
      </c>
      <c r="I459" s="68"/>
      <c r="J459" s="65">
        <f t="shared" si="23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>
        <f>工程基本資料!$B$8+工程基本資料!$B$7+$L459+$M459-1</f>
        <v>-1</v>
      </c>
      <c r="Q459" s="9">
        <v>0</v>
      </c>
    </row>
    <row r="460" spans="1:17" ht="63" customHeight="1" x14ac:dyDescent="0.3">
      <c r="A460" s="60"/>
      <c r="B460" s="61">
        <f t="shared" si="22"/>
        <v>457</v>
      </c>
      <c r="C460" s="62"/>
      <c r="D460" s="62"/>
      <c r="E460" s="68"/>
      <c r="F460" s="68"/>
      <c r="G460" s="68"/>
      <c r="H460" s="64">
        <f t="shared" si="21"/>
        <v>0</v>
      </c>
      <c r="I460" s="68"/>
      <c r="J460" s="65">
        <f t="shared" si="23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>
        <f>工程基本資料!$B$8+工程基本資料!$B$7+$L460+$M460-1</f>
        <v>-1</v>
      </c>
      <c r="Q460" s="9">
        <v>0</v>
      </c>
    </row>
    <row r="461" spans="1:17" ht="63" customHeight="1" x14ac:dyDescent="0.3">
      <c r="A461" s="60"/>
      <c r="B461" s="61">
        <f t="shared" si="22"/>
        <v>458</v>
      </c>
      <c r="C461" s="62"/>
      <c r="D461" s="62"/>
      <c r="E461" s="68"/>
      <c r="F461" s="68"/>
      <c r="G461" s="68"/>
      <c r="H461" s="64">
        <f t="shared" si="21"/>
        <v>0</v>
      </c>
      <c r="I461" s="68"/>
      <c r="J461" s="65">
        <f t="shared" si="23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>
        <f>工程基本資料!$B$8+工程基本資料!$B$7+$L461+$M461-1</f>
        <v>-1</v>
      </c>
      <c r="Q461" s="9">
        <v>0</v>
      </c>
    </row>
    <row r="462" spans="1:17" ht="63" customHeight="1" x14ac:dyDescent="0.3">
      <c r="A462" s="60"/>
      <c r="B462" s="61">
        <f t="shared" si="22"/>
        <v>459</v>
      </c>
      <c r="C462" s="62"/>
      <c r="D462" s="62"/>
      <c r="E462" s="68"/>
      <c r="F462" s="68"/>
      <c r="G462" s="68"/>
      <c r="H462" s="64">
        <f t="shared" si="21"/>
        <v>0</v>
      </c>
      <c r="I462" s="68"/>
      <c r="J462" s="65">
        <f t="shared" si="23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>
        <f>工程基本資料!$B$8+工程基本資料!$B$7+$L462+$M462-1</f>
        <v>-1</v>
      </c>
      <c r="Q462" s="9">
        <v>0</v>
      </c>
    </row>
    <row r="463" spans="1:17" ht="63" customHeight="1" x14ac:dyDescent="0.3">
      <c r="A463" s="60"/>
      <c r="B463" s="61">
        <f t="shared" si="22"/>
        <v>460</v>
      </c>
      <c r="C463" s="62"/>
      <c r="D463" s="62"/>
      <c r="E463" s="68"/>
      <c r="F463" s="68"/>
      <c r="G463" s="68"/>
      <c r="H463" s="64">
        <f t="shared" si="21"/>
        <v>0</v>
      </c>
      <c r="I463" s="68"/>
      <c r="J463" s="65">
        <f t="shared" si="23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>
        <f>工程基本資料!$B$8+工程基本資料!$B$7+$L463+$M463-1</f>
        <v>-1</v>
      </c>
      <c r="Q463" s="9">
        <v>0</v>
      </c>
    </row>
    <row r="464" spans="1:17" ht="63" customHeight="1" x14ac:dyDescent="0.3">
      <c r="A464" s="60"/>
      <c r="B464" s="61">
        <f t="shared" si="22"/>
        <v>461</v>
      </c>
      <c r="C464" s="62"/>
      <c r="D464" s="62"/>
      <c r="E464" s="68"/>
      <c r="F464" s="68"/>
      <c r="G464" s="68"/>
      <c r="H464" s="64">
        <f t="shared" si="21"/>
        <v>0</v>
      </c>
      <c r="I464" s="68"/>
      <c r="J464" s="65">
        <f t="shared" si="23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>
        <f>工程基本資料!$B$8+工程基本資料!$B$7+$L464+$M464-1</f>
        <v>-1</v>
      </c>
      <c r="Q464" s="9">
        <v>0</v>
      </c>
    </row>
    <row r="465" spans="1:17" ht="63" customHeight="1" x14ac:dyDescent="0.3">
      <c r="A465" s="60"/>
      <c r="B465" s="61">
        <f t="shared" si="22"/>
        <v>462</v>
      </c>
      <c r="C465" s="62"/>
      <c r="D465" s="62"/>
      <c r="E465" s="68"/>
      <c r="F465" s="68"/>
      <c r="G465" s="68"/>
      <c r="H465" s="64">
        <f t="shared" si="21"/>
        <v>0</v>
      </c>
      <c r="I465" s="68"/>
      <c r="J465" s="65">
        <f t="shared" si="23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>
        <f>工程基本資料!$B$8+工程基本資料!$B$7+$L465+$M465-1</f>
        <v>-1</v>
      </c>
      <c r="Q465" s="9">
        <v>0</v>
      </c>
    </row>
    <row r="466" spans="1:17" ht="63" customHeight="1" x14ac:dyDescent="0.3">
      <c r="A466" s="60"/>
      <c r="B466" s="61">
        <f t="shared" si="22"/>
        <v>463</v>
      </c>
      <c r="C466" s="62"/>
      <c r="D466" s="62"/>
      <c r="E466" s="68"/>
      <c r="F466" s="68"/>
      <c r="G466" s="68"/>
      <c r="H466" s="64">
        <f t="shared" si="21"/>
        <v>0</v>
      </c>
      <c r="I466" s="68"/>
      <c r="J466" s="65">
        <f t="shared" si="23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>
        <f>工程基本資料!$B$8+工程基本資料!$B$7+$L466+$M466-1</f>
        <v>-1</v>
      </c>
      <c r="Q466" s="9">
        <v>0</v>
      </c>
    </row>
    <row r="467" spans="1:17" ht="63" customHeight="1" x14ac:dyDescent="0.3">
      <c r="A467" s="60"/>
      <c r="B467" s="61">
        <f t="shared" si="22"/>
        <v>464</v>
      </c>
      <c r="C467" s="62"/>
      <c r="D467" s="62"/>
      <c r="E467" s="68"/>
      <c r="F467" s="68"/>
      <c r="G467" s="68"/>
      <c r="H467" s="64">
        <f t="shared" si="21"/>
        <v>0</v>
      </c>
      <c r="I467" s="68"/>
      <c r="J467" s="65">
        <f t="shared" si="23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>
        <f>工程基本資料!$B$8+工程基本資料!$B$7+$L467+$M467-1</f>
        <v>-1</v>
      </c>
      <c r="Q467" s="9">
        <v>0</v>
      </c>
    </row>
    <row r="468" spans="1:17" ht="63" customHeight="1" x14ac:dyDescent="0.3">
      <c r="A468" s="60"/>
      <c r="B468" s="61">
        <f t="shared" si="22"/>
        <v>465</v>
      </c>
      <c r="C468" s="62"/>
      <c r="D468" s="62"/>
      <c r="E468" s="68"/>
      <c r="F468" s="68"/>
      <c r="G468" s="68"/>
      <c r="H468" s="64">
        <f t="shared" si="21"/>
        <v>0</v>
      </c>
      <c r="I468" s="68"/>
      <c r="J468" s="65">
        <f t="shared" si="23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>
        <f>工程基本資料!$B$8+工程基本資料!$B$7+$L468+$M468-1</f>
        <v>-1</v>
      </c>
      <c r="Q468" s="9">
        <v>0</v>
      </c>
    </row>
    <row r="469" spans="1:17" ht="63" customHeight="1" x14ac:dyDescent="0.3">
      <c r="A469" s="60"/>
      <c r="B469" s="61">
        <f t="shared" si="22"/>
        <v>466</v>
      </c>
      <c r="C469" s="62"/>
      <c r="D469" s="62"/>
      <c r="E469" s="68"/>
      <c r="F469" s="68"/>
      <c r="G469" s="68"/>
      <c r="H469" s="64">
        <f t="shared" si="21"/>
        <v>0</v>
      </c>
      <c r="I469" s="68"/>
      <c r="J469" s="65">
        <f t="shared" si="23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>
        <f>工程基本資料!$B$8+工程基本資料!$B$7+$L469+$M469-1</f>
        <v>-1</v>
      </c>
      <c r="Q469" s="9">
        <v>0</v>
      </c>
    </row>
    <row r="470" spans="1:17" ht="63" customHeight="1" x14ac:dyDescent="0.3">
      <c r="A470" s="60"/>
      <c r="B470" s="61">
        <f t="shared" si="22"/>
        <v>467</v>
      </c>
      <c r="C470" s="62"/>
      <c r="D470" s="62"/>
      <c r="E470" s="68"/>
      <c r="F470" s="68"/>
      <c r="G470" s="68"/>
      <c r="H470" s="64">
        <f t="shared" si="21"/>
        <v>0</v>
      </c>
      <c r="I470" s="68"/>
      <c r="J470" s="65">
        <f t="shared" si="23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>
        <f>工程基本資料!$B$8+工程基本資料!$B$7+$L470+$M470-1</f>
        <v>-1</v>
      </c>
      <c r="Q470" s="9">
        <v>0</v>
      </c>
    </row>
    <row r="471" spans="1:17" ht="63" customHeight="1" x14ac:dyDescent="0.3">
      <c r="A471" s="60"/>
      <c r="B471" s="61">
        <f t="shared" si="22"/>
        <v>468</v>
      </c>
      <c r="C471" s="62"/>
      <c r="D471" s="62"/>
      <c r="E471" s="68"/>
      <c r="F471" s="68"/>
      <c r="G471" s="68"/>
      <c r="H471" s="64">
        <f t="shared" si="21"/>
        <v>0</v>
      </c>
      <c r="I471" s="68"/>
      <c r="J471" s="65">
        <f t="shared" si="23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>
        <f>工程基本資料!$B$8+工程基本資料!$B$7+$L471+$M471-1</f>
        <v>-1</v>
      </c>
      <c r="Q471" s="9">
        <v>0</v>
      </c>
    </row>
    <row r="472" spans="1:17" ht="63" customHeight="1" x14ac:dyDescent="0.3">
      <c r="A472" s="60"/>
      <c r="B472" s="61">
        <f t="shared" si="22"/>
        <v>469</v>
      </c>
      <c r="C472" s="62"/>
      <c r="D472" s="62"/>
      <c r="E472" s="68"/>
      <c r="F472" s="68"/>
      <c r="G472" s="68"/>
      <c r="H472" s="64">
        <f t="shared" si="21"/>
        <v>0</v>
      </c>
      <c r="I472" s="68"/>
      <c r="J472" s="65">
        <f t="shared" si="23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>
        <f>工程基本資料!$B$8+工程基本資料!$B$7+$L472+$M472-1</f>
        <v>-1</v>
      </c>
      <c r="Q472" s="9">
        <v>0</v>
      </c>
    </row>
    <row r="473" spans="1:17" ht="63" customHeight="1" x14ac:dyDescent="0.3">
      <c r="A473" s="60"/>
      <c r="B473" s="61">
        <f t="shared" si="22"/>
        <v>470</v>
      </c>
      <c r="C473" s="62"/>
      <c r="D473" s="62"/>
      <c r="E473" s="68"/>
      <c r="F473" s="68"/>
      <c r="G473" s="68"/>
      <c r="H473" s="64">
        <f t="shared" si="21"/>
        <v>0</v>
      </c>
      <c r="I473" s="68"/>
      <c r="J473" s="65">
        <f t="shared" si="23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>
        <f>工程基本資料!$B$8+工程基本資料!$B$7+$L473+$M473-1</f>
        <v>-1</v>
      </c>
      <c r="Q473" s="9">
        <v>0</v>
      </c>
    </row>
    <row r="474" spans="1:17" ht="63" customHeight="1" x14ac:dyDescent="0.3">
      <c r="A474" s="60"/>
      <c r="B474" s="61">
        <f t="shared" si="22"/>
        <v>471</v>
      </c>
      <c r="C474" s="62"/>
      <c r="D474" s="62"/>
      <c r="E474" s="68"/>
      <c r="F474" s="68"/>
      <c r="G474" s="68"/>
      <c r="H474" s="64">
        <f t="shared" si="21"/>
        <v>0</v>
      </c>
      <c r="I474" s="68"/>
      <c r="J474" s="65">
        <f t="shared" si="23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>
        <f>工程基本資料!$B$8+工程基本資料!$B$7+$L474+$M474-1</f>
        <v>-1</v>
      </c>
      <c r="Q474" s="9">
        <v>0</v>
      </c>
    </row>
    <row r="475" spans="1:17" ht="63" customHeight="1" x14ac:dyDescent="0.3">
      <c r="A475" s="60"/>
      <c r="B475" s="61">
        <f t="shared" si="22"/>
        <v>472</v>
      </c>
      <c r="C475" s="62"/>
      <c r="D475" s="62"/>
      <c r="E475" s="68"/>
      <c r="F475" s="68"/>
      <c r="G475" s="68"/>
      <c r="H475" s="64">
        <f t="shared" si="21"/>
        <v>0</v>
      </c>
      <c r="I475" s="68"/>
      <c r="J475" s="65">
        <f t="shared" si="23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>
        <f>工程基本資料!$B$8+工程基本資料!$B$7+$L475+$M475-1</f>
        <v>-1</v>
      </c>
      <c r="Q475" s="9">
        <v>0</v>
      </c>
    </row>
    <row r="476" spans="1:17" ht="63" customHeight="1" x14ac:dyDescent="0.3">
      <c r="A476" s="60"/>
      <c r="B476" s="61">
        <f t="shared" si="22"/>
        <v>473</v>
      </c>
      <c r="C476" s="62"/>
      <c r="D476" s="62"/>
      <c r="E476" s="68"/>
      <c r="F476" s="68"/>
      <c r="G476" s="68"/>
      <c r="H476" s="64">
        <f t="shared" si="21"/>
        <v>0</v>
      </c>
      <c r="I476" s="68"/>
      <c r="J476" s="65">
        <f t="shared" si="23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>
        <f>工程基本資料!$B$8+工程基本資料!$B$7+$L476+$M476-1</f>
        <v>-1</v>
      </c>
      <c r="Q476" s="9">
        <v>0</v>
      </c>
    </row>
    <row r="477" spans="1:17" ht="63" customHeight="1" x14ac:dyDescent="0.3">
      <c r="A477" s="60"/>
      <c r="B477" s="61">
        <f t="shared" si="22"/>
        <v>474</v>
      </c>
      <c r="C477" s="62"/>
      <c r="D477" s="62"/>
      <c r="E477" s="68"/>
      <c r="F477" s="68"/>
      <c r="G477" s="68"/>
      <c r="H477" s="64">
        <f t="shared" si="21"/>
        <v>0</v>
      </c>
      <c r="I477" s="68"/>
      <c r="J477" s="65">
        <f t="shared" si="23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>
        <f>工程基本資料!$B$8+工程基本資料!$B$7+$L477+$M477-1</f>
        <v>-1</v>
      </c>
      <c r="Q477" s="9">
        <v>0</v>
      </c>
    </row>
    <row r="478" spans="1:17" ht="63" customHeight="1" x14ac:dyDescent="0.3">
      <c r="A478" s="60"/>
      <c r="B478" s="61">
        <f t="shared" si="22"/>
        <v>475</v>
      </c>
      <c r="C478" s="62"/>
      <c r="D478" s="62"/>
      <c r="E478" s="68"/>
      <c r="F478" s="68"/>
      <c r="G478" s="68"/>
      <c r="H478" s="64">
        <f t="shared" si="21"/>
        <v>0</v>
      </c>
      <c r="I478" s="68"/>
      <c r="J478" s="65">
        <f t="shared" si="23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>
        <f>工程基本資料!$B$8+工程基本資料!$B$7+$L478+$M478-1</f>
        <v>-1</v>
      </c>
      <c r="Q478" s="9">
        <v>0</v>
      </c>
    </row>
    <row r="479" spans="1:17" ht="63" customHeight="1" x14ac:dyDescent="0.3">
      <c r="A479" s="60"/>
      <c r="B479" s="61">
        <f t="shared" si="22"/>
        <v>476</v>
      </c>
      <c r="C479" s="62"/>
      <c r="D479" s="62"/>
      <c r="E479" s="68"/>
      <c r="F479" s="68"/>
      <c r="G479" s="68"/>
      <c r="H479" s="64">
        <f t="shared" si="21"/>
        <v>0</v>
      </c>
      <c r="I479" s="68"/>
      <c r="J479" s="65">
        <f t="shared" si="23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>
        <f>工程基本資料!$B$8+工程基本資料!$B$7+$L479+$M479-1</f>
        <v>-1</v>
      </c>
      <c r="Q479" s="9">
        <v>0</v>
      </c>
    </row>
    <row r="480" spans="1:17" ht="63" customHeight="1" x14ac:dyDescent="0.3">
      <c r="A480" s="60"/>
      <c r="B480" s="61">
        <f t="shared" si="22"/>
        <v>477</v>
      </c>
      <c r="C480" s="62"/>
      <c r="D480" s="62"/>
      <c r="E480" s="68"/>
      <c r="F480" s="68"/>
      <c r="G480" s="68"/>
      <c r="H480" s="64">
        <f t="shared" si="21"/>
        <v>0</v>
      </c>
      <c r="I480" s="68"/>
      <c r="J480" s="65">
        <f t="shared" si="23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>
        <f>工程基本資料!$B$8+工程基本資料!$B$7+$L480+$M480-1</f>
        <v>-1</v>
      </c>
      <c r="Q480" s="9">
        <v>0</v>
      </c>
    </row>
    <row r="481" spans="1:17" ht="63" customHeight="1" x14ac:dyDescent="0.3">
      <c r="A481" s="60"/>
      <c r="B481" s="61">
        <f t="shared" si="22"/>
        <v>478</v>
      </c>
      <c r="C481" s="62"/>
      <c r="D481" s="62"/>
      <c r="E481" s="68"/>
      <c r="F481" s="68"/>
      <c r="G481" s="68"/>
      <c r="H481" s="64">
        <f t="shared" si="21"/>
        <v>0</v>
      </c>
      <c r="I481" s="68"/>
      <c r="J481" s="65">
        <f t="shared" si="23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>
        <f>工程基本資料!$B$8+工程基本資料!$B$7+$L481+$M481-1</f>
        <v>-1</v>
      </c>
      <c r="Q481" s="9">
        <v>0</v>
      </c>
    </row>
    <row r="482" spans="1:17" ht="63" customHeight="1" x14ac:dyDescent="0.3">
      <c r="A482" s="60"/>
      <c r="B482" s="61">
        <f t="shared" si="22"/>
        <v>479</v>
      </c>
      <c r="C482" s="62"/>
      <c r="D482" s="62"/>
      <c r="E482" s="68"/>
      <c r="F482" s="68"/>
      <c r="G482" s="68"/>
      <c r="H482" s="64">
        <f t="shared" si="21"/>
        <v>0</v>
      </c>
      <c r="I482" s="68"/>
      <c r="J482" s="65">
        <f t="shared" si="23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>
        <f>工程基本資料!$B$8+工程基本資料!$B$7+$L482+$M482-1</f>
        <v>-1</v>
      </c>
      <c r="Q482" s="9">
        <v>0</v>
      </c>
    </row>
    <row r="483" spans="1:17" ht="63" customHeight="1" x14ac:dyDescent="0.3">
      <c r="A483" s="60"/>
      <c r="B483" s="61">
        <f t="shared" si="22"/>
        <v>480</v>
      </c>
      <c r="C483" s="62"/>
      <c r="D483" s="62"/>
      <c r="E483" s="68"/>
      <c r="F483" s="68"/>
      <c r="G483" s="68"/>
      <c r="H483" s="64">
        <f t="shared" si="21"/>
        <v>0</v>
      </c>
      <c r="I483" s="68"/>
      <c r="J483" s="65">
        <f t="shared" si="23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>
        <f>工程基本資料!$B$8+工程基本資料!$B$7+$L483+$M483-1</f>
        <v>-1</v>
      </c>
      <c r="Q483" s="9">
        <v>0</v>
      </c>
    </row>
    <row r="484" spans="1:17" ht="63" customHeight="1" x14ac:dyDescent="0.3">
      <c r="A484" s="60"/>
      <c r="B484" s="61">
        <f t="shared" si="22"/>
        <v>481</v>
      </c>
      <c r="C484" s="62"/>
      <c r="D484" s="62"/>
      <c r="E484" s="68"/>
      <c r="F484" s="68"/>
      <c r="G484" s="68"/>
      <c r="H484" s="64">
        <f t="shared" si="21"/>
        <v>0</v>
      </c>
      <c r="I484" s="68"/>
      <c r="J484" s="65">
        <f t="shared" si="23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>
        <f>工程基本資料!$B$8+工程基本資料!$B$7+$L484+$M484-1</f>
        <v>-1</v>
      </c>
      <c r="Q484" s="9">
        <v>0</v>
      </c>
    </row>
    <row r="485" spans="1:17" ht="63" customHeight="1" x14ac:dyDescent="0.3">
      <c r="A485" s="60"/>
      <c r="B485" s="61">
        <f t="shared" si="22"/>
        <v>482</v>
      </c>
      <c r="C485" s="62"/>
      <c r="D485" s="62"/>
      <c r="E485" s="68"/>
      <c r="F485" s="68"/>
      <c r="G485" s="68"/>
      <c r="H485" s="64">
        <f t="shared" si="21"/>
        <v>0</v>
      </c>
      <c r="I485" s="68"/>
      <c r="J485" s="65">
        <f t="shared" si="23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>
        <f>工程基本資料!$B$8+工程基本資料!$B$7+$L485+$M485-1</f>
        <v>-1</v>
      </c>
      <c r="Q485" s="9">
        <v>0</v>
      </c>
    </row>
    <row r="486" spans="1:17" ht="63" customHeight="1" x14ac:dyDescent="0.3">
      <c r="A486" s="60"/>
      <c r="B486" s="61">
        <f t="shared" si="22"/>
        <v>483</v>
      </c>
      <c r="C486" s="62"/>
      <c r="D486" s="62"/>
      <c r="E486" s="68"/>
      <c r="F486" s="68"/>
      <c r="G486" s="68"/>
      <c r="H486" s="64">
        <f t="shared" si="21"/>
        <v>0</v>
      </c>
      <c r="I486" s="68"/>
      <c r="J486" s="65">
        <f t="shared" si="23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>
        <f>工程基本資料!$B$8+工程基本資料!$B$7+$L486+$M486-1</f>
        <v>-1</v>
      </c>
      <c r="Q486" s="9">
        <v>0</v>
      </c>
    </row>
    <row r="487" spans="1:17" ht="63" customHeight="1" x14ac:dyDescent="0.3">
      <c r="A487" s="60"/>
      <c r="B487" s="61">
        <f t="shared" si="22"/>
        <v>484</v>
      </c>
      <c r="C487" s="62"/>
      <c r="D487" s="62"/>
      <c r="E487" s="68"/>
      <c r="F487" s="68"/>
      <c r="G487" s="68"/>
      <c r="H487" s="64">
        <f t="shared" si="21"/>
        <v>0</v>
      </c>
      <c r="I487" s="68"/>
      <c r="J487" s="65">
        <f t="shared" si="23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>
        <f>工程基本資料!$B$8+工程基本資料!$B$7+$L487+$M487-1</f>
        <v>-1</v>
      </c>
      <c r="Q487" s="9">
        <v>0</v>
      </c>
    </row>
    <row r="488" spans="1:17" ht="63" customHeight="1" x14ac:dyDescent="0.3">
      <c r="A488" s="60"/>
      <c r="B488" s="61">
        <f t="shared" si="22"/>
        <v>485</v>
      </c>
      <c r="C488" s="62"/>
      <c r="D488" s="62"/>
      <c r="E488" s="68"/>
      <c r="F488" s="68"/>
      <c r="G488" s="68"/>
      <c r="H488" s="64">
        <f t="shared" si="21"/>
        <v>0</v>
      </c>
      <c r="I488" s="68"/>
      <c r="J488" s="65">
        <f t="shared" si="23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>
        <f>工程基本資料!$B$8+工程基本資料!$B$7+$L488+$M488-1</f>
        <v>-1</v>
      </c>
      <c r="Q488" s="9">
        <v>0</v>
      </c>
    </row>
    <row r="489" spans="1:17" ht="63" customHeight="1" x14ac:dyDescent="0.3">
      <c r="A489" s="60"/>
      <c r="B489" s="61">
        <f t="shared" si="22"/>
        <v>486</v>
      </c>
      <c r="C489" s="62"/>
      <c r="D489" s="62"/>
      <c r="E489" s="68"/>
      <c r="F489" s="68"/>
      <c r="G489" s="68"/>
      <c r="H489" s="64">
        <f t="shared" si="21"/>
        <v>0</v>
      </c>
      <c r="I489" s="68"/>
      <c r="J489" s="65">
        <f t="shared" si="23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>
        <f>工程基本資料!$B$8+工程基本資料!$B$7+$L489+$M489-1</f>
        <v>-1</v>
      </c>
      <c r="Q489" s="9">
        <v>0</v>
      </c>
    </row>
    <row r="490" spans="1:17" ht="63" customHeight="1" x14ac:dyDescent="0.3">
      <c r="A490" s="60"/>
      <c r="B490" s="61">
        <f t="shared" si="22"/>
        <v>487</v>
      </c>
      <c r="C490" s="62"/>
      <c r="D490" s="62"/>
      <c r="E490" s="68"/>
      <c r="F490" s="68"/>
      <c r="G490" s="68"/>
      <c r="H490" s="64">
        <f t="shared" si="21"/>
        <v>0</v>
      </c>
      <c r="I490" s="68"/>
      <c r="J490" s="65">
        <f t="shared" si="23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>
        <f>工程基本資料!$B$8+工程基本資料!$B$7+$L490+$M490-1</f>
        <v>-1</v>
      </c>
      <c r="Q490" s="9">
        <v>0</v>
      </c>
    </row>
    <row r="491" spans="1:17" ht="63" customHeight="1" x14ac:dyDescent="0.3">
      <c r="A491" s="60"/>
      <c r="B491" s="61">
        <f t="shared" si="22"/>
        <v>488</v>
      </c>
      <c r="C491" s="62"/>
      <c r="D491" s="62"/>
      <c r="E491" s="68"/>
      <c r="F491" s="68"/>
      <c r="G491" s="68"/>
      <c r="H491" s="64">
        <f t="shared" si="21"/>
        <v>0</v>
      </c>
      <c r="I491" s="68"/>
      <c r="J491" s="65">
        <f t="shared" si="23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>
        <f>工程基本資料!$B$8+工程基本資料!$B$7+$L491+$M491-1</f>
        <v>-1</v>
      </c>
      <c r="Q491" s="9">
        <v>0</v>
      </c>
    </row>
    <row r="492" spans="1:17" ht="63" customHeight="1" x14ac:dyDescent="0.3">
      <c r="A492" s="60"/>
      <c r="B492" s="61">
        <f t="shared" si="22"/>
        <v>489</v>
      </c>
      <c r="C492" s="62"/>
      <c r="D492" s="62"/>
      <c r="E492" s="68"/>
      <c r="F492" s="68"/>
      <c r="G492" s="68"/>
      <c r="H492" s="64">
        <f t="shared" si="21"/>
        <v>0</v>
      </c>
      <c r="I492" s="68"/>
      <c r="J492" s="65">
        <f t="shared" si="23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>
        <f>工程基本資料!$B$8+工程基本資料!$B$7+$L492+$M492-1</f>
        <v>-1</v>
      </c>
      <c r="Q492" s="9">
        <v>0</v>
      </c>
    </row>
    <row r="493" spans="1:17" ht="63" customHeight="1" x14ac:dyDescent="0.3">
      <c r="A493" s="60"/>
      <c r="B493" s="61">
        <f t="shared" si="22"/>
        <v>490</v>
      </c>
      <c r="C493" s="62"/>
      <c r="D493" s="62"/>
      <c r="E493" s="68"/>
      <c r="F493" s="68"/>
      <c r="G493" s="68"/>
      <c r="H493" s="64">
        <f t="shared" si="21"/>
        <v>0</v>
      </c>
      <c r="I493" s="68"/>
      <c r="J493" s="65">
        <f t="shared" si="23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>
        <f>工程基本資料!$B$8+工程基本資料!$B$7+$L493+$M493-1</f>
        <v>-1</v>
      </c>
      <c r="Q493" s="9">
        <v>0</v>
      </c>
    </row>
    <row r="494" spans="1:17" ht="63" customHeight="1" x14ac:dyDescent="0.3">
      <c r="A494" s="60"/>
      <c r="B494" s="61">
        <f t="shared" si="22"/>
        <v>491</v>
      </c>
      <c r="C494" s="62"/>
      <c r="D494" s="62"/>
      <c r="E494" s="68"/>
      <c r="F494" s="68"/>
      <c r="G494" s="68"/>
      <c r="H494" s="64">
        <f t="shared" si="21"/>
        <v>0</v>
      </c>
      <c r="I494" s="68"/>
      <c r="J494" s="65">
        <f t="shared" si="23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>
        <f>工程基本資料!$B$8+工程基本資料!$B$7+$L494+$M494-1</f>
        <v>-1</v>
      </c>
      <c r="Q494" s="9">
        <v>0</v>
      </c>
    </row>
    <row r="495" spans="1:17" ht="63" customHeight="1" x14ac:dyDescent="0.3">
      <c r="A495" s="60"/>
      <c r="B495" s="61">
        <f t="shared" si="22"/>
        <v>492</v>
      </c>
      <c r="C495" s="62"/>
      <c r="D495" s="62"/>
      <c r="E495" s="68"/>
      <c r="F495" s="68"/>
      <c r="G495" s="68"/>
      <c r="H495" s="64">
        <f t="shared" si="21"/>
        <v>0</v>
      </c>
      <c r="I495" s="68"/>
      <c r="J495" s="65">
        <f t="shared" si="23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>
        <f>工程基本資料!$B$8+工程基本資料!$B$7+$L495+$M495-1</f>
        <v>-1</v>
      </c>
      <c r="Q495" s="9">
        <v>0</v>
      </c>
    </row>
    <row r="496" spans="1:17" ht="63" customHeight="1" x14ac:dyDescent="0.3">
      <c r="A496" s="60"/>
      <c r="B496" s="61">
        <f t="shared" si="22"/>
        <v>493</v>
      </c>
      <c r="C496" s="62"/>
      <c r="D496" s="62"/>
      <c r="E496" s="68"/>
      <c r="F496" s="68"/>
      <c r="G496" s="68"/>
      <c r="H496" s="64">
        <f t="shared" si="21"/>
        <v>0</v>
      </c>
      <c r="I496" s="68"/>
      <c r="J496" s="65">
        <f t="shared" si="23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>
        <f>工程基本資料!$B$8+工程基本資料!$B$7+$L496+$M496-1</f>
        <v>-1</v>
      </c>
      <c r="Q496" s="9">
        <v>0</v>
      </c>
    </row>
    <row r="497" spans="1:17" ht="63" customHeight="1" x14ac:dyDescent="0.3">
      <c r="A497" s="60"/>
      <c r="B497" s="61">
        <f t="shared" si="22"/>
        <v>494</v>
      </c>
      <c r="C497" s="62"/>
      <c r="D497" s="62"/>
      <c r="E497" s="68"/>
      <c r="F497" s="68"/>
      <c r="G497" s="68"/>
      <c r="H497" s="64">
        <f t="shared" si="21"/>
        <v>0</v>
      </c>
      <c r="I497" s="68"/>
      <c r="J497" s="65">
        <f t="shared" si="23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>
        <f>工程基本資料!$B$8+工程基本資料!$B$7+$L497+$M497-1</f>
        <v>-1</v>
      </c>
      <c r="Q497" s="9">
        <v>0</v>
      </c>
    </row>
    <row r="498" spans="1:17" ht="63" customHeight="1" x14ac:dyDescent="0.3">
      <c r="A498" s="60"/>
      <c r="B498" s="61">
        <f t="shared" si="22"/>
        <v>495</v>
      </c>
      <c r="C498" s="62"/>
      <c r="D498" s="62"/>
      <c r="E498" s="68"/>
      <c r="F498" s="68"/>
      <c r="G498" s="68"/>
      <c r="H498" s="64">
        <f t="shared" si="21"/>
        <v>0</v>
      </c>
      <c r="I498" s="68"/>
      <c r="J498" s="65">
        <f t="shared" si="23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>
        <f>工程基本資料!$B$8+工程基本資料!$B$7+$L498+$M498-1</f>
        <v>-1</v>
      </c>
      <c r="Q498" s="9">
        <v>0</v>
      </c>
    </row>
    <row r="499" spans="1:17" ht="63" customHeight="1" x14ac:dyDescent="0.3">
      <c r="A499" s="60"/>
      <c r="B499" s="61">
        <f t="shared" si="22"/>
        <v>496</v>
      </c>
      <c r="C499" s="62"/>
      <c r="D499" s="62"/>
      <c r="E499" s="68"/>
      <c r="F499" s="68"/>
      <c r="G499" s="68"/>
      <c r="H499" s="64">
        <f t="shared" si="21"/>
        <v>0</v>
      </c>
      <c r="I499" s="68"/>
      <c r="J499" s="65">
        <f t="shared" si="23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>
        <f>工程基本資料!$B$8+工程基本資料!$B$7+$L499+$M499-1</f>
        <v>-1</v>
      </c>
      <c r="Q499" s="9">
        <v>0</v>
      </c>
    </row>
    <row r="500" spans="1:17" ht="63" customHeight="1" x14ac:dyDescent="0.3">
      <c r="A500" s="60"/>
      <c r="B500" s="61">
        <f t="shared" si="22"/>
        <v>497</v>
      </c>
      <c r="C500" s="62"/>
      <c r="D500" s="62"/>
      <c r="E500" s="68"/>
      <c r="F500" s="68"/>
      <c r="G500" s="68"/>
      <c r="H500" s="64">
        <f t="shared" si="21"/>
        <v>0</v>
      </c>
      <c r="I500" s="68"/>
      <c r="J500" s="65">
        <f t="shared" si="23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>
        <f>工程基本資料!$B$8+工程基本資料!$B$7+$L500+$M500-1</f>
        <v>-1</v>
      </c>
      <c r="Q500" s="9">
        <v>0</v>
      </c>
    </row>
    <row r="501" spans="1:17" ht="63" customHeight="1" x14ac:dyDescent="0.3">
      <c r="A501" s="60"/>
      <c r="B501" s="61">
        <f t="shared" si="22"/>
        <v>498</v>
      </c>
      <c r="C501" s="62"/>
      <c r="D501" s="62"/>
      <c r="E501" s="68"/>
      <c r="F501" s="68"/>
      <c r="G501" s="68"/>
      <c r="H501" s="64">
        <f t="shared" si="21"/>
        <v>0</v>
      </c>
      <c r="I501" s="68"/>
      <c r="J501" s="65">
        <f t="shared" si="23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>
        <f>工程基本資料!$B$8+工程基本資料!$B$7+$L501+$M501-1</f>
        <v>-1</v>
      </c>
      <c r="Q501" s="9">
        <v>0</v>
      </c>
    </row>
    <row r="502" spans="1:17" ht="63" customHeight="1" x14ac:dyDescent="0.3">
      <c r="A502" s="60"/>
      <c r="B502" s="61">
        <f t="shared" si="22"/>
        <v>499</v>
      </c>
      <c r="C502" s="62"/>
      <c r="D502" s="62"/>
      <c r="E502" s="68"/>
      <c r="F502" s="68"/>
      <c r="G502" s="68"/>
      <c r="H502" s="64">
        <f t="shared" si="21"/>
        <v>0</v>
      </c>
      <c r="I502" s="68"/>
      <c r="J502" s="65">
        <f t="shared" si="23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>
        <f>工程基本資料!$B$8+工程基本資料!$B$7+$L502+$M502-1</f>
        <v>-1</v>
      </c>
      <c r="Q502" s="9">
        <v>0</v>
      </c>
    </row>
    <row r="503" spans="1:17" ht="63" customHeight="1" x14ac:dyDescent="0.3">
      <c r="A503" s="60"/>
      <c r="B503" s="61">
        <f t="shared" si="22"/>
        <v>500</v>
      </c>
      <c r="C503" s="62"/>
      <c r="D503" s="62"/>
      <c r="E503" s="68"/>
      <c r="F503" s="68"/>
      <c r="G503" s="68"/>
      <c r="H503" s="64">
        <f t="shared" si="21"/>
        <v>0</v>
      </c>
      <c r="I503" s="68"/>
      <c r="J503" s="65">
        <f t="shared" si="23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>
        <f>工程基本資料!$B$8+工程基本資料!$B$7+$L503+$M503-1</f>
        <v>-1</v>
      </c>
      <c r="Q503" s="9">
        <v>0</v>
      </c>
    </row>
    <row r="504" spans="1:17" ht="63" customHeight="1" x14ac:dyDescent="0.3">
      <c r="A504" s="60"/>
      <c r="B504" s="61">
        <f t="shared" si="22"/>
        <v>501</v>
      </c>
      <c r="C504" s="62"/>
      <c r="D504" s="62"/>
      <c r="E504" s="68"/>
      <c r="F504" s="68"/>
      <c r="G504" s="68"/>
      <c r="H504" s="64">
        <f t="shared" si="21"/>
        <v>0</v>
      </c>
      <c r="I504" s="68"/>
      <c r="J504" s="65">
        <f t="shared" si="23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>
        <f>工程基本資料!$B$8+工程基本資料!$B$7+$L504+$M504-1</f>
        <v>-1</v>
      </c>
      <c r="Q504" s="9">
        <v>0</v>
      </c>
    </row>
    <row r="505" spans="1:17" ht="63" customHeight="1" x14ac:dyDescent="0.3">
      <c r="A505" s="60"/>
      <c r="B505" s="61">
        <f t="shared" si="22"/>
        <v>502</v>
      </c>
      <c r="C505" s="62"/>
      <c r="D505" s="62"/>
      <c r="E505" s="68"/>
      <c r="F505" s="68"/>
      <c r="G505" s="68"/>
      <c r="H505" s="64">
        <f t="shared" si="21"/>
        <v>0</v>
      </c>
      <c r="I505" s="68"/>
      <c r="J505" s="65">
        <f t="shared" si="23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>
        <f>工程基本資料!$B$8+工程基本資料!$B$7+$L505+$M505-1</f>
        <v>-1</v>
      </c>
      <c r="Q505" s="9">
        <v>0</v>
      </c>
    </row>
    <row r="506" spans="1:17" ht="63" customHeight="1" x14ac:dyDescent="0.3">
      <c r="A506" s="60"/>
      <c r="B506" s="61">
        <f t="shared" si="22"/>
        <v>503</v>
      </c>
      <c r="C506" s="62"/>
      <c r="D506" s="62"/>
      <c r="E506" s="68"/>
      <c r="F506" s="68"/>
      <c r="G506" s="68"/>
      <c r="H506" s="64">
        <f t="shared" si="21"/>
        <v>0</v>
      </c>
      <c r="I506" s="68"/>
      <c r="J506" s="65">
        <f t="shared" si="23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>
        <f>工程基本資料!$B$8+工程基本資料!$B$7+$L506+$M506-1</f>
        <v>-1</v>
      </c>
      <c r="Q506" s="9">
        <v>0</v>
      </c>
    </row>
    <row r="507" spans="1:17" ht="63" customHeight="1" x14ac:dyDescent="0.3">
      <c r="A507" s="60"/>
      <c r="B507" s="61">
        <f t="shared" si="22"/>
        <v>504</v>
      </c>
      <c r="C507" s="62"/>
      <c r="D507" s="62"/>
      <c r="E507" s="68"/>
      <c r="F507" s="68"/>
      <c r="G507" s="68"/>
      <c r="H507" s="64">
        <f t="shared" si="21"/>
        <v>0</v>
      </c>
      <c r="I507" s="68"/>
      <c r="J507" s="65">
        <f t="shared" si="23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>
        <f>工程基本資料!$B$8+工程基本資料!$B$7+$L507+$M507-1</f>
        <v>-1</v>
      </c>
      <c r="Q507" s="9">
        <v>0</v>
      </c>
    </row>
    <row r="508" spans="1:17" ht="63" customHeight="1" x14ac:dyDescent="0.3">
      <c r="A508" s="60"/>
      <c r="B508" s="61">
        <f t="shared" si="22"/>
        <v>505</v>
      </c>
      <c r="C508" s="62"/>
      <c r="D508" s="62"/>
      <c r="E508" s="68"/>
      <c r="F508" s="68"/>
      <c r="G508" s="68"/>
      <c r="H508" s="64">
        <f t="shared" si="21"/>
        <v>0</v>
      </c>
      <c r="I508" s="68"/>
      <c r="J508" s="65">
        <f t="shared" si="23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>
        <f>工程基本資料!$B$8+工程基本資料!$B$7+$L508+$M508-1</f>
        <v>-1</v>
      </c>
      <c r="Q508" s="9">
        <v>0</v>
      </c>
    </row>
    <row r="509" spans="1:17" ht="63" customHeight="1" x14ac:dyDescent="0.3">
      <c r="A509" s="60"/>
      <c r="B509" s="61">
        <f t="shared" si="22"/>
        <v>506</v>
      </c>
      <c r="C509" s="62"/>
      <c r="D509" s="62"/>
      <c r="E509" s="68"/>
      <c r="F509" s="68"/>
      <c r="G509" s="68"/>
      <c r="H509" s="64">
        <f t="shared" si="21"/>
        <v>0</v>
      </c>
      <c r="I509" s="68"/>
      <c r="J509" s="65">
        <f t="shared" si="23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>
        <f>工程基本資料!$B$8+工程基本資料!$B$7+$L509+$M509-1</f>
        <v>-1</v>
      </c>
      <c r="Q509" s="9">
        <v>0</v>
      </c>
    </row>
    <row r="510" spans="1:17" ht="63" customHeight="1" x14ac:dyDescent="0.3">
      <c r="A510" s="60"/>
      <c r="B510" s="61">
        <f t="shared" si="22"/>
        <v>507</v>
      </c>
      <c r="C510" s="62"/>
      <c r="D510" s="62"/>
      <c r="E510" s="68"/>
      <c r="F510" s="68"/>
      <c r="G510" s="68"/>
      <c r="H510" s="64">
        <f t="shared" si="21"/>
        <v>0</v>
      </c>
      <c r="I510" s="68"/>
      <c r="J510" s="65">
        <f t="shared" si="23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>
        <f>工程基本資料!$B$8+工程基本資料!$B$7+$L510+$M510-1</f>
        <v>-1</v>
      </c>
      <c r="Q510" s="9">
        <v>0</v>
      </c>
    </row>
    <row r="511" spans="1:17" ht="63" customHeight="1" x14ac:dyDescent="0.3">
      <c r="A511" s="60"/>
      <c r="B511" s="61">
        <f t="shared" si="22"/>
        <v>508</v>
      </c>
      <c r="C511" s="62"/>
      <c r="D511" s="62"/>
      <c r="E511" s="68"/>
      <c r="F511" s="68"/>
      <c r="G511" s="68"/>
      <c r="H511" s="64">
        <f t="shared" si="21"/>
        <v>0</v>
      </c>
      <c r="I511" s="68"/>
      <c r="J511" s="65">
        <f t="shared" si="23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>
        <f>工程基本資料!$B$8+工程基本資料!$B$7+$L511+$M511-1</f>
        <v>-1</v>
      </c>
      <c r="Q511" s="9">
        <v>0</v>
      </c>
    </row>
    <row r="512" spans="1:17" ht="63" customHeight="1" x14ac:dyDescent="0.3">
      <c r="A512" s="60"/>
      <c r="B512" s="61">
        <f t="shared" si="22"/>
        <v>509</v>
      </c>
      <c r="C512" s="62"/>
      <c r="D512" s="62"/>
      <c r="E512" s="68"/>
      <c r="F512" s="68"/>
      <c r="G512" s="68"/>
      <c r="H512" s="64">
        <f t="shared" si="21"/>
        <v>0</v>
      </c>
      <c r="I512" s="68"/>
      <c r="J512" s="65">
        <f t="shared" si="23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>
        <f>工程基本資料!$B$8+工程基本資料!$B$7+$L512+$M512-1</f>
        <v>-1</v>
      </c>
      <c r="Q512" s="9">
        <v>0</v>
      </c>
    </row>
    <row r="513" spans="1:17" ht="63" customHeight="1" x14ac:dyDescent="0.3">
      <c r="A513" s="60"/>
      <c r="B513" s="61">
        <f t="shared" si="22"/>
        <v>510</v>
      </c>
      <c r="C513" s="62"/>
      <c r="D513" s="62"/>
      <c r="E513" s="68"/>
      <c r="F513" s="68"/>
      <c r="G513" s="68"/>
      <c r="H513" s="64">
        <f t="shared" si="21"/>
        <v>0</v>
      </c>
      <c r="I513" s="68"/>
      <c r="J513" s="65">
        <f t="shared" si="23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>
        <f>工程基本資料!$B$8+工程基本資料!$B$7+$L513+$M513-1</f>
        <v>-1</v>
      </c>
      <c r="Q513" s="9">
        <v>0</v>
      </c>
    </row>
    <row r="514" spans="1:17" ht="63" customHeight="1" x14ac:dyDescent="0.3">
      <c r="A514" s="60"/>
      <c r="B514" s="61">
        <f t="shared" si="22"/>
        <v>511</v>
      </c>
      <c r="C514" s="62"/>
      <c r="D514" s="62"/>
      <c r="E514" s="68"/>
      <c r="F514" s="68"/>
      <c r="G514" s="68"/>
      <c r="H514" s="64">
        <f t="shared" si="21"/>
        <v>0</v>
      </c>
      <c r="I514" s="68"/>
      <c r="J514" s="65">
        <f t="shared" si="23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>
        <f>工程基本資料!$B$8+工程基本資料!$B$7+$L514+$M514-1</f>
        <v>-1</v>
      </c>
      <c r="Q514" s="9">
        <v>0</v>
      </c>
    </row>
    <row r="515" spans="1:17" ht="63" customHeight="1" x14ac:dyDescent="0.3">
      <c r="A515" s="60"/>
      <c r="B515" s="61">
        <f t="shared" si="22"/>
        <v>512</v>
      </c>
      <c r="C515" s="62"/>
      <c r="D515" s="62"/>
      <c r="E515" s="68"/>
      <c r="F515" s="68"/>
      <c r="G515" s="68"/>
      <c r="H515" s="64">
        <f t="shared" si="21"/>
        <v>0</v>
      </c>
      <c r="I515" s="68"/>
      <c r="J515" s="65">
        <f t="shared" si="23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>
        <f>工程基本資料!$B$8+工程基本資料!$B$7+$L515+$M515-1</f>
        <v>-1</v>
      </c>
      <c r="Q515" s="9">
        <v>0</v>
      </c>
    </row>
    <row r="516" spans="1:17" ht="63" customHeight="1" x14ac:dyDescent="0.3">
      <c r="A516" s="60"/>
      <c r="B516" s="61">
        <f t="shared" si="22"/>
        <v>513</v>
      </c>
      <c r="C516" s="62"/>
      <c r="D516" s="62"/>
      <c r="E516" s="68"/>
      <c r="F516" s="68"/>
      <c r="G516" s="68"/>
      <c r="H516" s="64">
        <f t="shared" ref="H516:H579" si="24">IF(Q516&gt;1,$R$3,$R$4)</f>
        <v>0</v>
      </c>
      <c r="I516" s="68"/>
      <c r="J516" s="65">
        <f t="shared" si="23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>
        <f>工程基本資料!$B$8+工程基本資料!$B$7+$L516+$M516-1</f>
        <v>-1</v>
      </c>
      <c r="Q516" s="9">
        <v>0</v>
      </c>
    </row>
    <row r="517" spans="1:17" ht="63" customHeight="1" x14ac:dyDescent="0.3">
      <c r="A517" s="60"/>
      <c r="B517" s="61">
        <f t="shared" ref="B517:B580" si="25">B516+1</f>
        <v>514</v>
      </c>
      <c r="C517" s="62"/>
      <c r="D517" s="62"/>
      <c r="E517" s="68"/>
      <c r="F517" s="68"/>
      <c r="G517" s="68"/>
      <c r="H517" s="64">
        <f t="shared" si="24"/>
        <v>0</v>
      </c>
      <c r="I517" s="68"/>
      <c r="J517" s="65">
        <f t="shared" ref="J517:J580" si="26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>
        <f>工程基本資料!$B$8+工程基本資料!$B$7+$L517+$M517-1</f>
        <v>-1</v>
      </c>
      <c r="Q517" s="9">
        <v>0</v>
      </c>
    </row>
    <row r="518" spans="1:17" ht="63" customHeight="1" x14ac:dyDescent="0.3">
      <c r="A518" s="60"/>
      <c r="B518" s="61">
        <f t="shared" si="25"/>
        <v>515</v>
      </c>
      <c r="C518" s="62"/>
      <c r="D518" s="62"/>
      <c r="E518" s="68"/>
      <c r="F518" s="68"/>
      <c r="G518" s="68"/>
      <c r="H518" s="64">
        <f t="shared" si="24"/>
        <v>0</v>
      </c>
      <c r="I518" s="68"/>
      <c r="J518" s="65">
        <f t="shared" si="26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>
        <f>工程基本資料!$B$8+工程基本資料!$B$7+$L518+$M518-1</f>
        <v>-1</v>
      </c>
      <c r="Q518" s="9">
        <v>0</v>
      </c>
    </row>
    <row r="519" spans="1:17" ht="63" customHeight="1" x14ac:dyDescent="0.3">
      <c r="A519" s="60"/>
      <c r="B519" s="61">
        <f t="shared" si="25"/>
        <v>516</v>
      </c>
      <c r="C519" s="62"/>
      <c r="D519" s="62"/>
      <c r="E519" s="68"/>
      <c r="F519" s="68"/>
      <c r="G519" s="68"/>
      <c r="H519" s="64">
        <f t="shared" si="24"/>
        <v>0</v>
      </c>
      <c r="I519" s="68"/>
      <c r="J519" s="65">
        <f t="shared" si="26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>
        <f>工程基本資料!$B$8+工程基本資料!$B$7+$L519+$M519-1</f>
        <v>-1</v>
      </c>
      <c r="Q519" s="9">
        <v>0</v>
      </c>
    </row>
    <row r="520" spans="1:17" ht="63" customHeight="1" x14ac:dyDescent="0.3">
      <c r="A520" s="60"/>
      <c r="B520" s="61">
        <f t="shared" si="25"/>
        <v>517</v>
      </c>
      <c r="C520" s="62"/>
      <c r="D520" s="62"/>
      <c r="E520" s="68"/>
      <c r="F520" s="68"/>
      <c r="G520" s="68"/>
      <c r="H520" s="64">
        <f t="shared" si="24"/>
        <v>0</v>
      </c>
      <c r="I520" s="68"/>
      <c r="J520" s="65">
        <f t="shared" si="26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>
        <f>工程基本資料!$B$8+工程基本資料!$B$7+$L520+$M520-1</f>
        <v>-1</v>
      </c>
      <c r="Q520" s="9">
        <v>0</v>
      </c>
    </row>
    <row r="521" spans="1:17" ht="63" customHeight="1" x14ac:dyDescent="0.3">
      <c r="A521" s="60"/>
      <c r="B521" s="61">
        <f t="shared" si="25"/>
        <v>518</v>
      </c>
      <c r="C521" s="62"/>
      <c r="D521" s="62"/>
      <c r="E521" s="68"/>
      <c r="F521" s="68"/>
      <c r="G521" s="68"/>
      <c r="H521" s="64">
        <f t="shared" si="24"/>
        <v>0</v>
      </c>
      <c r="I521" s="68"/>
      <c r="J521" s="65">
        <f t="shared" si="26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>
        <f>工程基本資料!$B$8+工程基本資料!$B$7+$L521+$M521-1</f>
        <v>-1</v>
      </c>
      <c r="Q521" s="9">
        <v>0</v>
      </c>
    </row>
    <row r="522" spans="1:17" ht="63" customHeight="1" x14ac:dyDescent="0.3">
      <c r="A522" s="60"/>
      <c r="B522" s="61">
        <f t="shared" si="25"/>
        <v>519</v>
      </c>
      <c r="C522" s="62"/>
      <c r="D522" s="62"/>
      <c r="E522" s="68"/>
      <c r="F522" s="68"/>
      <c r="G522" s="68"/>
      <c r="H522" s="64">
        <f t="shared" si="24"/>
        <v>0</v>
      </c>
      <c r="I522" s="68"/>
      <c r="J522" s="65">
        <f t="shared" si="26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>
        <f>工程基本資料!$B$8+工程基本資料!$B$7+$L522+$M522-1</f>
        <v>-1</v>
      </c>
      <c r="Q522" s="9">
        <v>0</v>
      </c>
    </row>
    <row r="523" spans="1:17" ht="63" customHeight="1" x14ac:dyDescent="0.3">
      <c r="A523" s="60"/>
      <c r="B523" s="61">
        <f t="shared" si="25"/>
        <v>520</v>
      </c>
      <c r="C523" s="62"/>
      <c r="D523" s="62"/>
      <c r="E523" s="68"/>
      <c r="F523" s="68"/>
      <c r="G523" s="68"/>
      <c r="H523" s="64">
        <f t="shared" si="24"/>
        <v>0</v>
      </c>
      <c r="I523" s="68"/>
      <c r="J523" s="65">
        <f t="shared" si="26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>
        <f>工程基本資料!$B$8+工程基本資料!$B$7+$L523+$M523-1</f>
        <v>-1</v>
      </c>
      <c r="Q523" s="9">
        <v>0</v>
      </c>
    </row>
    <row r="524" spans="1:17" ht="63" customHeight="1" x14ac:dyDescent="0.3">
      <c r="A524" s="60"/>
      <c r="B524" s="61">
        <f t="shared" si="25"/>
        <v>521</v>
      </c>
      <c r="C524" s="62"/>
      <c r="D524" s="62"/>
      <c r="E524" s="68"/>
      <c r="F524" s="68"/>
      <c r="G524" s="68"/>
      <c r="H524" s="64">
        <f t="shared" si="24"/>
        <v>0</v>
      </c>
      <c r="I524" s="68"/>
      <c r="J524" s="65">
        <f t="shared" si="26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>
        <f>工程基本資料!$B$8+工程基本資料!$B$7+$L524+$M524-1</f>
        <v>-1</v>
      </c>
      <c r="Q524" s="9">
        <v>0</v>
      </c>
    </row>
    <row r="525" spans="1:17" ht="63" customHeight="1" x14ac:dyDescent="0.3">
      <c r="A525" s="60"/>
      <c r="B525" s="61">
        <f t="shared" si="25"/>
        <v>522</v>
      </c>
      <c r="C525" s="62"/>
      <c r="D525" s="62"/>
      <c r="E525" s="68"/>
      <c r="F525" s="68"/>
      <c r="G525" s="68"/>
      <c r="H525" s="64">
        <f t="shared" si="24"/>
        <v>0</v>
      </c>
      <c r="I525" s="68"/>
      <c r="J525" s="65">
        <f t="shared" si="26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>
        <f>工程基本資料!$B$8+工程基本資料!$B$7+$L525+$M525-1</f>
        <v>-1</v>
      </c>
      <c r="Q525" s="9">
        <v>0</v>
      </c>
    </row>
    <row r="526" spans="1:17" ht="63" customHeight="1" x14ac:dyDescent="0.3">
      <c r="A526" s="60"/>
      <c r="B526" s="61">
        <f t="shared" si="25"/>
        <v>523</v>
      </c>
      <c r="C526" s="62"/>
      <c r="D526" s="62"/>
      <c r="E526" s="68"/>
      <c r="F526" s="68"/>
      <c r="G526" s="68"/>
      <c r="H526" s="64">
        <f t="shared" si="24"/>
        <v>0</v>
      </c>
      <c r="I526" s="68"/>
      <c r="J526" s="65">
        <f t="shared" si="26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>
        <f>工程基本資料!$B$8+工程基本資料!$B$7+$L526+$M526-1</f>
        <v>-1</v>
      </c>
      <c r="Q526" s="9">
        <v>0</v>
      </c>
    </row>
    <row r="527" spans="1:17" ht="63" customHeight="1" x14ac:dyDescent="0.3">
      <c r="A527" s="60"/>
      <c r="B527" s="61">
        <f t="shared" si="25"/>
        <v>524</v>
      </c>
      <c r="C527" s="62"/>
      <c r="D527" s="62"/>
      <c r="E527" s="68"/>
      <c r="F527" s="68"/>
      <c r="G527" s="68"/>
      <c r="H527" s="64">
        <f t="shared" si="24"/>
        <v>0</v>
      </c>
      <c r="I527" s="68"/>
      <c r="J527" s="65">
        <f t="shared" si="26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>
        <f>工程基本資料!$B$8+工程基本資料!$B$7+$L527+$M527-1</f>
        <v>-1</v>
      </c>
      <c r="Q527" s="9">
        <v>0</v>
      </c>
    </row>
    <row r="528" spans="1:17" ht="63" customHeight="1" x14ac:dyDescent="0.3">
      <c r="A528" s="60"/>
      <c r="B528" s="61">
        <f t="shared" si="25"/>
        <v>525</v>
      </c>
      <c r="C528" s="62"/>
      <c r="D528" s="62"/>
      <c r="E528" s="68"/>
      <c r="F528" s="68"/>
      <c r="G528" s="68"/>
      <c r="H528" s="64">
        <f t="shared" si="24"/>
        <v>0</v>
      </c>
      <c r="I528" s="68"/>
      <c r="J528" s="65">
        <f t="shared" si="26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>
        <f>工程基本資料!$B$8+工程基本資料!$B$7+$L528+$M528-1</f>
        <v>-1</v>
      </c>
      <c r="Q528" s="9">
        <v>0</v>
      </c>
    </row>
    <row r="529" spans="1:17" ht="63" customHeight="1" x14ac:dyDescent="0.3">
      <c r="A529" s="60"/>
      <c r="B529" s="61">
        <f t="shared" si="25"/>
        <v>526</v>
      </c>
      <c r="C529" s="62"/>
      <c r="D529" s="62"/>
      <c r="E529" s="68"/>
      <c r="F529" s="68"/>
      <c r="G529" s="68"/>
      <c r="H529" s="64">
        <f t="shared" si="24"/>
        <v>0</v>
      </c>
      <c r="I529" s="68"/>
      <c r="J529" s="65">
        <f t="shared" si="26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>
        <f>工程基本資料!$B$8+工程基本資料!$B$7+$L529+$M529-1</f>
        <v>-1</v>
      </c>
      <c r="Q529" s="9">
        <v>0</v>
      </c>
    </row>
    <row r="530" spans="1:17" ht="63" customHeight="1" x14ac:dyDescent="0.3">
      <c r="A530" s="60"/>
      <c r="B530" s="61">
        <f t="shared" si="25"/>
        <v>527</v>
      </c>
      <c r="C530" s="62"/>
      <c r="D530" s="62"/>
      <c r="E530" s="68"/>
      <c r="F530" s="68"/>
      <c r="G530" s="68"/>
      <c r="H530" s="64">
        <f t="shared" si="24"/>
        <v>0</v>
      </c>
      <c r="I530" s="68"/>
      <c r="J530" s="65">
        <f t="shared" si="26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>
        <f>工程基本資料!$B$8+工程基本資料!$B$7+$L530+$M530-1</f>
        <v>-1</v>
      </c>
      <c r="Q530" s="9">
        <v>0</v>
      </c>
    </row>
    <row r="531" spans="1:17" ht="63" customHeight="1" x14ac:dyDescent="0.3">
      <c r="A531" s="60"/>
      <c r="B531" s="61">
        <f t="shared" si="25"/>
        <v>528</v>
      </c>
      <c r="C531" s="62"/>
      <c r="D531" s="62"/>
      <c r="E531" s="68"/>
      <c r="F531" s="68"/>
      <c r="G531" s="68"/>
      <c r="H531" s="64">
        <f t="shared" si="24"/>
        <v>0</v>
      </c>
      <c r="I531" s="68"/>
      <c r="J531" s="65">
        <f t="shared" si="26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>
        <f>工程基本資料!$B$8+工程基本資料!$B$7+$L531+$M531-1</f>
        <v>-1</v>
      </c>
      <c r="Q531" s="9">
        <v>0</v>
      </c>
    </row>
    <row r="532" spans="1:17" ht="63" customHeight="1" x14ac:dyDescent="0.3">
      <c r="A532" s="60"/>
      <c r="B532" s="61">
        <f t="shared" si="25"/>
        <v>529</v>
      </c>
      <c r="C532" s="62"/>
      <c r="D532" s="62"/>
      <c r="E532" s="68"/>
      <c r="F532" s="68"/>
      <c r="G532" s="68"/>
      <c r="H532" s="64">
        <f t="shared" si="24"/>
        <v>0</v>
      </c>
      <c r="I532" s="68"/>
      <c r="J532" s="65">
        <f t="shared" si="26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>
        <f>工程基本資料!$B$8+工程基本資料!$B$7+$L532+$M532-1</f>
        <v>-1</v>
      </c>
      <c r="Q532" s="9">
        <v>0</v>
      </c>
    </row>
    <row r="533" spans="1:17" ht="63" customHeight="1" x14ac:dyDescent="0.3">
      <c r="A533" s="60"/>
      <c r="B533" s="61">
        <f t="shared" si="25"/>
        <v>530</v>
      </c>
      <c r="C533" s="62"/>
      <c r="D533" s="62"/>
      <c r="E533" s="68"/>
      <c r="F533" s="68"/>
      <c r="G533" s="68"/>
      <c r="H533" s="64">
        <f t="shared" si="24"/>
        <v>0</v>
      </c>
      <c r="I533" s="68"/>
      <c r="J533" s="65">
        <f t="shared" si="26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>
        <f>工程基本資料!$B$8+工程基本資料!$B$7+$L533+$M533-1</f>
        <v>-1</v>
      </c>
      <c r="Q533" s="9">
        <v>0</v>
      </c>
    </row>
    <row r="534" spans="1:17" ht="63" customHeight="1" x14ac:dyDescent="0.3">
      <c r="A534" s="60"/>
      <c r="B534" s="61">
        <f t="shared" si="25"/>
        <v>531</v>
      </c>
      <c r="C534" s="62"/>
      <c r="D534" s="62"/>
      <c r="E534" s="68"/>
      <c r="F534" s="68"/>
      <c r="G534" s="68"/>
      <c r="H534" s="64">
        <f t="shared" si="24"/>
        <v>0</v>
      </c>
      <c r="I534" s="68"/>
      <c r="J534" s="65">
        <f t="shared" si="26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>
        <f>工程基本資料!$B$8+工程基本資料!$B$7+$L534+$M534-1</f>
        <v>-1</v>
      </c>
      <c r="Q534" s="9">
        <v>0</v>
      </c>
    </row>
    <row r="535" spans="1:17" ht="63" customHeight="1" x14ac:dyDescent="0.3">
      <c r="A535" s="60"/>
      <c r="B535" s="61">
        <f t="shared" si="25"/>
        <v>532</v>
      </c>
      <c r="C535" s="62"/>
      <c r="D535" s="62"/>
      <c r="E535" s="68"/>
      <c r="F535" s="68"/>
      <c r="G535" s="68"/>
      <c r="H535" s="64">
        <f t="shared" si="24"/>
        <v>0</v>
      </c>
      <c r="I535" s="68"/>
      <c r="J535" s="65">
        <f t="shared" si="26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>
        <f>工程基本資料!$B$8+工程基本資料!$B$7+$L535+$M535-1</f>
        <v>-1</v>
      </c>
      <c r="Q535" s="9">
        <v>0</v>
      </c>
    </row>
    <row r="536" spans="1:17" ht="63" customHeight="1" x14ac:dyDescent="0.3">
      <c r="A536" s="60"/>
      <c r="B536" s="61">
        <f t="shared" si="25"/>
        <v>533</v>
      </c>
      <c r="C536" s="62"/>
      <c r="D536" s="62"/>
      <c r="E536" s="68"/>
      <c r="F536" s="68"/>
      <c r="G536" s="68"/>
      <c r="H536" s="64">
        <f t="shared" si="24"/>
        <v>0</v>
      </c>
      <c r="I536" s="68"/>
      <c r="J536" s="65">
        <f t="shared" si="26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>
        <f>工程基本資料!$B$8+工程基本資料!$B$7+$L536+$M536-1</f>
        <v>-1</v>
      </c>
      <c r="Q536" s="9">
        <v>0</v>
      </c>
    </row>
    <row r="537" spans="1:17" ht="63" customHeight="1" x14ac:dyDescent="0.3">
      <c r="A537" s="60"/>
      <c r="B537" s="61">
        <f t="shared" si="25"/>
        <v>534</v>
      </c>
      <c r="C537" s="62"/>
      <c r="D537" s="62"/>
      <c r="E537" s="68"/>
      <c r="F537" s="68"/>
      <c r="G537" s="68"/>
      <c r="H537" s="64">
        <f t="shared" si="24"/>
        <v>0</v>
      </c>
      <c r="I537" s="68"/>
      <c r="J537" s="65">
        <f t="shared" si="26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>
        <f>工程基本資料!$B$8+工程基本資料!$B$7+$L537+$M537-1</f>
        <v>-1</v>
      </c>
      <c r="Q537" s="9">
        <v>0</v>
      </c>
    </row>
    <row r="538" spans="1:17" ht="63" customHeight="1" x14ac:dyDescent="0.3">
      <c r="A538" s="60"/>
      <c r="B538" s="61">
        <f t="shared" si="25"/>
        <v>535</v>
      </c>
      <c r="C538" s="62"/>
      <c r="D538" s="62"/>
      <c r="E538" s="68"/>
      <c r="F538" s="68"/>
      <c r="G538" s="68"/>
      <c r="H538" s="64">
        <f t="shared" si="24"/>
        <v>0</v>
      </c>
      <c r="I538" s="68"/>
      <c r="J538" s="65">
        <f t="shared" si="26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>
        <f>工程基本資料!$B$8+工程基本資料!$B$7+$L538+$M538-1</f>
        <v>-1</v>
      </c>
      <c r="Q538" s="9">
        <v>0</v>
      </c>
    </row>
    <row r="539" spans="1:17" ht="63" customHeight="1" x14ac:dyDescent="0.3">
      <c r="A539" s="60"/>
      <c r="B539" s="61">
        <f t="shared" si="25"/>
        <v>536</v>
      </c>
      <c r="C539" s="62"/>
      <c r="D539" s="62"/>
      <c r="E539" s="68"/>
      <c r="F539" s="68"/>
      <c r="G539" s="68"/>
      <c r="H539" s="64">
        <f t="shared" si="24"/>
        <v>0</v>
      </c>
      <c r="I539" s="68"/>
      <c r="J539" s="65">
        <f t="shared" si="26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>
        <f>工程基本資料!$B$8+工程基本資料!$B$7+$L539+$M539-1</f>
        <v>-1</v>
      </c>
      <c r="Q539" s="9">
        <v>0</v>
      </c>
    </row>
    <row r="540" spans="1:17" ht="63" customHeight="1" x14ac:dyDescent="0.3">
      <c r="A540" s="60"/>
      <c r="B540" s="61">
        <f t="shared" si="25"/>
        <v>537</v>
      </c>
      <c r="C540" s="62"/>
      <c r="D540" s="62"/>
      <c r="E540" s="68"/>
      <c r="F540" s="68"/>
      <c r="G540" s="68"/>
      <c r="H540" s="64">
        <f t="shared" si="24"/>
        <v>0</v>
      </c>
      <c r="I540" s="68"/>
      <c r="J540" s="65">
        <f t="shared" si="26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>
        <f>工程基本資料!$B$8+工程基本資料!$B$7+$L540+$M540-1</f>
        <v>-1</v>
      </c>
      <c r="Q540" s="9">
        <v>0</v>
      </c>
    </row>
    <row r="541" spans="1:17" ht="63" customHeight="1" x14ac:dyDescent="0.3">
      <c r="A541" s="60"/>
      <c r="B541" s="61">
        <f t="shared" si="25"/>
        <v>538</v>
      </c>
      <c r="C541" s="62"/>
      <c r="D541" s="62"/>
      <c r="E541" s="68"/>
      <c r="F541" s="68"/>
      <c r="G541" s="68"/>
      <c r="H541" s="64">
        <f t="shared" si="24"/>
        <v>0</v>
      </c>
      <c r="I541" s="68"/>
      <c r="J541" s="65">
        <f t="shared" si="26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>
        <f>工程基本資料!$B$8+工程基本資料!$B$7+$L541+$M541-1</f>
        <v>-1</v>
      </c>
      <c r="Q541" s="9">
        <v>0</v>
      </c>
    </row>
    <row r="542" spans="1:17" ht="63" customHeight="1" x14ac:dyDescent="0.3">
      <c r="A542" s="60"/>
      <c r="B542" s="61">
        <f t="shared" si="25"/>
        <v>539</v>
      </c>
      <c r="C542" s="62"/>
      <c r="D542" s="62"/>
      <c r="E542" s="68"/>
      <c r="F542" s="68"/>
      <c r="G542" s="68"/>
      <c r="H542" s="64">
        <f t="shared" si="24"/>
        <v>0</v>
      </c>
      <c r="I542" s="68"/>
      <c r="J542" s="65">
        <f t="shared" si="26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>
        <f>工程基本資料!$B$8+工程基本資料!$B$7+$L542+$M542-1</f>
        <v>-1</v>
      </c>
      <c r="Q542" s="9">
        <v>0</v>
      </c>
    </row>
    <row r="543" spans="1:17" ht="63" customHeight="1" x14ac:dyDescent="0.3">
      <c r="A543" s="60"/>
      <c r="B543" s="61">
        <f t="shared" si="25"/>
        <v>540</v>
      </c>
      <c r="C543" s="62"/>
      <c r="D543" s="62"/>
      <c r="E543" s="68"/>
      <c r="F543" s="68"/>
      <c r="G543" s="68"/>
      <c r="H543" s="64">
        <f t="shared" si="24"/>
        <v>0</v>
      </c>
      <c r="I543" s="68"/>
      <c r="J543" s="65">
        <f t="shared" si="26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>
        <f>工程基本資料!$B$8+工程基本資料!$B$7+$L543+$M543-1</f>
        <v>-1</v>
      </c>
      <c r="Q543" s="9">
        <v>0</v>
      </c>
    </row>
    <row r="544" spans="1:17" ht="63" customHeight="1" x14ac:dyDescent="0.3">
      <c r="A544" s="60"/>
      <c r="B544" s="61">
        <f t="shared" si="25"/>
        <v>541</v>
      </c>
      <c r="C544" s="62"/>
      <c r="D544" s="62"/>
      <c r="E544" s="68"/>
      <c r="F544" s="68"/>
      <c r="G544" s="68"/>
      <c r="H544" s="64">
        <f t="shared" si="24"/>
        <v>0</v>
      </c>
      <c r="I544" s="68"/>
      <c r="J544" s="65">
        <f t="shared" si="26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>
        <f>工程基本資料!$B$8+工程基本資料!$B$7+$L544+$M544-1</f>
        <v>-1</v>
      </c>
      <c r="Q544" s="9">
        <v>0</v>
      </c>
    </row>
    <row r="545" spans="1:17" ht="63" customHeight="1" x14ac:dyDescent="0.3">
      <c r="A545" s="60"/>
      <c r="B545" s="61">
        <f t="shared" si="25"/>
        <v>542</v>
      </c>
      <c r="C545" s="62"/>
      <c r="D545" s="62"/>
      <c r="E545" s="68"/>
      <c r="F545" s="68"/>
      <c r="G545" s="68"/>
      <c r="H545" s="64">
        <f t="shared" si="24"/>
        <v>0</v>
      </c>
      <c r="I545" s="68"/>
      <c r="J545" s="65">
        <f t="shared" si="26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>
        <f>工程基本資料!$B$8+工程基本資料!$B$7+$L545+$M545-1</f>
        <v>-1</v>
      </c>
      <c r="Q545" s="9">
        <v>0</v>
      </c>
    </row>
    <row r="546" spans="1:17" ht="63" customHeight="1" x14ac:dyDescent="0.3">
      <c r="A546" s="60"/>
      <c r="B546" s="61">
        <f t="shared" si="25"/>
        <v>543</v>
      </c>
      <c r="C546" s="62"/>
      <c r="D546" s="62"/>
      <c r="E546" s="68"/>
      <c r="F546" s="68"/>
      <c r="G546" s="68"/>
      <c r="H546" s="64">
        <f t="shared" si="24"/>
        <v>0</v>
      </c>
      <c r="I546" s="68"/>
      <c r="J546" s="65">
        <f t="shared" si="26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>
        <f>工程基本資料!$B$8+工程基本資料!$B$7+$L546+$M546-1</f>
        <v>-1</v>
      </c>
      <c r="Q546" s="9">
        <v>0</v>
      </c>
    </row>
    <row r="547" spans="1:17" ht="63" customHeight="1" x14ac:dyDescent="0.3">
      <c r="A547" s="60"/>
      <c r="B547" s="61">
        <f t="shared" si="25"/>
        <v>544</v>
      </c>
      <c r="C547" s="62"/>
      <c r="D547" s="62"/>
      <c r="E547" s="68"/>
      <c r="F547" s="68"/>
      <c r="G547" s="68"/>
      <c r="H547" s="64">
        <f t="shared" si="24"/>
        <v>0</v>
      </c>
      <c r="I547" s="68"/>
      <c r="J547" s="65">
        <f t="shared" si="26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>
        <f>工程基本資料!$B$8+工程基本資料!$B$7+$L547+$M547-1</f>
        <v>-1</v>
      </c>
      <c r="Q547" s="9">
        <v>0</v>
      </c>
    </row>
    <row r="548" spans="1:17" ht="63" customHeight="1" x14ac:dyDescent="0.3">
      <c r="A548" s="60"/>
      <c r="B548" s="61">
        <f t="shared" si="25"/>
        <v>545</v>
      </c>
      <c r="C548" s="62"/>
      <c r="D548" s="62"/>
      <c r="E548" s="68"/>
      <c r="F548" s="68"/>
      <c r="G548" s="68"/>
      <c r="H548" s="64">
        <f t="shared" si="24"/>
        <v>0</v>
      </c>
      <c r="I548" s="68"/>
      <c r="J548" s="65">
        <f t="shared" si="26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>
        <f>工程基本資料!$B$8+工程基本資料!$B$7+$L548+$M548-1</f>
        <v>-1</v>
      </c>
      <c r="Q548" s="9">
        <v>0</v>
      </c>
    </row>
    <row r="549" spans="1:17" ht="63" customHeight="1" x14ac:dyDescent="0.3">
      <c r="A549" s="60"/>
      <c r="B549" s="61">
        <f t="shared" si="25"/>
        <v>546</v>
      </c>
      <c r="C549" s="62"/>
      <c r="D549" s="62"/>
      <c r="E549" s="68"/>
      <c r="F549" s="68"/>
      <c r="G549" s="68"/>
      <c r="H549" s="64">
        <f t="shared" si="24"/>
        <v>0</v>
      </c>
      <c r="I549" s="68"/>
      <c r="J549" s="65">
        <f t="shared" si="26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>
        <f>工程基本資料!$B$8+工程基本資料!$B$7+$L549+$M549-1</f>
        <v>-1</v>
      </c>
      <c r="Q549" s="9">
        <v>0</v>
      </c>
    </row>
    <row r="550" spans="1:17" ht="63" customHeight="1" x14ac:dyDescent="0.3">
      <c r="A550" s="60"/>
      <c r="B550" s="61">
        <f t="shared" si="25"/>
        <v>547</v>
      </c>
      <c r="C550" s="62"/>
      <c r="D550" s="62"/>
      <c r="E550" s="68"/>
      <c r="F550" s="68"/>
      <c r="G550" s="68"/>
      <c r="H550" s="64">
        <f t="shared" si="24"/>
        <v>0</v>
      </c>
      <c r="I550" s="68"/>
      <c r="J550" s="65">
        <f t="shared" si="26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>
        <f>工程基本資料!$B$8+工程基本資料!$B$7+$L550+$M550-1</f>
        <v>-1</v>
      </c>
      <c r="Q550" s="9">
        <v>0</v>
      </c>
    </row>
    <row r="551" spans="1:17" ht="63" customHeight="1" x14ac:dyDescent="0.3">
      <c r="A551" s="60"/>
      <c r="B551" s="61">
        <f t="shared" si="25"/>
        <v>548</v>
      </c>
      <c r="C551" s="62"/>
      <c r="D551" s="62"/>
      <c r="E551" s="68"/>
      <c r="F551" s="68"/>
      <c r="G551" s="68"/>
      <c r="H551" s="64">
        <f t="shared" si="24"/>
        <v>0</v>
      </c>
      <c r="I551" s="68"/>
      <c r="J551" s="65">
        <f t="shared" si="26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>
        <f>工程基本資料!$B$8+工程基本資料!$B$7+$L551+$M551-1</f>
        <v>-1</v>
      </c>
      <c r="Q551" s="9">
        <v>0</v>
      </c>
    </row>
    <row r="552" spans="1:17" ht="63" customHeight="1" x14ac:dyDescent="0.3">
      <c r="A552" s="60"/>
      <c r="B552" s="61">
        <f t="shared" si="25"/>
        <v>549</v>
      </c>
      <c r="C552" s="62"/>
      <c r="D552" s="62"/>
      <c r="E552" s="68"/>
      <c r="F552" s="68"/>
      <c r="G552" s="68"/>
      <c r="H552" s="64">
        <f t="shared" si="24"/>
        <v>0</v>
      </c>
      <c r="I552" s="68"/>
      <c r="J552" s="65">
        <f t="shared" si="26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>
        <f>工程基本資料!$B$8+工程基本資料!$B$7+$L552+$M552-1</f>
        <v>-1</v>
      </c>
      <c r="Q552" s="9">
        <v>0</v>
      </c>
    </row>
    <row r="553" spans="1:17" ht="63" customHeight="1" x14ac:dyDescent="0.3">
      <c r="A553" s="60"/>
      <c r="B553" s="61">
        <f t="shared" si="25"/>
        <v>550</v>
      </c>
      <c r="C553" s="62"/>
      <c r="D553" s="62"/>
      <c r="E553" s="68"/>
      <c r="F553" s="68"/>
      <c r="G553" s="68"/>
      <c r="H553" s="64">
        <f t="shared" si="24"/>
        <v>0</v>
      </c>
      <c r="I553" s="68"/>
      <c r="J553" s="65">
        <f t="shared" si="26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>
        <f>工程基本資料!$B$8+工程基本資料!$B$7+$L553+$M553-1</f>
        <v>-1</v>
      </c>
      <c r="Q553" s="9">
        <v>0</v>
      </c>
    </row>
    <row r="554" spans="1:17" ht="63" customHeight="1" x14ac:dyDescent="0.3">
      <c r="A554" s="60"/>
      <c r="B554" s="61">
        <f t="shared" si="25"/>
        <v>551</v>
      </c>
      <c r="C554" s="62"/>
      <c r="D554" s="62"/>
      <c r="E554" s="68"/>
      <c r="F554" s="68"/>
      <c r="G554" s="68"/>
      <c r="H554" s="64">
        <f t="shared" si="24"/>
        <v>0</v>
      </c>
      <c r="I554" s="68"/>
      <c r="J554" s="65">
        <f t="shared" si="26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>
        <f>工程基本資料!$B$8+工程基本資料!$B$7+$L554+$M554-1</f>
        <v>-1</v>
      </c>
      <c r="Q554" s="9">
        <v>0</v>
      </c>
    </row>
    <row r="555" spans="1:17" ht="63" customHeight="1" x14ac:dyDescent="0.3">
      <c r="A555" s="60"/>
      <c r="B555" s="61">
        <f t="shared" si="25"/>
        <v>552</v>
      </c>
      <c r="C555" s="62"/>
      <c r="D555" s="62"/>
      <c r="E555" s="68"/>
      <c r="F555" s="68"/>
      <c r="G555" s="68"/>
      <c r="H555" s="64">
        <f t="shared" si="24"/>
        <v>0</v>
      </c>
      <c r="I555" s="68"/>
      <c r="J555" s="65">
        <f t="shared" si="26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>
        <f>工程基本資料!$B$8+工程基本資料!$B$7+$L555+$M555-1</f>
        <v>-1</v>
      </c>
      <c r="Q555" s="9">
        <v>0</v>
      </c>
    </row>
    <row r="556" spans="1:17" ht="63" customHeight="1" x14ac:dyDescent="0.3">
      <c r="A556" s="60"/>
      <c r="B556" s="61">
        <f t="shared" si="25"/>
        <v>553</v>
      </c>
      <c r="C556" s="62"/>
      <c r="D556" s="62"/>
      <c r="E556" s="68"/>
      <c r="F556" s="68"/>
      <c r="G556" s="68"/>
      <c r="H556" s="64">
        <f t="shared" si="24"/>
        <v>0</v>
      </c>
      <c r="I556" s="68"/>
      <c r="J556" s="65">
        <f t="shared" si="26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>
        <f>工程基本資料!$B$8+工程基本資料!$B$7+$L556+$M556-1</f>
        <v>-1</v>
      </c>
      <c r="Q556" s="9">
        <v>0</v>
      </c>
    </row>
    <row r="557" spans="1:17" ht="63" customHeight="1" x14ac:dyDescent="0.3">
      <c r="A557" s="60"/>
      <c r="B557" s="61">
        <f t="shared" si="25"/>
        <v>554</v>
      </c>
      <c r="C557" s="62"/>
      <c r="D557" s="62"/>
      <c r="E557" s="68"/>
      <c r="F557" s="68"/>
      <c r="G557" s="68"/>
      <c r="H557" s="64">
        <f t="shared" si="24"/>
        <v>0</v>
      </c>
      <c r="I557" s="68"/>
      <c r="J557" s="65">
        <f t="shared" si="26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>
        <f>工程基本資料!$B$8+工程基本資料!$B$7+$L557+$M557-1</f>
        <v>-1</v>
      </c>
      <c r="Q557" s="9">
        <v>0</v>
      </c>
    </row>
    <row r="558" spans="1:17" ht="63" customHeight="1" x14ac:dyDescent="0.3">
      <c r="A558" s="60"/>
      <c r="B558" s="61">
        <f t="shared" si="25"/>
        <v>555</v>
      </c>
      <c r="C558" s="62"/>
      <c r="D558" s="62"/>
      <c r="E558" s="68"/>
      <c r="F558" s="68"/>
      <c r="G558" s="68"/>
      <c r="H558" s="64">
        <f t="shared" si="24"/>
        <v>0</v>
      </c>
      <c r="I558" s="68"/>
      <c r="J558" s="65">
        <f t="shared" si="26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>
        <f>工程基本資料!$B$8+工程基本資料!$B$7+$L558+$M558-1</f>
        <v>-1</v>
      </c>
      <c r="Q558" s="9">
        <v>0</v>
      </c>
    </row>
    <row r="559" spans="1:17" ht="63" customHeight="1" x14ac:dyDescent="0.3">
      <c r="A559" s="60"/>
      <c r="B559" s="61">
        <f t="shared" si="25"/>
        <v>556</v>
      </c>
      <c r="C559" s="62"/>
      <c r="D559" s="62"/>
      <c r="E559" s="68"/>
      <c r="F559" s="68"/>
      <c r="G559" s="68"/>
      <c r="H559" s="64">
        <f t="shared" si="24"/>
        <v>0</v>
      </c>
      <c r="I559" s="68"/>
      <c r="J559" s="65">
        <f t="shared" si="26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>
        <f>工程基本資料!$B$8+工程基本資料!$B$7+$L559+$M559-1</f>
        <v>-1</v>
      </c>
      <c r="Q559" s="9">
        <v>0</v>
      </c>
    </row>
    <row r="560" spans="1:17" ht="63" customHeight="1" x14ac:dyDescent="0.3">
      <c r="A560" s="60"/>
      <c r="B560" s="61">
        <f t="shared" si="25"/>
        <v>557</v>
      </c>
      <c r="C560" s="62"/>
      <c r="D560" s="62"/>
      <c r="E560" s="68"/>
      <c r="F560" s="68"/>
      <c r="G560" s="68"/>
      <c r="H560" s="64">
        <f t="shared" si="24"/>
        <v>0</v>
      </c>
      <c r="I560" s="68"/>
      <c r="J560" s="65">
        <f t="shared" si="26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>
        <f>工程基本資料!$B$8+工程基本資料!$B$7+$L560+$M560-1</f>
        <v>-1</v>
      </c>
      <c r="Q560" s="9">
        <v>0</v>
      </c>
    </row>
    <row r="561" spans="1:17" ht="63" customHeight="1" x14ac:dyDescent="0.3">
      <c r="A561" s="60"/>
      <c r="B561" s="61">
        <f t="shared" si="25"/>
        <v>558</v>
      </c>
      <c r="C561" s="62"/>
      <c r="D561" s="62"/>
      <c r="E561" s="68"/>
      <c r="F561" s="68"/>
      <c r="G561" s="68"/>
      <c r="H561" s="64">
        <f t="shared" si="24"/>
        <v>0</v>
      </c>
      <c r="I561" s="68"/>
      <c r="J561" s="65">
        <f t="shared" si="26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>
        <f>工程基本資料!$B$8+工程基本資料!$B$7+$L561+$M561-1</f>
        <v>-1</v>
      </c>
      <c r="Q561" s="9">
        <v>0</v>
      </c>
    </row>
    <row r="562" spans="1:17" ht="63" customHeight="1" x14ac:dyDescent="0.3">
      <c r="A562" s="60"/>
      <c r="B562" s="61">
        <f t="shared" si="25"/>
        <v>559</v>
      </c>
      <c r="C562" s="62"/>
      <c r="D562" s="62"/>
      <c r="E562" s="68"/>
      <c r="F562" s="68"/>
      <c r="G562" s="68"/>
      <c r="H562" s="64">
        <f t="shared" si="24"/>
        <v>0</v>
      </c>
      <c r="I562" s="68"/>
      <c r="J562" s="65">
        <f t="shared" si="26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>
        <f>工程基本資料!$B$8+工程基本資料!$B$7+$L562+$M562-1</f>
        <v>-1</v>
      </c>
      <c r="Q562" s="9">
        <v>0</v>
      </c>
    </row>
    <row r="563" spans="1:17" ht="63" customHeight="1" x14ac:dyDescent="0.3">
      <c r="A563" s="60"/>
      <c r="B563" s="61">
        <f t="shared" si="25"/>
        <v>560</v>
      </c>
      <c r="C563" s="62"/>
      <c r="D563" s="62"/>
      <c r="E563" s="68"/>
      <c r="F563" s="68"/>
      <c r="G563" s="68"/>
      <c r="H563" s="64">
        <f t="shared" si="24"/>
        <v>0</v>
      </c>
      <c r="I563" s="68"/>
      <c r="J563" s="65">
        <f t="shared" si="26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>
        <f>工程基本資料!$B$8+工程基本資料!$B$7+$L563+$M563-1</f>
        <v>-1</v>
      </c>
      <c r="Q563" s="9">
        <v>0</v>
      </c>
    </row>
    <row r="564" spans="1:17" ht="63" customHeight="1" x14ac:dyDescent="0.3">
      <c r="A564" s="60"/>
      <c r="B564" s="61">
        <f t="shared" si="25"/>
        <v>561</v>
      </c>
      <c r="C564" s="62"/>
      <c r="D564" s="62"/>
      <c r="E564" s="68"/>
      <c r="F564" s="68"/>
      <c r="G564" s="68"/>
      <c r="H564" s="64">
        <f t="shared" si="24"/>
        <v>0</v>
      </c>
      <c r="I564" s="68"/>
      <c r="J564" s="65">
        <f t="shared" si="26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>
        <f>工程基本資料!$B$8+工程基本資料!$B$7+$L564+$M564-1</f>
        <v>-1</v>
      </c>
      <c r="Q564" s="9">
        <v>0</v>
      </c>
    </row>
    <row r="565" spans="1:17" ht="63" customHeight="1" x14ac:dyDescent="0.3">
      <c r="A565" s="60"/>
      <c r="B565" s="61">
        <f t="shared" si="25"/>
        <v>562</v>
      </c>
      <c r="C565" s="62"/>
      <c r="D565" s="62"/>
      <c r="E565" s="68"/>
      <c r="F565" s="68"/>
      <c r="G565" s="68"/>
      <c r="H565" s="64">
        <f t="shared" si="24"/>
        <v>0</v>
      </c>
      <c r="I565" s="68"/>
      <c r="J565" s="65">
        <f t="shared" si="26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>
        <f>工程基本資料!$B$8+工程基本資料!$B$7+$L565+$M565-1</f>
        <v>-1</v>
      </c>
      <c r="Q565" s="9">
        <v>0</v>
      </c>
    </row>
    <row r="566" spans="1:17" ht="63" customHeight="1" x14ac:dyDescent="0.3">
      <c r="A566" s="60"/>
      <c r="B566" s="61">
        <f t="shared" si="25"/>
        <v>563</v>
      </c>
      <c r="C566" s="62"/>
      <c r="D566" s="62"/>
      <c r="E566" s="68"/>
      <c r="F566" s="68"/>
      <c r="G566" s="68"/>
      <c r="H566" s="64">
        <f t="shared" si="24"/>
        <v>0</v>
      </c>
      <c r="I566" s="68"/>
      <c r="J566" s="65">
        <f t="shared" si="26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>
        <f>工程基本資料!$B$8+工程基本資料!$B$7+$L566+$M566-1</f>
        <v>-1</v>
      </c>
      <c r="Q566" s="9">
        <v>0</v>
      </c>
    </row>
    <row r="567" spans="1:17" ht="63" customHeight="1" x14ac:dyDescent="0.3">
      <c r="A567" s="60"/>
      <c r="B567" s="61">
        <f t="shared" si="25"/>
        <v>564</v>
      </c>
      <c r="C567" s="62"/>
      <c r="D567" s="62"/>
      <c r="E567" s="68"/>
      <c r="F567" s="68"/>
      <c r="G567" s="68"/>
      <c r="H567" s="64">
        <f t="shared" si="24"/>
        <v>0</v>
      </c>
      <c r="I567" s="68"/>
      <c r="J567" s="65">
        <f t="shared" si="26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>
        <f>工程基本資料!$B$8+工程基本資料!$B$7+$L567+$M567-1</f>
        <v>-1</v>
      </c>
      <c r="Q567" s="9">
        <v>0</v>
      </c>
    </row>
    <row r="568" spans="1:17" ht="63" customHeight="1" x14ac:dyDescent="0.3">
      <c r="A568" s="60"/>
      <c r="B568" s="61">
        <f t="shared" si="25"/>
        <v>565</v>
      </c>
      <c r="C568" s="62"/>
      <c r="D568" s="62"/>
      <c r="E568" s="68"/>
      <c r="F568" s="68"/>
      <c r="G568" s="68"/>
      <c r="H568" s="64">
        <f t="shared" si="24"/>
        <v>0</v>
      </c>
      <c r="I568" s="68"/>
      <c r="J568" s="65">
        <f t="shared" si="26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>
        <f>工程基本資料!$B$8+工程基本資料!$B$7+$L568+$M568-1</f>
        <v>-1</v>
      </c>
      <c r="Q568" s="9">
        <v>0</v>
      </c>
    </row>
    <row r="569" spans="1:17" ht="63" customHeight="1" x14ac:dyDescent="0.3">
      <c r="A569" s="60"/>
      <c r="B569" s="61">
        <f t="shared" si="25"/>
        <v>566</v>
      </c>
      <c r="C569" s="62"/>
      <c r="D569" s="62"/>
      <c r="E569" s="68"/>
      <c r="F569" s="68"/>
      <c r="G569" s="68"/>
      <c r="H569" s="64">
        <f t="shared" si="24"/>
        <v>0</v>
      </c>
      <c r="I569" s="68"/>
      <c r="J569" s="65">
        <f t="shared" si="26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>
        <f>工程基本資料!$B$8+工程基本資料!$B$7+$L569+$M569-1</f>
        <v>-1</v>
      </c>
      <c r="Q569" s="9">
        <v>0</v>
      </c>
    </row>
    <row r="570" spans="1:17" ht="63" customHeight="1" x14ac:dyDescent="0.3">
      <c r="A570" s="60"/>
      <c r="B570" s="61">
        <f t="shared" si="25"/>
        <v>567</v>
      </c>
      <c r="C570" s="62"/>
      <c r="D570" s="62"/>
      <c r="E570" s="68"/>
      <c r="F570" s="68"/>
      <c r="G570" s="68"/>
      <c r="H570" s="64">
        <f t="shared" si="24"/>
        <v>0</v>
      </c>
      <c r="I570" s="68"/>
      <c r="J570" s="65">
        <f t="shared" si="26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>
        <f>工程基本資料!$B$8+工程基本資料!$B$7+$L570+$M570-1</f>
        <v>-1</v>
      </c>
      <c r="Q570" s="9">
        <v>0</v>
      </c>
    </row>
    <row r="571" spans="1:17" ht="63" customHeight="1" x14ac:dyDescent="0.3">
      <c r="A571" s="60"/>
      <c r="B571" s="61">
        <f t="shared" si="25"/>
        <v>568</v>
      </c>
      <c r="C571" s="62"/>
      <c r="D571" s="62"/>
      <c r="E571" s="68"/>
      <c r="F571" s="68"/>
      <c r="G571" s="68"/>
      <c r="H571" s="64">
        <f t="shared" si="24"/>
        <v>0</v>
      </c>
      <c r="I571" s="68"/>
      <c r="J571" s="65">
        <f t="shared" si="26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>
        <f>工程基本資料!$B$8+工程基本資料!$B$7+$L571+$M571-1</f>
        <v>-1</v>
      </c>
      <c r="Q571" s="9">
        <v>0</v>
      </c>
    </row>
    <row r="572" spans="1:17" ht="63" customHeight="1" x14ac:dyDescent="0.3">
      <c r="A572" s="60"/>
      <c r="B572" s="61">
        <f t="shared" si="25"/>
        <v>569</v>
      </c>
      <c r="C572" s="62"/>
      <c r="D572" s="62"/>
      <c r="E572" s="68"/>
      <c r="F572" s="68"/>
      <c r="G572" s="68"/>
      <c r="H572" s="64">
        <f t="shared" si="24"/>
        <v>0</v>
      </c>
      <c r="I572" s="68"/>
      <c r="J572" s="65">
        <f t="shared" si="26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>
        <f>工程基本資料!$B$8+工程基本資料!$B$7+$L572+$M572-1</f>
        <v>-1</v>
      </c>
      <c r="Q572" s="9">
        <v>0</v>
      </c>
    </row>
    <row r="573" spans="1:17" ht="63" customHeight="1" x14ac:dyDescent="0.3">
      <c r="A573" s="60"/>
      <c r="B573" s="61">
        <f t="shared" si="25"/>
        <v>570</v>
      </c>
      <c r="C573" s="62"/>
      <c r="D573" s="62"/>
      <c r="E573" s="68"/>
      <c r="F573" s="68"/>
      <c r="G573" s="68"/>
      <c r="H573" s="64">
        <f t="shared" si="24"/>
        <v>0</v>
      </c>
      <c r="I573" s="68"/>
      <c r="J573" s="65">
        <f t="shared" si="26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>
        <f>工程基本資料!$B$8+工程基本資料!$B$7+$L573+$M573-1</f>
        <v>-1</v>
      </c>
      <c r="Q573" s="9">
        <v>0</v>
      </c>
    </row>
    <row r="574" spans="1:17" ht="63" customHeight="1" x14ac:dyDescent="0.3">
      <c r="A574" s="60"/>
      <c r="B574" s="61">
        <f t="shared" si="25"/>
        <v>571</v>
      </c>
      <c r="C574" s="62"/>
      <c r="D574" s="62"/>
      <c r="E574" s="68"/>
      <c r="F574" s="68"/>
      <c r="G574" s="68"/>
      <c r="H574" s="64">
        <f t="shared" si="24"/>
        <v>0</v>
      </c>
      <c r="I574" s="68"/>
      <c r="J574" s="65">
        <f t="shared" si="26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>
        <f>工程基本資料!$B$8+工程基本資料!$B$7+$L574+$M574-1</f>
        <v>-1</v>
      </c>
      <c r="Q574" s="9">
        <v>0</v>
      </c>
    </row>
    <row r="575" spans="1:17" ht="63" customHeight="1" x14ac:dyDescent="0.3">
      <c r="A575" s="60"/>
      <c r="B575" s="61">
        <f t="shared" si="25"/>
        <v>572</v>
      </c>
      <c r="C575" s="62"/>
      <c r="D575" s="62"/>
      <c r="E575" s="68"/>
      <c r="F575" s="68"/>
      <c r="G575" s="68"/>
      <c r="H575" s="64">
        <f t="shared" si="24"/>
        <v>0</v>
      </c>
      <c r="I575" s="68"/>
      <c r="J575" s="65">
        <f t="shared" si="26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>
        <f>工程基本資料!$B$8+工程基本資料!$B$7+$L575+$M575-1</f>
        <v>-1</v>
      </c>
      <c r="Q575" s="9">
        <v>0</v>
      </c>
    </row>
    <row r="576" spans="1:17" ht="63" customHeight="1" x14ac:dyDescent="0.3">
      <c r="A576" s="60"/>
      <c r="B576" s="61">
        <f t="shared" si="25"/>
        <v>573</v>
      </c>
      <c r="C576" s="62"/>
      <c r="D576" s="62"/>
      <c r="E576" s="68"/>
      <c r="F576" s="68"/>
      <c r="G576" s="68"/>
      <c r="H576" s="64">
        <f t="shared" si="24"/>
        <v>0</v>
      </c>
      <c r="I576" s="68"/>
      <c r="J576" s="65">
        <f t="shared" si="26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>
        <f>工程基本資料!$B$8+工程基本資料!$B$7+$L576+$M576-1</f>
        <v>-1</v>
      </c>
      <c r="Q576" s="9">
        <v>0</v>
      </c>
    </row>
    <row r="577" spans="1:17" ht="63" customHeight="1" x14ac:dyDescent="0.3">
      <c r="A577" s="60"/>
      <c r="B577" s="61">
        <f t="shared" si="25"/>
        <v>574</v>
      </c>
      <c r="C577" s="62"/>
      <c r="D577" s="62"/>
      <c r="E577" s="68"/>
      <c r="F577" s="68"/>
      <c r="G577" s="68"/>
      <c r="H577" s="64">
        <f t="shared" si="24"/>
        <v>0</v>
      </c>
      <c r="I577" s="68"/>
      <c r="J577" s="65">
        <f t="shared" si="26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>
        <f>工程基本資料!$B$8+工程基本資料!$B$7+$L577+$M577-1</f>
        <v>-1</v>
      </c>
      <c r="Q577" s="9">
        <v>0</v>
      </c>
    </row>
    <row r="578" spans="1:17" ht="63" customHeight="1" x14ac:dyDescent="0.3">
      <c r="A578" s="60"/>
      <c r="B578" s="61">
        <f t="shared" si="25"/>
        <v>575</v>
      </c>
      <c r="C578" s="62"/>
      <c r="D578" s="62"/>
      <c r="E578" s="68"/>
      <c r="F578" s="68"/>
      <c r="G578" s="68"/>
      <c r="H578" s="64">
        <f t="shared" si="24"/>
        <v>0</v>
      </c>
      <c r="I578" s="68"/>
      <c r="J578" s="65">
        <f t="shared" si="26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>
        <f>工程基本資料!$B$8+工程基本資料!$B$7+$L578+$M578-1</f>
        <v>-1</v>
      </c>
      <c r="Q578" s="9">
        <v>0</v>
      </c>
    </row>
    <row r="579" spans="1:17" ht="63" customHeight="1" x14ac:dyDescent="0.3">
      <c r="A579" s="60"/>
      <c r="B579" s="61">
        <f t="shared" si="25"/>
        <v>576</v>
      </c>
      <c r="C579" s="62"/>
      <c r="D579" s="62"/>
      <c r="E579" s="68"/>
      <c r="F579" s="68"/>
      <c r="G579" s="68"/>
      <c r="H579" s="64">
        <f t="shared" si="24"/>
        <v>0</v>
      </c>
      <c r="I579" s="68"/>
      <c r="J579" s="65">
        <f t="shared" si="26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>
        <f>工程基本資料!$B$8+工程基本資料!$B$7+$L579+$M579-1</f>
        <v>-1</v>
      </c>
      <c r="Q579" s="9">
        <v>0</v>
      </c>
    </row>
    <row r="580" spans="1:17" ht="63" customHeight="1" x14ac:dyDescent="0.3">
      <c r="A580" s="60"/>
      <c r="B580" s="61">
        <f t="shared" si="25"/>
        <v>577</v>
      </c>
      <c r="C580" s="62"/>
      <c r="D580" s="62"/>
      <c r="E580" s="68"/>
      <c r="F580" s="68"/>
      <c r="G580" s="68"/>
      <c r="H580" s="64">
        <f t="shared" ref="H580:H643" si="27">IF(Q580&gt;1,$R$3,$R$4)</f>
        <v>0</v>
      </c>
      <c r="I580" s="68"/>
      <c r="J580" s="65">
        <f t="shared" si="26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>
        <f>工程基本資料!$B$8+工程基本資料!$B$7+$L580+$M580-1</f>
        <v>-1</v>
      </c>
      <c r="Q580" s="9">
        <v>0</v>
      </c>
    </row>
    <row r="581" spans="1:17" ht="63" customHeight="1" x14ac:dyDescent="0.3">
      <c r="A581" s="60"/>
      <c r="B581" s="61">
        <f t="shared" ref="B581:B644" si="28">B580+1</f>
        <v>578</v>
      </c>
      <c r="C581" s="62"/>
      <c r="D581" s="62"/>
      <c r="E581" s="68"/>
      <c r="F581" s="68"/>
      <c r="G581" s="68"/>
      <c r="H581" s="64">
        <f t="shared" si="27"/>
        <v>0</v>
      </c>
      <c r="I581" s="68"/>
      <c r="J581" s="65">
        <f t="shared" ref="J581:J644" si="2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>
        <f>工程基本資料!$B$8+工程基本資料!$B$7+$L581+$M581-1</f>
        <v>-1</v>
      </c>
      <c r="Q581" s="9">
        <v>0</v>
      </c>
    </row>
    <row r="582" spans="1:17" ht="63" customHeight="1" x14ac:dyDescent="0.3">
      <c r="A582" s="60"/>
      <c r="B582" s="61">
        <f t="shared" si="28"/>
        <v>579</v>
      </c>
      <c r="C582" s="62"/>
      <c r="D582" s="62"/>
      <c r="E582" s="68"/>
      <c r="F582" s="68"/>
      <c r="G582" s="68"/>
      <c r="H582" s="64">
        <f t="shared" si="27"/>
        <v>0</v>
      </c>
      <c r="I582" s="68"/>
      <c r="J582" s="65">
        <f t="shared" si="2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>
        <f>工程基本資料!$B$8+工程基本資料!$B$7+$L582+$M582-1</f>
        <v>-1</v>
      </c>
      <c r="Q582" s="9">
        <v>0</v>
      </c>
    </row>
    <row r="583" spans="1:17" ht="63" customHeight="1" x14ac:dyDescent="0.3">
      <c r="A583" s="60"/>
      <c r="B583" s="61">
        <f t="shared" si="28"/>
        <v>580</v>
      </c>
      <c r="C583" s="62"/>
      <c r="D583" s="62"/>
      <c r="E583" s="68"/>
      <c r="F583" s="68"/>
      <c r="G583" s="68"/>
      <c r="H583" s="64">
        <f t="shared" si="27"/>
        <v>0</v>
      </c>
      <c r="I583" s="68"/>
      <c r="J583" s="65">
        <f t="shared" si="2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>
        <f>工程基本資料!$B$8+工程基本資料!$B$7+$L583+$M583-1</f>
        <v>-1</v>
      </c>
      <c r="Q583" s="9">
        <v>0</v>
      </c>
    </row>
    <row r="584" spans="1:17" ht="63" customHeight="1" x14ac:dyDescent="0.3">
      <c r="A584" s="60"/>
      <c r="B584" s="61">
        <f t="shared" si="28"/>
        <v>581</v>
      </c>
      <c r="C584" s="62"/>
      <c r="D584" s="62"/>
      <c r="E584" s="68"/>
      <c r="F584" s="68"/>
      <c r="G584" s="68"/>
      <c r="H584" s="64">
        <f t="shared" si="27"/>
        <v>0</v>
      </c>
      <c r="I584" s="68"/>
      <c r="J584" s="65">
        <f t="shared" si="2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>
        <f>工程基本資料!$B$8+工程基本資料!$B$7+$L584+$M584-1</f>
        <v>-1</v>
      </c>
      <c r="Q584" s="9">
        <v>0</v>
      </c>
    </row>
    <row r="585" spans="1:17" ht="63" customHeight="1" x14ac:dyDescent="0.3">
      <c r="A585" s="60"/>
      <c r="B585" s="61">
        <f t="shared" si="28"/>
        <v>582</v>
      </c>
      <c r="C585" s="62"/>
      <c r="D585" s="62"/>
      <c r="E585" s="68"/>
      <c r="F585" s="68"/>
      <c r="G585" s="68"/>
      <c r="H585" s="64">
        <f t="shared" si="27"/>
        <v>0</v>
      </c>
      <c r="I585" s="68"/>
      <c r="J585" s="65">
        <f t="shared" si="2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>
        <f>工程基本資料!$B$8+工程基本資料!$B$7+$L585+$M585-1</f>
        <v>-1</v>
      </c>
      <c r="Q585" s="9">
        <v>0</v>
      </c>
    </row>
    <row r="586" spans="1:17" ht="63" customHeight="1" x14ac:dyDescent="0.3">
      <c r="A586" s="60"/>
      <c r="B586" s="61">
        <f t="shared" si="28"/>
        <v>583</v>
      </c>
      <c r="C586" s="62"/>
      <c r="D586" s="62"/>
      <c r="E586" s="68"/>
      <c r="F586" s="68"/>
      <c r="G586" s="68"/>
      <c r="H586" s="64">
        <f t="shared" si="27"/>
        <v>0</v>
      </c>
      <c r="I586" s="68"/>
      <c r="J586" s="65">
        <f t="shared" si="2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>
        <f>工程基本資料!$B$8+工程基本資料!$B$7+$L586+$M586-1</f>
        <v>-1</v>
      </c>
      <c r="Q586" s="9">
        <v>0</v>
      </c>
    </row>
    <row r="587" spans="1:17" ht="63" customHeight="1" x14ac:dyDescent="0.3">
      <c r="A587" s="60"/>
      <c r="B587" s="61">
        <f t="shared" si="28"/>
        <v>584</v>
      </c>
      <c r="C587" s="62"/>
      <c r="D587" s="62"/>
      <c r="E587" s="68"/>
      <c r="F587" s="68"/>
      <c r="G587" s="68"/>
      <c r="H587" s="64">
        <f t="shared" si="27"/>
        <v>0</v>
      </c>
      <c r="I587" s="68"/>
      <c r="J587" s="65">
        <f t="shared" si="2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>
        <f>工程基本資料!$B$8+工程基本資料!$B$7+$L587+$M587-1</f>
        <v>-1</v>
      </c>
      <c r="Q587" s="9">
        <v>0</v>
      </c>
    </row>
    <row r="588" spans="1:17" ht="63" customHeight="1" x14ac:dyDescent="0.3">
      <c r="A588" s="60"/>
      <c r="B588" s="61">
        <f t="shared" si="28"/>
        <v>585</v>
      </c>
      <c r="C588" s="62"/>
      <c r="D588" s="62"/>
      <c r="E588" s="68"/>
      <c r="F588" s="68"/>
      <c r="G588" s="68"/>
      <c r="H588" s="64">
        <f t="shared" si="27"/>
        <v>0</v>
      </c>
      <c r="I588" s="68"/>
      <c r="J588" s="65">
        <f t="shared" si="2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>
        <f>工程基本資料!$B$8+工程基本資料!$B$7+$L588+$M588-1</f>
        <v>-1</v>
      </c>
      <c r="Q588" s="9">
        <v>0</v>
      </c>
    </row>
    <row r="589" spans="1:17" ht="63" customHeight="1" x14ac:dyDescent="0.3">
      <c r="A589" s="60"/>
      <c r="B589" s="61">
        <f t="shared" si="28"/>
        <v>586</v>
      </c>
      <c r="C589" s="62"/>
      <c r="D589" s="62"/>
      <c r="E589" s="68"/>
      <c r="F589" s="68"/>
      <c r="G589" s="68"/>
      <c r="H589" s="64">
        <f t="shared" si="27"/>
        <v>0</v>
      </c>
      <c r="I589" s="68"/>
      <c r="J589" s="65">
        <f t="shared" si="2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>
        <f>工程基本資料!$B$8+工程基本資料!$B$7+$L589+$M589-1</f>
        <v>-1</v>
      </c>
      <c r="Q589" s="9">
        <v>0</v>
      </c>
    </row>
    <row r="590" spans="1:17" ht="63" customHeight="1" x14ac:dyDescent="0.3">
      <c r="A590" s="60"/>
      <c r="B590" s="61">
        <f t="shared" si="28"/>
        <v>587</v>
      </c>
      <c r="C590" s="62"/>
      <c r="D590" s="62"/>
      <c r="E590" s="68"/>
      <c r="F590" s="68"/>
      <c r="G590" s="68"/>
      <c r="H590" s="64">
        <f t="shared" si="27"/>
        <v>0</v>
      </c>
      <c r="I590" s="68"/>
      <c r="J590" s="65">
        <f t="shared" si="2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>
        <f>工程基本資料!$B$8+工程基本資料!$B$7+$L590+$M590-1</f>
        <v>-1</v>
      </c>
      <c r="Q590" s="9">
        <v>0</v>
      </c>
    </row>
    <row r="591" spans="1:17" ht="63" customHeight="1" x14ac:dyDescent="0.3">
      <c r="A591" s="60"/>
      <c r="B591" s="61">
        <f t="shared" si="28"/>
        <v>588</v>
      </c>
      <c r="C591" s="62"/>
      <c r="D591" s="62"/>
      <c r="E591" s="68"/>
      <c r="F591" s="68"/>
      <c r="G591" s="68"/>
      <c r="H591" s="64">
        <f t="shared" si="27"/>
        <v>0</v>
      </c>
      <c r="I591" s="68"/>
      <c r="J591" s="65">
        <f t="shared" si="2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>
        <f>工程基本資料!$B$8+工程基本資料!$B$7+$L591+$M591-1</f>
        <v>-1</v>
      </c>
      <c r="Q591" s="9">
        <v>0</v>
      </c>
    </row>
    <row r="592" spans="1:17" ht="63" customHeight="1" x14ac:dyDescent="0.3">
      <c r="A592" s="60"/>
      <c r="B592" s="61">
        <f t="shared" si="28"/>
        <v>589</v>
      </c>
      <c r="C592" s="62"/>
      <c r="D592" s="62"/>
      <c r="E592" s="68"/>
      <c r="F592" s="68"/>
      <c r="G592" s="68"/>
      <c r="H592" s="64">
        <f t="shared" si="27"/>
        <v>0</v>
      </c>
      <c r="I592" s="68"/>
      <c r="J592" s="65">
        <f t="shared" si="2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>
        <f>工程基本資料!$B$8+工程基本資料!$B$7+$L592+$M592-1</f>
        <v>-1</v>
      </c>
      <c r="Q592" s="9">
        <v>0</v>
      </c>
    </row>
    <row r="593" spans="1:17" ht="63" customHeight="1" x14ac:dyDescent="0.3">
      <c r="A593" s="60"/>
      <c r="B593" s="61">
        <f t="shared" si="28"/>
        <v>590</v>
      </c>
      <c r="C593" s="62"/>
      <c r="D593" s="62"/>
      <c r="E593" s="68"/>
      <c r="F593" s="68"/>
      <c r="G593" s="68"/>
      <c r="H593" s="64">
        <f t="shared" si="27"/>
        <v>0</v>
      </c>
      <c r="I593" s="68"/>
      <c r="J593" s="65">
        <f t="shared" si="2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>
        <f>工程基本資料!$B$8+工程基本資料!$B$7+$L593+$M593-1</f>
        <v>-1</v>
      </c>
      <c r="Q593" s="9">
        <v>0</v>
      </c>
    </row>
    <row r="594" spans="1:17" ht="63" customHeight="1" x14ac:dyDescent="0.3">
      <c r="A594" s="60"/>
      <c r="B594" s="61">
        <f t="shared" si="28"/>
        <v>591</v>
      </c>
      <c r="C594" s="62"/>
      <c r="D594" s="62"/>
      <c r="E594" s="68"/>
      <c r="F594" s="68"/>
      <c r="G594" s="68"/>
      <c r="H594" s="64">
        <f t="shared" si="27"/>
        <v>0</v>
      </c>
      <c r="I594" s="68"/>
      <c r="J594" s="65">
        <f t="shared" si="2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>
        <f>工程基本資料!$B$8+工程基本資料!$B$7+$L594+$M594-1</f>
        <v>-1</v>
      </c>
      <c r="Q594" s="9">
        <v>0</v>
      </c>
    </row>
    <row r="595" spans="1:17" ht="63" customHeight="1" x14ac:dyDescent="0.3">
      <c r="A595" s="60"/>
      <c r="B595" s="61">
        <f t="shared" si="28"/>
        <v>592</v>
      </c>
      <c r="C595" s="62"/>
      <c r="D595" s="62"/>
      <c r="E595" s="68"/>
      <c r="F595" s="68"/>
      <c r="G595" s="68"/>
      <c r="H595" s="64">
        <f t="shared" si="27"/>
        <v>0</v>
      </c>
      <c r="I595" s="68"/>
      <c r="J595" s="65">
        <f t="shared" si="2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>
        <f>工程基本資料!$B$8+工程基本資料!$B$7+$L595+$M595-1</f>
        <v>-1</v>
      </c>
      <c r="Q595" s="9">
        <v>0</v>
      </c>
    </row>
    <row r="596" spans="1:17" ht="63" customHeight="1" x14ac:dyDescent="0.3">
      <c r="A596" s="60"/>
      <c r="B596" s="61">
        <f t="shared" si="28"/>
        <v>593</v>
      </c>
      <c r="C596" s="62"/>
      <c r="D596" s="62"/>
      <c r="E596" s="68"/>
      <c r="F596" s="68"/>
      <c r="G596" s="68"/>
      <c r="H596" s="64">
        <f t="shared" si="27"/>
        <v>0</v>
      </c>
      <c r="I596" s="68"/>
      <c r="J596" s="65">
        <f t="shared" si="2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>
        <f>工程基本資料!$B$8+工程基本資料!$B$7+$L596+$M596-1</f>
        <v>-1</v>
      </c>
      <c r="Q596" s="9">
        <v>0</v>
      </c>
    </row>
    <row r="597" spans="1:17" ht="63" customHeight="1" x14ac:dyDescent="0.3">
      <c r="A597" s="60"/>
      <c r="B597" s="61">
        <f t="shared" si="28"/>
        <v>594</v>
      </c>
      <c r="C597" s="62"/>
      <c r="D597" s="62"/>
      <c r="E597" s="68"/>
      <c r="F597" s="68"/>
      <c r="G597" s="68"/>
      <c r="H597" s="64">
        <f t="shared" si="27"/>
        <v>0</v>
      </c>
      <c r="I597" s="68"/>
      <c r="J597" s="65">
        <f t="shared" si="2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>
        <f>工程基本資料!$B$8+工程基本資料!$B$7+$L597+$M597-1</f>
        <v>-1</v>
      </c>
      <c r="Q597" s="9">
        <v>0</v>
      </c>
    </row>
    <row r="598" spans="1:17" ht="63" customHeight="1" x14ac:dyDescent="0.3">
      <c r="A598" s="60"/>
      <c r="B598" s="61">
        <f t="shared" si="28"/>
        <v>595</v>
      </c>
      <c r="C598" s="62"/>
      <c r="D598" s="62"/>
      <c r="E598" s="68"/>
      <c r="F598" s="68"/>
      <c r="G598" s="68"/>
      <c r="H598" s="64">
        <f t="shared" si="27"/>
        <v>0</v>
      </c>
      <c r="I598" s="68"/>
      <c r="J598" s="65">
        <f t="shared" si="2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>
        <f>工程基本資料!$B$8+工程基本資料!$B$7+$L598+$M598-1</f>
        <v>-1</v>
      </c>
    </row>
    <row r="599" spans="1:17" ht="63" customHeight="1" x14ac:dyDescent="0.3">
      <c r="A599" s="60"/>
      <c r="B599" s="61">
        <f t="shared" si="28"/>
        <v>596</v>
      </c>
      <c r="C599" s="62"/>
      <c r="D599" s="62"/>
      <c r="E599" s="68"/>
      <c r="F599" s="68"/>
      <c r="G599" s="68"/>
      <c r="H599" s="64">
        <f t="shared" si="27"/>
        <v>0</v>
      </c>
      <c r="I599" s="68"/>
      <c r="J599" s="65">
        <f t="shared" si="2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>
        <f>工程基本資料!$B$8+工程基本資料!$B$7+$L599+$M599-1</f>
        <v>-1</v>
      </c>
    </row>
    <row r="600" spans="1:17" ht="63" customHeight="1" x14ac:dyDescent="0.3">
      <c r="A600" s="60"/>
      <c r="B600" s="61">
        <f t="shared" si="28"/>
        <v>597</v>
      </c>
      <c r="C600" s="62"/>
      <c r="D600" s="62"/>
      <c r="E600" s="68"/>
      <c r="F600" s="68"/>
      <c r="G600" s="68"/>
      <c r="H600" s="64">
        <f t="shared" si="27"/>
        <v>0</v>
      </c>
      <c r="I600" s="68"/>
      <c r="J600" s="65">
        <f t="shared" si="2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>
        <f>工程基本資料!$B$8+工程基本資料!$B$7+$L600+$M600-1</f>
        <v>-1</v>
      </c>
    </row>
    <row r="601" spans="1:17" ht="63" customHeight="1" x14ac:dyDescent="0.3">
      <c r="A601" s="60"/>
      <c r="B601" s="61">
        <f t="shared" si="28"/>
        <v>598</v>
      </c>
      <c r="C601" s="62"/>
      <c r="D601" s="62"/>
      <c r="E601" s="68"/>
      <c r="F601" s="68"/>
      <c r="G601" s="68"/>
      <c r="H601" s="64">
        <f t="shared" si="27"/>
        <v>0</v>
      </c>
      <c r="I601" s="68"/>
      <c r="J601" s="65">
        <f t="shared" si="2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>
        <f>工程基本資料!$B$8+工程基本資料!$B$7+$L601+$M601-1</f>
        <v>-1</v>
      </c>
    </row>
    <row r="602" spans="1:17" ht="63" customHeight="1" x14ac:dyDescent="0.3">
      <c r="A602" s="60"/>
      <c r="B602" s="61">
        <f t="shared" si="28"/>
        <v>599</v>
      </c>
      <c r="C602" s="62"/>
      <c r="D602" s="62"/>
      <c r="E602" s="68"/>
      <c r="F602" s="68"/>
      <c r="G602" s="68"/>
      <c r="H602" s="64">
        <f t="shared" si="27"/>
        <v>0</v>
      </c>
      <c r="I602" s="68"/>
      <c r="J602" s="65">
        <f t="shared" si="2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>
        <f>工程基本資料!$B$8+工程基本資料!$B$7+$L602+$M602-1</f>
        <v>-1</v>
      </c>
    </row>
    <row r="603" spans="1:17" ht="63" customHeight="1" x14ac:dyDescent="0.3">
      <c r="A603" s="60"/>
      <c r="B603" s="61">
        <f t="shared" si="28"/>
        <v>600</v>
      </c>
      <c r="C603" s="62"/>
      <c r="D603" s="62"/>
      <c r="E603" s="68"/>
      <c r="F603" s="68"/>
      <c r="G603" s="68"/>
      <c r="H603" s="64">
        <f t="shared" si="27"/>
        <v>0</v>
      </c>
      <c r="I603" s="68"/>
      <c r="J603" s="65">
        <f t="shared" si="2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>
        <f>工程基本資料!$B$8+工程基本資料!$B$7+$L603+$M603-1</f>
        <v>-1</v>
      </c>
    </row>
    <row r="604" spans="1:17" ht="63" customHeight="1" x14ac:dyDescent="0.3">
      <c r="A604" s="60"/>
      <c r="B604" s="61">
        <f t="shared" si="28"/>
        <v>601</v>
      </c>
      <c r="C604" s="62"/>
      <c r="D604" s="62"/>
      <c r="E604" s="68"/>
      <c r="F604" s="68"/>
      <c r="G604" s="68"/>
      <c r="H604" s="64">
        <f t="shared" si="27"/>
        <v>0</v>
      </c>
      <c r="I604" s="68"/>
      <c r="J604" s="65">
        <f t="shared" si="2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>
        <f>工程基本資料!$B$8+工程基本資料!$B$7+$L604+$M604-1</f>
        <v>-1</v>
      </c>
    </row>
    <row r="605" spans="1:17" ht="63" customHeight="1" x14ac:dyDescent="0.3">
      <c r="A605" s="60"/>
      <c r="B605" s="61">
        <f t="shared" si="28"/>
        <v>602</v>
      </c>
      <c r="C605" s="62"/>
      <c r="D605" s="62"/>
      <c r="E605" s="68"/>
      <c r="F605" s="68"/>
      <c r="G605" s="68"/>
      <c r="H605" s="64">
        <f t="shared" si="27"/>
        <v>0</v>
      </c>
      <c r="I605" s="68"/>
      <c r="J605" s="65">
        <f t="shared" si="2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>
        <f>工程基本資料!$B$8+工程基本資料!$B$7+$L605+$M605-1</f>
        <v>-1</v>
      </c>
    </row>
    <row r="606" spans="1:17" ht="63" customHeight="1" x14ac:dyDescent="0.3">
      <c r="A606" s="60"/>
      <c r="B606" s="61">
        <f t="shared" si="28"/>
        <v>603</v>
      </c>
      <c r="C606" s="62"/>
      <c r="D606" s="62"/>
      <c r="E606" s="68"/>
      <c r="F606" s="68"/>
      <c r="G606" s="68"/>
      <c r="H606" s="64">
        <f t="shared" si="27"/>
        <v>0</v>
      </c>
      <c r="I606" s="68"/>
      <c r="J606" s="65">
        <f t="shared" si="2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>
        <f>工程基本資料!$B$8+工程基本資料!$B$7+$L606+$M606-1</f>
        <v>-1</v>
      </c>
    </row>
    <row r="607" spans="1:17" ht="63" customHeight="1" x14ac:dyDescent="0.3">
      <c r="A607" s="60"/>
      <c r="B607" s="61">
        <f t="shared" si="28"/>
        <v>604</v>
      </c>
      <c r="C607" s="62"/>
      <c r="D607" s="62"/>
      <c r="E607" s="68"/>
      <c r="F607" s="68"/>
      <c r="G607" s="68"/>
      <c r="H607" s="64">
        <f t="shared" si="27"/>
        <v>0</v>
      </c>
      <c r="I607" s="68"/>
      <c r="J607" s="65">
        <f t="shared" si="2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>
        <f>工程基本資料!$B$8+工程基本資料!$B$7+$L607+$M607-1</f>
        <v>-1</v>
      </c>
    </row>
    <row r="608" spans="1:17" ht="63" customHeight="1" x14ac:dyDescent="0.3">
      <c r="A608" s="60"/>
      <c r="B608" s="61">
        <f t="shared" si="28"/>
        <v>605</v>
      </c>
      <c r="C608" s="62"/>
      <c r="D608" s="62"/>
      <c r="E608" s="68"/>
      <c r="F608" s="68"/>
      <c r="G608" s="68"/>
      <c r="H608" s="64">
        <f t="shared" si="27"/>
        <v>0</v>
      </c>
      <c r="I608" s="68"/>
      <c r="J608" s="65">
        <f t="shared" si="2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>
        <f>工程基本資料!$B$8+工程基本資料!$B$7+$L608+$M608-1</f>
        <v>-1</v>
      </c>
    </row>
    <row r="609" spans="1:16" ht="63" customHeight="1" x14ac:dyDescent="0.3">
      <c r="A609" s="60"/>
      <c r="B609" s="61">
        <f t="shared" si="28"/>
        <v>606</v>
      </c>
      <c r="C609" s="62"/>
      <c r="D609" s="62"/>
      <c r="E609" s="68"/>
      <c r="F609" s="68"/>
      <c r="G609" s="68"/>
      <c r="H609" s="64">
        <f t="shared" si="27"/>
        <v>0</v>
      </c>
      <c r="I609" s="68"/>
      <c r="J609" s="65">
        <f t="shared" si="2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>
        <f>工程基本資料!$B$8+工程基本資料!$B$7+$L609+$M609-1</f>
        <v>-1</v>
      </c>
    </row>
    <row r="610" spans="1:16" ht="63" customHeight="1" x14ac:dyDescent="0.3">
      <c r="A610" s="60"/>
      <c r="B610" s="61">
        <f t="shared" si="28"/>
        <v>607</v>
      </c>
      <c r="C610" s="62"/>
      <c r="D610" s="62"/>
      <c r="E610" s="68"/>
      <c r="F610" s="68"/>
      <c r="G610" s="68"/>
      <c r="H610" s="64">
        <f t="shared" si="27"/>
        <v>0</v>
      </c>
      <c r="I610" s="68"/>
      <c r="J610" s="65">
        <f t="shared" si="2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>
        <f>工程基本資料!$B$8+工程基本資料!$B$7+$L610+$M610-1</f>
        <v>-1</v>
      </c>
    </row>
    <row r="611" spans="1:16" ht="63" customHeight="1" x14ac:dyDescent="0.3">
      <c r="A611" s="60"/>
      <c r="B611" s="61">
        <f t="shared" si="28"/>
        <v>608</v>
      </c>
      <c r="C611" s="62"/>
      <c r="D611" s="62"/>
      <c r="E611" s="68"/>
      <c r="F611" s="68"/>
      <c r="G611" s="68"/>
      <c r="H611" s="64">
        <f t="shared" si="27"/>
        <v>0</v>
      </c>
      <c r="I611" s="68"/>
      <c r="J611" s="65">
        <f t="shared" si="2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>
        <f>工程基本資料!$B$8+工程基本資料!$B$7+$L611+$M611-1</f>
        <v>-1</v>
      </c>
    </row>
    <row r="612" spans="1:16" ht="63" customHeight="1" x14ac:dyDescent="0.3">
      <c r="A612" s="60"/>
      <c r="B612" s="61">
        <f t="shared" si="28"/>
        <v>609</v>
      </c>
      <c r="C612" s="62"/>
      <c r="D612" s="62"/>
      <c r="E612" s="68"/>
      <c r="F612" s="68"/>
      <c r="G612" s="68"/>
      <c r="H612" s="64">
        <f t="shared" si="27"/>
        <v>0</v>
      </c>
      <c r="I612" s="68"/>
      <c r="J612" s="65">
        <f t="shared" si="2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>
        <f>工程基本資料!$B$8+工程基本資料!$B$7+$L612+$M612-1</f>
        <v>-1</v>
      </c>
    </row>
    <row r="613" spans="1:16" ht="63" customHeight="1" x14ac:dyDescent="0.3">
      <c r="A613" s="60"/>
      <c r="B613" s="61">
        <f t="shared" si="28"/>
        <v>610</v>
      </c>
      <c r="C613" s="62"/>
      <c r="D613" s="62"/>
      <c r="E613" s="68"/>
      <c r="F613" s="68"/>
      <c r="G613" s="68"/>
      <c r="H613" s="64">
        <f t="shared" si="27"/>
        <v>0</v>
      </c>
      <c r="I613" s="68"/>
      <c r="J613" s="65">
        <f t="shared" si="2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>
        <f>工程基本資料!$B$8+工程基本資料!$B$7+$L613+$M613-1</f>
        <v>-1</v>
      </c>
    </row>
    <row r="614" spans="1:16" ht="63" customHeight="1" x14ac:dyDescent="0.3">
      <c r="A614" s="60"/>
      <c r="B614" s="61">
        <f t="shared" si="28"/>
        <v>611</v>
      </c>
      <c r="C614" s="62"/>
      <c r="D614" s="62"/>
      <c r="E614" s="68"/>
      <c r="F614" s="68"/>
      <c r="G614" s="68"/>
      <c r="H614" s="64">
        <f t="shared" si="27"/>
        <v>0</v>
      </c>
      <c r="I614" s="68"/>
      <c r="J614" s="65">
        <f t="shared" si="2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>
        <f>工程基本資料!$B$8+工程基本資料!$B$7+$L614+$M614-1</f>
        <v>-1</v>
      </c>
    </row>
    <row r="615" spans="1:16" ht="63" customHeight="1" x14ac:dyDescent="0.3">
      <c r="A615" s="60"/>
      <c r="B615" s="61">
        <f t="shared" si="28"/>
        <v>612</v>
      </c>
      <c r="C615" s="62"/>
      <c r="D615" s="62"/>
      <c r="E615" s="68"/>
      <c r="F615" s="68"/>
      <c r="G615" s="68"/>
      <c r="H615" s="64">
        <f t="shared" si="27"/>
        <v>0</v>
      </c>
      <c r="I615" s="68"/>
      <c r="J615" s="65">
        <f t="shared" si="2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>
        <f>工程基本資料!$B$8+工程基本資料!$B$7+$L615+$M615-1</f>
        <v>-1</v>
      </c>
    </row>
    <row r="616" spans="1:16" ht="63" customHeight="1" x14ac:dyDescent="0.3">
      <c r="A616" s="60"/>
      <c r="B616" s="61">
        <f t="shared" si="28"/>
        <v>613</v>
      </c>
      <c r="C616" s="62"/>
      <c r="D616" s="62"/>
      <c r="E616" s="68"/>
      <c r="F616" s="68"/>
      <c r="G616" s="68"/>
      <c r="H616" s="64">
        <f t="shared" si="27"/>
        <v>0</v>
      </c>
      <c r="I616" s="68"/>
      <c r="J616" s="65">
        <f t="shared" si="2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>
        <f>工程基本資料!$B$8+工程基本資料!$B$7+$L616+$M616-1</f>
        <v>-1</v>
      </c>
    </row>
    <row r="617" spans="1:16" ht="63" customHeight="1" x14ac:dyDescent="0.3">
      <c r="A617" s="60"/>
      <c r="B617" s="61">
        <f t="shared" si="28"/>
        <v>614</v>
      </c>
      <c r="C617" s="62"/>
      <c r="D617" s="62"/>
      <c r="E617" s="68"/>
      <c r="F617" s="68"/>
      <c r="G617" s="68"/>
      <c r="H617" s="64">
        <f t="shared" si="27"/>
        <v>0</v>
      </c>
      <c r="I617" s="68"/>
      <c r="J617" s="65">
        <f t="shared" si="2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>
        <f>工程基本資料!$B$8+工程基本資料!$B$7+$L617+$M617-1</f>
        <v>-1</v>
      </c>
    </row>
    <row r="618" spans="1:16" ht="63" customHeight="1" x14ac:dyDescent="0.3">
      <c r="A618" s="60"/>
      <c r="B618" s="61">
        <f t="shared" si="28"/>
        <v>615</v>
      </c>
      <c r="C618" s="62"/>
      <c r="D618" s="62"/>
      <c r="E618" s="68"/>
      <c r="F618" s="68"/>
      <c r="G618" s="68"/>
      <c r="H618" s="64">
        <f t="shared" si="27"/>
        <v>0</v>
      </c>
      <c r="I618" s="68"/>
      <c r="J618" s="65">
        <f t="shared" si="2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>
        <f>工程基本資料!$B$8+工程基本資料!$B$7+$L618+$M618-1</f>
        <v>-1</v>
      </c>
    </row>
    <row r="619" spans="1:16" ht="63" customHeight="1" x14ac:dyDescent="0.3">
      <c r="A619" s="60"/>
      <c r="B619" s="61">
        <f t="shared" si="28"/>
        <v>616</v>
      </c>
      <c r="C619" s="62"/>
      <c r="D619" s="62"/>
      <c r="E619" s="68"/>
      <c r="F619" s="68"/>
      <c r="G619" s="68"/>
      <c r="H619" s="64">
        <f t="shared" si="27"/>
        <v>0</v>
      </c>
      <c r="I619" s="68"/>
      <c r="J619" s="65">
        <f t="shared" si="2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>
        <f>工程基本資料!$B$8+工程基本資料!$B$7+$L619+$M619-1</f>
        <v>-1</v>
      </c>
    </row>
    <row r="620" spans="1:16" ht="63" customHeight="1" x14ac:dyDescent="0.3">
      <c r="A620" s="60"/>
      <c r="B620" s="61">
        <f t="shared" si="28"/>
        <v>617</v>
      </c>
      <c r="C620" s="62"/>
      <c r="D620" s="62"/>
      <c r="E620" s="68"/>
      <c r="F620" s="68"/>
      <c r="G620" s="68"/>
      <c r="H620" s="64">
        <f t="shared" si="27"/>
        <v>0</v>
      </c>
      <c r="I620" s="68"/>
      <c r="J620" s="65">
        <f t="shared" si="2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>
        <f>工程基本資料!$B$8+工程基本資料!$B$7+$L620+$M620-1</f>
        <v>-1</v>
      </c>
    </row>
    <row r="621" spans="1:16" ht="63" customHeight="1" x14ac:dyDescent="0.3">
      <c r="A621" s="60"/>
      <c r="B621" s="61">
        <f t="shared" si="28"/>
        <v>618</v>
      </c>
      <c r="C621" s="62"/>
      <c r="D621" s="62"/>
      <c r="E621" s="68"/>
      <c r="F621" s="68"/>
      <c r="G621" s="68"/>
      <c r="H621" s="64">
        <f t="shared" si="27"/>
        <v>0</v>
      </c>
      <c r="I621" s="68"/>
      <c r="J621" s="65">
        <f t="shared" si="2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>
        <f>工程基本資料!$B$8+工程基本資料!$B$7+$L621+$M621-1</f>
        <v>-1</v>
      </c>
    </row>
    <row r="622" spans="1:16" ht="63" customHeight="1" x14ac:dyDescent="0.3">
      <c r="A622" s="60"/>
      <c r="B622" s="61">
        <f t="shared" si="28"/>
        <v>619</v>
      </c>
      <c r="C622" s="62"/>
      <c r="D622" s="62"/>
      <c r="E622" s="68"/>
      <c r="F622" s="68"/>
      <c r="G622" s="68"/>
      <c r="H622" s="64">
        <f t="shared" si="27"/>
        <v>0</v>
      </c>
      <c r="I622" s="68"/>
      <c r="J622" s="65">
        <f t="shared" si="2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>
        <f>工程基本資料!$B$8+工程基本資料!$B$7+$L622+$M622-1</f>
        <v>-1</v>
      </c>
    </row>
    <row r="623" spans="1:16" ht="63" customHeight="1" x14ac:dyDescent="0.3">
      <c r="A623" s="60"/>
      <c r="B623" s="61">
        <f t="shared" si="28"/>
        <v>620</v>
      </c>
      <c r="C623" s="62"/>
      <c r="D623" s="62"/>
      <c r="E623" s="68"/>
      <c r="F623" s="68"/>
      <c r="G623" s="68"/>
      <c r="H623" s="64">
        <f t="shared" si="27"/>
        <v>0</v>
      </c>
      <c r="I623" s="68"/>
      <c r="J623" s="65">
        <f t="shared" si="2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>
        <f>工程基本資料!$B$8+工程基本資料!$B$7+$L623+$M623-1</f>
        <v>-1</v>
      </c>
    </row>
    <row r="624" spans="1:16" ht="63" customHeight="1" x14ac:dyDescent="0.3">
      <c r="A624" s="60"/>
      <c r="B624" s="61">
        <f t="shared" si="28"/>
        <v>621</v>
      </c>
      <c r="C624" s="62"/>
      <c r="D624" s="62"/>
      <c r="E624" s="68"/>
      <c r="F624" s="68"/>
      <c r="G624" s="68"/>
      <c r="H624" s="64">
        <f t="shared" si="27"/>
        <v>0</v>
      </c>
      <c r="I624" s="68"/>
      <c r="J624" s="65">
        <f t="shared" si="2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>
        <f>工程基本資料!$B$8+工程基本資料!$B$7+$L624+$M624-1</f>
        <v>-1</v>
      </c>
    </row>
    <row r="625" spans="1:16" ht="63" customHeight="1" x14ac:dyDescent="0.3">
      <c r="A625" s="60"/>
      <c r="B625" s="61">
        <f t="shared" si="28"/>
        <v>622</v>
      </c>
      <c r="C625" s="62"/>
      <c r="D625" s="62"/>
      <c r="E625" s="68"/>
      <c r="F625" s="68"/>
      <c r="G625" s="68"/>
      <c r="H625" s="64">
        <f t="shared" si="27"/>
        <v>0</v>
      </c>
      <c r="I625" s="68"/>
      <c r="J625" s="65">
        <f t="shared" si="2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>
        <f>工程基本資料!$B$8+工程基本資料!$B$7+$L625+$M625-1</f>
        <v>-1</v>
      </c>
    </row>
    <row r="626" spans="1:16" ht="63" customHeight="1" x14ac:dyDescent="0.3">
      <c r="A626" s="60"/>
      <c r="B626" s="61">
        <f t="shared" si="28"/>
        <v>623</v>
      </c>
      <c r="C626" s="62"/>
      <c r="D626" s="62"/>
      <c r="E626" s="68"/>
      <c r="F626" s="68"/>
      <c r="G626" s="68"/>
      <c r="H626" s="64">
        <f t="shared" si="27"/>
        <v>0</v>
      </c>
      <c r="I626" s="68"/>
      <c r="J626" s="65">
        <f t="shared" si="2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>
        <f>工程基本資料!$B$8+工程基本資料!$B$7+$L626+$M626-1</f>
        <v>-1</v>
      </c>
    </row>
    <row r="627" spans="1:16" ht="63" customHeight="1" x14ac:dyDescent="0.3">
      <c r="A627" s="60"/>
      <c r="B627" s="61">
        <f t="shared" si="28"/>
        <v>624</v>
      </c>
      <c r="C627" s="62"/>
      <c r="D627" s="62"/>
      <c r="E627" s="68"/>
      <c r="F627" s="68"/>
      <c r="G627" s="68"/>
      <c r="H627" s="64">
        <f t="shared" si="27"/>
        <v>0</v>
      </c>
      <c r="I627" s="68"/>
      <c r="J627" s="65">
        <f t="shared" si="2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>
        <f>工程基本資料!$B$8+工程基本資料!$B$7+$L627+$M627-1</f>
        <v>-1</v>
      </c>
    </row>
    <row r="628" spans="1:16" x14ac:dyDescent="0.3">
      <c r="A628" s="60"/>
      <c r="B628" s="61">
        <f t="shared" si="28"/>
        <v>625</v>
      </c>
      <c r="C628" s="62"/>
      <c r="D628" s="62"/>
      <c r="E628" s="68"/>
      <c r="F628" s="68"/>
      <c r="G628" s="68"/>
      <c r="H628" s="64">
        <f t="shared" si="27"/>
        <v>0</v>
      </c>
      <c r="I628" s="68"/>
      <c r="J628" s="65">
        <f t="shared" si="2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>
        <f>工程基本資料!$B$8+工程基本資料!$B$7+$L628+$M628-1</f>
        <v>-1</v>
      </c>
    </row>
    <row r="629" spans="1:16" x14ac:dyDescent="0.3">
      <c r="A629" s="60"/>
      <c r="B629" s="61">
        <f t="shared" si="28"/>
        <v>626</v>
      </c>
      <c r="C629" s="62"/>
      <c r="D629" s="62"/>
      <c r="E629" s="68"/>
      <c r="F629" s="68"/>
      <c r="G629" s="68"/>
      <c r="H629" s="64">
        <f t="shared" si="27"/>
        <v>0</v>
      </c>
      <c r="I629" s="68"/>
      <c r="J629" s="65">
        <f t="shared" si="2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>
        <f>工程基本資料!$B$8+工程基本資料!$B$7+$L629+$M629-1</f>
        <v>-1</v>
      </c>
    </row>
    <row r="630" spans="1:16" x14ac:dyDescent="0.3">
      <c r="A630" s="60"/>
      <c r="B630" s="61">
        <f t="shared" si="28"/>
        <v>627</v>
      </c>
      <c r="C630" s="62"/>
      <c r="D630" s="62"/>
      <c r="E630" s="68"/>
      <c r="F630" s="68"/>
      <c r="G630" s="68"/>
      <c r="H630" s="64">
        <f t="shared" si="27"/>
        <v>0</v>
      </c>
      <c r="I630" s="68"/>
      <c r="J630" s="65">
        <f t="shared" si="2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>
        <f>工程基本資料!$B$8+工程基本資料!$B$7+$L630+$M630-1</f>
        <v>-1</v>
      </c>
    </row>
    <row r="631" spans="1:16" x14ac:dyDescent="0.3">
      <c r="A631" s="60"/>
      <c r="B631" s="61">
        <f t="shared" si="28"/>
        <v>628</v>
      </c>
      <c r="C631" s="62"/>
      <c r="D631" s="62"/>
      <c r="E631" s="68"/>
      <c r="F631" s="68"/>
      <c r="G631" s="68"/>
      <c r="H631" s="64">
        <f t="shared" si="27"/>
        <v>0</v>
      </c>
      <c r="I631" s="68"/>
      <c r="J631" s="65">
        <f t="shared" si="2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>
        <f>工程基本資料!$B$8+工程基本資料!$B$7+$L631+$M631-1</f>
        <v>-1</v>
      </c>
    </row>
    <row r="632" spans="1:16" x14ac:dyDescent="0.3">
      <c r="A632" s="60"/>
      <c r="B632" s="61">
        <f t="shared" si="28"/>
        <v>629</v>
      </c>
      <c r="C632" s="62"/>
      <c r="D632" s="62"/>
      <c r="E632" s="68"/>
      <c r="F632" s="68"/>
      <c r="G632" s="68"/>
      <c r="H632" s="64">
        <f t="shared" si="27"/>
        <v>0</v>
      </c>
      <c r="I632" s="68"/>
      <c r="J632" s="65">
        <f t="shared" si="2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>
        <f>工程基本資料!$B$8+工程基本資料!$B$7+$L632+$M632-1</f>
        <v>-1</v>
      </c>
    </row>
    <row r="633" spans="1:16" x14ac:dyDescent="0.3">
      <c r="A633" s="60"/>
      <c r="B633" s="61">
        <f t="shared" si="28"/>
        <v>630</v>
      </c>
      <c r="C633" s="62"/>
      <c r="D633" s="62"/>
      <c r="E633" s="68"/>
      <c r="F633" s="68"/>
      <c r="G633" s="68"/>
      <c r="H633" s="64">
        <f t="shared" si="27"/>
        <v>0</v>
      </c>
      <c r="I633" s="68"/>
      <c r="J633" s="65">
        <f t="shared" si="2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>
        <f>工程基本資料!$B$8+工程基本資料!$B$7+$L633+$M633-1</f>
        <v>-1</v>
      </c>
    </row>
    <row r="634" spans="1:16" x14ac:dyDescent="0.3">
      <c r="A634" s="60"/>
      <c r="B634" s="61">
        <f t="shared" si="28"/>
        <v>631</v>
      </c>
      <c r="C634" s="62"/>
      <c r="D634" s="62"/>
      <c r="E634" s="68"/>
      <c r="F634" s="68"/>
      <c r="G634" s="68"/>
      <c r="H634" s="64">
        <f t="shared" si="27"/>
        <v>0</v>
      </c>
      <c r="I634" s="68"/>
      <c r="J634" s="65">
        <f t="shared" si="2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>
        <f>工程基本資料!$B$8+工程基本資料!$B$7+$L634+$M634-1</f>
        <v>-1</v>
      </c>
    </row>
    <row r="635" spans="1:16" x14ac:dyDescent="0.3">
      <c r="A635" s="60"/>
      <c r="B635" s="61">
        <f t="shared" si="28"/>
        <v>632</v>
      </c>
      <c r="C635" s="62"/>
      <c r="D635" s="62"/>
      <c r="E635" s="68"/>
      <c r="F635" s="68"/>
      <c r="G635" s="68"/>
      <c r="H635" s="64">
        <f t="shared" si="27"/>
        <v>0</v>
      </c>
      <c r="I635" s="68"/>
      <c r="J635" s="65">
        <f t="shared" si="2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>
        <f>工程基本資料!$B$8+工程基本資料!$B$7+$L635+$M635-1</f>
        <v>-1</v>
      </c>
    </row>
    <row r="636" spans="1:16" x14ac:dyDescent="0.3">
      <c r="A636" s="60"/>
      <c r="B636" s="61">
        <f t="shared" si="28"/>
        <v>633</v>
      </c>
      <c r="C636" s="62"/>
      <c r="D636" s="62"/>
      <c r="E636" s="68"/>
      <c r="F636" s="68"/>
      <c r="G636" s="68"/>
      <c r="H636" s="64">
        <f t="shared" si="27"/>
        <v>0</v>
      </c>
      <c r="I636" s="68"/>
      <c r="J636" s="65">
        <f t="shared" si="2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>
        <f>工程基本資料!$B$8+工程基本資料!$B$7+$L636+$M636-1</f>
        <v>-1</v>
      </c>
    </row>
    <row r="637" spans="1:16" x14ac:dyDescent="0.3">
      <c r="A637" s="60"/>
      <c r="B637" s="61">
        <f t="shared" si="28"/>
        <v>634</v>
      </c>
      <c r="C637" s="62"/>
      <c r="D637" s="62"/>
      <c r="E637" s="68"/>
      <c r="F637" s="68"/>
      <c r="G637" s="68"/>
      <c r="H637" s="64">
        <f t="shared" si="27"/>
        <v>0</v>
      </c>
      <c r="I637" s="68"/>
      <c r="J637" s="65">
        <f t="shared" si="2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>
        <f>工程基本資料!$B$8+工程基本資料!$B$7+$L637+$M637-1</f>
        <v>-1</v>
      </c>
    </row>
    <row r="638" spans="1:16" x14ac:dyDescent="0.3">
      <c r="A638" s="60"/>
      <c r="B638" s="61">
        <f t="shared" si="28"/>
        <v>635</v>
      </c>
      <c r="C638" s="62"/>
      <c r="D638" s="62"/>
      <c r="E638" s="68"/>
      <c r="F638" s="68"/>
      <c r="G638" s="68"/>
      <c r="H638" s="64">
        <f t="shared" si="27"/>
        <v>0</v>
      </c>
      <c r="I638" s="68"/>
      <c r="J638" s="65">
        <f t="shared" si="2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>
        <f>工程基本資料!$B$8+工程基本資料!$B$7+$L638+$M638-1</f>
        <v>-1</v>
      </c>
    </row>
    <row r="639" spans="1:16" x14ac:dyDescent="0.3">
      <c r="A639" s="60"/>
      <c r="B639" s="61">
        <f t="shared" si="28"/>
        <v>636</v>
      </c>
      <c r="C639" s="62"/>
      <c r="D639" s="62"/>
      <c r="E639" s="68"/>
      <c r="F639" s="68"/>
      <c r="G639" s="68"/>
      <c r="H639" s="64">
        <f t="shared" si="27"/>
        <v>0</v>
      </c>
      <c r="I639" s="68"/>
      <c r="J639" s="65">
        <f t="shared" si="2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>
        <f>工程基本資料!$B$8+工程基本資料!$B$7+$L639+$M639-1</f>
        <v>-1</v>
      </c>
    </row>
    <row r="640" spans="1:16" x14ac:dyDescent="0.3">
      <c r="A640" s="60"/>
      <c r="B640" s="61">
        <f t="shared" si="28"/>
        <v>637</v>
      </c>
      <c r="C640" s="62"/>
      <c r="D640" s="62"/>
      <c r="E640" s="68"/>
      <c r="F640" s="68"/>
      <c r="G640" s="68"/>
      <c r="H640" s="64">
        <f t="shared" si="27"/>
        <v>0</v>
      </c>
      <c r="I640" s="68"/>
      <c r="J640" s="65">
        <f t="shared" si="2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>
        <f>工程基本資料!$B$8+工程基本資料!$B$7+$L640+$M640-1</f>
        <v>-1</v>
      </c>
    </row>
    <row r="641" spans="1:16" x14ac:dyDescent="0.3">
      <c r="A641" s="60"/>
      <c r="B641" s="61">
        <f t="shared" si="28"/>
        <v>638</v>
      </c>
      <c r="C641" s="62"/>
      <c r="D641" s="62"/>
      <c r="E641" s="68"/>
      <c r="F641" s="68"/>
      <c r="G641" s="68"/>
      <c r="H641" s="64">
        <f t="shared" si="27"/>
        <v>0</v>
      </c>
      <c r="I641" s="68"/>
      <c r="J641" s="65">
        <f t="shared" si="2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>
        <f>工程基本資料!$B$8+工程基本資料!$B$7+$L641+$M641-1</f>
        <v>-1</v>
      </c>
    </row>
    <row r="642" spans="1:16" x14ac:dyDescent="0.3">
      <c r="A642" s="60"/>
      <c r="B642" s="61">
        <f t="shared" si="28"/>
        <v>639</v>
      </c>
      <c r="C642" s="62"/>
      <c r="D642" s="62"/>
      <c r="E642" s="68"/>
      <c r="F642" s="68"/>
      <c r="G642" s="68"/>
      <c r="H642" s="64">
        <f t="shared" si="27"/>
        <v>0</v>
      </c>
      <c r="I642" s="68"/>
      <c r="J642" s="65">
        <f t="shared" si="2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>
        <f>工程基本資料!$B$8+工程基本資料!$B$7+$L642+$M642-1</f>
        <v>-1</v>
      </c>
    </row>
    <row r="643" spans="1:16" x14ac:dyDescent="0.3">
      <c r="A643" s="60"/>
      <c r="B643" s="61">
        <f t="shared" si="28"/>
        <v>640</v>
      </c>
      <c r="C643" s="62"/>
      <c r="D643" s="62"/>
      <c r="E643" s="68"/>
      <c r="F643" s="68"/>
      <c r="G643" s="68"/>
      <c r="H643" s="64">
        <f t="shared" si="27"/>
        <v>0</v>
      </c>
      <c r="I643" s="68"/>
      <c r="J643" s="65">
        <f t="shared" si="2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>
        <f>工程基本資料!$B$8+工程基本資料!$B$7+$L643+$M643-1</f>
        <v>-1</v>
      </c>
    </row>
    <row r="644" spans="1:16" x14ac:dyDescent="0.3">
      <c r="A644" s="60"/>
      <c r="B644" s="61">
        <f t="shared" si="28"/>
        <v>641</v>
      </c>
      <c r="C644" s="62"/>
      <c r="D644" s="62"/>
      <c r="E644" s="68"/>
      <c r="F644" s="68"/>
      <c r="G644" s="68"/>
      <c r="H644" s="64">
        <f t="shared" ref="H644" si="30">IF(Q644&gt;1,$R$3,$R$4)</f>
        <v>0</v>
      </c>
      <c r="I644" s="68"/>
      <c r="J644" s="65">
        <f t="shared" si="2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>
        <f>工程基本資料!$B$8+工程基本資料!$B$7+$L644+$M644-1</f>
        <v>-1</v>
      </c>
    </row>
    <row r="645" spans="1:16" x14ac:dyDescent="0.3">
      <c r="A645" s="60"/>
      <c r="B645" s="61">
        <f t="shared" ref="B645:B708" si="31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32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>
        <f>工程基本資料!$B$8+工程基本資料!$B$7+$L645+$M645-1</f>
        <v>-1</v>
      </c>
    </row>
    <row r="646" spans="1:16" x14ac:dyDescent="0.3">
      <c r="A646" s="60"/>
      <c r="B646" s="61">
        <f t="shared" si="31"/>
        <v>643</v>
      </c>
      <c r="C646" s="62"/>
      <c r="D646" s="62"/>
      <c r="E646" s="68"/>
      <c r="F646" s="68"/>
      <c r="G646" s="68"/>
      <c r="H646" s="64"/>
      <c r="I646" s="68"/>
      <c r="J646" s="65">
        <f t="shared" si="32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>
        <f>工程基本資料!$B$8+工程基本資料!$B$7+$L646+$M646-1</f>
        <v>-1</v>
      </c>
    </row>
    <row r="647" spans="1:16" x14ac:dyDescent="0.3">
      <c r="A647" s="60"/>
      <c r="B647" s="61">
        <f t="shared" si="31"/>
        <v>644</v>
      </c>
      <c r="C647" s="62"/>
      <c r="D647" s="62"/>
      <c r="E647" s="68"/>
      <c r="F647" s="68"/>
      <c r="G647" s="68"/>
      <c r="H647" s="64"/>
      <c r="I647" s="68"/>
      <c r="J647" s="65">
        <f t="shared" si="32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>
        <f>工程基本資料!$B$8+工程基本資料!$B$7+$L647+$M647-1</f>
        <v>-1</v>
      </c>
    </row>
    <row r="648" spans="1:16" x14ac:dyDescent="0.3">
      <c r="A648" s="60"/>
      <c r="B648" s="61">
        <f t="shared" si="31"/>
        <v>645</v>
      </c>
      <c r="C648" s="62"/>
      <c r="D648" s="62"/>
      <c r="E648" s="68"/>
      <c r="F648" s="68"/>
      <c r="G648" s="68"/>
      <c r="H648" s="64"/>
      <c r="I648" s="68"/>
      <c r="J648" s="65">
        <f t="shared" si="32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>
        <f>工程基本資料!$B$8+工程基本資料!$B$7+$L648+$M648-1</f>
        <v>-1</v>
      </c>
    </row>
    <row r="649" spans="1:16" x14ac:dyDescent="0.3">
      <c r="A649" s="60"/>
      <c r="B649" s="61">
        <f t="shared" si="31"/>
        <v>646</v>
      </c>
      <c r="C649" s="62"/>
      <c r="D649" s="62"/>
      <c r="E649" s="68"/>
      <c r="F649" s="68"/>
      <c r="G649" s="68"/>
      <c r="H649" s="64"/>
      <c r="I649" s="68"/>
      <c r="J649" s="65">
        <f t="shared" si="32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>
        <f>工程基本資料!$B$8+工程基本資料!$B$7+$L649+$M649-1</f>
        <v>-1</v>
      </c>
    </row>
    <row r="650" spans="1:16" x14ac:dyDescent="0.3">
      <c r="A650" s="60"/>
      <c r="B650" s="61">
        <f t="shared" si="31"/>
        <v>647</v>
      </c>
      <c r="C650" s="62"/>
      <c r="D650" s="62"/>
      <c r="E650" s="68"/>
      <c r="F650" s="68"/>
      <c r="G650" s="68"/>
      <c r="H650" s="64"/>
      <c r="I650" s="68"/>
      <c r="J650" s="65">
        <f t="shared" si="32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>
        <f>工程基本資料!$B$8+工程基本資料!$B$7+$L650+$M650-1</f>
        <v>-1</v>
      </c>
    </row>
    <row r="651" spans="1:16" x14ac:dyDescent="0.3">
      <c r="A651" s="60"/>
      <c r="B651" s="61">
        <f t="shared" si="31"/>
        <v>648</v>
      </c>
      <c r="C651" s="62"/>
      <c r="D651" s="62"/>
      <c r="E651" s="68"/>
      <c r="F651" s="68"/>
      <c r="G651" s="68"/>
      <c r="H651" s="64"/>
      <c r="I651" s="68"/>
      <c r="J651" s="65">
        <f t="shared" si="32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>
        <f>工程基本資料!$B$8+工程基本資料!$B$7+$L651+$M651-1</f>
        <v>-1</v>
      </c>
    </row>
    <row r="652" spans="1:16" x14ac:dyDescent="0.3">
      <c r="A652" s="60"/>
      <c r="B652" s="61">
        <f t="shared" si="31"/>
        <v>649</v>
      </c>
      <c r="C652" s="62"/>
      <c r="D652" s="62"/>
      <c r="E652" s="68"/>
      <c r="F652" s="68"/>
      <c r="G652" s="68"/>
      <c r="H652" s="64"/>
      <c r="I652" s="68"/>
      <c r="J652" s="65">
        <f t="shared" si="32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>
        <f>工程基本資料!$B$8+工程基本資料!$B$7+$L652+$M652-1</f>
        <v>-1</v>
      </c>
    </row>
    <row r="653" spans="1:16" x14ac:dyDescent="0.3">
      <c r="A653" s="60"/>
      <c r="B653" s="61">
        <f t="shared" si="31"/>
        <v>650</v>
      </c>
      <c r="C653" s="62"/>
      <c r="D653" s="62"/>
      <c r="E653" s="68"/>
      <c r="F653" s="68"/>
      <c r="G653" s="68"/>
      <c r="H653" s="64"/>
      <c r="I653" s="68"/>
      <c r="J653" s="65">
        <f t="shared" si="32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>
        <f>工程基本資料!$B$8+工程基本資料!$B$7+$L653+$M653-1</f>
        <v>-1</v>
      </c>
    </row>
    <row r="654" spans="1:16" x14ac:dyDescent="0.3">
      <c r="A654" s="60"/>
      <c r="B654" s="61">
        <f t="shared" si="31"/>
        <v>651</v>
      </c>
      <c r="C654" s="62"/>
      <c r="D654" s="62"/>
      <c r="E654" s="68"/>
      <c r="F654" s="68"/>
      <c r="G654" s="68"/>
      <c r="H654" s="64"/>
      <c r="I654" s="68"/>
      <c r="J654" s="65">
        <f t="shared" si="32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>
        <f>工程基本資料!$B$8+工程基本資料!$B$7+$L654+$M654-1</f>
        <v>-1</v>
      </c>
    </row>
    <row r="655" spans="1:16" x14ac:dyDescent="0.3">
      <c r="A655" s="60"/>
      <c r="B655" s="61">
        <f t="shared" si="31"/>
        <v>652</v>
      </c>
      <c r="C655" s="62"/>
      <c r="D655" s="62"/>
      <c r="E655" s="68"/>
      <c r="F655" s="68"/>
      <c r="G655" s="68"/>
      <c r="H655" s="64"/>
      <c r="I655" s="68"/>
      <c r="J655" s="65">
        <f t="shared" si="32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>
        <f>工程基本資料!$B$8+工程基本資料!$B$7+$L655+$M655-1</f>
        <v>-1</v>
      </c>
    </row>
    <row r="656" spans="1:16" x14ac:dyDescent="0.3">
      <c r="A656" s="60"/>
      <c r="B656" s="61">
        <f t="shared" si="31"/>
        <v>653</v>
      </c>
      <c r="C656" s="62"/>
      <c r="D656" s="62"/>
      <c r="E656" s="68"/>
      <c r="F656" s="68"/>
      <c r="G656" s="68"/>
      <c r="H656" s="64"/>
      <c r="I656" s="68"/>
      <c r="J656" s="65">
        <f t="shared" si="32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>
        <f>工程基本資料!$B$8+工程基本資料!$B$7+$L656+$M656-1</f>
        <v>-1</v>
      </c>
    </row>
    <row r="657" spans="1:16" x14ac:dyDescent="0.3">
      <c r="A657" s="60"/>
      <c r="B657" s="61">
        <f t="shared" si="31"/>
        <v>654</v>
      </c>
      <c r="C657" s="62"/>
      <c r="D657" s="62"/>
      <c r="E657" s="68"/>
      <c r="F657" s="68"/>
      <c r="G657" s="68"/>
      <c r="H657" s="64"/>
      <c r="I657" s="68"/>
      <c r="J657" s="65">
        <f t="shared" si="32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>
        <f>工程基本資料!$B$8+工程基本資料!$B$7+$L657+$M657-1</f>
        <v>-1</v>
      </c>
    </row>
    <row r="658" spans="1:16" x14ac:dyDescent="0.3">
      <c r="A658" s="60"/>
      <c r="B658" s="61">
        <f t="shared" si="31"/>
        <v>655</v>
      </c>
      <c r="C658" s="62"/>
      <c r="D658" s="62"/>
      <c r="E658" s="68"/>
      <c r="F658" s="68"/>
      <c r="G658" s="68"/>
      <c r="H658" s="64"/>
      <c r="I658" s="68"/>
      <c r="J658" s="65">
        <f t="shared" si="32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>
        <f>工程基本資料!$B$8+工程基本資料!$B$7+$L658+$M658-1</f>
        <v>-1</v>
      </c>
    </row>
    <row r="659" spans="1:16" x14ac:dyDescent="0.3">
      <c r="A659" s="60"/>
      <c r="B659" s="61">
        <f t="shared" si="31"/>
        <v>656</v>
      </c>
      <c r="C659" s="62"/>
      <c r="D659" s="62"/>
      <c r="E659" s="68"/>
      <c r="F659" s="68"/>
      <c r="G659" s="68"/>
      <c r="H659" s="64"/>
      <c r="I659" s="68"/>
      <c r="J659" s="65">
        <f t="shared" si="32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>
        <f>工程基本資料!$B$8+工程基本資料!$B$7+$L659+$M659-1</f>
        <v>-1</v>
      </c>
    </row>
    <row r="660" spans="1:16" x14ac:dyDescent="0.3">
      <c r="A660" s="60"/>
      <c r="B660" s="61">
        <f t="shared" si="31"/>
        <v>657</v>
      </c>
      <c r="C660" s="62"/>
      <c r="D660" s="62"/>
      <c r="E660" s="68"/>
      <c r="F660" s="68"/>
      <c r="G660" s="68"/>
      <c r="H660" s="64"/>
      <c r="I660" s="68"/>
      <c r="J660" s="65">
        <f t="shared" si="32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>
        <f>工程基本資料!$B$8+工程基本資料!$B$7+$L660+$M660-1</f>
        <v>-1</v>
      </c>
    </row>
    <row r="661" spans="1:16" x14ac:dyDescent="0.3">
      <c r="A661" s="60"/>
      <c r="B661" s="61">
        <f t="shared" si="31"/>
        <v>658</v>
      </c>
      <c r="C661" s="62"/>
      <c r="D661" s="62"/>
      <c r="E661" s="68"/>
      <c r="F661" s="68"/>
      <c r="G661" s="68"/>
      <c r="H661" s="64"/>
      <c r="I661" s="68"/>
      <c r="J661" s="65">
        <f t="shared" si="32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>
        <f>工程基本資料!$B$8+工程基本資料!$B$7+$L661+$M661-1</f>
        <v>-1</v>
      </c>
    </row>
    <row r="662" spans="1:16" x14ac:dyDescent="0.3">
      <c r="A662" s="60"/>
      <c r="B662" s="61">
        <f t="shared" si="31"/>
        <v>659</v>
      </c>
      <c r="C662" s="62"/>
      <c r="D662" s="62"/>
      <c r="E662" s="68"/>
      <c r="F662" s="68"/>
      <c r="G662" s="68"/>
      <c r="H662" s="64"/>
      <c r="I662" s="68"/>
      <c r="J662" s="65">
        <f t="shared" si="32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>
        <f>工程基本資料!$B$8+工程基本資料!$B$7+$L662+$M662-1</f>
        <v>-1</v>
      </c>
    </row>
    <row r="663" spans="1:16" x14ac:dyDescent="0.3">
      <c r="A663" s="60"/>
      <c r="B663" s="61">
        <f t="shared" si="31"/>
        <v>660</v>
      </c>
      <c r="C663" s="62"/>
      <c r="D663" s="62"/>
      <c r="E663" s="68"/>
      <c r="F663" s="68"/>
      <c r="G663" s="68"/>
      <c r="H663" s="64"/>
      <c r="I663" s="68"/>
      <c r="J663" s="65">
        <f t="shared" si="32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>
        <f>工程基本資料!$B$8+工程基本資料!$B$7+$L663+$M663-1</f>
        <v>-1</v>
      </c>
    </row>
    <row r="664" spans="1:16" x14ac:dyDescent="0.3">
      <c r="A664" s="60"/>
      <c r="B664" s="61">
        <f t="shared" si="31"/>
        <v>661</v>
      </c>
      <c r="C664" s="62"/>
      <c r="D664" s="62"/>
      <c r="E664" s="68"/>
      <c r="F664" s="68"/>
      <c r="G664" s="68"/>
      <c r="H664" s="64"/>
      <c r="I664" s="68"/>
      <c r="J664" s="65">
        <f t="shared" si="32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>
        <f>工程基本資料!$B$8+工程基本資料!$B$7+$L664+$M664-1</f>
        <v>-1</v>
      </c>
    </row>
    <row r="665" spans="1:16" x14ac:dyDescent="0.3">
      <c r="A665" s="60"/>
      <c r="B665" s="61">
        <f t="shared" si="31"/>
        <v>662</v>
      </c>
      <c r="C665" s="62"/>
      <c r="D665" s="62"/>
      <c r="E665" s="68"/>
      <c r="F665" s="68"/>
      <c r="G665" s="68"/>
      <c r="H665" s="64"/>
      <c r="I665" s="68"/>
      <c r="J665" s="65">
        <f t="shared" si="32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>
        <f>工程基本資料!$B$8+工程基本資料!$B$7+$L665+$M665-1</f>
        <v>-1</v>
      </c>
    </row>
    <row r="666" spans="1:16" x14ac:dyDescent="0.3">
      <c r="A666" s="60"/>
      <c r="B666" s="61">
        <f t="shared" si="31"/>
        <v>663</v>
      </c>
      <c r="C666" s="62"/>
      <c r="D666" s="62"/>
      <c r="E666" s="68"/>
      <c r="F666" s="68"/>
      <c r="G666" s="68"/>
      <c r="H666" s="64"/>
      <c r="I666" s="68"/>
      <c r="J666" s="65">
        <f t="shared" si="32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>
        <f>工程基本資料!$B$8+工程基本資料!$B$7+$L666+$M666-1</f>
        <v>-1</v>
      </c>
    </row>
    <row r="667" spans="1:16" x14ac:dyDescent="0.3">
      <c r="A667" s="60"/>
      <c r="B667" s="61">
        <f t="shared" si="31"/>
        <v>664</v>
      </c>
      <c r="C667" s="62"/>
      <c r="D667" s="62"/>
      <c r="E667" s="68"/>
      <c r="F667" s="68"/>
      <c r="G667" s="68"/>
      <c r="H667" s="64"/>
      <c r="I667" s="68"/>
      <c r="J667" s="65">
        <f t="shared" si="32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>
        <f>工程基本資料!$B$8+工程基本資料!$B$7+$L667+$M667-1</f>
        <v>-1</v>
      </c>
    </row>
    <row r="668" spans="1:16" x14ac:dyDescent="0.3">
      <c r="A668" s="60"/>
      <c r="B668" s="61">
        <f t="shared" si="31"/>
        <v>665</v>
      </c>
      <c r="C668" s="62"/>
      <c r="D668" s="62"/>
      <c r="E668" s="68"/>
      <c r="F668" s="68"/>
      <c r="G668" s="68"/>
      <c r="H668" s="64"/>
      <c r="I668" s="68"/>
      <c r="J668" s="65">
        <f t="shared" si="32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>
        <f>工程基本資料!$B$8+工程基本資料!$B$7+$L668+$M668-1</f>
        <v>-1</v>
      </c>
    </row>
    <row r="669" spans="1:16" x14ac:dyDescent="0.3">
      <c r="A669" s="60"/>
      <c r="B669" s="61">
        <f t="shared" si="31"/>
        <v>666</v>
      </c>
      <c r="C669" s="62"/>
      <c r="D669" s="62"/>
      <c r="E669" s="68"/>
      <c r="F669" s="68"/>
      <c r="G669" s="68"/>
      <c r="H669" s="64"/>
      <c r="I669" s="68"/>
      <c r="J669" s="65">
        <f t="shared" si="32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>
        <f>工程基本資料!$B$8+工程基本資料!$B$7+$L669+$M669-1</f>
        <v>-1</v>
      </c>
    </row>
    <row r="670" spans="1:16" x14ac:dyDescent="0.3">
      <c r="A670" s="60"/>
      <c r="B670" s="61">
        <f t="shared" si="31"/>
        <v>667</v>
      </c>
      <c r="C670" s="62"/>
      <c r="D670" s="62"/>
      <c r="E670" s="68"/>
      <c r="F670" s="68"/>
      <c r="G670" s="68"/>
      <c r="H670" s="64"/>
      <c r="I670" s="68"/>
      <c r="J670" s="65">
        <f t="shared" si="32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>
        <f>工程基本資料!$B$8+工程基本資料!$B$7+$L670+$M670-1</f>
        <v>-1</v>
      </c>
    </row>
    <row r="671" spans="1:16" x14ac:dyDescent="0.3">
      <c r="A671" s="60"/>
      <c r="B671" s="61">
        <f t="shared" si="31"/>
        <v>668</v>
      </c>
      <c r="C671" s="62"/>
      <c r="D671" s="62"/>
      <c r="E671" s="68"/>
      <c r="F671" s="68"/>
      <c r="G671" s="68"/>
      <c r="H671" s="64"/>
      <c r="I671" s="68"/>
      <c r="J671" s="65">
        <f t="shared" si="32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>
        <f>工程基本資料!$B$8+工程基本資料!$B$7+$L671+$M671-1</f>
        <v>-1</v>
      </c>
    </row>
    <row r="672" spans="1:16" x14ac:dyDescent="0.3">
      <c r="A672" s="60"/>
      <c r="B672" s="61">
        <f t="shared" si="31"/>
        <v>669</v>
      </c>
      <c r="C672" s="62"/>
      <c r="D672" s="62"/>
      <c r="E672" s="68"/>
      <c r="F672" s="68"/>
      <c r="G672" s="68"/>
      <c r="H672" s="64"/>
      <c r="I672" s="68"/>
      <c r="J672" s="65">
        <f t="shared" si="32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>
        <f>工程基本資料!$B$8+工程基本資料!$B$7+$L672+$M672-1</f>
        <v>-1</v>
      </c>
    </row>
    <row r="673" spans="1:16" x14ac:dyDescent="0.3">
      <c r="A673" s="60"/>
      <c r="B673" s="61">
        <f t="shared" si="31"/>
        <v>670</v>
      </c>
      <c r="C673" s="62"/>
      <c r="D673" s="62"/>
      <c r="E673" s="68"/>
      <c r="F673" s="68"/>
      <c r="G673" s="68"/>
      <c r="H673" s="64"/>
      <c r="I673" s="68"/>
      <c r="J673" s="65">
        <f t="shared" si="32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>
        <f>工程基本資料!$B$8+工程基本資料!$B$7+$L673+$M673-1</f>
        <v>-1</v>
      </c>
    </row>
    <row r="674" spans="1:16" x14ac:dyDescent="0.3">
      <c r="A674" s="60"/>
      <c r="B674" s="61">
        <f t="shared" si="31"/>
        <v>671</v>
      </c>
      <c r="C674" s="62"/>
      <c r="D674" s="62"/>
      <c r="E674" s="68"/>
      <c r="F674" s="68"/>
      <c r="G674" s="68"/>
      <c r="H674" s="64"/>
      <c r="I674" s="68"/>
      <c r="J674" s="65">
        <f t="shared" si="32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>
        <f>工程基本資料!$B$8+工程基本資料!$B$7+$L674+$M674-1</f>
        <v>-1</v>
      </c>
    </row>
    <row r="675" spans="1:16" x14ac:dyDescent="0.3">
      <c r="A675" s="60"/>
      <c r="B675" s="61">
        <f t="shared" si="31"/>
        <v>672</v>
      </c>
      <c r="C675" s="62"/>
      <c r="D675" s="62"/>
      <c r="E675" s="68"/>
      <c r="F675" s="68"/>
      <c r="G675" s="68"/>
      <c r="H675" s="64"/>
      <c r="I675" s="68"/>
      <c r="J675" s="65">
        <f t="shared" si="32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>
        <f>工程基本資料!$B$8+工程基本資料!$B$7+$L675+$M675-1</f>
        <v>-1</v>
      </c>
    </row>
    <row r="676" spans="1:16" x14ac:dyDescent="0.3">
      <c r="A676" s="60"/>
      <c r="B676" s="61">
        <f t="shared" si="31"/>
        <v>673</v>
      </c>
      <c r="C676" s="62"/>
      <c r="D676" s="62"/>
      <c r="E676" s="68"/>
      <c r="F676" s="68"/>
      <c r="G676" s="68"/>
      <c r="H676" s="64"/>
      <c r="I676" s="68"/>
      <c r="J676" s="65">
        <f t="shared" si="32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>
        <f>工程基本資料!$B$8+工程基本資料!$B$7+$L676+$M676-1</f>
        <v>-1</v>
      </c>
    </row>
    <row r="677" spans="1:16" x14ac:dyDescent="0.3">
      <c r="A677" s="60"/>
      <c r="B677" s="61">
        <f t="shared" si="31"/>
        <v>674</v>
      </c>
      <c r="C677" s="62"/>
      <c r="D677" s="62"/>
      <c r="E677" s="68"/>
      <c r="F677" s="68"/>
      <c r="G677" s="68"/>
      <c r="H677" s="64"/>
      <c r="I677" s="68"/>
      <c r="J677" s="65">
        <f t="shared" si="32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>
        <f>工程基本資料!$B$8+工程基本資料!$B$7+$L677+$M677-1</f>
        <v>-1</v>
      </c>
    </row>
    <row r="678" spans="1:16" x14ac:dyDescent="0.3">
      <c r="A678" s="60"/>
      <c r="B678" s="61">
        <f t="shared" si="31"/>
        <v>675</v>
      </c>
      <c r="C678" s="62"/>
      <c r="D678" s="62"/>
      <c r="E678" s="68"/>
      <c r="F678" s="68"/>
      <c r="G678" s="68"/>
      <c r="H678" s="64"/>
      <c r="I678" s="68"/>
      <c r="J678" s="65">
        <f t="shared" si="32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>
        <f>工程基本資料!$B$8+工程基本資料!$B$7+$L678+$M678-1</f>
        <v>-1</v>
      </c>
    </row>
    <row r="679" spans="1:16" x14ac:dyDescent="0.3">
      <c r="A679" s="60"/>
      <c r="B679" s="61">
        <f t="shared" si="31"/>
        <v>676</v>
      </c>
      <c r="C679" s="62"/>
      <c r="D679" s="62"/>
      <c r="E679" s="68"/>
      <c r="F679" s="68"/>
      <c r="G679" s="68"/>
      <c r="H679" s="64"/>
      <c r="I679" s="68"/>
      <c r="J679" s="65">
        <f t="shared" si="32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>
        <f>工程基本資料!$B$8+工程基本資料!$B$7+$L679+$M679-1</f>
        <v>-1</v>
      </c>
    </row>
    <row r="680" spans="1:16" x14ac:dyDescent="0.3">
      <c r="A680" s="60"/>
      <c r="B680" s="61">
        <f t="shared" si="31"/>
        <v>677</v>
      </c>
      <c r="C680" s="62"/>
      <c r="D680" s="62"/>
      <c r="E680" s="68"/>
      <c r="F680" s="68"/>
      <c r="G680" s="68"/>
      <c r="H680" s="64"/>
      <c r="I680" s="68"/>
      <c r="J680" s="65">
        <f t="shared" si="32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>
        <f>工程基本資料!$B$8+工程基本資料!$B$7+$L680+$M680-1</f>
        <v>-1</v>
      </c>
    </row>
    <row r="681" spans="1:16" x14ac:dyDescent="0.3">
      <c r="A681" s="60"/>
      <c r="B681" s="61">
        <f t="shared" si="31"/>
        <v>678</v>
      </c>
      <c r="C681" s="62"/>
      <c r="D681" s="62"/>
      <c r="E681" s="68"/>
      <c r="F681" s="68"/>
      <c r="G681" s="68"/>
      <c r="H681" s="64"/>
      <c r="I681" s="68"/>
      <c r="J681" s="65">
        <f t="shared" si="32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>
        <f>工程基本資料!$B$8+工程基本資料!$B$7+$L681+$M681-1</f>
        <v>-1</v>
      </c>
    </row>
    <row r="682" spans="1:16" x14ac:dyDescent="0.3">
      <c r="A682" s="60"/>
      <c r="B682" s="61">
        <f t="shared" si="31"/>
        <v>679</v>
      </c>
      <c r="C682" s="62"/>
      <c r="D682" s="62"/>
      <c r="E682" s="68"/>
      <c r="F682" s="68"/>
      <c r="G682" s="68"/>
      <c r="H682" s="64"/>
      <c r="I682" s="68"/>
      <c r="J682" s="65">
        <f t="shared" si="32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>
        <f>工程基本資料!$B$8+工程基本資料!$B$7+$L682+$M682-1</f>
        <v>-1</v>
      </c>
    </row>
    <row r="683" spans="1:16" x14ac:dyDescent="0.3">
      <c r="A683" s="60"/>
      <c r="B683" s="61">
        <f t="shared" si="31"/>
        <v>680</v>
      </c>
      <c r="C683" s="62"/>
      <c r="D683" s="62"/>
      <c r="E683" s="68"/>
      <c r="F683" s="68"/>
      <c r="G683" s="68"/>
      <c r="H683" s="64"/>
      <c r="I683" s="68"/>
      <c r="J683" s="65">
        <f t="shared" si="32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>
        <f>工程基本資料!$B$8+工程基本資料!$B$7+$L683+$M683-1</f>
        <v>-1</v>
      </c>
    </row>
    <row r="684" spans="1:16" x14ac:dyDescent="0.3">
      <c r="A684" s="60"/>
      <c r="B684" s="61">
        <f t="shared" si="31"/>
        <v>681</v>
      </c>
      <c r="C684" s="62"/>
      <c r="D684" s="62"/>
      <c r="E684" s="68"/>
      <c r="F684" s="68"/>
      <c r="G684" s="68"/>
      <c r="H684" s="64"/>
      <c r="I684" s="68"/>
      <c r="J684" s="65">
        <f t="shared" si="32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>
        <f>工程基本資料!$B$8+工程基本資料!$B$7+$L684+$M684-1</f>
        <v>-1</v>
      </c>
    </row>
    <row r="685" spans="1:16" x14ac:dyDescent="0.3">
      <c r="A685" s="60"/>
      <c r="B685" s="61">
        <f t="shared" si="31"/>
        <v>682</v>
      </c>
      <c r="C685" s="62"/>
      <c r="D685" s="62"/>
      <c r="E685" s="68"/>
      <c r="F685" s="68"/>
      <c r="G685" s="68"/>
      <c r="H685" s="64"/>
      <c r="I685" s="68"/>
      <c r="J685" s="65">
        <f t="shared" si="32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>
        <f>工程基本資料!$B$8+工程基本資料!$B$7+$L685+$M685-1</f>
        <v>-1</v>
      </c>
    </row>
    <row r="686" spans="1:16" x14ac:dyDescent="0.3">
      <c r="A686" s="60"/>
      <c r="B686" s="61">
        <f t="shared" si="31"/>
        <v>683</v>
      </c>
      <c r="C686" s="62"/>
      <c r="D686" s="62"/>
      <c r="E686" s="68"/>
      <c r="F686" s="68"/>
      <c r="G686" s="68"/>
      <c r="H686" s="64"/>
      <c r="I686" s="68"/>
      <c r="J686" s="65">
        <f t="shared" si="32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>
        <f>工程基本資料!$B$8+工程基本資料!$B$7+$L686+$M686-1</f>
        <v>-1</v>
      </c>
    </row>
    <row r="687" spans="1:16" x14ac:dyDescent="0.3">
      <c r="A687" s="60"/>
      <c r="B687" s="61">
        <f t="shared" si="31"/>
        <v>684</v>
      </c>
      <c r="C687" s="62"/>
      <c r="D687" s="62"/>
      <c r="E687" s="68"/>
      <c r="F687" s="68"/>
      <c r="G687" s="68"/>
      <c r="H687" s="64"/>
      <c r="I687" s="68"/>
      <c r="J687" s="65">
        <f t="shared" si="32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>
        <f>工程基本資料!$B$8+工程基本資料!$B$7+$L687+$M687-1</f>
        <v>-1</v>
      </c>
    </row>
    <row r="688" spans="1:16" x14ac:dyDescent="0.3">
      <c r="A688" s="60"/>
      <c r="B688" s="61">
        <f t="shared" si="31"/>
        <v>685</v>
      </c>
      <c r="C688" s="62"/>
      <c r="D688" s="62"/>
      <c r="E688" s="68"/>
      <c r="F688" s="68"/>
      <c r="G688" s="68"/>
      <c r="H688" s="64"/>
      <c r="I688" s="68"/>
      <c r="J688" s="65">
        <f t="shared" si="32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>
        <f>工程基本資料!$B$8+工程基本資料!$B$7+$L688+$M688-1</f>
        <v>-1</v>
      </c>
    </row>
    <row r="689" spans="1:16" x14ac:dyDescent="0.3">
      <c r="A689" s="60"/>
      <c r="B689" s="61">
        <f t="shared" si="31"/>
        <v>686</v>
      </c>
      <c r="C689" s="62"/>
      <c r="D689" s="62"/>
      <c r="E689" s="68"/>
      <c r="F689" s="68"/>
      <c r="G689" s="68"/>
      <c r="H689" s="64"/>
      <c r="I689" s="68"/>
      <c r="J689" s="65">
        <f t="shared" si="32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>
        <f>工程基本資料!$B$8+工程基本資料!$B$7+$L689+$M689-1</f>
        <v>-1</v>
      </c>
    </row>
    <row r="690" spans="1:16" x14ac:dyDescent="0.3">
      <c r="A690" s="60"/>
      <c r="B690" s="61">
        <f t="shared" si="31"/>
        <v>687</v>
      </c>
      <c r="C690" s="62"/>
      <c r="D690" s="62"/>
      <c r="E690" s="68"/>
      <c r="F690" s="68"/>
      <c r="G690" s="68"/>
      <c r="H690" s="64"/>
      <c r="I690" s="68"/>
      <c r="J690" s="65">
        <f t="shared" si="32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>
        <f>工程基本資料!$B$8+工程基本資料!$B$7+$L690+$M690-1</f>
        <v>-1</v>
      </c>
    </row>
    <row r="691" spans="1:16" x14ac:dyDescent="0.3">
      <c r="A691" s="60"/>
      <c r="B691" s="61">
        <f t="shared" si="31"/>
        <v>688</v>
      </c>
      <c r="C691" s="62"/>
      <c r="D691" s="62"/>
      <c r="E691" s="68"/>
      <c r="F691" s="68"/>
      <c r="G691" s="68"/>
      <c r="H691" s="64"/>
      <c r="I691" s="68"/>
      <c r="J691" s="65">
        <f t="shared" si="32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>
        <f>工程基本資料!$B$8+工程基本資料!$B$7+$L691+$M691-1</f>
        <v>-1</v>
      </c>
    </row>
    <row r="692" spans="1:16" x14ac:dyDescent="0.3">
      <c r="A692" s="60"/>
      <c r="B692" s="61">
        <f t="shared" si="31"/>
        <v>689</v>
      </c>
      <c r="C692" s="62"/>
      <c r="D692" s="62"/>
      <c r="E692" s="68"/>
      <c r="F692" s="68"/>
      <c r="G692" s="68"/>
      <c r="H692" s="64"/>
      <c r="I692" s="68"/>
      <c r="J692" s="65">
        <f t="shared" si="32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>
        <f>工程基本資料!$B$8+工程基本資料!$B$7+$L692+$M692-1</f>
        <v>-1</v>
      </c>
    </row>
    <row r="693" spans="1:16" x14ac:dyDescent="0.3">
      <c r="A693" s="60"/>
      <c r="B693" s="61">
        <f t="shared" si="31"/>
        <v>690</v>
      </c>
      <c r="C693" s="62"/>
      <c r="D693" s="62"/>
      <c r="E693" s="68"/>
      <c r="F693" s="68"/>
      <c r="G693" s="68"/>
      <c r="H693" s="64"/>
      <c r="I693" s="68"/>
      <c r="J693" s="65">
        <f t="shared" si="32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>
        <f>工程基本資料!$B$8+工程基本資料!$B$7+$L693+$M693-1</f>
        <v>-1</v>
      </c>
    </row>
    <row r="694" spans="1:16" x14ac:dyDescent="0.3">
      <c r="A694" s="60"/>
      <c r="B694" s="61">
        <f t="shared" si="31"/>
        <v>691</v>
      </c>
      <c r="C694" s="62"/>
      <c r="D694" s="62"/>
      <c r="E694" s="68"/>
      <c r="F694" s="68"/>
      <c r="G694" s="68"/>
      <c r="H694" s="64"/>
      <c r="I694" s="68"/>
      <c r="J694" s="65">
        <f t="shared" si="32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>
        <f>工程基本資料!$B$8+工程基本資料!$B$7+$L694+$M694-1</f>
        <v>-1</v>
      </c>
    </row>
    <row r="695" spans="1:16" x14ac:dyDescent="0.3">
      <c r="A695" s="60"/>
      <c r="B695" s="61">
        <f t="shared" si="31"/>
        <v>692</v>
      </c>
      <c r="C695" s="62"/>
      <c r="D695" s="62"/>
      <c r="E695" s="68"/>
      <c r="F695" s="68"/>
      <c r="G695" s="68"/>
      <c r="H695" s="64"/>
      <c r="I695" s="68"/>
      <c r="J695" s="65">
        <f t="shared" si="32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>
        <f>工程基本資料!$B$8+工程基本資料!$B$7+$L695+$M695-1</f>
        <v>-1</v>
      </c>
    </row>
    <row r="696" spans="1:16" x14ac:dyDescent="0.3">
      <c r="A696" s="60"/>
      <c r="B696" s="61">
        <f t="shared" si="31"/>
        <v>693</v>
      </c>
      <c r="C696" s="62"/>
      <c r="D696" s="62"/>
      <c r="E696" s="68"/>
      <c r="F696" s="68"/>
      <c r="G696" s="68"/>
      <c r="H696" s="64"/>
      <c r="I696" s="68"/>
      <c r="J696" s="65">
        <f t="shared" si="32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>
        <f>工程基本資料!$B$8+工程基本資料!$B$7+$L696+$M696-1</f>
        <v>-1</v>
      </c>
    </row>
    <row r="697" spans="1:16" x14ac:dyDescent="0.3">
      <c r="A697" s="60"/>
      <c r="B697" s="61">
        <f t="shared" si="31"/>
        <v>694</v>
      </c>
      <c r="C697" s="62"/>
      <c r="D697" s="62"/>
      <c r="E697" s="68"/>
      <c r="F697" s="68"/>
      <c r="G697" s="68"/>
      <c r="H697" s="64"/>
      <c r="I697" s="68"/>
      <c r="J697" s="65">
        <f t="shared" si="32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>
        <f>工程基本資料!$B$8+工程基本資料!$B$7+$L697+$M697-1</f>
        <v>-1</v>
      </c>
    </row>
    <row r="698" spans="1:16" x14ac:dyDescent="0.3">
      <c r="A698" s="60"/>
      <c r="B698" s="61">
        <f t="shared" si="31"/>
        <v>695</v>
      </c>
      <c r="C698" s="62"/>
      <c r="D698" s="62"/>
      <c r="E698" s="68"/>
      <c r="F698" s="68"/>
      <c r="G698" s="68"/>
      <c r="H698" s="64"/>
      <c r="I698" s="68"/>
      <c r="J698" s="65">
        <f t="shared" si="32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>
        <f>工程基本資料!$B$8+工程基本資料!$B$7+$L698+$M698-1</f>
        <v>-1</v>
      </c>
    </row>
    <row r="699" spans="1:16" x14ac:dyDescent="0.3">
      <c r="A699" s="60"/>
      <c r="B699" s="61">
        <f t="shared" si="31"/>
        <v>696</v>
      </c>
      <c r="C699" s="62"/>
      <c r="D699" s="62"/>
      <c r="E699" s="68"/>
      <c r="F699" s="68"/>
      <c r="G699" s="68"/>
      <c r="H699" s="64"/>
      <c r="I699" s="68"/>
      <c r="J699" s="65">
        <f t="shared" si="32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>
        <f>工程基本資料!$B$8+工程基本資料!$B$7+$L699+$M699-1</f>
        <v>-1</v>
      </c>
    </row>
    <row r="700" spans="1:16" x14ac:dyDescent="0.3">
      <c r="A700" s="60"/>
      <c r="B700" s="61">
        <f t="shared" si="31"/>
        <v>697</v>
      </c>
      <c r="C700" s="62"/>
      <c r="D700" s="62"/>
      <c r="E700" s="68"/>
      <c r="F700" s="68"/>
      <c r="G700" s="68"/>
      <c r="H700" s="64"/>
      <c r="I700" s="68"/>
      <c r="J700" s="65">
        <f t="shared" si="32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>
        <f>工程基本資料!$B$8+工程基本資料!$B$7+$L700+$M700-1</f>
        <v>-1</v>
      </c>
    </row>
    <row r="701" spans="1:16" x14ac:dyDescent="0.3">
      <c r="A701" s="60"/>
      <c r="B701" s="61">
        <f t="shared" si="31"/>
        <v>698</v>
      </c>
      <c r="C701" s="62"/>
      <c r="D701" s="62"/>
      <c r="E701" s="68"/>
      <c r="F701" s="68"/>
      <c r="G701" s="68"/>
      <c r="H701" s="64"/>
      <c r="I701" s="68"/>
      <c r="J701" s="65">
        <f t="shared" si="32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>
        <f>工程基本資料!$B$8+工程基本資料!$B$7+$L701+$M701-1</f>
        <v>-1</v>
      </c>
    </row>
    <row r="702" spans="1:16" x14ac:dyDescent="0.3">
      <c r="A702" s="60"/>
      <c r="B702" s="61">
        <f t="shared" si="31"/>
        <v>699</v>
      </c>
      <c r="C702" s="62"/>
      <c r="D702" s="62"/>
      <c r="E702" s="68"/>
      <c r="F702" s="68"/>
      <c r="G702" s="68"/>
      <c r="H702" s="64"/>
      <c r="I702" s="68"/>
      <c r="J702" s="65">
        <f t="shared" si="32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>
        <f>工程基本資料!$B$8+工程基本資料!$B$7+$L702+$M702-1</f>
        <v>-1</v>
      </c>
    </row>
    <row r="703" spans="1:16" x14ac:dyDescent="0.3">
      <c r="A703" s="60"/>
      <c r="B703" s="61">
        <f t="shared" si="31"/>
        <v>700</v>
      </c>
      <c r="C703" s="62"/>
      <c r="D703" s="62"/>
      <c r="E703" s="68"/>
      <c r="F703" s="68"/>
      <c r="G703" s="68"/>
      <c r="H703" s="64"/>
      <c r="I703" s="68"/>
      <c r="J703" s="65">
        <f t="shared" si="32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>
        <f>工程基本資料!$B$8+工程基本資料!$B$7+$L703+$M703-1</f>
        <v>-1</v>
      </c>
    </row>
    <row r="704" spans="1:16" x14ac:dyDescent="0.3">
      <c r="A704" s="60"/>
      <c r="B704" s="61">
        <f t="shared" si="31"/>
        <v>701</v>
      </c>
      <c r="C704" s="62"/>
      <c r="D704" s="62"/>
      <c r="E704" s="68"/>
      <c r="F704" s="68"/>
      <c r="G704" s="68"/>
      <c r="H704" s="64"/>
      <c r="I704" s="68"/>
      <c r="J704" s="65">
        <f t="shared" si="32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>
        <f>工程基本資料!$B$8+工程基本資料!$B$7+$L704+$M704-1</f>
        <v>-1</v>
      </c>
    </row>
    <row r="705" spans="1:16" x14ac:dyDescent="0.3">
      <c r="A705" s="60"/>
      <c r="B705" s="61">
        <f t="shared" si="31"/>
        <v>702</v>
      </c>
      <c r="C705" s="62"/>
      <c r="D705" s="62"/>
      <c r="E705" s="68"/>
      <c r="F705" s="68"/>
      <c r="G705" s="68"/>
      <c r="H705" s="64"/>
      <c r="I705" s="68"/>
      <c r="J705" s="65">
        <f t="shared" si="32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>
        <f>工程基本資料!$B$8+工程基本資料!$B$7+$L705+$M705-1</f>
        <v>-1</v>
      </c>
    </row>
    <row r="706" spans="1:16" x14ac:dyDescent="0.3">
      <c r="A706" s="60"/>
      <c r="B706" s="61">
        <f t="shared" si="31"/>
        <v>703</v>
      </c>
      <c r="C706" s="62"/>
      <c r="D706" s="62"/>
      <c r="E706" s="68"/>
      <c r="F706" s="68"/>
      <c r="G706" s="68"/>
      <c r="H706" s="64"/>
      <c r="I706" s="68"/>
      <c r="J706" s="65">
        <f t="shared" si="32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>
        <f>工程基本資料!$B$8+工程基本資料!$B$7+$L706+$M706-1</f>
        <v>-1</v>
      </c>
    </row>
    <row r="707" spans="1:16" x14ac:dyDescent="0.3">
      <c r="A707" s="60"/>
      <c r="B707" s="61">
        <f t="shared" si="31"/>
        <v>704</v>
      </c>
      <c r="C707" s="62"/>
      <c r="D707" s="62"/>
      <c r="E707" s="68"/>
      <c r="F707" s="68"/>
      <c r="G707" s="68"/>
      <c r="H707" s="64"/>
      <c r="I707" s="68"/>
      <c r="J707" s="65">
        <f t="shared" si="32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>
        <f>工程基本資料!$B$8+工程基本資料!$B$7+$L707+$M707-1</f>
        <v>-1</v>
      </c>
    </row>
    <row r="708" spans="1:16" x14ac:dyDescent="0.3">
      <c r="A708" s="60"/>
      <c r="B708" s="61">
        <f t="shared" si="31"/>
        <v>705</v>
      </c>
      <c r="C708" s="62"/>
      <c r="D708" s="62"/>
      <c r="E708" s="68"/>
      <c r="F708" s="68"/>
      <c r="G708" s="68"/>
      <c r="H708" s="64"/>
      <c r="I708" s="68"/>
      <c r="J708" s="65">
        <f t="shared" si="32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>
        <f>工程基本資料!$B$8+工程基本資料!$B$7+$L708+$M708-1</f>
        <v>-1</v>
      </c>
    </row>
    <row r="709" spans="1:16" x14ac:dyDescent="0.3">
      <c r="A709" s="60"/>
      <c r="B709" s="61">
        <f t="shared" ref="B709:B763" si="33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34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>
        <f>工程基本資料!$B$8+工程基本資料!$B$7+$L709+$M709-1</f>
        <v>-1</v>
      </c>
    </row>
    <row r="710" spans="1:16" x14ac:dyDescent="0.3">
      <c r="A710" s="60"/>
      <c r="B710" s="61">
        <f t="shared" si="33"/>
        <v>707</v>
      </c>
      <c r="C710" s="62"/>
      <c r="D710" s="62"/>
      <c r="E710" s="68"/>
      <c r="F710" s="68"/>
      <c r="G710" s="68"/>
      <c r="H710" s="64"/>
      <c r="I710" s="68"/>
      <c r="J710" s="65">
        <f t="shared" si="34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>
        <f>工程基本資料!$B$8+工程基本資料!$B$7+$L710+$M710-1</f>
        <v>-1</v>
      </c>
    </row>
    <row r="711" spans="1:16" x14ac:dyDescent="0.3">
      <c r="A711" s="60"/>
      <c r="B711" s="61">
        <f t="shared" si="33"/>
        <v>708</v>
      </c>
      <c r="C711" s="62"/>
      <c r="D711" s="62"/>
      <c r="E711" s="68"/>
      <c r="F711" s="68"/>
      <c r="G711" s="68"/>
      <c r="H711" s="64"/>
      <c r="I711" s="68"/>
      <c r="J711" s="65">
        <f t="shared" si="34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>
        <f>工程基本資料!$B$8+工程基本資料!$B$7+$L711+$M711-1</f>
        <v>-1</v>
      </c>
    </row>
    <row r="712" spans="1:16" x14ac:dyDescent="0.3">
      <c r="A712" s="60"/>
      <c r="B712" s="61">
        <f t="shared" si="33"/>
        <v>709</v>
      </c>
      <c r="C712" s="62"/>
      <c r="D712" s="62"/>
      <c r="E712" s="68"/>
      <c r="F712" s="68"/>
      <c r="G712" s="68"/>
      <c r="H712" s="64"/>
      <c r="I712" s="68"/>
      <c r="J712" s="65">
        <f t="shared" si="34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>
        <f>工程基本資料!$B$8+工程基本資料!$B$7+$L712+$M712-1</f>
        <v>-1</v>
      </c>
    </row>
    <row r="713" spans="1:16" x14ac:dyDescent="0.3">
      <c r="A713" s="60"/>
      <c r="B713" s="61">
        <f t="shared" si="33"/>
        <v>710</v>
      </c>
      <c r="C713" s="62"/>
      <c r="D713" s="62"/>
      <c r="E713" s="68"/>
      <c r="F713" s="68"/>
      <c r="G713" s="68"/>
      <c r="H713" s="64"/>
      <c r="I713" s="68"/>
      <c r="J713" s="65">
        <f t="shared" si="34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>
        <f>工程基本資料!$B$8+工程基本資料!$B$7+$L713+$M713-1</f>
        <v>-1</v>
      </c>
    </row>
    <row r="714" spans="1:16" x14ac:dyDescent="0.3">
      <c r="A714" s="60"/>
      <c r="B714" s="61">
        <f t="shared" si="33"/>
        <v>711</v>
      </c>
      <c r="C714" s="62"/>
      <c r="D714" s="62"/>
      <c r="E714" s="68"/>
      <c r="F714" s="68"/>
      <c r="G714" s="68"/>
      <c r="H714" s="64"/>
      <c r="I714" s="68"/>
      <c r="J714" s="65">
        <f t="shared" si="34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>
        <f>工程基本資料!$B$8+工程基本資料!$B$7+$L714+$M714-1</f>
        <v>-1</v>
      </c>
    </row>
    <row r="715" spans="1:16" x14ac:dyDescent="0.3">
      <c r="A715" s="60"/>
      <c r="B715" s="61">
        <f t="shared" si="33"/>
        <v>712</v>
      </c>
      <c r="C715" s="62"/>
      <c r="D715" s="62"/>
      <c r="E715" s="68"/>
      <c r="F715" s="68"/>
      <c r="G715" s="68"/>
      <c r="H715" s="64"/>
      <c r="I715" s="68"/>
      <c r="J715" s="65">
        <f t="shared" si="34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>
        <f>工程基本資料!$B$8+工程基本資料!$B$7+$L715+$M715-1</f>
        <v>-1</v>
      </c>
    </row>
    <row r="716" spans="1:16" x14ac:dyDescent="0.3">
      <c r="A716" s="60"/>
      <c r="B716" s="61">
        <f t="shared" si="33"/>
        <v>713</v>
      </c>
      <c r="C716" s="62"/>
      <c r="D716" s="62"/>
      <c r="E716" s="68"/>
      <c r="F716" s="68"/>
      <c r="G716" s="68"/>
      <c r="H716" s="64"/>
      <c r="I716" s="68"/>
      <c r="J716" s="65">
        <f t="shared" si="34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>
        <f>工程基本資料!$B$8+工程基本資料!$B$7+$L716+$M716-1</f>
        <v>-1</v>
      </c>
    </row>
    <row r="717" spans="1:16" x14ac:dyDescent="0.3">
      <c r="A717" s="60"/>
      <c r="B717" s="61">
        <f t="shared" si="33"/>
        <v>714</v>
      </c>
      <c r="C717" s="62"/>
      <c r="D717" s="62"/>
      <c r="E717" s="68"/>
      <c r="F717" s="68"/>
      <c r="G717" s="68"/>
      <c r="H717" s="64"/>
      <c r="I717" s="68"/>
      <c r="J717" s="65">
        <f t="shared" si="34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>
        <f>工程基本資料!$B$8+工程基本資料!$B$7+$L717+$M717-1</f>
        <v>-1</v>
      </c>
    </row>
    <row r="718" spans="1:16" x14ac:dyDescent="0.3">
      <c r="A718" s="60"/>
      <c r="B718" s="61">
        <f t="shared" si="33"/>
        <v>715</v>
      </c>
      <c r="C718" s="62"/>
      <c r="D718" s="62"/>
      <c r="E718" s="68"/>
      <c r="F718" s="68"/>
      <c r="G718" s="68"/>
      <c r="H718" s="64"/>
      <c r="I718" s="68"/>
      <c r="J718" s="65">
        <f t="shared" si="34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>
        <f>工程基本資料!$B$8+工程基本資料!$B$7+$L718+$M718-1</f>
        <v>-1</v>
      </c>
    </row>
    <row r="719" spans="1:16" x14ac:dyDescent="0.3">
      <c r="A719" s="60"/>
      <c r="B719" s="61">
        <f t="shared" si="33"/>
        <v>716</v>
      </c>
      <c r="C719" s="62"/>
      <c r="D719" s="62"/>
      <c r="E719" s="68"/>
      <c r="F719" s="68"/>
      <c r="G719" s="68"/>
      <c r="H719" s="64"/>
      <c r="I719" s="68"/>
      <c r="J719" s="65">
        <f t="shared" si="34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>
        <f>工程基本資料!$B$8+工程基本資料!$B$7+$L719+$M719-1</f>
        <v>-1</v>
      </c>
    </row>
    <row r="720" spans="1:16" x14ac:dyDescent="0.3">
      <c r="A720" s="60"/>
      <c r="B720" s="61">
        <f t="shared" si="33"/>
        <v>717</v>
      </c>
      <c r="C720" s="62"/>
      <c r="D720" s="62"/>
      <c r="E720" s="68"/>
      <c r="F720" s="68"/>
      <c r="G720" s="68"/>
      <c r="H720" s="64"/>
      <c r="I720" s="68"/>
      <c r="J720" s="65">
        <f t="shared" si="34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>
        <f>工程基本資料!$B$8+工程基本資料!$B$7+$L720+$M720-1</f>
        <v>-1</v>
      </c>
    </row>
    <row r="721" spans="1:16" x14ac:dyDescent="0.3">
      <c r="A721" s="60"/>
      <c r="B721" s="61">
        <f t="shared" si="33"/>
        <v>718</v>
      </c>
      <c r="C721" s="62"/>
      <c r="D721" s="62"/>
      <c r="E721" s="68"/>
      <c r="F721" s="68"/>
      <c r="G721" s="68"/>
      <c r="H721" s="64"/>
      <c r="I721" s="68"/>
      <c r="J721" s="65">
        <f t="shared" si="34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>
        <f>工程基本資料!$B$8+工程基本資料!$B$7+$L721+$M721-1</f>
        <v>-1</v>
      </c>
    </row>
    <row r="722" spans="1:16" x14ac:dyDescent="0.3">
      <c r="A722" s="60"/>
      <c r="B722" s="61">
        <f t="shared" si="33"/>
        <v>719</v>
      </c>
      <c r="C722" s="62"/>
      <c r="D722" s="62"/>
      <c r="E722" s="68"/>
      <c r="F722" s="68"/>
      <c r="G722" s="68"/>
      <c r="H722" s="64"/>
      <c r="I722" s="68"/>
      <c r="J722" s="65">
        <f t="shared" si="34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>
        <f>工程基本資料!$B$8+工程基本資料!$B$7+$L722+$M722-1</f>
        <v>-1</v>
      </c>
    </row>
    <row r="723" spans="1:16" x14ac:dyDescent="0.3">
      <c r="A723" s="60"/>
      <c r="B723" s="61">
        <f t="shared" si="33"/>
        <v>720</v>
      </c>
      <c r="C723" s="62"/>
      <c r="D723" s="62"/>
      <c r="E723" s="68"/>
      <c r="F723" s="68"/>
      <c r="G723" s="68"/>
      <c r="H723" s="64"/>
      <c r="I723" s="68"/>
      <c r="J723" s="65">
        <f t="shared" si="34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>
        <f>工程基本資料!$B$8+工程基本資料!$B$7+$L723+$M723-1</f>
        <v>-1</v>
      </c>
    </row>
    <row r="724" spans="1:16" x14ac:dyDescent="0.3">
      <c r="A724" s="60"/>
      <c r="B724" s="61">
        <f t="shared" si="33"/>
        <v>721</v>
      </c>
      <c r="C724" s="62"/>
      <c r="D724" s="62"/>
      <c r="E724" s="68"/>
      <c r="F724" s="68"/>
      <c r="G724" s="68"/>
      <c r="H724" s="64"/>
      <c r="I724" s="68"/>
      <c r="J724" s="65">
        <f t="shared" si="34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>
        <f>工程基本資料!$B$8+工程基本資料!$B$7+$L724+$M724-1</f>
        <v>-1</v>
      </c>
    </row>
    <row r="725" spans="1:16" x14ac:dyDescent="0.3">
      <c r="A725" s="60"/>
      <c r="B725" s="61">
        <f t="shared" si="33"/>
        <v>722</v>
      </c>
      <c r="C725" s="62"/>
      <c r="D725" s="62"/>
      <c r="E725" s="68"/>
      <c r="F725" s="68"/>
      <c r="G725" s="68"/>
      <c r="H725" s="64"/>
      <c r="I725" s="68"/>
      <c r="J725" s="65">
        <f t="shared" si="34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>
        <f>工程基本資料!$B$8+工程基本資料!$B$7+$L725+$M725-1</f>
        <v>-1</v>
      </c>
    </row>
    <row r="726" spans="1:16" x14ac:dyDescent="0.3">
      <c r="A726" s="60"/>
      <c r="B726" s="61">
        <f t="shared" si="33"/>
        <v>723</v>
      </c>
      <c r="C726" s="62"/>
      <c r="D726" s="62"/>
      <c r="E726" s="68"/>
      <c r="F726" s="68"/>
      <c r="G726" s="68"/>
      <c r="H726" s="64"/>
      <c r="I726" s="68"/>
      <c r="J726" s="65">
        <f t="shared" si="34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>
        <f>工程基本資料!$B$8+工程基本資料!$B$7+$L726+$M726-1</f>
        <v>-1</v>
      </c>
    </row>
    <row r="727" spans="1:16" x14ac:dyDescent="0.3">
      <c r="A727" s="60"/>
      <c r="B727" s="61">
        <f t="shared" si="33"/>
        <v>724</v>
      </c>
      <c r="C727" s="62"/>
      <c r="D727" s="62"/>
      <c r="E727" s="68"/>
      <c r="F727" s="68"/>
      <c r="G727" s="68"/>
      <c r="H727" s="64"/>
      <c r="I727" s="68"/>
      <c r="J727" s="65">
        <f t="shared" si="34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>
        <f>工程基本資料!$B$8+工程基本資料!$B$7+$L727+$M727-1</f>
        <v>-1</v>
      </c>
    </row>
    <row r="728" spans="1:16" x14ac:dyDescent="0.3">
      <c r="A728" s="60"/>
      <c r="B728" s="61">
        <f t="shared" si="33"/>
        <v>725</v>
      </c>
      <c r="C728" s="62"/>
      <c r="D728" s="62"/>
      <c r="E728" s="68"/>
      <c r="F728" s="68"/>
      <c r="G728" s="68"/>
      <c r="H728" s="64"/>
      <c r="I728" s="68"/>
      <c r="J728" s="65">
        <f t="shared" si="34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>
        <f>工程基本資料!$B$8+工程基本資料!$B$7+$L728+$M728-1</f>
        <v>-1</v>
      </c>
    </row>
    <row r="729" spans="1:16" x14ac:dyDescent="0.3">
      <c r="A729" s="60"/>
      <c r="B729" s="61">
        <f t="shared" si="33"/>
        <v>726</v>
      </c>
      <c r="C729" s="62"/>
      <c r="D729" s="62"/>
      <c r="E729" s="68"/>
      <c r="F729" s="68"/>
      <c r="G729" s="68"/>
      <c r="H729" s="64"/>
      <c r="I729" s="68"/>
      <c r="J729" s="65">
        <f t="shared" si="34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>
        <f>工程基本資料!$B$8+工程基本資料!$B$7+$L729+$M729-1</f>
        <v>-1</v>
      </c>
    </row>
    <row r="730" spans="1:16" x14ac:dyDescent="0.3">
      <c r="A730" s="60"/>
      <c r="B730" s="61">
        <f t="shared" si="33"/>
        <v>727</v>
      </c>
      <c r="C730" s="62"/>
      <c r="D730" s="62"/>
      <c r="E730" s="68"/>
      <c r="F730" s="68"/>
      <c r="G730" s="68"/>
      <c r="H730" s="64"/>
      <c r="I730" s="68"/>
      <c r="J730" s="65">
        <f t="shared" si="34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>
        <f>工程基本資料!$B$8+工程基本資料!$B$7+$L730+$M730-1</f>
        <v>-1</v>
      </c>
    </row>
    <row r="731" spans="1:16" x14ac:dyDescent="0.3">
      <c r="A731" s="60"/>
      <c r="B731" s="61">
        <f t="shared" si="33"/>
        <v>728</v>
      </c>
      <c r="C731" s="62"/>
      <c r="D731" s="62"/>
      <c r="E731" s="68"/>
      <c r="F731" s="68"/>
      <c r="G731" s="68"/>
      <c r="H731" s="64"/>
      <c r="I731" s="68"/>
      <c r="J731" s="65">
        <f t="shared" si="34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>
        <f>工程基本資料!$B$8+工程基本資料!$B$7+$L731+$M731-1</f>
        <v>-1</v>
      </c>
    </row>
    <row r="732" spans="1:16" x14ac:dyDescent="0.3">
      <c r="A732" s="60"/>
      <c r="B732" s="61">
        <f t="shared" si="33"/>
        <v>729</v>
      </c>
      <c r="C732" s="62"/>
      <c r="D732" s="62"/>
      <c r="E732" s="68"/>
      <c r="F732" s="68"/>
      <c r="G732" s="68"/>
      <c r="H732" s="64"/>
      <c r="I732" s="68"/>
      <c r="J732" s="65">
        <f t="shared" si="34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>
        <f>工程基本資料!$B$8+工程基本資料!$B$7+$L732+$M732-1</f>
        <v>-1</v>
      </c>
    </row>
    <row r="733" spans="1:16" x14ac:dyDescent="0.3">
      <c r="A733" s="60"/>
      <c r="B733" s="61">
        <f t="shared" si="33"/>
        <v>730</v>
      </c>
      <c r="C733" s="62"/>
      <c r="D733" s="62"/>
      <c r="E733" s="68"/>
      <c r="F733" s="68"/>
      <c r="G733" s="68"/>
      <c r="H733" s="64"/>
      <c r="I733" s="68"/>
      <c r="J733" s="65">
        <f t="shared" si="34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>
        <f>工程基本資料!$B$8+工程基本資料!$B$7+$L733+$M733-1</f>
        <v>-1</v>
      </c>
    </row>
    <row r="734" spans="1:16" x14ac:dyDescent="0.3">
      <c r="A734" s="60"/>
      <c r="B734" s="61">
        <f t="shared" si="33"/>
        <v>731</v>
      </c>
      <c r="C734" s="62"/>
      <c r="D734" s="62"/>
      <c r="E734" s="68"/>
      <c r="F734" s="68"/>
      <c r="G734" s="68"/>
      <c r="H734" s="64"/>
      <c r="I734" s="68"/>
      <c r="J734" s="65">
        <f t="shared" si="34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>
        <f>工程基本資料!$B$8+工程基本資料!$B$7+$L734+$M734-1</f>
        <v>-1</v>
      </c>
    </row>
    <row r="735" spans="1:16" x14ac:dyDescent="0.3">
      <c r="A735" s="60"/>
      <c r="B735" s="61">
        <f t="shared" si="33"/>
        <v>732</v>
      </c>
      <c r="C735" s="62"/>
      <c r="D735" s="62"/>
      <c r="E735" s="68"/>
      <c r="F735" s="68"/>
      <c r="G735" s="68"/>
      <c r="H735" s="64"/>
      <c r="I735" s="68"/>
      <c r="J735" s="65">
        <f t="shared" si="34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>
        <f>工程基本資料!$B$8+工程基本資料!$B$7+$L735+$M735-1</f>
        <v>-1</v>
      </c>
    </row>
    <row r="736" spans="1:16" x14ac:dyDescent="0.3">
      <c r="A736" s="60"/>
      <c r="B736" s="61">
        <f t="shared" si="33"/>
        <v>733</v>
      </c>
      <c r="C736" s="62"/>
      <c r="D736" s="62"/>
      <c r="E736" s="68"/>
      <c r="F736" s="68"/>
      <c r="G736" s="68"/>
      <c r="H736" s="64"/>
      <c r="I736" s="68"/>
      <c r="J736" s="65">
        <f t="shared" si="34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>
        <f>工程基本資料!$B$8+工程基本資料!$B$7+$L736+$M736-1</f>
        <v>-1</v>
      </c>
    </row>
    <row r="737" spans="1:16" x14ac:dyDescent="0.3">
      <c r="A737" s="60"/>
      <c r="B737" s="61">
        <f t="shared" si="33"/>
        <v>734</v>
      </c>
      <c r="C737" s="62"/>
      <c r="D737" s="62"/>
      <c r="E737" s="68"/>
      <c r="F737" s="68"/>
      <c r="G737" s="68"/>
      <c r="H737" s="64"/>
      <c r="I737" s="68"/>
      <c r="J737" s="65">
        <f t="shared" si="34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>
        <f>工程基本資料!$B$8+工程基本資料!$B$7+$L737+$M737-1</f>
        <v>-1</v>
      </c>
    </row>
    <row r="738" spans="1:16" x14ac:dyDescent="0.3">
      <c r="A738" s="60"/>
      <c r="B738" s="61">
        <f t="shared" si="33"/>
        <v>735</v>
      </c>
      <c r="C738" s="62"/>
      <c r="D738" s="62"/>
      <c r="E738" s="68"/>
      <c r="F738" s="68"/>
      <c r="G738" s="68"/>
      <c r="H738" s="64"/>
      <c r="I738" s="68"/>
      <c r="J738" s="65">
        <f t="shared" si="34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>
        <f>工程基本資料!$B$8+工程基本資料!$B$7+$L738+$M738-1</f>
        <v>-1</v>
      </c>
    </row>
    <row r="739" spans="1:16" x14ac:dyDescent="0.3">
      <c r="A739" s="60"/>
      <c r="B739" s="61">
        <f t="shared" si="33"/>
        <v>736</v>
      </c>
      <c r="C739" s="62"/>
      <c r="D739" s="62"/>
      <c r="E739" s="68"/>
      <c r="F739" s="68"/>
      <c r="G739" s="68"/>
      <c r="H739" s="64"/>
      <c r="I739" s="68"/>
      <c r="J739" s="65">
        <f t="shared" si="34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>
        <f>工程基本資料!$B$8+工程基本資料!$B$7+$L739+$M739-1</f>
        <v>-1</v>
      </c>
    </row>
    <row r="740" spans="1:16" x14ac:dyDescent="0.3">
      <c r="A740" s="60"/>
      <c r="B740" s="61">
        <f t="shared" si="33"/>
        <v>737</v>
      </c>
      <c r="C740" s="62"/>
      <c r="D740" s="62"/>
      <c r="E740" s="68"/>
      <c r="F740" s="68"/>
      <c r="G740" s="68"/>
      <c r="H740" s="64"/>
      <c r="I740" s="68"/>
      <c r="J740" s="65">
        <f t="shared" si="34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>
        <f>工程基本資料!$B$8+工程基本資料!$B$7+$L740+$M740-1</f>
        <v>-1</v>
      </c>
    </row>
    <row r="741" spans="1:16" x14ac:dyDescent="0.3">
      <c r="A741" s="60"/>
      <c r="B741" s="61">
        <f t="shared" si="33"/>
        <v>738</v>
      </c>
      <c r="C741" s="62"/>
      <c r="D741" s="62"/>
      <c r="E741" s="68"/>
      <c r="F741" s="68"/>
      <c r="G741" s="68"/>
      <c r="H741" s="64"/>
      <c r="I741" s="68"/>
      <c r="J741" s="65">
        <f t="shared" si="34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>
        <f>工程基本資料!$B$8+工程基本資料!$B$7+$L741+$M741-1</f>
        <v>-1</v>
      </c>
    </row>
    <row r="742" spans="1:16" x14ac:dyDescent="0.3">
      <c r="A742" s="60"/>
      <c r="B742" s="61">
        <f t="shared" si="33"/>
        <v>739</v>
      </c>
      <c r="C742" s="62"/>
      <c r="D742" s="62"/>
      <c r="E742" s="68"/>
      <c r="F742" s="68"/>
      <c r="G742" s="68"/>
      <c r="H742" s="64"/>
      <c r="I742" s="68"/>
      <c r="J742" s="65">
        <f t="shared" si="34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>
        <f>工程基本資料!$B$8+工程基本資料!$B$7+$L742+$M742-1</f>
        <v>-1</v>
      </c>
    </row>
    <row r="743" spans="1:16" x14ac:dyDescent="0.3">
      <c r="A743" s="60"/>
      <c r="B743" s="61">
        <f t="shared" si="33"/>
        <v>740</v>
      </c>
      <c r="C743" s="62"/>
      <c r="D743" s="62"/>
      <c r="E743" s="68"/>
      <c r="F743" s="68"/>
      <c r="G743" s="68"/>
      <c r="H743" s="64"/>
      <c r="I743" s="68"/>
      <c r="J743" s="65">
        <f t="shared" si="34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>
        <f>工程基本資料!$B$8+工程基本資料!$B$7+$L743+$M743-1</f>
        <v>-1</v>
      </c>
    </row>
    <row r="744" spans="1:16" x14ac:dyDescent="0.3">
      <c r="A744" s="60"/>
      <c r="B744" s="61">
        <f t="shared" si="33"/>
        <v>741</v>
      </c>
      <c r="C744" s="62"/>
      <c r="D744" s="62"/>
      <c r="E744" s="68"/>
      <c r="F744" s="68"/>
      <c r="G744" s="68"/>
      <c r="H744" s="64"/>
      <c r="I744" s="68"/>
      <c r="J744" s="65">
        <f t="shared" si="34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>
        <f>工程基本資料!$B$8+工程基本資料!$B$7+$L744+$M744-1</f>
        <v>-1</v>
      </c>
    </row>
    <row r="745" spans="1:16" x14ac:dyDescent="0.3">
      <c r="A745" s="60"/>
      <c r="B745" s="61">
        <f t="shared" si="33"/>
        <v>742</v>
      </c>
      <c r="C745" s="62"/>
      <c r="D745" s="62"/>
      <c r="E745" s="68"/>
      <c r="F745" s="68"/>
      <c r="G745" s="68"/>
      <c r="H745" s="64"/>
      <c r="I745" s="68"/>
      <c r="J745" s="65">
        <f t="shared" si="34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>
        <f>工程基本資料!$B$8+工程基本資料!$B$7+$L745+$M745-1</f>
        <v>-1</v>
      </c>
    </row>
    <row r="746" spans="1:16" x14ac:dyDescent="0.3">
      <c r="A746" s="60"/>
      <c r="B746" s="61">
        <f t="shared" si="33"/>
        <v>743</v>
      </c>
      <c r="C746" s="62"/>
      <c r="D746" s="62"/>
      <c r="E746" s="68"/>
      <c r="F746" s="68"/>
      <c r="G746" s="68"/>
      <c r="H746" s="64"/>
      <c r="I746" s="68"/>
      <c r="J746" s="65">
        <f t="shared" si="34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>
        <f>工程基本資料!$B$8+工程基本資料!$B$7+$L746+$M746-1</f>
        <v>-1</v>
      </c>
    </row>
    <row r="747" spans="1:16" x14ac:dyDescent="0.3">
      <c r="A747" s="60"/>
      <c r="B747" s="61">
        <f t="shared" si="33"/>
        <v>744</v>
      </c>
      <c r="C747" s="62"/>
      <c r="D747" s="62"/>
      <c r="E747" s="68"/>
      <c r="F747" s="68"/>
      <c r="G747" s="68"/>
      <c r="H747" s="64"/>
      <c r="I747" s="68"/>
      <c r="J747" s="65">
        <f t="shared" si="34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>
        <f>工程基本資料!$B$8+工程基本資料!$B$7+$L747+$M747-1</f>
        <v>-1</v>
      </c>
    </row>
    <row r="748" spans="1:16" x14ac:dyDescent="0.3">
      <c r="A748" s="60"/>
      <c r="B748" s="61">
        <f t="shared" si="33"/>
        <v>745</v>
      </c>
      <c r="C748" s="62"/>
      <c r="D748" s="62"/>
      <c r="E748" s="68"/>
      <c r="F748" s="68"/>
      <c r="G748" s="68"/>
      <c r="H748" s="64"/>
      <c r="I748" s="68"/>
      <c r="J748" s="65">
        <f t="shared" si="34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>
        <f>工程基本資料!$B$8+工程基本資料!$B$7+$L748+$M748-1</f>
        <v>-1</v>
      </c>
    </row>
    <row r="749" spans="1:16" x14ac:dyDescent="0.3">
      <c r="A749" s="60"/>
      <c r="B749" s="61">
        <f t="shared" si="33"/>
        <v>746</v>
      </c>
      <c r="C749" s="62"/>
      <c r="D749" s="62"/>
      <c r="E749" s="68"/>
      <c r="F749" s="68"/>
      <c r="G749" s="68"/>
      <c r="H749" s="64"/>
      <c r="I749" s="68"/>
      <c r="J749" s="65">
        <f t="shared" si="34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>
        <f>工程基本資料!$B$8+工程基本資料!$B$7+$L749+$M749-1</f>
        <v>-1</v>
      </c>
    </row>
    <row r="750" spans="1:16" x14ac:dyDescent="0.3">
      <c r="A750" s="60"/>
      <c r="B750" s="61">
        <f t="shared" si="33"/>
        <v>747</v>
      </c>
      <c r="C750" s="62"/>
      <c r="D750" s="62"/>
      <c r="E750" s="68"/>
      <c r="F750" s="68"/>
      <c r="G750" s="68"/>
      <c r="H750" s="64"/>
      <c r="I750" s="68"/>
      <c r="J750" s="65">
        <f t="shared" si="34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>
        <f>工程基本資料!$B$8+工程基本資料!$B$7+$L750+$M750-1</f>
        <v>-1</v>
      </c>
    </row>
    <row r="751" spans="1:16" x14ac:dyDescent="0.3">
      <c r="A751" s="60"/>
      <c r="B751" s="61">
        <f t="shared" si="33"/>
        <v>748</v>
      </c>
      <c r="C751" s="62"/>
      <c r="D751" s="62"/>
      <c r="E751" s="68"/>
      <c r="F751" s="68"/>
      <c r="G751" s="68"/>
      <c r="H751" s="64"/>
      <c r="I751" s="68"/>
      <c r="J751" s="65">
        <f t="shared" si="34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>
        <f>工程基本資料!$B$8+工程基本資料!$B$7+$L751+$M751-1</f>
        <v>-1</v>
      </c>
    </row>
    <row r="752" spans="1:16" x14ac:dyDescent="0.3">
      <c r="A752" s="60"/>
      <c r="B752" s="61">
        <f t="shared" si="33"/>
        <v>749</v>
      </c>
      <c r="C752" s="62"/>
      <c r="D752" s="62"/>
      <c r="E752" s="68"/>
      <c r="F752" s="68"/>
      <c r="G752" s="68"/>
      <c r="H752" s="64"/>
      <c r="I752" s="68"/>
      <c r="J752" s="65">
        <f t="shared" si="34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>
        <f>工程基本資料!$B$8+工程基本資料!$B$7+$L752+$M752-1</f>
        <v>-1</v>
      </c>
    </row>
    <row r="753" spans="1:16" x14ac:dyDescent="0.3">
      <c r="A753" s="60"/>
      <c r="B753" s="61">
        <f t="shared" si="33"/>
        <v>750</v>
      </c>
      <c r="C753" s="62"/>
      <c r="D753" s="62"/>
      <c r="E753" s="68"/>
      <c r="F753" s="68"/>
      <c r="G753" s="68"/>
      <c r="H753" s="64"/>
      <c r="I753" s="68"/>
      <c r="J753" s="65">
        <f t="shared" si="34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>
        <f>工程基本資料!$B$8+工程基本資料!$B$7+$L753+$M753-1</f>
        <v>-1</v>
      </c>
    </row>
    <row r="754" spans="1:16" x14ac:dyDescent="0.3">
      <c r="A754" s="60"/>
      <c r="B754" s="61">
        <f t="shared" si="33"/>
        <v>751</v>
      </c>
      <c r="C754" s="62"/>
      <c r="D754" s="62"/>
      <c r="E754" s="68"/>
      <c r="F754" s="68"/>
      <c r="G754" s="68"/>
      <c r="H754" s="64"/>
      <c r="I754" s="68"/>
      <c r="J754" s="65">
        <f t="shared" si="34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>
        <f>工程基本資料!$B$8+工程基本資料!$B$7+$L754+$M754-1</f>
        <v>-1</v>
      </c>
    </row>
    <row r="755" spans="1:16" x14ac:dyDescent="0.3">
      <c r="A755" s="60"/>
      <c r="B755" s="61">
        <f t="shared" si="33"/>
        <v>752</v>
      </c>
      <c r="C755" s="62"/>
      <c r="D755" s="62"/>
      <c r="E755" s="68"/>
      <c r="F755" s="68"/>
      <c r="G755" s="68"/>
      <c r="H755" s="64"/>
      <c r="I755" s="68"/>
      <c r="J755" s="65">
        <f t="shared" si="34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>
        <f>工程基本資料!$B$8+工程基本資料!$B$7+$L755+$M755-1</f>
        <v>-1</v>
      </c>
    </row>
    <row r="756" spans="1:16" x14ac:dyDescent="0.3">
      <c r="A756" s="60"/>
      <c r="B756" s="61">
        <f t="shared" si="33"/>
        <v>753</v>
      </c>
      <c r="C756" s="62"/>
      <c r="D756" s="62"/>
      <c r="E756" s="68"/>
      <c r="F756" s="68"/>
      <c r="G756" s="68"/>
      <c r="H756" s="64"/>
      <c r="I756" s="68"/>
      <c r="J756" s="65">
        <f t="shared" si="34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>
        <f>工程基本資料!$B$8+工程基本資料!$B$7+$L756+$M756-1</f>
        <v>-1</v>
      </c>
    </row>
    <row r="757" spans="1:16" x14ac:dyDescent="0.3">
      <c r="A757" s="60"/>
      <c r="B757" s="61">
        <f t="shared" si="33"/>
        <v>754</v>
      </c>
      <c r="C757" s="62"/>
      <c r="D757" s="62"/>
      <c r="E757" s="68"/>
      <c r="F757" s="68"/>
      <c r="G757" s="68"/>
      <c r="H757" s="64"/>
      <c r="I757" s="68"/>
      <c r="J757" s="65">
        <f t="shared" si="34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>
        <f>工程基本資料!$B$8+工程基本資料!$B$7+$L757+$M757-1</f>
        <v>-1</v>
      </c>
    </row>
    <row r="758" spans="1:16" x14ac:dyDescent="0.3">
      <c r="A758" s="60"/>
      <c r="B758" s="61">
        <f t="shared" si="33"/>
        <v>755</v>
      </c>
      <c r="C758" s="62"/>
      <c r="D758" s="62"/>
      <c r="E758" s="68"/>
      <c r="F758" s="68"/>
      <c r="G758" s="68"/>
      <c r="H758" s="64"/>
      <c r="I758" s="68"/>
      <c r="J758" s="65">
        <f t="shared" si="34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>
        <f>工程基本資料!$B$8+工程基本資料!$B$7+$L758+$M758-1</f>
        <v>-1</v>
      </c>
    </row>
    <row r="759" spans="1:16" x14ac:dyDescent="0.3">
      <c r="A759" s="60"/>
      <c r="B759" s="61">
        <f t="shared" si="33"/>
        <v>756</v>
      </c>
      <c r="C759" s="62"/>
      <c r="D759" s="62"/>
      <c r="E759" s="68"/>
      <c r="F759" s="68"/>
      <c r="G759" s="68"/>
      <c r="H759" s="64"/>
      <c r="I759" s="68"/>
      <c r="J759" s="65">
        <f t="shared" si="34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>
        <f>工程基本資料!$B$8+工程基本資料!$B$7+$L759+$M759-1</f>
        <v>-1</v>
      </c>
    </row>
    <row r="760" spans="1:16" x14ac:dyDescent="0.3">
      <c r="A760" s="60"/>
      <c r="B760" s="61">
        <f t="shared" si="33"/>
        <v>757</v>
      </c>
      <c r="C760" s="62"/>
      <c r="D760" s="62"/>
      <c r="E760" s="68"/>
      <c r="F760" s="68"/>
      <c r="G760" s="68"/>
      <c r="H760" s="64"/>
      <c r="I760" s="68"/>
      <c r="J760" s="65">
        <f t="shared" si="34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>
        <f>工程基本資料!$B$8+工程基本資料!$B$7+$L760+$M760-1</f>
        <v>-1</v>
      </c>
    </row>
    <row r="761" spans="1:16" x14ac:dyDescent="0.3">
      <c r="A761" s="60"/>
      <c r="B761" s="61">
        <f t="shared" si="33"/>
        <v>758</v>
      </c>
      <c r="C761" s="62"/>
      <c r="D761" s="62"/>
      <c r="E761" s="68"/>
      <c r="F761" s="68"/>
      <c r="G761" s="68"/>
      <c r="H761" s="64"/>
      <c r="I761" s="68"/>
      <c r="J761" s="65">
        <f t="shared" si="34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>
        <f>工程基本資料!$B$8+工程基本資料!$B$7+$L761+$M761-1</f>
        <v>-1</v>
      </c>
    </row>
    <row r="762" spans="1:16" x14ac:dyDescent="0.3">
      <c r="A762" s="60"/>
      <c r="B762" s="61">
        <f t="shared" si="33"/>
        <v>759</v>
      </c>
      <c r="C762" s="62"/>
      <c r="D762" s="62"/>
      <c r="E762" s="68"/>
      <c r="F762" s="68"/>
      <c r="G762" s="68"/>
      <c r="H762" s="64"/>
      <c r="I762" s="68"/>
      <c r="J762" s="65">
        <f t="shared" si="34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>
        <f>工程基本資料!$B$8+工程基本資料!$B$7+$L762+$M762-1</f>
        <v>-1</v>
      </c>
    </row>
    <row r="763" spans="1:16" x14ac:dyDescent="0.3">
      <c r="A763" s="60"/>
      <c r="B763" s="61">
        <f t="shared" si="33"/>
        <v>760</v>
      </c>
      <c r="C763" s="62"/>
      <c r="D763" s="62"/>
      <c r="E763" s="68"/>
      <c r="F763" s="68"/>
      <c r="G763" s="68"/>
      <c r="H763" s="64"/>
      <c r="I763" s="68"/>
      <c r="J763" s="65">
        <f t="shared" si="34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>
        <f>工程基本資料!$B$8+工程基本資料!$B$7+$L763+$M763-1</f>
        <v>-1</v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str">
        <f>IF(契約詳細價目表!A2="","",契約詳細價目表!A2)</f>
        <v/>
      </c>
      <c r="B2" s="26" t="str">
        <f>IF(契約詳細價目表!B2="","",契約詳細價目表!B2)</f>
        <v/>
      </c>
      <c r="C2" s="25" t="str">
        <f>IF(契約詳細價目表!C2="","",契約詳細價目表!C2)</f>
        <v/>
      </c>
      <c r="D2" s="27" t="str">
        <f>IF(契約詳細價目表!D2="","",契約詳細價目表!D2)</f>
        <v/>
      </c>
      <c r="E2" s="28" t="str">
        <f>IF(契約詳細價目表!E2="","",契約詳細價目表!E2)</f>
        <v/>
      </c>
      <c r="F2" s="28">
        <f>IF(契約詳細價目表!F2="","",契約詳細價目表!F2)</f>
        <v>0</v>
      </c>
      <c r="G2" s="27">
        <f>SUM($J2:$ACH2)</f>
        <v>0</v>
      </c>
      <c r="H2" s="28" t="str">
        <f t="shared" ref="H2:H32" si="535">IF($E2="","",ROUND($G2*$E2,0))</f>
        <v/>
      </c>
      <c r="I2" s="47" t="str">
        <f t="shared" ref="I2:I37" si="536">IF(OR($F2="",$F2=0),"",ROUND($H2/$F2,5))</f>
        <v/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str">
        <f>IF(契約詳細價目表!A3="","",契約詳細價目表!A3)</f>
        <v/>
      </c>
      <c r="B3" s="26" t="str">
        <f>IF(契約詳細價目表!B3="","",契約詳細價目表!B3)</f>
        <v/>
      </c>
      <c r="C3" s="25" t="str">
        <f>IF(契約詳細價目表!C3="","",契約詳細價目表!C3)</f>
        <v/>
      </c>
      <c r="D3" s="27" t="str">
        <f>IF(契約詳細價目表!D3="","",契約詳細價目表!D3)</f>
        <v/>
      </c>
      <c r="E3" s="28" t="str">
        <f>IF(契約詳細價目表!E3="","",契約詳細價目表!E3)</f>
        <v/>
      </c>
      <c r="F3" s="28">
        <f>IF(契約詳細價目表!F3="","",契約詳細價目表!F3)</f>
        <v>0</v>
      </c>
      <c r="G3" s="27">
        <f t="shared" ref="G3:G37" si="537">SUM($J3:$ACH3)</f>
        <v>0</v>
      </c>
      <c r="H3" s="28" t="str">
        <f t="shared" si="535"/>
        <v/>
      </c>
      <c r="I3" s="47" t="str">
        <f t="shared" si="536"/>
        <v/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str">
        <f>IF(契約詳細價目表!A4="","",契約詳細價目表!A4)</f>
        <v/>
      </c>
      <c r="B4" s="26" t="str">
        <f>IF(契約詳細價目表!B4="","",契約詳細價目表!B4)</f>
        <v/>
      </c>
      <c r="C4" s="25" t="str">
        <f>IF(契約詳細價目表!C4="","",契約詳細價目表!C4)</f>
        <v/>
      </c>
      <c r="D4" s="27" t="str">
        <f>IF(契約詳細價目表!D4="","",契約詳細價目表!D4)</f>
        <v/>
      </c>
      <c r="E4" s="28" t="str">
        <f>IF(契約詳細價目表!E4="","",契約詳細價目表!E4)</f>
        <v/>
      </c>
      <c r="F4" s="28">
        <f>IF(契約詳細價目表!F4="","",契約詳細價目表!F4)</f>
        <v>0</v>
      </c>
      <c r="G4" s="27">
        <f t="shared" si="537"/>
        <v>0</v>
      </c>
      <c r="H4" s="28" t="str">
        <f t="shared" si="535"/>
        <v/>
      </c>
      <c r="I4" s="47" t="str">
        <f t="shared" si="536"/>
        <v/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str">
        <f>IF(契約詳細價目表!A5="","",契約詳細價目表!A5)</f>
        <v/>
      </c>
      <c r="B5" s="26" t="str">
        <f>IF(契約詳細價目表!B5="","",契約詳細價目表!B5)</f>
        <v/>
      </c>
      <c r="C5" s="25" t="str">
        <f>IF(契約詳細價目表!C5="","",契約詳細價目表!C5)</f>
        <v/>
      </c>
      <c r="D5" s="27" t="str">
        <f>IF(契約詳細價目表!D5="","",契約詳細價目表!D5)</f>
        <v/>
      </c>
      <c r="E5" s="28" t="str">
        <f>IF(契約詳細價目表!E5="","",契約詳細價目表!E5)</f>
        <v/>
      </c>
      <c r="F5" s="28">
        <f>IF(契約詳細價目表!F5="","",契約詳細價目表!F5)</f>
        <v>0</v>
      </c>
      <c r="G5" s="27">
        <f t="shared" si="537"/>
        <v>0</v>
      </c>
      <c r="H5" s="28" t="str">
        <f t="shared" si="535"/>
        <v/>
      </c>
      <c r="I5" s="47" t="str">
        <f t="shared" si="536"/>
        <v/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str">
        <f>IF(契約詳細價目表!A6="","",契約詳細價目表!A6)</f>
        <v/>
      </c>
      <c r="B6" s="26" t="str">
        <f>IF(契約詳細價目表!B6="","",契約詳細價目表!B6)</f>
        <v/>
      </c>
      <c r="C6" s="25" t="str">
        <f>IF(契約詳細價目表!C6="","",契約詳細價目表!C6)</f>
        <v/>
      </c>
      <c r="D6" s="27" t="str">
        <f>IF(契約詳細價目表!D6="","",契約詳細價目表!D6)</f>
        <v/>
      </c>
      <c r="E6" s="28" t="str">
        <f>IF(契約詳細價目表!E6="","",契約詳細價目表!E6)</f>
        <v/>
      </c>
      <c r="F6" s="28">
        <f>IF(契約詳細價目表!F6="","",契約詳細價目表!F6)</f>
        <v>0</v>
      </c>
      <c r="G6" s="27">
        <f t="shared" si="537"/>
        <v>0</v>
      </c>
      <c r="H6" s="28" t="str">
        <f t="shared" si="535"/>
        <v/>
      </c>
      <c r="I6" s="47" t="str">
        <f t="shared" si="536"/>
        <v/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str">
        <f>IF(契約詳細價目表!A7="","",契約詳細價目表!A7)</f>
        <v/>
      </c>
      <c r="B7" s="26" t="str">
        <f>IF(契約詳細價目表!B7="","",契約詳細價目表!B7)</f>
        <v/>
      </c>
      <c r="C7" s="25" t="str">
        <f>IF(契約詳細價目表!C7="","",契約詳細價目表!C7)</f>
        <v/>
      </c>
      <c r="D7" s="27" t="str">
        <f>IF(契約詳細價目表!D7="","",契約詳細價目表!D7)</f>
        <v/>
      </c>
      <c r="E7" s="28" t="str">
        <f>IF(契約詳細價目表!E7="","",契約詳細價目表!E7)</f>
        <v/>
      </c>
      <c r="F7" s="28">
        <f>IF(契約詳細價目表!F7="","",契約詳細價目表!F7)</f>
        <v>0</v>
      </c>
      <c r="G7" s="27">
        <f t="shared" si="537"/>
        <v>0</v>
      </c>
      <c r="H7" s="28" t="str">
        <f t="shared" si="535"/>
        <v/>
      </c>
      <c r="I7" s="47" t="str">
        <f t="shared" si="536"/>
        <v/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str">
        <f>IF(契約詳細價目表!A8="","",契約詳細價目表!A8)</f>
        <v/>
      </c>
      <c r="B8" s="26" t="str">
        <f>IF(契約詳細價目表!B8="","",契約詳細價目表!B8)</f>
        <v/>
      </c>
      <c r="C8" s="25" t="str">
        <f>IF(契約詳細價目表!C8="","",契約詳細價目表!C8)</f>
        <v/>
      </c>
      <c r="D8" s="27" t="str">
        <f>IF(契約詳細價目表!D8="","",契約詳細價目表!D8)</f>
        <v/>
      </c>
      <c r="E8" s="28" t="str">
        <f>IF(契約詳細價目表!E8="","",契約詳細價目表!E8)</f>
        <v/>
      </c>
      <c r="F8" s="28">
        <f>IF(契約詳細價目表!F8="","",契約詳細價目表!F8)</f>
        <v>0</v>
      </c>
      <c r="G8" s="27">
        <f t="shared" si="537"/>
        <v>0</v>
      </c>
      <c r="H8" s="28" t="str">
        <f t="shared" si="535"/>
        <v/>
      </c>
      <c r="I8" s="47" t="str">
        <f t="shared" si="536"/>
        <v/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str">
        <f>IF(契約詳細價目表!A9="","",契約詳細價目表!A9)</f>
        <v/>
      </c>
      <c r="B9" s="26" t="str">
        <f>IF(契約詳細價目表!B9="","",契約詳細價目表!B9)</f>
        <v/>
      </c>
      <c r="C9" s="25" t="str">
        <f>IF(契約詳細價目表!C9="","",契約詳細價目表!C9)</f>
        <v/>
      </c>
      <c r="D9" s="27" t="str">
        <f>IF(契約詳細價目表!D9="","",契約詳細價目表!D9)</f>
        <v/>
      </c>
      <c r="E9" s="28" t="str">
        <f>IF(契約詳細價目表!E9="","",契約詳細價目表!E9)</f>
        <v/>
      </c>
      <c r="F9" s="28">
        <f>IF(契約詳細價目表!F9="","",契約詳細價目表!F9)</f>
        <v>0</v>
      </c>
      <c r="G9" s="27">
        <f t="shared" si="537"/>
        <v>0</v>
      </c>
      <c r="H9" s="28" t="str">
        <f t="shared" si="535"/>
        <v/>
      </c>
      <c r="I9" s="47" t="str">
        <f t="shared" si="536"/>
        <v/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str">
        <f>IF(契約詳細價目表!A10="","",契約詳細價目表!A10)</f>
        <v/>
      </c>
      <c r="B10" s="26" t="str">
        <f>IF(契約詳細價目表!B10="","",契約詳細價目表!B10)</f>
        <v/>
      </c>
      <c r="C10" s="25" t="str">
        <f>IF(契約詳細價目表!C10="","",契約詳細價目表!C10)</f>
        <v/>
      </c>
      <c r="D10" s="27" t="str">
        <f>IF(契約詳細價目表!D10="","",契約詳細價目表!D10)</f>
        <v/>
      </c>
      <c r="E10" s="28" t="str">
        <f>IF(契約詳細價目表!E10="","",契約詳細價目表!E10)</f>
        <v/>
      </c>
      <c r="F10" s="28">
        <f>IF(契約詳細價目表!F10="","",契約詳細價目表!F10)</f>
        <v>0</v>
      </c>
      <c r="G10" s="27">
        <f t="shared" si="537"/>
        <v>0</v>
      </c>
      <c r="H10" s="28" t="str">
        <f t="shared" si="535"/>
        <v/>
      </c>
      <c r="I10" s="47" t="str">
        <f t="shared" si="536"/>
        <v/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str">
        <f>IF(契約詳細價目表!A11="","",契約詳細價目表!A11)</f>
        <v/>
      </c>
      <c r="B11" s="26" t="str">
        <f>IF(契約詳細價目表!B11="","",契約詳細價目表!B11)</f>
        <v/>
      </c>
      <c r="C11" s="25" t="str">
        <f>IF(契約詳細價目表!C11="","",契約詳細價目表!C11)</f>
        <v/>
      </c>
      <c r="D11" s="27" t="str">
        <f>IF(契約詳細價目表!D11="","",契約詳細價目表!D11)</f>
        <v/>
      </c>
      <c r="E11" s="28" t="str">
        <f>IF(契約詳細價目表!E11="","",契約詳細價目表!E11)</f>
        <v/>
      </c>
      <c r="F11" s="28">
        <f>IF(契約詳細價目表!F11="","",契約詳細價目表!F11)</f>
        <v>0</v>
      </c>
      <c r="G11" s="27">
        <f t="shared" si="537"/>
        <v>0</v>
      </c>
      <c r="H11" s="28" t="str">
        <f t="shared" si="535"/>
        <v/>
      </c>
      <c r="I11" s="47" t="str">
        <f t="shared" si="536"/>
        <v/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str">
        <f>IF(契約詳細價目表!A12="","",契約詳細價目表!A12)</f>
        <v/>
      </c>
      <c r="B12" s="26" t="str">
        <f>IF(契約詳細價目表!B12="","",契約詳細價目表!B12)</f>
        <v/>
      </c>
      <c r="C12" s="25" t="str">
        <f>IF(契約詳細價目表!C12="","",契約詳細價目表!C12)</f>
        <v/>
      </c>
      <c r="D12" s="27" t="str">
        <f>IF(契約詳細價目表!D12="","",契約詳細價目表!D12)</f>
        <v/>
      </c>
      <c r="E12" s="28" t="str">
        <f>IF(契約詳細價目表!E12="","",契約詳細價目表!E12)</f>
        <v/>
      </c>
      <c r="F12" s="28">
        <f>IF(契約詳細價目表!F12="","",契約詳細價目表!F12)</f>
        <v>0</v>
      </c>
      <c r="G12" s="27">
        <f t="shared" si="537"/>
        <v>0</v>
      </c>
      <c r="H12" s="28" t="str">
        <f t="shared" si="535"/>
        <v/>
      </c>
      <c r="I12" s="47" t="str">
        <f t="shared" si="536"/>
        <v/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str">
        <f>IF(契約詳細價目表!A13="","",契約詳細價目表!A13)</f>
        <v/>
      </c>
      <c r="B13" s="26" t="str">
        <f>IF(契約詳細價目表!B13="","",契約詳細價目表!B13)</f>
        <v/>
      </c>
      <c r="C13" s="25" t="str">
        <f>IF(契約詳細價目表!C13="","",契約詳細價目表!C13)</f>
        <v/>
      </c>
      <c r="D13" s="27" t="str">
        <f>IF(契約詳細價目表!D13="","",契約詳細價目表!D13)</f>
        <v/>
      </c>
      <c r="E13" s="28" t="str">
        <f>IF(契約詳細價目表!E13="","",契約詳細價目表!E13)</f>
        <v/>
      </c>
      <c r="F13" s="28">
        <f>IF(契約詳細價目表!F13="","",契約詳細價目表!F13)</f>
        <v>0</v>
      </c>
      <c r="G13" s="27">
        <f t="shared" si="537"/>
        <v>0</v>
      </c>
      <c r="H13" s="28" t="str">
        <f t="shared" si="535"/>
        <v/>
      </c>
      <c r="I13" s="47" t="str">
        <f t="shared" si="536"/>
        <v/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str">
        <f>IF(契約詳細價目表!A14="","",契約詳細價目表!A14)</f>
        <v/>
      </c>
      <c r="B14" s="26" t="str">
        <f>IF(契約詳細價目表!B14="","",契約詳細價目表!B14)</f>
        <v/>
      </c>
      <c r="C14" s="25" t="str">
        <f>IF(契約詳細價目表!C14="","",契約詳細價目表!C14)</f>
        <v/>
      </c>
      <c r="D14" s="27" t="str">
        <f>IF(契約詳細價目表!D14="","",契約詳細價目表!D14)</f>
        <v/>
      </c>
      <c r="E14" s="28" t="str">
        <f>IF(契約詳細價目表!E14="","",契約詳細價目表!E14)</f>
        <v/>
      </c>
      <c r="F14" s="28">
        <f>IF(契約詳細價目表!F14="","",契約詳細價目表!F14)</f>
        <v>0</v>
      </c>
      <c r="G14" s="27">
        <f t="shared" si="537"/>
        <v>0</v>
      </c>
      <c r="H14" s="28" t="str">
        <f t="shared" si="535"/>
        <v/>
      </c>
      <c r="I14" s="47" t="str">
        <f t="shared" si="536"/>
        <v/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str">
        <f>IF(契約詳細價目表!A15="","",契約詳細價目表!A15)</f>
        <v/>
      </c>
      <c r="B15" s="26" t="str">
        <f>IF(契約詳細價目表!B15="","",契約詳細價目表!B15)</f>
        <v/>
      </c>
      <c r="C15" s="25" t="str">
        <f>IF(契約詳細價目表!C15="","",契約詳細價目表!C15)</f>
        <v/>
      </c>
      <c r="D15" s="27" t="str">
        <f>IF(契約詳細價目表!D15="","",契約詳細價目表!D15)</f>
        <v/>
      </c>
      <c r="E15" s="28" t="str">
        <f>IF(契約詳細價目表!E15="","",契約詳細價目表!E15)</f>
        <v/>
      </c>
      <c r="F15" s="28">
        <f>IF(契約詳細價目表!F15="","",契約詳細價目表!F15)</f>
        <v>0</v>
      </c>
      <c r="G15" s="27">
        <f t="shared" si="537"/>
        <v>0</v>
      </c>
      <c r="H15" s="28" t="str">
        <f t="shared" si="535"/>
        <v/>
      </c>
      <c r="I15" s="47" t="str">
        <f t="shared" si="536"/>
        <v/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str">
        <f>IF(契約詳細價目表!A16="","",契約詳細價目表!A16)</f>
        <v/>
      </c>
      <c r="B16" s="26" t="str">
        <f>IF(契約詳細價目表!B16="","",契約詳細價目表!B16)</f>
        <v/>
      </c>
      <c r="C16" s="25" t="str">
        <f>IF(契約詳細價目表!C16="","",契約詳細價目表!C16)</f>
        <v/>
      </c>
      <c r="D16" s="27" t="str">
        <f>IF(契約詳細價目表!D16="","",契約詳細價目表!D16)</f>
        <v/>
      </c>
      <c r="E16" s="28" t="str">
        <f>IF(契約詳細價目表!E16="","",契約詳細價目表!E16)</f>
        <v/>
      </c>
      <c r="F16" s="28">
        <f>IF(契約詳細價目表!F16="","",契約詳細價目表!F16)</f>
        <v>0</v>
      </c>
      <c r="G16" s="27">
        <f t="shared" si="537"/>
        <v>0</v>
      </c>
      <c r="H16" s="28" t="str">
        <f t="shared" si="535"/>
        <v/>
      </c>
      <c r="I16" s="47" t="str">
        <f t="shared" si="536"/>
        <v/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str">
        <f>IF(契約詳細價目表!A17="","",契約詳細價目表!A17)</f>
        <v/>
      </c>
      <c r="B17" s="26" t="str">
        <f>IF(契約詳細價目表!B17="","",契約詳細價目表!B17)</f>
        <v/>
      </c>
      <c r="C17" s="25" t="str">
        <f>IF(契約詳細價目表!C17="","",契約詳細價目表!C17)</f>
        <v/>
      </c>
      <c r="D17" s="27" t="str">
        <f>IF(契約詳細價目表!D17="","",契約詳細價目表!D17)</f>
        <v/>
      </c>
      <c r="E17" s="28" t="str">
        <f>IF(契約詳細價目表!E17="","",契約詳細價目表!E17)</f>
        <v/>
      </c>
      <c r="F17" s="28">
        <f>IF(契約詳細價目表!F17="","",契約詳細價目表!F17)</f>
        <v>0</v>
      </c>
      <c r="G17" s="27">
        <f>SUM($J17:$ACH17)</f>
        <v>0</v>
      </c>
      <c r="H17" s="28" t="str">
        <f t="shared" si="535"/>
        <v/>
      </c>
      <c r="I17" s="47" t="str">
        <f t="shared" si="536"/>
        <v/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str">
        <f>IF(契約詳細價目表!A18="","",契約詳細價目表!A18)</f>
        <v/>
      </c>
      <c r="B18" s="26" t="str">
        <f>IF(契約詳細價目表!B18="","",契約詳細價目表!B18)</f>
        <v/>
      </c>
      <c r="C18" s="25" t="str">
        <f>IF(契約詳細價目表!C18="","",契約詳細價目表!C18)</f>
        <v/>
      </c>
      <c r="D18" s="27" t="str">
        <f>IF(契約詳細價目表!D18="","",契約詳細價目表!D18)</f>
        <v/>
      </c>
      <c r="E18" s="28" t="str">
        <f>IF(契約詳細價目表!E18="","",契約詳細價目表!E18)</f>
        <v/>
      </c>
      <c r="F18" s="28">
        <f>IF(契約詳細價目表!F18="","",契約詳細價目表!F18)</f>
        <v>0</v>
      </c>
      <c r="G18" s="27">
        <f t="shared" si="537"/>
        <v>0</v>
      </c>
      <c r="H18" s="28" t="str">
        <f t="shared" si="535"/>
        <v/>
      </c>
      <c r="I18" s="47" t="str">
        <f t="shared" si="536"/>
        <v/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str">
        <f>IF(契約詳細價目表!A19="","",契約詳細價目表!A19)</f>
        <v/>
      </c>
      <c r="B19" s="26" t="str">
        <f>IF(契約詳細價目表!B19="","",契約詳細價目表!B19)</f>
        <v/>
      </c>
      <c r="C19" s="25" t="str">
        <f>IF(契約詳細價目表!C19="","",契約詳細價目表!C19)</f>
        <v/>
      </c>
      <c r="D19" s="27" t="str">
        <f>IF(契約詳細價目表!D19="","",契約詳細價目表!D19)</f>
        <v/>
      </c>
      <c r="E19" s="28" t="str">
        <f>IF(契約詳細價目表!E19="","",契約詳細價目表!E19)</f>
        <v/>
      </c>
      <c r="F19" s="28">
        <f>IF(契約詳細價目表!F19="","",契約詳細價目表!F19)</f>
        <v>0</v>
      </c>
      <c r="G19" s="27">
        <f t="shared" si="537"/>
        <v>0</v>
      </c>
      <c r="H19" s="28" t="str">
        <f t="shared" si="535"/>
        <v/>
      </c>
      <c r="I19" s="47" t="str">
        <f t="shared" si="536"/>
        <v/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str">
        <f>IF(契約詳細價目表!A20="","",契約詳細價目表!A20)</f>
        <v/>
      </c>
      <c r="B20" s="26" t="str">
        <f>IF(契約詳細價目表!B20="","",契約詳細價目表!B20)</f>
        <v/>
      </c>
      <c r="C20" s="25" t="str">
        <f>IF(契約詳細價目表!C20="","",契約詳細價目表!C20)</f>
        <v/>
      </c>
      <c r="D20" s="27" t="str">
        <f>IF(契約詳細價目表!D20="","",契約詳細價目表!D20)</f>
        <v/>
      </c>
      <c r="E20" s="28" t="str">
        <f>IF(契約詳細價目表!E20="","",契約詳細價目表!E20)</f>
        <v/>
      </c>
      <c r="F20" s="28">
        <f>IF(契約詳細價目表!F20="","",契約詳細價目表!F20)</f>
        <v>0</v>
      </c>
      <c r="G20" s="27">
        <f t="shared" si="537"/>
        <v>0</v>
      </c>
      <c r="H20" s="28" t="str">
        <f t="shared" si="535"/>
        <v/>
      </c>
      <c r="I20" s="47" t="str">
        <f t="shared" si="536"/>
        <v/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str">
        <f>IF(契約詳細價目表!A21="","",契約詳細價目表!A21)</f>
        <v/>
      </c>
      <c r="B21" s="26" t="str">
        <f>IF(契約詳細價目表!B21="","",契約詳細價目表!B21)</f>
        <v/>
      </c>
      <c r="C21" s="25" t="str">
        <f>IF(契約詳細價目表!C21="","",契約詳細價目表!C21)</f>
        <v/>
      </c>
      <c r="D21" s="27" t="str">
        <f>IF(契約詳細價目表!D21="","",契約詳細價目表!D21)</f>
        <v/>
      </c>
      <c r="E21" s="28" t="str">
        <f>IF(契約詳細價目表!E21="","",契約詳細價目表!E21)</f>
        <v/>
      </c>
      <c r="F21" s="28">
        <f>IF(契約詳細價目表!F21="","",契約詳細價目表!F21)</f>
        <v>0</v>
      </c>
      <c r="G21" s="27">
        <f t="shared" si="537"/>
        <v>0</v>
      </c>
      <c r="H21" s="28" t="str">
        <f t="shared" si="535"/>
        <v/>
      </c>
      <c r="I21" s="47" t="str">
        <f t="shared" si="536"/>
        <v/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str">
        <f>IF(契約詳細價目表!A22="","",契約詳細價目表!A22)</f>
        <v/>
      </c>
      <c r="B22" s="26" t="str">
        <f>IF(契約詳細價目表!B22="","",契約詳細價目表!B22)</f>
        <v/>
      </c>
      <c r="C22" s="25" t="str">
        <f>IF(契約詳細價目表!C22="","",契約詳細價目表!C22)</f>
        <v/>
      </c>
      <c r="D22" s="27" t="str">
        <f>IF(契約詳細價目表!D22="","",契約詳細價目表!D22)</f>
        <v/>
      </c>
      <c r="E22" s="28" t="str">
        <f>IF(契約詳細價目表!E22="","",契約詳細價目表!E22)</f>
        <v/>
      </c>
      <c r="F22" s="28">
        <f>IF(契約詳細價目表!F22="","",契約詳細價目表!F22)</f>
        <v>0</v>
      </c>
      <c r="G22" s="27">
        <f t="shared" si="537"/>
        <v>0</v>
      </c>
      <c r="H22" s="28" t="str">
        <f t="shared" si="535"/>
        <v/>
      </c>
      <c r="I22" s="47" t="str">
        <f t="shared" si="536"/>
        <v/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str">
        <f>IF(契約詳細價目表!A23="","",契約詳細價目表!A23)</f>
        <v/>
      </c>
      <c r="B23" s="26" t="str">
        <f>IF(契約詳細價目表!B23="","",契約詳細價目表!B23)</f>
        <v/>
      </c>
      <c r="C23" s="25" t="str">
        <f>IF(契約詳細價目表!C23="","",契約詳細價目表!C23)</f>
        <v/>
      </c>
      <c r="D23" s="27" t="str">
        <f>IF(契約詳細價目表!D23="","",契約詳細價目表!D23)</f>
        <v/>
      </c>
      <c r="E23" s="28" t="str">
        <f>IF(契約詳細價目表!E23="","",契約詳細價目表!E23)</f>
        <v/>
      </c>
      <c r="F23" s="28">
        <f>IF(契約詳細價目表!F23="","",契約詳細價目表!F23)</f>
        <v>0</v>
      </c>
      <c r="G23" s="27">
        <f t="shared" si="537"/>
        <v>0</v>
      </c>
      <c r="H23" s="28" t="str">
        <f t="shared" si="535"/>
        <v/>
      </c>
      <c r="I23" s="47" t="str">
        <f t="shared" si="536"/>
        <v/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str">
        <f>IF(契約詳細價目表!A24="","",契約詳細價目表!A24)</f>
        <v/>
      </c>
      <c r="B24" s="26" t="str">
        <f>IF(契約詳細價目表!B24="","",契約詳細價目表!B24)</f>
        <v/>
      </c>
      <c r="C24" s="25" t="str">
        <f>IF(契約詳細價目表!C24="","",契約詳細價目表!C24)</f>
        <v/>
      </c>
      <c r="D24" s="27" t="str">
        <f>IF(契約詳細價目表!D24="","",契約詳細價目表!D24)</f>
        <v/>
      </c>
      <c r="E24" s="28" t="str">
        <f>IF(契約詳細價目表!E24="","",契約詳細價目表!E24)</f>
        <v/>
      </c>
      <c r="F24" s="28">
        <f>IF(契約詳細價目表!F24="","",契約詳細價目表!F24)</f>
        <v>0</v>
      </c>
      <c r="G24" s="27">
        <f t="shared" si="537"/>
        <v>0</v>
      </c>
      <c r="H24" s="28" t="str">
        <f t="shared" si="535"/>
        <v/>
      </c>
      <c r="I24" s="47" t="str">
        <f t="shared" si="536"/>
        <v/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str">
        <f>IF(契約詳細價目表!A25="","",契約詳細價目表!A25)</f>
        <v/>
      </c>
      <c r="B25" s="26" t="str">
        <f>IF(契約詳細價目表!B25="","",契約詳細價目表!B25)</f>
        <v/>
      </c>
      <c r="C25" s="25" t="str">
        <f>IF(契約詳細價目表!C25="","",契約詳細價目表!C25)</f>
        <v/>
      </c>
      <c r="D25" s="27" t="str">
        <f>IF(契約詳細價目表!D25="","",契約詳細價目表!D25)</f>
        <v/>
      </c>
      <c r="E25" s="28" t="str">
        <f>IF(契約詳細價目表!E25="","",契約詳細價目表!E25)</f>
        <v/>
      </c>
      <c r="F25" s="28">
        <f>IF(契約詳細價目表!F25="","",契約詳細價目表!F25)</f>
        <v>0</v>
      </c>
      <c r="G25" s="27">
        <f t="shared" si="537"/>
        <v>0</v>
      </c>
      <c r="H25" s="28" t="str">
        <f t="shared" si="535"/>
        <v/>
      </c>
      <c r="I25" s="47" t="str">
        <f t="shared" si="536"/>
        <v/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str">
        <f>IF(契約詳細價目表!A26="","",契約詳細價目表!A26)</f>
        <v/>
      </c>
      <c r="B26" s="26" t="str">
        <f>IF(契約詳細價目表!B26="","",契約詳細價目表!B26)</f>
        <v/>
      </c>
      <c r="C26" s="25" t="str">
        <f>IF(契約詳細價目表!C26="","",契約詳細價目表!C26)</f>
        <v/>
      </c>
      <c r="D26" s="27" t="str">
        <f>IF(契約詳細價目表!D26="","",契約詳細價目表!D26)</f>
        <v/>
      </c>
      <c r="E26" s="28" t="str">
        <f>IF(契約詳細價目表!E26="","",契約詳細價目表!E26)</f>
        <v/>
      </c>
      <c r="F26" s="28">
        <f>IF(契約詳細價目表!F26="","",契約詳細價目表!F26)</f>
        <v>0</v>
      </c>
      <c r="G26" s="27">
        <f t="shared" si="537"/>
        <v>0</v>
      </c>
      <c r="H26" s="28" t="str">
        <f t="shared" si="535"/>
        <v/>
      </c>
      <c r="I26" s="47" t="str">
        <f t="shared" si="536"/>
        <v/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str">
        <f>IF(契約詳細價目表!A27="","",契約詳細價目表!A27)</f>
        <v/>
      </c>
      <c r="B27" s="26" t="str">
        <f>IF(契約詳細價目表!B27="","",契約詳細價目表!B27)</f>
        <v/>
      </c>
      <c r="C27" s="25" t="str">
        <f>IF(契約詳細價目表!C27="","",契約詳細價目表!C27)</f>
        <v/>
      </c>
      <c r="D27" s="27" t="str">
        <f>IF(契約詳細價目表!D27="","",契約詳細價目表!D27)</f>
        <v/>
      </c>
      <c r="E27" s="28" t="str">
        <f>IF(契約詳細價目表!E27="","",契約詳細價目表!E27)</f>
        <v/>
      </c>
      <c r="F27" s="28">
        <f>IF(契約詳細價目表!F27="","",契約詳細價目表!F27)</f>
        <v>0</v>
      </c>
      <c r="G27" s="27">
        <f t="shared" si="537"/>
        <v>0</v>
      </c>
      <c r="H27" s="28" t="str">
        <f t="shared" si="535"/>
        <v/>
      </c>
      <c r="I27" s="47" t="str">
        <f t="shared" si="536"/>
        <v/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str">
        <f>IF(契約詳細價目表!A28="","",契約詳細價目表!A28)</f>
        <v/>
      </c>
      <c r="B28" s="26" t="str">
        <f>IF(契約詳細價目表!B28="","",契約詳細價目表!B28)</f>
        <v/>
      </c>
      <c r="C28" s="25" t="str">
        <f>IF(契約詳細價目表!C28="","",契約詳細價目表!C28)</f>
        <v/>
      </c>
      <c r="D28" s="27" t="str">
        <f>IF(契約詳細價目表!D28="","",契約詳細價目表!D28)</f>
        <v/>
      </c>
      <c r="E28" s="28" t="str">
        <f>IF(契約詳細價目表!E28="","",契約詳細價目表!E28)</f>
        <v/>
      </c>
      <c r="F28" s="28">
        <f>IF(契約詳細價目表!F28="","",契約詳細價目表!F28)</f>
        <v>0</v>
      </c>
      <c r="G28" s="27">
        <f t="shared" si="537"/>
        <v>0</v>
      </c>
      <c r="H28" s="28" t="str">
        <f t="shared" si="535"/>
        <v/>
      </c>
      <c r="I28" s="47" t="str">
        <f t="shared" si="536"/>
        <v/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str">
        <f>IF(契約詳細價目表!A29="","",契約詳細價目表!A29)</f>
        <v/>
      </c>
      <c r="B29" s="26" t="str">
        <f>IF(契約詳細價目表!B29="","",契約詳細價目表!B29)</f>
        <v/>
      </c>
      <c r="C29" s="25" t="str">
        <f>IF(契約詳細價目表!C29="","",契約詳細價目表!C29)</f>
        <v/>
      </c>
      <c r="D29" s="27" t="str">
        <f>IF(契約詳細價目表!D29="","",契約詳細價目表!D29)</f>
        <v/>
      </c>
      <c r="E29" s="28" t="str">
        <f>IF(契約詳細價目表!E29="","",契約詳細價目表!E29)</f>
        <v/>
      </c>
      <c r="F29" s="28">
        <f>IF(契約詳細價目表!F29="","",契約詳細價目表!F29)</f>
        <v>0</v>
      </c>
      <c r="G29" s="27">
        <f t="shared" si="537"/>
        <v>0</v>
      </c>
      <c r="H29" s="28" t="str">
        <f t="shared" si="535"/>
        <v/>
      </c>
      <c r="I29" s="47" t="str">
        <f t="shared" si="536"/>
        <v/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str">
        <f>IF(契約詳細價目表!A30="","",契約詳細價目表!A30)</f>
        <v/>
      </c>
      <c r="B30" s="26" t="str">
        <f>IF(契約詳細價目表!B30="","",契約詳細價目表!B30)</f>
        <v/>
      </c>
      <c r="C30" s="25" t="str">
        <f>IF(契約詳細價目表!C30="","",契約詳細價目表!C30)</f>
        <v/>
      </c>
      <c r="D30" s="27" t="str">
        <f>IF(契約詳細價目表!D30="","",契約詳細價目表!D30)</f>
        <v/>
      </c>
      <c r="E30" s="28" t="str">
        <f>IF(契約詳細價目表!E30="","",契約詳細價目表!E30)</f>
        <v/>
      </c>
      <c r="F30" s="28">
        <f>IF(契約詳細價目表!F30="","",契約詳細價目表!F30)</f>
        <v>0</v>
      </c>
      <c r="G30" s="27">
        <f t="shared" si="537"/>
        <v>0</v>
      </c>
      <c r="H30" s="28" t="str">
        <f t="shared" si="535"/>
        <v/>
      </c>
      <c r="I30" s="47" t="str">
        <f t="shared" si="536"/>
        <v/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str">
        <f>IF(契約詳細價目表!A31="","",契約詳細價目表!A31)</f>
        <v/>
      </c>
      <c r="B31" s="26" t="str">
        <f>IF(契約詳細價目表!B31="","",契約詳細價目表!B31)</f>
        <v/>
      </c>
      <c r="C31" s="25" t="str">
        <f>IF(契約詳細價目表!C31="","",契約詳細價目表!C31)</f>
        <v/>
      </c>
      <c r="D31" s="27" t="str">
        <f>IF(契約詳細價目表!D31="","",契約詳細價目表!D31)</f>
        <v/>
      </c>
      <c r="E31" s="28" t="str">
        <f>IF(契約詳細價目表!E31="","",契約詳細價目表!E31)</f>
        <v/>
      </c>
      <c r="F31" s="28">
        <f>IF(契約詳細價目表!F31="","",契約詳細價目表!F31)</f>
        <v>0</v>
      </c>
      <c r="G31" s="27">
        <f t="shared" si="537"/>
        <v>0</v>
      </c>
      <c r="H31" s="28" t="str">
        <f t="shared" si="535"/>
        <v/>
      </c>
      <c r="I31" s="47" t="str">
        <f t="shared" si="536"/>
        <v/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str">
        <f>IF(契約詳細價目表!A32="","",契約詳細價目表!A32)</f>
        <v/>
      </c>
      <c r="B32" s="26" t="str">
        <f>IF(契約詳細價目表!B32="","",契約詳細價目表!B32)</f>
        <v/>
      </c>
      <c r="C32" s="25" t="str">
        <f>IF(契約詳細價目表!C32="","",契約詳細價目表!C32)</f>
        <v/>
      </c>
      <c r="D32" s="27" t="str">
        <f>IF(契約詳細價目表!D32="","",契約詳細價目表!D32)</f>
        <v/>
      </c>
      <c r="E32" s="28" t="str">
        <f>IF(契約詳細價目表!E32="","",契約詳細價目表!E32)</f>
        <v/>
      </c>
      <c r="F32" s="28">
        <f>IF(契約詳細價目表!F32="","",契約詳細價目表!F32)</f>
        <v>0</v>
      </c>
      <c r="G32" s="27">
        <f t="shared" si="537"/>
        <v>0</v>
      </c>
      <c r="H32" s="28" t="str">
        <f t="shared" si="535"/>
        <v/>
      </c>
      <c r="I32" s="47" t="str">
        <f t="shared" si="536"/>
        <v/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str">
        <f>IF(契約詳細價目表!A33="","",契約詳細價目表!A33)</f>
        <v/>
      </c>
      <c r="B33" s="40" t="str">
        <f>IF(契約詳細價目表!B33="","",契約詳細價目表!B33)</f>
        <v/>
      </c>
      <c r="C33" s="39" t="str">
        <f>IF(契約詳細價目表!C33="","",契約詳細價目表!C33)</f>
        <v/>
      </c>
      <c r="D33" s="41" t="str">
        <f>IF(契約詳細價目表!D33="","",契約詳細價目表!D33)</f>
        <v/>
      </c>
      <c r="E33" s="42">
        <f>IF(契約詳細價目表!E33="","",契約詳細價目表!E33)</f>
        <v>0</v>
      </c>
      <c r="F33" s="42">
        <f>IF(契約詳細價目表!F33="","",契約詳細價目表!F33)</f>
        <v>0</v>
      </c>
      <c r="G33" s="106">
        <f t="shared" si="537"/>
        <v>0</v>
      </c>
      <c r="H33" s="87">
        <f>IF($E33="","",G33*E33)</f>
        <v>0</v>
      </c>
      <c r="I33" s="43" t="str">
        <f t="shared" si="536"/>
        <v/>
      </c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>
        <f t="shared" ref="CT33:EH33" si="538">ROUND(SUMPRODUCT($E$2:$E$26,CT$2:CT$26)*0.6%,0)</f>
        <v>0</v>
      </c>
      <c r="CU33" s="105"/>
      <c r="CV33" s="105"/>
      <c r="CW33" s="105">
        <f t="shared" si="538"/>
        <v>0</v>
      </c>
      <c r="CX33" s="105"/>
      <c r="CY33" s="105"/>
      <c r="CZ33" s="105"/>
      <c r="DA33" s="105">
        <f t="shared" si="538"/>
        <v>0</v>
      </c>
      <c r="DB33" s="105"/>
      <c r="DC33" s="105"/>
      <c r="DD33" s="105">
        <f t="shared" si="538"/>
        <v>0</v>
      </c>
      <c r="DE33" s="105"/>
      <c r="DF33" s="105"/>
      <c r="DG33" s="105"/>
      <c r="DH33" s="105">
        <f t="shared" si="538"/>
        <v>0</v>
      </c>
      <c r="DI33" s="105">
        <f t="shared" si="538"/>
        <v>0</v>
      </c>
      <c r="DJ33" s="105">
        <f t="shared" si="538"/>
        <v>0</v>
      </c>
      <c r="DK33" s="105">
        <f t="shared" si="538"/>
        <v>0</v>
      </c>
      <c r="DL33" s="105">
        <f t="shared" si="538"/>
        <v>0</v>
      </c>
      <c r="DM33" s="105">
        <f t="shared" si="538"/>
        <v>0</v>
      </c>
      <c r="DN33" s="105">
        <f t="shared" si="538"/>
        <v>0</v>
      </c>
      <c r="DO33" s="105">
        <f t="shared" si="538"/>
        <v>0</v>
      </c>
      <c r="DP33" s="105">
        <f t="shared" si="538"/>
        <v>0</v>
      </c>
      <c r="DQ33" s="105">
        <f t="shared" si="538"/>
        <v>0</v>
      </c>
      <c r="DR33" s="105">
        <f t="shared" si="538"/>
        <v>0</v>
      </c>
      <c r="DS33" s="105">
        <f t="shared" si="538"/>
        <v>0</v>
      </c>
      <c r="DT33" s="105">
        <f t="shared" si="538"/>
        <v>0</v>
      </c>
      <c r="DU33" s="105">
        <f t="shared" si="538"/>
        <v>0</v>
      </c>
      <c r="DV33" s="105">
        <f t="shared" si="538"/>
        <v>0</v>
      </c>
      <c r="DW33" s="105">
        <f t="shared" si="538"/>
        <v>0</v>
      </c>
      <c r="DX33" s="105">
        <f t="shared" si="538"/>
        <v>0</v>
      </c>
      <c r="DY33" s="105">
        <f t="shared" si="538"/>
        <v>0</v>
      </c>
      <c r="DZ33" s="105">
        <f t="shared" si="538"/>
        <v>0</v>
      </c>
      <c r="EA33" s="105">
        <f t="shared" si="538"/>
        <v>0</v>
      </c>
      <c r="EB33" s="105">
        <f t="shared" si="538"/>
        <v>0</v>
      </c>
      <c r="EC33" s="105">
        <f t="shared" si="538"/>
        <v>0</v>
      </c>
      <c r="ED33" s="105">
        <f t="shared" si="538"/>
        <v>0</v>
      </c>
      <c r="EE33" s="105">
        <f t="shared" si="538"/>
        <v>0</v>
      </c>
      <c r="EF33" s="105">
        <f t="shared" si="538"/>
        <v>0</v>
      </c>
      <c r="EG33" s="105">
        <f t="shared" si="538"/>
        <v>0</v>
      </c>
      <c r="EH33" s="105">
        <f t="shared" si="538"/>
        <v>0</v>
      </c>
      <c r="EI33" s="105">
        <f t="shared" ref="EI33:GT33" si="539">ROUND(SUMPRODUCT($E$2:$E$26,EI$2:EI$26)*0.6%,0)</f>
        <v>0</v>
      </c>
      <c r="EJ33" s="105">
        <f t="shared" si="539"/>
        <v>0</v>
      </c>
      <c r="EK33" s="105">
        <f t="shared" si="539"/>
        <v>0</v>
      </c>
      <c r="EL33" s="105">
        <f t="shared" si="539"/>
        <v>0</v>
      </c>
      <c r="EM33" s="105">
        <f t="shared" si="539"/>
        <v>0</v>
      </c>
      <c r="EN33" s="105">
        <f t="shared" si="539"/>
        <v>0</v>
      </c>
      <c r="EO33" s="105">
        <f t="shared" si="539"/>
        <v>0</v>
      </c>
      <c r="EP33" s="105">
        <f t="shared" si="539"/>
        <v>0</v>
      </c>
      <c r="EQ33" s="105">
        <f t="shared" si="539"/>
        <v>0</v>
      </c>
      <c r="ER33" s="105">
        <f t="shared" si="539"/>
        <v>0</v>
      </c>
      <c r="ES33" s="105">
        <f t="shared" si="539"/>
        <v>0</v>
      </c>
      <c r="ET33" s="105">
        <f t="shared" si="539"/>
        <v>0</v>
      </c>
      <c r="EU33" s="105">
        <f t="shared" si="539"/>
        <v>0</v>
      </c>
      <c r="EV33" s="105">
        <f t="shared" si="539"/>
        <v>0</v>
      </c>
      <c r="EW33" s="105">
        <f t="shared" si="539"/>
        <v>0</v>
      </c>
      <c r="EX33" s="105">
        <f t="shared" si="539"/>
        <v>0</v>
      </c>
      <c r="EY33" s="105">
        <f t="shared" si="539"/>
        <v>0</v>
      </c>
      <c r="EZ33" s="105">
        <f t="shared" si="539"/>
        <v>0</v>
      </c>
      <c r="FA33" s="105">
        <f t="shared" si="539"/>
        <v>0</v>
      </c>
      <c r="FB33" s="105">
        <f t="shared" si="539"/>
        <v>0</v>
      </c>
      <c r="FC33" s="105">
        <f t="shared" si="539"/>
        <v>0</v>
      </c>
      <c r="FD33" s="105">
        <f t="shared" si="539"/>
        <v>0</v>
      </c>
      <c r="FE33" s="105">
        <f t="shared" si="539"/>
        <v>0</v>
      </c>
      <c r="FF33" s="105">
        <f t="shared" si="539"/>
        <v>0</v>
      </c>
      <c r="FG33" s="105">
        <f t="shared" si="539"/>
        <v>0</v>
      </c>
      <c r="FH33" s="105">
        <f t="shared" si="539"/>
        <v>0</v>
      </c>
      <c r="FI33" s="105">
        <f t="shared" si="539"/>
        <v>0</v>
      </c>
      <c r="FJ33" s="105">
        <f t="shared" si="539"/>
        <v>0</v>
      </c>
      <c r="FK33" s="105">
        <f t="shared" si="539"/>
        <v>0</v>
      </c>
      <c r="FL33" s="105">
        <f t="shared" si="539"/>
        <v>0</v>
      </c>
      <c r="FM33" s="105">
        <f t="shared" si="539"/>
        <v>0</v>
      </c>
      <c r="FN33" s="105">
        <f t="shared" si="539"/>
        <v>0</v>
      </c>
      <c r="FO33" s="105">
        <f t="shared" si="539"/>
        <v>0</v>
      </c>
      <c r="FP33" s="105">
        <f t="shared" si="539"/>
        <v>0</v>
      </c>
      <c r="FQ33" s="105">
        <f t="shared" si="539"/>
        <v>0</v>
      </c>
      <c r="FR33" s="105">
        <f t="shared" si="539"/>
        <v>0</v>
      </c>
      <c r="FS33" s="105">
        <f t="shared" si="539"/>
        <v>0</v>
      </c>
      <c r="FT33" s="105">
        <f t="shared" si="539"/>
        <v>0</v>
      </c>
      <c r="FU33" s="101">
        <f t="shared" si="539"/>
        <v>0</v>
      </c>
      <c r="FV33" s="101">
        <f t="shared" si="539"/>
        <v>0</v>
      </c>
      <c r="FW33" s="101">
        <f t="shared" si="539"/>
        <v>0</v>
      </c>
      <c r="FX33" s="101">
        <f t="shared" si="539"/>
        <v>0</v>
      </c>
      <c r="FY33" s="101">
        <f t="shared" si="539"/>
        <v>0</v>
      </c>
      <c r="FZ33" s="101">
        <f t="shared" si="539"/>
        <v>0</v>
      </c>
      <c r="GA33" s="101">
        <f t="shared" si="539"/>
        <v>0</v>
      </c>
      <c r="GB33" s="101">
        <f t="shared" si="539"/>
        <v>0</v>
      </c>
      <c r="GC33" s="101">
        <f t="shared" si="539"/>
        <v>0</v>
      </c>
      <c r="GD33" s="101">
        <f t="shared" si="539"/>
        <v>0</v>
      </c>
      <c r="GE33" s="101">
        <f t="shared" si="539"/>
        <v>0</v>
      </c>
      <c r="GF33" s="101">
        <f t="shared" si="539"/>
        <v>0</v>
      </c>
      <c r="GG33" s="101">
        <f t="shared" si="539"/>
        <v>0</v>
      </c>
      <c r="GH33" s="101">
        <f t="shared" si="539"/>
        <v>0</v>
      </c>
      <c r="GI33" s="101">
        <f t="shared" si="539"/>
        <v>0</v>
      </c>
      <c r="GJ33" s="101">
        <f t="shared" si="539"/>
        <v>0</v>
      </c>
      <c r="GK33" s="101">
        <f t="shared" si="539"/>
        <v>0</v>
      </c>
      <c r="GL33" s="101">
        <f t="shared" si="539"/>
        <v>0</v>
      </c>
      <c r="GM33" s="101">
        <f t="shared" si="539"/>
        <v>0</v>
      </c>
      <c r="GN33" s="101">
        <f t="shared" si="539"/>
        <v>0</v>
      </c>
      <c r="GO33" s="101">
        <f t="shared" si="539"/>
        <v>0</v>
      </c>
      <c r="GP33" s="101">
        <f t="shared" si="539"/>
        <v>0</v>
      </c>
      <c r="GQ33" s="101">
        <f t="shared" si="539"/>
        <v>0</v>
      </c>
      <c r="GR33" s="101">
        <f t="shared" si="539"/>
        <v>0</v>
      </c>
      <c r="GS33" s="101">
        <f t="shared" si="539"/>
        <v>0</v>
      </c>
      <c r="GT33" s="101">
        <f t="shared" si="539"/>
        <v>0</v>
      </c>
      <c r="GU33" s="101">
        <f t="shared" ref="GU33:JF33" si="540">ROUND(SUMPRODUCT($E$2:$E$26,GU$2:GU$26)*0.6%,0)</f>
        <v>0</v>
      </c>
      <c r="GV33" s="101">
        <f t="shared" si="540"/>
        <v>0</v>
      </c>
      <c r="GW33" s="101">
        <f t="shared" si="540"/>
        <v>0</v>
      </c>
      <c r="GX33" s="101">
        <f t="shared" si="540"/>
        <v>0</v>
      </c>
      <c r="GY33" s="101">
        <f t="shared" si="540"/>
        <v>0</v>
      </c>
      <c r="GZ33" s="101">
        <f t="shared" si="540"/>
        <v>0</v>
      </c>
      <c r="HA33" s="101">
        <f t="shared" si="540"/>
        <v>0</v>
      </c>
      <c r="HB33" s="101">
        <f t="shared" si="540"/>
        <v>0</v>
      </c>
      <c r="HC33" s="101">
        <f t="shared" si="540"/>
        <v>0</v>
      </c>
      <c r="HD33" s="101">
        <f t="shared" si="540"/>
        <v>0</v>
      </c>
      <c r="HE33" s="101">
        <f t="shared" si="540"/>
        <v>0</v>
      </c>
      <c r="HF33" s="101">
        <f t="shared" si="540"/>
        <v>0</v>
      </c>
      <c r="HG33" s="101">
        <f t="shared" si="540"/>
        <v>0</v>
      </c>
      <c r="HH33" s="101">
        <f t="shared" si="540"/>
        <v>0</v>
      </c>
      <c r="HI33" s="101">
        <f t="shared" si="540"/>
        <v>0</v>
      </c>
      <c r="HJ33" s="101">
        <f t="shared" si="540"/>
        <v>0</v>
      </c>
      <c r="HK33" s="101">
        <f t="shared" si="540"/>
        <v>0</v>
      </c>
      <c r="HL33" s="101">
        <f t="shared" si="540"/>
        <v>0</v>
      </c>
      <c r="HM33" s="101">
        <f t="shared" si="540"/>
        <v>0</v>
      </c>
      <c r="HN33" s="101">
        <f t="shared" si="540"/>
        <v>0</v>
      </c>
      <c r="HO33" s="101">
        <f t="shared" si="540"/>
        <v>0</v>
      </c>
      <c r="HP33" s="101">
        <f t="shared" si="540"/>
        <v>0</v>
      </c>
      <c r="HQ33" s="101">
        <f t="shared" si="540"/>
        <v>0</v>
      </c>
      <c r="HR33" s="101">
        <f t="shared" si="540"/>
        <v>0</v>
      </c>
      <c r="HS33" s="101">
        <f t="shared" si="540"/>
        <v>0</v>
      </c>
      <c r="HT33" s="101">
        <f t="shared" si="540"/>
        <v>0</v>
      </c>
      <c r="HU33" s="101">
        <f t="shared" si="540"/>
        <v>0</v>
      </c>
      <c r="HV33" s="101">
        <f t="shared" si="540"/>
        <v>0</v>
      </c>
      <c r="HW33" s="101">
        <f t="shared" si="540"/>
        <v>0</v>
      </c>
      <c r="HX33" s="101">
        <f t="shared" si="540"/>
        <v>0</v>
      </c>
      <c r="HY33" s="101">
        <f t="shared" si="540"/>
        <v>0</v>
      </c>
      <c r="HZ33" s="101">
        <f t="shared" si="540"/>
        <v>0</v>
      </c>
      <c r="IA33" s="101">
        <f t="shared" si="540"/>
        <v>0</v>
      </c>
      <c r="IB33" s="101">
        <f t="shared" si="540"/>
        <v>0</v>
      </c>
      <c r="IC33" s="101">
        <f t="shared" si="540"/>
        <v>0</v>
      </c>
      <c r="ID33" s="101">
        <f t="shared" si="540"/>
        <v>0</v>
      </c>
      <c r="IE33" s="101">
        <f t="shared" si="540"/>
        <v>0</v>
      </c>
      <c r="IF33" s="101">
        <f t="shared" si="540"/>
        <v>0</v>
      </c>
      <c r="IG33" s="101">
        <f t="shared" si="540"/>
        <v>0</v>
      </c>
      <c r="IH33" s="101">
        <f t="shared" si="540"/>
        <v>0</v>
      </c>
      <c r="II33" s="101">
        <f t="shared" si="540"/>
        <v>0</v>
      </c>
      <c r="IJ33" s="101">
        <f t="shared" si="540"/>
        <v>0</v>
      </c>
      <c r="IK33" s="101">
        <f t="shared" si="540"/>
        <v>0</v>
      </c>
      <c r="IL33" s="101">
        <f t="shared" si="540"/>
        <v>0</v>
      </c>
      <c r="IM33" s="101">
        <f t="shared" si="540"/>
        <v>0</v>
      </c>
      <c r="IN33" s="101">
        <f t="shared" si="540"/>
        <v>0</v>
      </c>
      <c r="IO33" s="101">
        <f t="shared" si="540"/>
        <v>0</v>
      </c>
      <c r="IP33" s="101">
        <f t="shared" si="540"/>
        <v>0</v>
      </c>
      <c r="IQ33" s="101">
        <f t="shared" si="540"/>
        <v>0</v>
      </c>
      <c r="IR33" s="101">
        <f t="shared" si="540"/>
        <v>0</v>
      </c>
      <c r="IS33" s="101">
        <f t="shared" si="540"/>
        <v>0</v>
      </c>
      <c r="IT33" s="101">
        <f t="shared" si="540"/>
        <v>0</v>
      </c>
      <c r="IU33" s="101">
        <f t="shared" si="540"/>
        <v>0</v>
      </c>
      <c r="IV33" s="101">
        <f t="shared" si="540"/>
        <v>0</v>
      </c>
      <c r="IW33" s="101">
        <f t="shared" si="540"/>
        <v>0</v>
      </c>
      <c r="IX33" s="101">
        <f t="shared" si="540"/>
        <v>0</v>
      </c>
      <c r="IY33" s="101">
        <f t="shared" si="540"/>
        <v>0</v>
      </c>
      <c r="IZ33" s="101">
        <f t="shared" si="540"/>
        <v>0</v>
      </c>
      <c r="JA33" s="101">
        <f t="shared" si="540"/>
        <v>0</v>
      </c>
      <c r="JB33" s="101">
        <f t="shared" si="540"/>
        <v>0</v>
      </c>
      <c r="JC33" s="101">
        <f t="shared" si="540"/>
        <v>0</v>
      </c>
      <c r="JD33" s="101">
        <f t="shared" si="540"/>
        <v>0</v>
      </c>
      <c r="JE33" s="101">
        <f t="shared" si="540"/>
        <v>0</v>
      </c>
      <c r="JF33" s="101">
        <f t="shared" si="540"/>
        <v>0</v>
      </c>
      <c r="JG33" s="101">
        <f t="shared" ref="JG33:LR33" si="541">ROUND(SUMPRODUCT($E$2:$E$26,JG$2:JG$26)*0.6%,0)</f>
        <v>0</v>
      </c>
      <c r="JH33" s="101">
        <f t="shared" si="541"/>
        <v>0</v>
      </c>
      <c r="JI33" s="101">
        <f t="shared" si="541"/>
        <v>0</v>
      </c>
      <c r="JJ33" s="101">
        <f t="shared" si="541"/>
        <v>0</v>
      </c>
      <c r="JK33" s="101">
        <f t="shared" si="541"/>
        <v>0</v>
      </c>
      <c r="JL33" s="101">
        <f t="shared" si="541"/>
        <v>0</v>
      </c>
      <c r="JM33" s="101">
        <f t="shared" si="541"/>
        <v>0</v>
      </c>
      <c r="JN33" s="101">
        <f t="shared" si="541"/>
        <v>0</v>
      </c>
      <c r="JO33" s="101">
        <f t="shared" si="541"/>
        <v>0</v>
      </c>
      <c r="JP33" s="101">
        <f t="shared" si="541"/>
        <v>0</v>
      </c>
      <c r="JQ33" s="101">
        <f t="shared" si="541"/>
        <v>0</v>
      </c>
      <c r="JR33" s="101">
        <f t="shared" si="541"/>
        <v>0</v>
      </c>
      <c r="JS33" s="101">
        <f t="shared" si="541"/>
        <v>0</v>
      </c>
      <c r="JT33" s="101">
        <f t="shared" si="541"/>
        <v>0</v>
      </c>
      <c r="JU33" s="101">
        <f t="shared" si="541"/>
        <v>0</v>
      </c>
      <c r="JV33" s="101">
        <f t="shared" si="541"/>
        <v>0</v>
      </c>
      <c r="JW33" s="101">
        <f t="shared" si="541"/>
        <v>0</v>
      </c>
      <c r="JX33" s="101">
        <f t="shared" si="541"/>
        <v>0</v>
      </c>
      <c r="JY33" s="101">
        <f t="shared" si="541"/>
        <v>0</v>
      </c>
      <c r="JZ33" s="101">
        <f t="shared" si="541"/>
        <v>0</v>
      </c>
      <c r="KA33" s="101">
        <f t="shared" si="541"/>
        <v>0</v>
      </c>
      <c r="KB33" s="101">
        <f t="shared" si="541"/>
        <v>0</v>
      </c>
      <c r="KC33" s="101">
        <f t="shared" si="541"/>
        <v>0</v>
      </c>
      <c r="KD33" s="101">
        <f t="shared" si="541"/>
        <v>0</v>
      </c>
      <c r="KE33" s="101">
        <f t="shared" si="541"/>
        <v>0</v>
      </c>
      <c r="KF33" s="101">
        <f t="shared" si="541"/>
        <v>0</v>
      </c>
      <c r="KG33" s="101">
        <f t="shared" si="541"/>
        <v>0</v>
      </c>
      <c r="KH33" s="101">
        <f t="shared" si="541"/>
        <v>0</v>
      </c>
      <c r="KI33" s="101">
        <f t="shared" si="541"/>
        <v>0</v>
      </c>
      <c r="KJ33" s="101">
        <f t="shared" si="541"/>
        <v>0</v>
      </c>
      <c r="KK33" s="101">
        <f t="shared" si="541"/>
        <v>0</v>
      </c>
      <c r="KL33" s="101">
        <f t="shared" si="541"/>
        <v>0</v>
      </c>
      <c r="KM33" s="101">
        <f t="shared" si="541"/>
        <v>0</v>
      </c>
      <c r="KN33" s="101">
        <f t="shared" si="541"/>
        <v>0</v>
      </c>
      <c r="KO33" s="101">
        <f t="shared" si="541"/>
        <v>0</v>
      </c>
      <c r="KP33" s="101">
        <f t="shared" si="541"/>
        <v>0</v>
      </c>
      <c r="KQ33" s="101">
        <f t="shared" si="541"/>
        <v>0</v>
      </c>
      <c r="KR33" s="101">
        <f t="shared" si="541"/>
        <v>0</v>
      </c>
      <c r="KS33" s="101">
        <f t="shared" si="541"/>
        <v>0</v>
      </c>
      <c r="KT33" s="101">
        <f t="shared" si="541"/>
        <v>0</v>
      </c>
      <c r="KU33" s="101">
        <f t="shared" si="541"/>
        <v>0</v>
      </c>
      <c r="KV33" s="101">
        <f t="shared" si="541"/>
        <v>0</v>
      </c>
      <c r="KW33" s="101">
        <f t="shared" si="541"/>
        <v>0</v>
      </c>
      <c r="KX33" s="101">
        <f t="shared" si="541"/>
        <v>0</v>
      </c>
      <c r="KY33" s="101">
        <f t="shared" si="541"/>
        <v>0</v>
      </c>
      <c r="KZ33" s="101">
        <f t="shared" si="541"/>
        <v>0</v>
      </c>
      <c r="LA33" s="101">
        <f t="shared" si="541"/>
        <v>0</v>
      </c>
      <c r="LB33" s="101">
        <f t="shared" si="541"/>
        <v>0</v>
      </c>
      <c r="LC33" s="101">
        <f t="shared" si="541"/>
        <v>0</v>
      </c>
      <c r="LD33" s="101">
        <f t="shared" si="541"/>
        <v>0</v>
      </c>
      <c r="LE33" s="101">
        <f t="shared" si="541"/>
        <v>0</v>
      </c>
      <c r="LF33" s="101">
        <f t="shared" si="541"/>
        <v>0</v>
      </c>
      <c r="LG33" s="101">
        <f t="shared" si="541"/>
        <v>0</v>
      </c>
      <c r="LH33" s="101">
        <f t="shared" si="541"/>
        <v>0</v>
      </c>
      <c r="LI33" s="101">
        <f t="shared" si="541"/>
        <v>0</v>
      </c>
      <c r="LJ33" s="101">
        <f t="shared" si="541"/>
        <v>0</v>
      </c>
      <c r="LK33" s="101">
        <f t="shared" si="541"/>
        <v>0</v>
      </c>
      <c r="LL33" s="101">
        <f t="shared" si="541"/>
        <v>0</v>
      </c>
      <c r="LM33" s="101">
        <f t="shared" si="541"/>
        <v>0</v>
      </c>
      <c r="LN33" s="101">
        <f t="shared" si="541"/>
        <v>0</v>
      </c>
      <c r="LO33" s="101">
        <f t="shared" si="541"/>
        <v>0</v>
      </c>
      <c r="LP33" s="101">
        <f t="shared" si="541"/>
        <v>0</v>
      </c>
      <c r="LQ33" s="101">
        <f t="shared" si="541"/>
        <v>0</v>
      </c>
      <c r="LR33" s="101">
        <f t="shared" si="541"/>
        <v>0</v>
      </c>
      <c r="LS33" s="101">
        <f t="shared" ref="LS33:OD33" si="542">ROUND(SUMPRODUCT($E$2:$E$26,LS$2:LS$26)*0.6%,0)</f>
        <v>0</v>
      </c>
      <c r="LT33" s="101">
        <f t="shared" si="542"/>
        <v>0</v>
      </c>
      <c r="LU33" s="101">
        <f t="shared" si="542"/>
        <v>0</v>
      </c>
      <c r="LV33" s="101">
        <f t="shared" si="542"/>
        <v>0</v>
      </c>
      <c r="LW33" s="101">
        <f t="shared" si="542"/>
        <v>0</v>
      </c>
      <c r="LX33" s="101">
        <f t="shared" si="542"/>
        <v>0</v>
      </c>
      <c r="LY33" s="101">
        <f t="shared" si="542"/>
        <v>0</v>
      </c>
      <c r="LZ33" s="101">
        <f t="shared" si="542"/>
        <v>0</v>
      </c>
      <c r="MA33" s="101">
        <f t="shared" si="542"/>
        <v>0</v>
      </c>
      <c r="MB33" s="101">
        <f t="shared" si="542"/>
        <v>0</v>
      </c>
      <c r="MC33" s="101">
        <f t="shared" si="542"/>
        <v>0</v>
      </c>
      <c r="MD33" s="101">
        <f t="shared" si="542"/>
        <v>0</v>
      </c>
      <c r="ME33" s="101">
        <f t="shared" si="542"/>
        <v>0</v>
      </c>
      <c r="MF33" s="101">
        <f t="shared" si="542"/>
        <v>0</v>
      </c>
      <c r="MG33" s="101">
        <f t="shared" si="542"/>
        <v>0</v>
      </c>
      <c r="MH33" s="101">
        <f t="shared" si="542"/>
        <v>0</v>
      </c>
      <c r="MI33" s="101">
        <f t="shared" si="542"/>
        <v>0</v>
      </c>
      <c r="MJ33" s="101">
        <f t="shared" si="542"/>
        <v>0</v>
      </c>
      <c r="MK33" s="101">
        <f t="shared" si="542"/>
        <v>0</v>
      </c>
      <c r="ML33" s="101">
        <f t="shared" si="542"/>
        <v>0</v>
      </c>
      <c r="MM33" s="101">
        <f t="shared" si="542"/>
        <v>0</v>
      </c>
      <c r="MN33" s="101">
        <f t="shared" si="542"/>
        <v>0</v>
      </c>
      <c r="MO33" s="101">
        <f t="shared" si="542"/>
        <v>0</v>
      </c>
      <c r="MP33" s="101">
        <f t="shared" si="542"/>
        <v>0</v>
      </c>
      <c r="MQ33" s="101">
        <f t="shared" si="542"/>
        <v>0</v>
      </c>
      <c r="MR33" s="101">
        <f t="shared" si="542"/>
        <v>0</v>
      </c>
      <c r="MS33" s="101">
        <f t="shared" si="542"/>
        <v>0</v>
      </c>
      <c r="MT33" s="101">
        <f t="shared" si="542"/>
        <v>0</v>
      </c>
      <c r="MU33" s="101">
        <f t="shared" si="542"/>
        <v>0</v>
      </c>
      <c r="MV33" s="101">
        <f t="shared" si="542"/>
        <v>0</v>
      </c>
      <c r="MW33" s="101">
        <f t="shared" si="542"/>
        <v>0</v>
      </c>
      <c r="MX33" s="101">
        <f t="shared" si="542"/>
        <v>0</v>
      </c>
      <c r="MY33" s="101">
        <f t="shared" si="542"/>
        <v>0</v>
      </c>
      <c r="MZ33" s="101">
        <f t="shared" si="542"/>
        <v>0</v>
      </c>
      <c r="NA33" s="101">
        <f t="shared" si="542"/>
        <v>0</v>
      </c>
      <c r="NB33" s="101">
        <f t="shared" si="542"/>
        <v>0</v>
      </c>
      <c r="NC33" s="101">
        <f t="shared" si="542"/>
        <v>0</v>
      </c>
      <c r="ND33" s="101">
        <f t="shared" si="542"/>
        <v>0</v>
      </c>
      <c r="NE33" s="101">
        <f t="shared" si="542"/>
        <v>0</v>
      </c>
      <c r="NF33" s="101">
        <f t="shared" si="542"/>
        <v>0</v>
      </c>
      <c r="NG33" s="101">
        <f t="shared" si="542"/>
        <v>0</v>
      </c>
      <c r="NH33" s="101">
        <f t="shared" si="542"/>
        <v>0</v>
      </c>
      <c r="NI33" s="101">
        <f t="shared" si="542"/>
        <v>0</v>
      </c>
      <c r="NJ33" s="101">
        <f t="shared" si="542"/>
        <v>0</v>
      </c>
      <c r="NK33" s="101">
        <f t="shared" si="542"/>
        <v>0</v>
      </c>
      <c r="NL33" s="101">
        <f t="shared" si="542"/>
        <v>0</v>
      </c>
      <c r="NM33" s="101">
        <f t="shared" si="542"/>
        <v>0</v>
      </c>
      <c r="NN33" s="101">
        <f t="shared" si="542"/>
        <v>0</v>
      </c>
      <c r="NO33" s="101">
        <f t="shared" si="542"/>
        <v>0</v>
      </c>
      <c r="NP33" s="101">
        <f t="shared" si="542"/>
        <v>0</v>
      </c>
      <c r="NQ33" s="101">
        <f t="shared" si="542"/>
        <v>0</v>
      </c>
      <c r="NR33" s="101">
        <f t="shared" si="542"/>
        <v>0</v>
      </c>
      <c r="NS33" s="101">
        <f t="shared" si="542"/>
        <v>0</v>
      </c>
      <c r="NT33" s="101">
        <f t="shared" si="542"/>
        <v>0</v>
      </c>
      <c r="NU33" s="101">
        <f t="shared" si="542"/>
        <v>0</v>
      </c>
      <c r="NV33" s="101">
        <f t="shared" si="542"/>
        <v>0</v>
      </c>
      <c r="NW33" s="101">
        <f t="shared" si="542"/>
        <v>0</v>
      </c>
      <c r="NX33" s="101">
        <f t="shared" si="542"/>
        <v>0</v>
      </c>
      <c r="NY33" s="101">
        <f t="shared" si="542"/>
        <v>0</v>
      </c>
      <c r="NZ33" s="101">
        <f t="shared" si="542"/>
        <v>0</v>
      </c>
      <c r="OA33" s="101">
        <f t="shared" si="542"/>
        <v>0</v>
      </c>
      <c r="OB33" s="101">
        <f t="shared" si="542"/>
        <v>0</v>
      </c>
      <c r="OC33" s="101">
        <f t="shared" si="542"/>
        <v>0</v>
      </c>
      <c r="OD33" s="101">
        <f t="shared" si="542"/>
        <v>0</v>
      </c>
      <c r="OE33" s="101">
        <f t="shared" ref="OE33:QP33" si="543">ROUND(SUMPRODUCT($E$2:$E$26,OE$2:OE$26)*0.6%,0)</f>
        <v>0</v>
      </c>
      <c r="OF33" s="101">
        <f t="shared" si="543"/>
        <v>0</v>
      </c>
      <c r="OG33" s="101">
        <f t="shared" si="543"/>
        <v>0</v>
      </c>
      <c r="OH33" s="101">
        <f t="shared" si="543"/>
        <v>0</v>
      </c>
      <c r="OI33" s="101">
        <f t="shared" si="543"/>
        <v>0</v>
      </c>
      <c r="OJ33" s="101">
        <f t="shared" si="543"/>
        <v>0</v>
      </c>
      <c r="OK33" s="101">
        <f t="shared" si="543"/>
        <v>0</v>
      </c>
      <c r="OL33" s="101">
        <f t="shared" si="543"/>
        <v>0</v>
      </c>
      <c r="OM33" s="101">
        <f t="shared" si="543"/>
        <v>0</v>
      </c>
      <c r="ON33" s="101">
        <f t="shared" si="543"/>
        <v>0</v>
      </c>
      <c r="OO33" s="101">
        <f t="shared" si="543"/>
        <v>0</v>
      </c>
      <c r="OP33" s="101">
        <f t="shared" si="543"/>
        <v>0</v>
      </c>
      <c r="OQ33" s="101">
        <f t="shared" si="543"/>
        <v>0</v>
      </c>
      <c r="OR33" s="101">
        <f t="shared" si="543"/>
        <v>0</v>
      </c>
      <c r="OS33" s="101">
        <f t="shared" si="543"/>
        <v>0</v>
      </c>
      <c r="OT33" s="101">
        <f t="shared" si="543"/>
        <v>0</v>
      </c>
      <c r="OU33" s="101">
        <f t="shared" si="543"/>
        <v>0</v>
      </c>
      <c r="OV33" s="101">
        <f t="shared" si="543"/>
        <v>0</v>
      </c>
      <c r="OW33" s="101">
        <f t="shared" si="543"/>
        <v>0</v>
      </c>
      <c r="OX33" s="101">
        <f t="shared" si="543"/>
        <v>0</v>
      </c>
      <c r="OY33" s="101">
        <f t="shared" si="543"/>
        <v>0</v>
      </c>
      <c r="OZ33" s="101">
        <f t="shared" si="543"/>
        <v>0</v>
      </c>
      <c r="PA33" s="101">
        <f t="shared" si="543"/>
        <v>0</v>
      </c>
      <c r="PB33" s="101">
        <f t="shared" si="543"/>
        <v>0</v>
      </c>
      <c r="PC33" s="101">
        <f t="shared" si="543"/>
        <v>0</v>
      </c>
      <c r="PD33" s="101">
        <f t="shared" si="543"/>
        <v>0</v>
      </c>
      <c r="PE33" s="101">
        <f t="shared" si="543"/>
        <v>0</v>
      </c>
      <c r="PF33" s="101">
        <f t="shared" si="543"/>
        <v>0</v>
      </c>
      <c r="PG33" s="101">
        <f t="shared" si="543"/>
        <v>0</v>
      </c>
      <c r="PH33" s="101">
        <f t="shared" si="543"/>
        <v>0</v>
      </c>
      <c r="PI33" s="101">
        <f t="shared" si="543"/>
        <v>0</v>
      </c>
      <c r="PJ33" s="101">
        <f t="shared" si="543"/>
        <v>0</v>
      </c>
      <c r="PK33" s="101">
        <f t="shared" si="543"/>
        <v>0</v>
      </c>
      <c r="PL33" s="101">
        <f t="shared" si="543"/>
        <v>0</v>
      </c>
      <c r="PM33" s="101">
        <f t="shared" si="543"/>
        <v>0</v>
      </c>
      <c r="PN33" s="101">
        <f t="shared" si="543"/>
        <v>0</v>
      </c>
      <c r="PO33" s="101">
        <f t="shared" si="543"/>
        <v>0</v>
      </c>
      <c r="PP33" s="101">
        <f t="shared" si="543"/>
        <v>0</v>
      </c>
      <c r="PQ33" s="101">
        <f t="shared" si="543"/>
        <v>0</v>
      </c>
      <c r="PR33" s="101">
        <f t="shared" si="543"/>
        <v>0</v>
      </c>
      <c r="PS33" s="101">
        <f t="shared" si="543"/>
        <v>0</v>
      </c>
      <c r="PT33" s="101">
        <f t="shared" si="543"/>
        <v>0</v>
      </c>
      <c r="PU33" s="101">
        <f t="shared" si="543"/>
        <v>0</v>
      </c>
      <c r="PV33" s="101">
        <f t="shared" si="543"/>
        <v>0</v>
      </c>
      <c r="PW33" s="101">
        <f t="shared" si="543"/>
        <v>0</v>
      </c>
      <c r="PX33" s="101">
        <f t="shared" si="543"/>
        <v>0</v>
      </c>
      <c r="PY33" s="101">
        <f t="shared" si="543"/>
        <v>0</v>
      </c>
      <c r="PZ33" s="101">
        <f t="shared" si="543"/>
        <v>0</v>
      </c>
      <c r="QA33" s="101">
        <f t="shared" si="543"/>
        <v>0</v>
      </c>
      <c r="QB33" s="101">
        <f t="shared" si="543"/>
        <v>0</v>
      </c>
      <c r="QC33" s="101">
        <f t="shared" si="543"/>
        <v>0</v>
      </c>
      <c r="QD33" s="101">
        <f t="shared" si="543"/>
        <v>0</v>
      </c>
      <c r="QE33" s="101">
        <f t="shared" si="543"/>
        <v>0</v>
      </c>
      <c r="QF33" s="101">
        <f t="shared" si="543"/>
        <v>0</v>
      </c>
      <c r="QG33" s="101">
        <f t="shared" si="543"/>
        <v>0</v>
      </c>
      <c r="QH33" s="101">
        <f t="shared" si="543"/>
        <v>0</v>
      </c>
      <c r="QI33" s="101">
        <f t="shared" si="543"/>
        <v>0</v>
      </c>
      <c r="QJ33" s="101">
        <f t="shared" si="543"/>
        <v>0</v>
      </c>
      <c r="QK33" s="101">
        <f t="shared" si="543"/>
        <v>0</v>
      </c>
      <c r="QL33" s="101">
        <f t="shared" si="543"/>
        <v>0</v>
      </c>
      <c r="QM33" s="101">
        <f t="shared" si="543"/>
        <v>0</v>
      </c>
      <c r="QN33" s="101">
        <f t="shared" si="543"/>
        <v>0</v>
      </c>
      <c r="QO33" s="101">
        <f t="shared" si="543"/>
        <v>0</v>
      </c>
      <c r="QP33" s="101">
        <f t="shared" si="543"/>
        <v>0</v>
      </c>
      <c r="QQ33" s="101">
        <f t="shared" ref="QQ33:TB33" si="544">ROUND(SUMPRODUCT($E$2:$E$26,QQ$2:QQ$26)*0.6%,0)</f>
        <v>0</v>
      </c>
      <c r="QR33" s="101">
        <f t="shared" si="544"/>
        <v>0</v>
      </c>
      <c r="QS33" s="101">
        <f t="shared" si="544"/>
        <v>0</v>
      </c>
      <c r="QT33" s="101">
        <f t="shared" si="544"/>
        <v>0</v>
      </c>
      <c r="QU33" s="101">
        <f t="shared" si="544"/>
        <v>0</v>
      </c>
      <c r="QV33" s="101">
        <f t="shared" si="544"/>
        <v>0</v>
      </c>
      <c r="QW33" s="101">
        <f t="shared" si="544"/>
        <v>0</v>
      </c>
      <c r="QX33" s="101">
        <f t="shared" si="544"/>
        <v>0</v>
      </c>
      <c r="QY33" s="101">
        <f t="shared" si="544"/>
        <v>0</v>
      </c>
      <c r="QZ33" s="101">
        <f t="shared" si="544"/>
        <v>0</v>
      </c>
      <c r="RA33" s="101">
        <f t="shared" si="544"/>
        <v>0</v>
      </c>
      <c r="RB33" s="101">
        <f t="shared" si="544"/>
        <v>0</v>
      </c>
      <c r="RC33" s="101">
        <f t="shared" si="544"/>
        <v>0</v>
      </c>
      <c r="RD33" s="101">
        <f t="shared" si="544"/>
        <v>0</v>
      </c>
      <c r="RE33" s="101">
        <f t="shared" si="544"/>
        <v>0</v>
      </c>
      <c r="RF33" s="101">
        <f t="shared" si="544"/>
        <v>0</v>
      </c>
      <c r="RG33" s="101">
        <f t="shared" si="544"/>
        <v>0</v>
      </c>
      <c r="RH33" s="101">
        <f t="shared" si="544"/>
        <v>0</v>
      </c>
      <c r="RI33" s="101">
        <f t="shared" si="544"/>
        <v>0</v>
      </c>
      <c r="RJ33" s="101">
        <f t="shared" si="544"/>
        <v>0</v>
      </c>
      <c r="RK33" s="101">
        <f t="shared" si="544"/>
        <v>0</v>
      </c>
      <c r="RL33" s="101">
        <f t="shared" si="544"/>
        <v>0</v>
      </c>
      <c r="RM33" s="101">
        <f t="shared" si="544"/>
        <v>0</v>
      </c>
      <c r="RN33" s="101">
        <f t="shared" si="544"/>
        <v>0</v>
      </c>
      <c r="RO33" s="101">
        <f t="shared" si="544"/>
        <v>0</v>
      </c>
      <c r="RP33" s="101">
        <f t="shared" si="544"/>
        <v>0</v>
      </c>
      <c r="RQ33" s="101">
        <f t="shared" si="544"/>
        <v>0</v>
      </c>
      <c r="RR33" s="101">
        <f t="shared" si="544"/>
        <v>0</v>
      </c>
      <c r="RS33" s="101">
        <f t="shared" si="544"/>
        <v>0</v>
      </c>
      <c r="RT33" s="101">
        <f t="shared" si="544"/>
        <v>0</v>
      </c>
      <c r="RU33" s="101">
        <f t="shared" si="544"/>
        <v>0</v>
      </c>
      <c r="RV33" s="101">
        <f t="shared" si="544"/>
        <v>0</v>
      </c>
      <c r="RW33" s="101">
        <f t="shared" si="544"/>
        <v>0</v>
      </c>
      <c r="RX33" s="101">
        <f t="shared" si="544"/>
        <v>0</v>
      </c>
      <c r="RY33" s="101">
        <f t="shared" si="544"/>
        <v>0</v>
      </c>
      <c r="RZ33" s="101">
        <f t="shared" si="544"/>
        <v>0</v>
      </c>
      <c r="SA33" s="101">
        <f t="shared" si="544"/>
        <v>0</v>
      </c>
      <c r="SB33" s="101">
        <f t="shared" si="544"/>
        <v>0</v>
      </c>
      <c r="SC33" s="101">
        <f t="shared" si="544"/>
        <v>0</v>
      </c>
      <c r="SD33" s="101">
        <f t="shared" si="544"/>
        <v>0</v>
      </c>
      <c r="SE33" s="101">
        <f t="shared" si="544"/>
        <v>0</v>
      </c>
      <c r="SF33" s="101">
        <f t="shared" si="544"/>
        <v>0</v>
      </c>
      <c r="SG33" s="101">
        <f t="shared" si="544"/>
        <v>0</v>
      </c>
      <c r="SH33" s="101">
        <f t="shared" si="544"/>
        <v>0</v>
      </c>
      <c r="SI33" s="101">
        <f t="shared" si="544"/>
        <v>0</v>
      </c>
      <c r="SJ33" s="101">
        <f t="shared" si="544"/>
        <v>0</v>
      </c>
      <c r="SK33" s="101">
        <f t="shared" si="544"/>
        <v>0</v>
      </c>
      <c r="SL33" s="101">
        <f t="shared" si="544"/>
        <v>0</v>
      </c>
      <c r="SM33" s="101">
        <f t="shared" si="544"/>
        <v>0</v>
      </c>
      <c r="SN33" s="101">
        <f t="shared" si="544"/>
        <v>0</v>
      </c>
      <c r="SO33" s="101">
        <f t="shared" si="544"/>
        <v>0</v>
      </c>
      <c r="SP33" s="101">
        <f t="shared" si="544"/>
        <v>0</v>
      </c>
      <c r="SQ33" s="101">
        <f t="shared" si="544"/>
        <v>0</v>
      </c>
      <c r="SR33" s="101">
        <f t="shared" si="544"/>
        <v>0</v>
      </c>
      <c r="SS33" s="101">
        <f t="shared" si="544"/>
        <v>0</v>
      </c>
      <c r="ST33" s="101">
        <f t="shared" si="544"/>
        <v>0</v>
      </c>
      <c r="SU33" s="101">
        <f t="shared" si="544"/>
        <v>0</v>
      </c>
      <c r="SV33" s="101">
        <f t="shared" si="544"/>
        <v>0</v>
      </c>
      <c r="SW33" s="101">
        <f t="shared" si="544"/>
        <v>0</v>
      </c>
      <c r="SX33" s="101">
        <f t="shared" si="544"/>
        <v>0</v>
      </c>
      <c r="SY33" s="101">
        <f t="shared" si="544"/>
        <v>0</v>
      </c>
      <c r="SZ33" s="101">
        <f t="shared" si="544"/>
        <v>0</v>
      </c>
      <c r="TA33" s="101">
        <f t="shared" si="544"/>
        <v>0</v>
      </c>
      <c r="TB33" s="101">
        <f t="shared" si="544"/>
        <v>0</v>
      </c>
      <c r="TC33" s="101">
        <f t="shared" ref="TC33:VN33" si="545">ROUND(SUMPRODUCT($E$2:$E$26,TC$2:TC$26)*0.6%,0)</f>
        <v>0</v>
      </c>
      <c r="TD33" s="101">
        <f t="shared" si="545"/>
        <v>0</v>
      </c>
      <c r="TE33" s="101">
        <f t="shared" si="545"/>
        <v>0</v>
      </c>
      <c r="TF33" s="101">
        <f t="shared" si="545"/>
        <v>0</v>
      </c>
      <c r="TG33" s="101">
        <f t="shared" si="545"/>
        <v>0</v>
      </c>
      <c r="TH33" s="101">
        <f t="shared" si="545"/>
        <v>0</v>
      </c>
      <c r="TI33" s="101">
        <f t="shared" si="545"/>
        <v>0</v>
      </c>
      <c r="TJ33" s="101">
        <f t="shared" si="545"/>
        <v>0</v>
      </c>
      <c r="TK33" s="101">
        <f t="shared" si="545"/>
        <v>0</v>
      </c>
      <c r="TL33" s="101">
        <f t="shared" si="545"/>
        <v>0</v>
      </c>
      <c r="TM33" s="101">
        <f t="shared" si="545"/>
        <v>0</v>
      </c>
      <c r="TN33" s="101">
        <f t="shared" si="545"/>
        <v>0</v>
      </c>
      <c r="TO33" s="101">
        <f t="shared" si="545"/>
        <v>0</v>
      </c>
      <c r="TP33" s="101">
        <f t="shared" si="545"/>
        <v>0</v>
      </c>
      <c r="TQ33" s="101">
        <f t="shared" si="545"/>
        <v>0</v>
      </c>
      <c r="TR33" s="101">
        <f t="shared" si="545"/>
        <v>0</v>
      </c>
      <c r="TS33" s="101">
        <f t="shared" si="545"/>
        <v>0</v>
      </c>
      <c r="TT33" s="101">
        <f t="shared" si="545"/>
        <v>0</v>
      </c>
      <c r="TU33" s="101">
        <f t="shared" si="545"/>
        <v>0</v>
      </c>
      <c r="TV33" s="101">
        <f t="shared" si="545"/>
        <v>0</v>
      </c>
      <c r="TW33" s="101">
        <f t="shared" si="545"/>
        <v>0</v>
      </c>
      <c r="TX33" s="101">
        <f t="shared" si="545"/>
        <v>0</v>
      </c>
      <c r="TY33" s="101">
        <f t="shared" si="545"/>
        <v>0</v>
      </c>
      <c r="TZ33" s="101">
        <f t="shared" si="545"/>
        <v>0</v>
      </c>
      <c r="UA33" s="101">
        <f t="shared" si="545"/>
        <v>0</v>
      </c>
      <c r="UB33" s="101">
        <f t="shared" si="545"/>
        <v>0</v>
      </c>
      <c r="UC33" s="101">
        <f t="shared" si="545"/>
        <v>0</v>
      </c>
      <c r="UD33" s="101">
        <f t="shared" si="545"/>
        <v>0</v>
      </c>
      <c r="UE33" s="101">
        <f t="shared" si="545"/>
        <v>0</v>
      </c>
      <c r="UF33" s="101">
        <f t="shared" si="545"/>
        <v>0</v>
      </c>
      <c r="UG33" s="101">
        <f t="shared" si="545"/>
        <v>0</v>
      </c>
      <c r="UH33" s="101">
        <f t="shared" si="545"/>
        <v>0</v>
      </c>
      <c r="UI33" s="101">
        <f t="shared" si="545"/>
        <v>0</v>
      </c>
      <c r="UJ33" s="101">
        <f t="shared" si="545"/>
        <v>0</v>
      </c>
      <c r="UK33" s="101">
        <f t="shared" si="545"/>
        <v>0</v>
      </c>
      <c r="UL33" s="101">
        <f t="shared" si="545"/>
        <v>0</v>
      </c>
      <c r="UM33" s="101">
        <f t="shared" si="545"/>
        <v>0</v>
      </c>
      <c r="UN33" s="101">
        <f t="shared" si="545"/>
        <v>0</v>
      </c>
      <c r="UO33" s="101">
        <f t="shared" si="545"/>
        <v>0</v>
      </c>
      <c r="UP33" s="101">
        <f t="shared" si="545"/>
        <v>0</v>
      </c>
      <c r="UQ33" s="101">
        <f t="shared" si="545"/>
        <v>0</v>
      </c>
      <c r="UR33" s="101">
        <f t="shared" si="545"/>
        <v>0</v>
      </c>
      <c r="US33" s="101">
        <f t="shared" si="545"/>
        <v>0</v>
      </c>
      <c r="UT33" s="101">
        <f t="shared" si="545"/>
        <v>0</v>
      </c>
      <c r="UU33" s="101">
        <f t="shared" si="545"/>
        <v>0</v>
      </c>
      <c r="UV33" s="101">
        <f t="shared" si="545"/>
        <v>0</v>
      </c>
      <c r="UW33" s="101">
        <f t="shared" si="545"/>
        <v>0</v>
      </c>
      <c r="UX33" s="101">
        <f t="shared" si="545"/>
        <v>0</v>
      </c>
      <c r="UY33" s="101">
        <f t="shared" si="545"/>
        <v>0</v>
      </c>
      <c r="UZ33" s="101">
        <f t="shared" si="545"/>
        <v>0</v>
      </c>
      <c r="VA33" s="101">
        <f t="shared" si="545"/>
        <v>0</v>
      </c>
      <c r="VB33" s="101">
        <f t="shared" si="545"/>
        <v>0</v>
      </c>
      <c r="VC33" s="101">
        <f t="shared" si="545"/>
        <v>0</v>
      </c>
      <c r="VD33" s="101">
        <f t="shared" si="545"/>
        <v>0</v>
      </c>
      <c r="VE33" s="101">
        <f t="shared" si="545"/>
        <v>0</v>
      </c>
      <c r="VF33" s="101">
        <f t="shared" si="545"/>
        <v>0</v>
      </c>
      <c r="VG33" s="101">
        <f t="shared" si="545"/>
        <v>0</v>
      </c>
      <c r="VH33" s="101">
        <f t="shared" si="545"/>
        <v>0</v>
      </c>
      <c r="VI33" s="101">
        <f t="shared" si="545"/>
        <v>0</v>
      </c>
      <c r="VJ33" s="101">
        <f t="shared" si="545"/>
        <v>0</v>
      </c>
      <c r="VK33" s="101">
        <f t="shared" si="545"/>
        <v>0</v>
      </c>
      <c r="VL33" s="101">
        <f t="shared" si="545"/>
        <v>0</v>
      </c>
      <c r="VM33" s="101">
        <f t="shared" si="545"/>
        <v>0</v>
      </c>
      <c r="VN33" s="101">
        <f t="shared" si="545"/>
        <v>0</v>
      </c>
      <c r="VO33" s="101">
        <f t="shared" ref="VO33:WF33" si="546">ROUND(SUMPRODUCT($E$2:$E$26,VO$2:VO$26)*0.6%,0)</f>
        <v>0</v>
      </c>
      <c r="VP33" s="101">
        <f t="shared" si="546"/>
        <v>0</v>
      </c>
      <c r="VQ33" s="101">
        <f t="shared" si="546"/>
        <v>0</v>
      </c>
      <c r="VR33" s="101">
        <f t="shared" si="546"/>
        <v>0</v>
      </c>
      <c r="VS33" s="101">
        <f t="shared" si="546"/>
        <v>0</v>
      </c>
      <c r="VT33" s="101">
        <f t="shared" si="546"/>
        <v>0</v>
      </c>
      <c r="VU33" s="101">
        <f t="shared" si="546"/>
        <v>0</v>
      </c>
      <c r="VV33" s="101">
        <f t="shared" si="546"/>
        <v>0</v>
      </c>
      <c r="VW33" s="101">
        <f t="shared" si="546"/>
        <v>0</v>
      </c>
      <c r="VX33" s="101">
        <f t="shared" si="546"/>
        <v>0</v>
      </c>
      <c r="VY33" s="101">
        <f t="shared" si="546"/>
        <v>0</v>
      </c>
      <c r="VZ33" s="101">
        <f t="shared" si="546"/>
        <v>0</v>
      </c>
      <c r="WA33" s="101">
        <f t="shared" si="546"/>
        <v>0</v>
      </c>
      <c r="WB33" s="101">
        <f t="shared" si="546"/>
        <v>0</v>
      </c>
      <c r="WC33" s="101">
        <f t="shared" si="546"/>
        <v>0</v>
      </c>
      <c r="WD33" s="101">
        <f t="shared" si="546"/>
        <v>0</v>
      </c>
      <c r="WE33" s="101">
        <f t="shared" si="546"/>
        <v>0</v>
      </c>
      <c r="WF33" s="101">
        <f t="shared" si="546"/>
        <v>0</v>
      </c>
    </row>
    <row r="34" spans="1:604" s="44" customFormat="1" ht="17.25" customHeight="1" x14ac:dyDescent="0.3">
      <c r="A34" s="39" t="str">
        <f>IF(契約詳細價目表!A34="","",契約詳細價目表!A34)</f>
        <v/>
      </c>
      <c r="B34" s="40" t="str">
        <f>IF(契約詳細價目表!B34="","",契約詳細價目表!B34)</f>
        <v/>
      </c>
      <c r="C34" s="39" t="str">
        <f>IF(契約詳細價目表!C34="","",契約詳細價目表!C34)</f>
        <v/>
      </c>
      <c r="D34" s="41" t="str">
        <f>IF(契約詳細價目表!D34="","",契約詳細價目表!D34)</f>
        <v/>
      </c>
      <c r="E34" s="42">
        <f>IF(契約詳細價目表!E34="","",契約詳細價目表!E34)</f>
        <v>0</v>
      </c>
      <c r="F34" s="42">
        <f>IF(契約詳細價目表!F34="","",契約詳細價目表!F34)</f>
        <v>0</v>
      </c>
      <c r="G34" s="106">
        <f t="shared" si="537"/>
        <v>0</v>
      </c>
      <c r="H34" s="87">
        <f>IF($E34="","",G34*E34)</f>
        <v>0</v>
      </c>
      <c r="I34" s="43" t="str">
        <f t="shared" si="536"/>
        <v/>
      </c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>
        <f t="shared" ref="CT34:EH34" si="547">ROUNDUP(SUMPRODUCT($E$2:$E$26,CT$2:CT$26)*1.03214954700103%,0)</f>
        <v>0</v>
      </c>
      <c r="CU34" s="105"/>
      <c r="CV34" s="105"/>
      <c r="CW34" s="105">
        <f t="shared" si="547"/>
        <v>0</v>
      </c>
      <c r="CX34" s="105"/>
      <c r="CY34" s="105"/>
      <c r="CZ34" s="105"/>
      <c r="DA34" s="105">
        <f t="shared" si="547"/>
        <v>0</v>
      </c>
      <c r="DB34" s="105"/>
      <c r="DC34" s="105"/>
      <c r="DD34" s="105">
        <f t="shared" si="547"/>
        <v>0</v>
      </c>
      <c r="DE34" s="105"/>
      <c r="DF34" s="105"/>
      <c r="DG34" s="105"/>
      <c r="DH34" s="105">
        <f t="shared" si="547"/>
        <v>0</v>
      </c>
      <c r="DI34" s="105">
        <f t="shared" si="547"/>
        <v>0</v>
      </c>
      <c r="DJ34" s="105">
        <f t="shared" si="547"/>
        <v>0</v>
      </c>
      <c r="DK34" s="105">
        <f t="shared" si="547"/>
        <v>0</v>
      </c>
      <c r="DL34" s="105">
        <f t="shared" si="547"/>
        <v>0</v>
      </c>
      <c r="DM34" s="105">
        <f t="shared" si="547"/>
        <v>0</v>
      </c>
      <c r="DN34" s="105">
        <f t="shared" si="547"/>
        <v>0</v>
      </c>
      <c r="DO34" s="105">
        <f t="shared" si="547"/>
        <v>0</v>
      </c>
      <c r="DP34" s="105">
        <f t="shared" si="547"/>
        <v>0</v>
      </c>
      <c r="DQ34" s="105">
        <f t="shared" si="547"/>
        <v>0</v>
      </c>
      <c r="DR34" s="105">
        <f t="shared" si="547"/>
        <v>0</v>
      </c>
      <c r="DS34" s="105">
        <f t="shared" si="547"/>
        <v>0</v>
      </c>
      <c r="DT34" s="105">
        <f t="shared" si="547"/>
        <v>0</v>
      </c>
      <c r="DU34" s="105">
        <f t="shared" si="547"/>
        <v>0</v>
      </c>
      <c r="DV34" s="105">
        <f t="shared" si="547"/>
        <v>0</v>
      </c>
      <c r="DW34" s="105">
        <f t="shared" si="547"/>
        <v>0</v>
      </c>
      <c r="DX34" s="105">
        <f t="shared" si="547"/>
        <v>0</v>
      </c>
      <c r="DY34" s="105">
        <f t="shared" si="547"/>
        <v>0</v>
      </c>
      <c r="DZ34" s="105">
        <f t="shared" si="547"/>
        <v>0</v>
      </c>
      <c r="EA34" s="105">
        <f t="shared" si="547"/>
        <v>0</v>
      </c>
      <c r="EB34" s="105">
        <f t="shared" si="547"/>
        <v>0</v>
      </c>
      <c r="EC34" s="105">
        <f t="shared" si="547"/>
        <v>0</v>
      </c>
      <c r="ED34" s="105">
        <f t="shared" si="547"/>
        <v>0</v>
      </c>
      <c r="EE34" s="105">
        <f t="shared" si="547"/>
        <v>0</v>
      </c>
      <c r="EF34" s="105">
        <f t="shared" si="547"/>
        <v>0</v>
      </c>
      <c r="EG34" s="105">
        <f t="shared" si="547"/>
        <v>0</v>
      </c>
      <c r="EH34" s="105">
        <f t="shared" si="547"/>
        <v>0</v>
      </c>
      <c r="EI34" s="105">
        <f t="shared" ref="EI34:GT34" si="548">ROUNDUP(SUMPRODUCT($E$2:$E$26,EI$2:EI$26)*1.03214954700103%,0)</f>
        <v>0</v>
      </c>
      <c r="EJ34" s="105">
        <f t="shared" si="548"/>
        <v>0</v>
      </c>
      <c r="EK34" s="105">
        <f t="shared" si="548"/>
        <v>0</v>
      </c>
      <c r="EL34" s="105">
        <f t="shared" si="548"/>
        <v>0</v>
      </c>
      <c r="EM34" s="105">
        <f t="shared" si="548"/>
        <v>0</v>
      </c>
      <c r="EN34" s="105">
        <f t="shared" si="548"/>
        <v>0</v>
      </c>
      <c r="EO34" s="105">
        <f t="shared" si="548"/>
        <v>0</v>
      </c>
      <c r="EP34" s="105">
        <f t="shared" si="548"/>
        <v>0</v>
      </c>
      <c r="EQ34" s="105">
        <f t="shared" si="548"/>
        <v>0</v>
      </c>
      <c r="ER34" s="105">
        <f t="shared" si="548"/>
        <v>0</v>
      </c>
      <c r="ES34" s="105">
        <f t="shared" si="548"/>
        <v>0</v>
      </c>
      <c r="ET34" s="105">
        <f t="shared" si="548"/>
        <v>0</v>
      </c>
      <c r="EU34" s="105">
        <f t="shared" si="548"/>
        <v>0</v>
      </c>
      <c r="EV34" s="105">
        <f t="shared" si="548"/>
        <v>0</v>
      </c>
      <c r="EW34" s="105">
        <f t="shared" si="548"/>
        <v>0</v>
      </c>
      <c r="EX34" s="105">
        <f t="shared" si="548"/>
        <v>0</v>
      </c>
      <c r="EY34" s="105">
        <f t="shared" si="548"/>
        <v>0</v>
      </c>
      <c r="EZ34" s="105">
        <f t="shared" si="548"/>
        <v>0</v>
      </c>
      <c r="FA34" s="105">
        <f t="shared" si="548"/>
        <v>0</v>
      </c>
      <c r="FB34" s="105">
        <f t="shared" si="548"/>
        <v>0</v>
      </c>
      <c r="FC34" s="105">
        <f t="shared" si="548"/>
        <v>0</v>
      </c>
      <c r="FD34" s="105">
        <f t="shared" si="548"/>
        <v>0</v>
      </c>
      <c r="FE34" s="105">
        <f t="shared" si="548"/>
        <v>0</v>
      </c>
      <c r="FF34" s="105">
        <f t="shared" si="548"/>
        <v>0</v>
      </c>
      <c r="FG34" s="105">
        <f t="shared" si="548"/>
        <v>0</v>
      </c>
      <c r="FH34" s="105">
        <f t="shared" si="548"/>
        <v>0</v>
      </c>
      <c r="FI34" s="105">
        <f t="shared" si="548"/>
        <v>0</v>
      </c>
      <c r="FJ34" s="105">
        <f t="shared" si="548"/>
        <v>0</v>
      </c>
      <c r="FK34" s="105">
        <f t="shared" si="548"/>
        <v>0</v>
      </c>
      <c r="FL34" s="105">
        <f t="shared" si="548"/>
        <v>0</v>
      </c>
      <c r="FM34" s="105">
        <f t="shared" si="548"/>
        <v>0</v>
      </c>
      <c r="FN34" s="105">
        <f t="shared" si="548"/>
        <v>0</v>
      </c>
      <c r="FO34" s="105">
        <f t="shared" si="548"/>
        <v>0</v>
      </c>
      <c r="FP34" s="105">
        <f t="shared" si="548"/>
        <v>0</v>
      </c>
      <c r="FQ34" s="105">
        <f t="shared" si="548"/>
        <v>0</v>
      </c>
      <c r="FR34" s="105">
        <f t="shared" si="548"/>
        <v>0</v>
      </c>
      <c r="FS34" s="105">
        <f t="shared" si="548"/>
        <v>0</v>
      </c>
      <c r="FT34" s="105">
        <f t="shared" si="548"/>
        <v>0</v>
      </c>
      <c r="FU34" s="101">
        <f t="shared" si="548"/>
        <v>0</v>
      </c>
      <c r="FV34" s="101">
        <f t="shared" si="548"/>
        <v>0</v>
      </c>
      <c r="FW34" s="101">
        <f t="shared" si="548"/>
        <v>0</v>
      </c>
      <c r="FX34" s="101">
        <f t="shared" si="548"/>
        <v>0</v>
      </c>
      <c r="FY34" s="101">
        <f t="shared" si="548"/>
        <v>0</v>
      </c>
      <c r="FZ34" s="101">
        <f t="shared" si="548"/>
        <v>0</v>
      </c>
      <c r="GA34" s="101">
        <f t="shared" si="548"/>
        <v>0</v>
      </c>
      <c r="GB34" s="101">
        <f t="shared" si="548"/>
        <v>0</v>
      </c>
      <c r="GC34" s="101">
        <f t="shared" si="548"/>
        <v>0</v>
      </c>
      <c r="GD34" s="101">
        <f t="shared" si="548"/>
        <v>0</v>
      </c>
      <c r="GE34" s="101">
        <f t="shared" si="548"/>
        <v>0</v>
      </c>
      <c r="GF34" s="101">
        <f t="shared" si="548"/>
        <v>0</v>
      </c>
      <c r="GG34" s="101">
        <f t="shared" si="548"/>
        <v>0</v>
      </c>
      <c r="GH34" s="101">
        <f t="shared" si="548"/>
        <v>0</v>
      </c>
      <c r="GI34" s="101">
        <f t="shared" si="548"/>
        <v>0</v>
      </c>
      <c r="GJ34" s="101">
        <f t="shared" si="548"/>
        <v>0</v>
      </c>
      <c r="GK34" s="101">
        <f t="shared" si="548"/>
        <v>0</v>
      </c>
      <c r="GL34" s="101">
        <f t="shared" si="548"/>
        <v>0</v>
      </c>
      <c r="GM34" s="101">
        <f t="shared" si="548"/>
        <v>0</v>
      </c>
      <c r="GN34" s="101">
        <f t="shared" si="548"/>
        <v>0</v>
      </c>
      <c r="GO34" s="101">
        <f t="shared" si="548"/>
        <v>0</v>
      </c>
      <c r="GP34" s="101">
        <f t="shared" si="548"/>
        <v>0</v>
      </c>
      <c r="GQ34" s="101">
        <f t="shared" si="548"/>
        <v>0</v>
      </c>
      <c r="GR34" s="101">
        <f t="shared" si="548"/>
        <v>0</v>
      </c>
      <c r="GS34" s="101">
        <f t="shared" si="548"/>
        <v>0</v>
      </c>
      <c r="GT34" s="101">
        <f t="shared" si="548"/>
        <v>0</v>
      </c>
      <c r="GU34" s="101">
        <f t="shared" ref="GU34:JF34" si="549">ROUNDUP(SUMPRODUCT($E$2:$E$26,GU$2:GU$26)*1.03214954700103%,0)</f>
        <v>0</v>
      </c>
      <c r="GV34" s="101">
        <f t="shared" si="549"/>
        <v>0</v>
      </c>
      <c r="GW34" s="101">
        <f t="shared" si="549"/>
        <v>0</v>
      </c>
      <c r="GX34" s="101">
        <f t="shared" si="549"/>
        <v>0</v>
      </c>
      <c r="GY34" s="101">
        <f t="shared" si="549"/>
        <v>0</v>
      </c>
      <c r="GZ34" s="101">
        <f t="shared" si="549"/>
        <v>0</v>
      </c>
      <c r="HA34" s="101">
        <f t="shared" si="549"/>
        <v>0</v>
      </c>
      <c r="HB34" s="101">
        <f t="shared" si="549"/>
        <v>0</v>
      </c>
      <c r="HC34" s="101">
        <f t="shared" si="549"/>
        <v>0</v>
      </c>
      <c r="HD34" s="101">
        <f t="shared" si="549"/>
        <v>0</v>
      </c>
      <c r="HE34" s="101">
        <f t="shared" si="549"/>
        <v>0</v>
      </c>
      <c r="HF34" s="101">
        <f t="shared" si="549"/>
        <v>0</v>
      </c>
      <c r="HG34" s="101">
        <f t="shared" si="549"/>
        <v>0</v>
      </c>
      <c r="HH34" s="101">
        <f t="shared" si="549"/>
        <v>0</v>
      </c>
      <c r="HI34" s="101">
        <f t="shared" si="549"/>
        <v>0</v>
      </c>
      <c r="HJ34" s="101">
        <f t="shared" si="549"/>
        <v>0</v>
      </c>
      <c r="HK34" s="101">
        <f t="shared" si="549"/>
        <v>0</v>
      </c>
      <c r="HL34" s="101">
        <f t="shared" si="549"/>
        <v>0</v>
      </c>
      <c r="HM34" s="101">
        <f t="shared" si="549"/>
        <v>0</v>
      </c>
      <c r="HN34" s="101">
        <f t="shared" si="549"/>
        <v>0</v>
      </c>
      <c r="HO34" s="101">
        <f t="shared" si="549"/>
        <v>0</v>
      </c>
      <c r="HP34" s="101">
        <f t="shared" si="549"/>
        <v>0</v>
      </c>
      <c r="HQ34" s="101">
        <f t="shared" si="549"/>
        <v>0</v>
      </c>
      <c r="HR34" s="101">
        <f t="shared" si="549"/>
        <v>0</v>
      </c>
      <c r="HS34" s="101">
        <f t="shared" si="549"/>
        <v>0</v>
      </c>
      <c r="HT34" s="101">
        <f t="shared" si="549"/>
        <v>0</v>
      </c>
      <c r="HU34" s="101">
        <f t="shared" si="549"/>
        <v>0</v>
      </c>
      <c r="HV34" s="101">
        <f t="shared" si="549"/>
        <v>0</v>
      </c>
      <c r="HW34" s="101">
        <f t="shared" si="549"/>
        <v>0</v>
      </c>
      <c r="HX34" s="101">
        <f t="shared" si="549"/>
        <v>0</v>
      </c>
      <c r="HY34" s="101">
        <f t="shared" si="549"/>
        <v>0</v>
      </c>
      <c r="HZ34" s="101">
        <f t="shared" si="549"/>
        <v>0</v>
      </c>
      <c r="IA34" s="101">
        <f t="shared" si="549"/>
        <v>0</v>
      </c>
      <c r="IB34" s="101">
        <f t="shared" si="549"/>
        <v>0</v>
      </c>
      <c r="IC34" s="101">
        <f t="shared" si="549"/>
        <v>0</v>
      </c>
      <c r="ID34" s="101">
        <f t="shared" si="549"/>
        <v>0</v>
      </c>
      <c r="IE34" s="101">
        <f t="shared" si="549"/>
        <v>0</v>
      </c>
      <c r="IF34" s="101">
        <f t="shared" si="549"/>
        <v>0</v>
      </c>
      <c r="IG34" s="101">
        <f t="shared" si="549"/>
        <v>0</v>
      </c>
      <c r="IH34" s="101">
        <f t="shared" si="549"/>
        <v>0</v>
      </c>
      <c r="II34" s="101">
        <f t="shared" si="549"/>
        <v>0</v>
      </c>
      <c r="IJ34" s="101">
        <f t="shared" si="549"/>
        <v>0</v>
      </c>
      <c r="IK34" s="101">
        <f t="shared" si="549"/>
        <v>0</v>
      </c>
      <c r="IL34" s="101">
        <f t="shared" si="549"/>
        <v>0</v>
      </c>
      <c r="IM34" s="101">
        <f t="shared" si="549"/>
        <v>0</v>
      </c>
      <c r="IN34" s="101">
        <f t="shared" si="549"/>
        <v>0</v>
      </c>
      <c r="IO34" s="101">
        <f t="shared" si="549"/>
        <v>0</v>
      </c>
      <c r="IP34" s="101">
        <f t="shared" si="549"/>
        <v>0</v>
      </c>
      <c r="IQ34" s="101">
        <f t="shared" si="549"/>
        <v>0</v>
      </c>
      <c r="IR34" s="101">
        <f t="shared" si="549"/>
        <v>0</v>
      </c>
      <c r="IS34" s="101">
        <f t="shared" si="549"/>
        <v>0</v>
      </c>
      <c r="IT34" s="101">
        <f t="shared" si="549"/>
        <v>0</v>
      </c>
      <c r="IU34" s="101">
        <f t="shared" si="549"/>
        <v>0</v>
      </c>
      <c r="IV34" s="101">
        <f t="shared" si="549"/>
        <v>0</v>
      </c>
      <c r="IW34" s="101">
        <f t="shared" si="549"/>
        <v>0</v>
      </c>
      <c r="IX34" s="101">
        <f t="shared" si="549"/>
        <v>0</v>
      </c>
      <c r="IY34" s="101">
        <f t="shared" si="549"/>
        <v>0</v>
      </c>
      <c r="IZ34" s="101">
        <f t="shared" si="549"/>
        <v>0</v>
      </c>
      <c r="JA34" s="101">
        <f t="shared" si="549"/>
        <v>0</v>
      </c>
      <c r="JB34" s="101">
        <f t="shared" si="549"/>
        <v>0</v>
      </c>
      <c r="JC34" s="101">
        <f t="shared" si="549"/>
        <v>0</v>
      </c>
      <c r="JD34" s="101">
        <f t="shared" si="549"/>
        <v>0</v>
      </c>
      <c r="JE34" s="101">
        <f t="shared" si="549"/>
        <v>0</v>
      </c>
      <c r="JF34" s="101">
        <f t="shared" si="549"/>
        <v>0</v>
      </c>
      <c r="JG34" s="101">
        <f t="shared" ref="JG34:LR34" si="550">ROUNDUP(SUMPRODUCT($E$2:$E$26,JG$2:JG$26)*1.03214954700103%,0)</f>
        <v>0</v>
      </c>
      <c r="JH34" s="101">
        <f t="shared" si="550"/>
        <v>0</v>
      </c>
      <c r="JI34" s="101">
        <f t="shared" si="550"/>
        <v>0</v>
      </c>
      <c r="JJ34" s="101">
        <f t="shared" si="550"/>
        <v>0</v>
      </c>
      <c r="JK34" s="101">
        <f t="shared" si="550"/>
        <v>0</v>
      </c>
      <c r="JL34" s="101">
        <f t="shared" si="550"/>
        <v>0</v>
      </c>
      <c r="JM34" s="101">
        <f t="shared" si="550"/>
        <v>0</v>
      </c>
      <c r="JN34" s="101">
        <f t="shared" si="550"/>
        <v>0</v>
      </c>
      <c r="JO34" s="101">
        <f t="shared" si="550"/>
        <v>0</v>
      </c>
      <c r="JP34" s="101">
        <f t="shared" si="550"/>
        <v>0</v>
      </c>
      <c r="JQ34" s="101">
        <f t="shared" si="550"/>
        <v>0</v>
      </c>
      <c r="JR34" s="101">
        <f t="shared" si="550"/>
        <v>0</v>
      </c>
      <c r="JS34" s="101">
        <f t="shared" si="550"/>
        <v>0</v>
      </c>
      <c r="JT34" s="101">
        <f t="shared" si="550"/>
        <v>0</v>
      </c>
      <c r="JU34" s="101">
        <f t="shared" si="550"/>
        <v>0</v>
      </c>
      <c r="JV34" s="101">
        <f t="shared" si="550"/>
        <v>0</v>
      </c>
      <c r="JW34" s="101">
        <f t="shared" si="550"/>
        <v>0</v>
      </c>
      <c r="JX34" s="101">
        <f t="shared" si="550"/>
        <v>0</v>
      </c>
      <c r="JY34" s="101">
        <f t="shared" si="550"/>
        <v>0</v>
      </c>
      <c r="JZ34" s="101">
        <f t="shared" si="550"/>
        <v>0</v>
      </c>
      <c r="KA34" s="101">
        <f t="shared" si="550"/>
        <v>0</v>
      </c>
      <c r="KB34" s="101">
        <f t="shared" si="550"/>
        <v>0</v>
      </c>
      <c r="KC34" s="101">
        <f t="shared" si="550"/>
        <v>0</v>
      </c>
      <c r="KD34" s="101">
        <f t="shared" si="550"/>
        <v>0</v>
      </c>
      <c r="KE34" s="101">
        <f t="shared" si="550"/>
        <v>0</v>
      </c>
      <c r="KF34" s="101">
        <f t="shared" si="550"/>
        <v>0</v>
      </c>
      <c r="KG34" s="101">
        <f t="shared" si="550"/>
        <v>0</v>
      </c>
      <c r="KH34" s="101">
        <f t="shared" si="550"/>
        <v>0</v>
      </c>
      <c r="KI34" s="101">
        <f t="shared" si="550"/>
        <v>0</v>
      </c>
      <c r="KJ34" s="101">
        <f t="shared" si="550"/>
        <v>0</v>
      </c>
      <c r="KK34" s="101">
        <f t="shared" si="550"/>
        <v>0</v>
      </c>
      <c r="KL34" s="101">
        <f t="shared" si="550"/>
        <v>0</v>
      </c>
      <c r="KM34" s="101">
        <f t="shared" si="550"/>
        <v>0</v>
      </c>
      <c r="KN34" s="101">
        <f t="shared" si="550"/>
        <v>0</v>
      </c>
      <c r="KO34" s="101">
        <f t="shared" si="550"/>
        <v>0</v>
      </c>
      <c r="KP34" s="101">
        <f t="shared" si="550"/>
        <v>0</v>
      </c>
      <c r="KQ34" s="101">
        <f t="shared" si="550"/>
        <v>0</v>
      </c>
      <c r="KR34" s="101">
        <f t="shared" si="550"/>
        <v>0</v>
      </c>
      <c r="KS34" s="101">
        <f t="shared" si="550"/>
        <v>0</v>
      </c>
      <c r="KT34" s="101">
        <f t="shared" si="550"/>
        <v>0</v>
      </c>
      <c r="KU34" s="101">
        <f t="shared" si="550"/>
        <v>0</v>
      </c>
      <c r="KV34" s="101">
        <f t="shared" si="550"/>
        <v>0</v>
      </c>
      <c r="KW34" s="101">
        <f t="shared" si="550"/>
        <v>0</v>
      </c>
      <c r="KX34" s="101">
        <f t="shared" si="550"/>
        <v>0</v>
      </c>
      <c r="KY34" s="101">
        <f t="shared" si="550"/>
        <v>0</v>
      </c>
      <c r="KZ34" s="101">
        <f t="shared" si="550"/>
        <v>0</v>
      </c>
      <c r="LA34" s="101">
        <f t="shared" si="550"/>
        <v>0</v>
      </c>
      <c r="LB34" s="101">
        <f t="shared" si="550"/>
        <v>0</v>
      </c>
      <c r="LC34" s="101">
        <f t="shared" si="550"/>
        <v>0</v>
      </c>
      <c r="LD34" s="101">
        <f t="shared" si="550"/>
        <v>0</v>
      </c>
      <c r="LE34" s="101">
        <f t="shared" si="550"/>
        <v>0</v>
      </c>
      <c r="LF34" s="101">
        <f t="shared" si="550"/>
        <v>0</v>
      </c>
      <c r="LG34" s="101">
        <f t="shared" si="550"/>
        <v>0</v>
      </c>
      <c r="LH34" s="101">
        <f t="shared" si="550"/>
        <v>0</v>
      </c>
      <c r="LI34" s="101">
        <f t="shared" si="550"/>
        <v>0</v>
      </c>
      <c r="LJ34" s="101">
        <f t="shared" si="550"/>
        <v>0</v>
      </c>
      <c r="LK34" s="101">
        <f t="shared" si="550"/>
        <v>0</v>
      </c>
      <c r="LL34" s="101">
        <f t="shared" si="550"/>
        <v>0</v>
      </c>
      <c r="LM34" s="101">
        <f t="shared" si="550"/>
        <v>0</v>
      </c>
      <c r="LN34" s="101">
        <f t="shared" si="550"/>
        <v>0</v>
      </c>
      <c r="LO34" s="101">
        <f t="shared" si="550"/>
        <v>0</v>
      </c>
      <c r="LP34" s="101">
        <f t="shared" si="550"/>
        <v>0</v>
      </c>
      <c r="LQ34" s="101">
        <f t="shared" si="550"/>
        <v>0</v>
      </c>
      <c r="LR34" s="101">
        <f t="shared" si="550"/>
        <v>0</v>
      </c>
      <c r="LS34" s="101">
        <f t="shared" ref="LS34:OD34" si="551">ROUNDUP(SUMPRODUCT($E$2:$E$26,LS$2:LS$26)*1.03214954700103%,0)</f>
        <v>0</v>
      </c>
      <c r="LT34" s="101">
        <f t="shared" si="551"/>
        <v>0</v>
      </c>
      <c r="LU34" s="101">
        <f t="shared" si="551"/>
        <v>0</v>
      </c>
      <c r="LV34" s="101">
        <f t="shared" si="551"/>
        <v>0</v>
      </c>
      <c r="LW34" s="101">
        <f t="shared" si="551"/>
        <v>0</v>
      </c>
      <c r="LX34" s="101">
        <f t="shared" si="551"/>
        <v>0</v>
      </c>
      <c r="LY34" s="101">
        <f t="shared" si="551"/>
        <v>0</v>
      </c>
      <c r="LZ34" s="101">
        <f t="shared" si="551"/>
        <v>0</v>
      </c>
      <c r="MA34" s="101">
        <f t="shared" si="551"/>
        <v>0</v>
      </c>
      <c r="MB34" s="101">
        <f t="shared" si="551"/>
        <v>0</v>
      </c>
      <c r="MC34" s="101">
        <f t="shared" si="551"/>
        <v>0</v>
      </c>
      <c r="MD34" s="101">
        <f t="shared" si="551"/>
        <v>0</v>
      </c>
      <c r="ME34" s="101">
        <f t="shared" si="551"/>
        <v>0</v>
      </c>
      <c r="MF34" s="101">
        <f t="shared" si="551"/>
        <v>0</v>
      </c>
      <c r="MG34" s="101">
        <f t="shared" si="551"/>
        <v>0</v>
      </c>
      <c r="MH34" s="101">
        <f t="shared" si="551"/>
        <v>0</v>
      </c>
      <c r="MI34" s="101">
        <f t="shared" si="551"/>
        <v>0</v>
      </c>
      <c r="MJ34" s="101">
        <f t="shared" si="551"/>
        <v>0</v>
      </c>
      <c r="MK34" s="101">
        <f t="shared" si="551"/>
        <v>0</v>
      </c>
      <c r="ML34" s="101">
        <f t="shared" si="551"/>
        <v>0</v>
      </c>
      <c r="MM34" s="101">
        <f t="shared" si="551"/>
        <v>0</v>
      </c>
      <c r="MN34" s="101">
        <f t="shared" si="551"/>
        <v>0</v>
      </c>
      <c r="MO34" s="101">
        <f t="shared" si="551"/>
        <v>0</v>
      </c>
      <c r="MP34" s="101">
        <f t="shared" si="551"/>
        <v>0</v>
      </c>
      <c r="MQ34" s="101">
        <f t="shared" si="551"/>
        <v>0</v>
      </c>
      <c r="MR34" s="101">
        <f t="shared" si="551"/>
        <v>0</v>
      </c>
      <c r="MS34" s="101">
        <f t="shared" si="551"/>
        <v>0</v>
      </c>
      <c r="MT34" s="101">
        <f t="shared" si="551"/>
        <v>0</v>
      </c>
      <c r="MU34" s="101">
        <f t="shared" si="551"/>
        <v>0</v>
      </c>
      <c r="MV34" s="101">
        <f t="shared" si="551"/>
        <v>0</v>
      </c>
      <c r="MW34" s="101">
        <f t="shared" si="551"/>
        <v>0</v>
      </c>
      <c r="MX34" s="101">
        <f t="shared" si="551"/>
        <v>0</v>
      </c>
      <c r="MY34" s="101">
        <f t="shared" si="551"/>
        <v>0</v>
      </c>
      <c r="MZ34" s="101">
        <f t="shared" si="551"/>
        <v>0</v>
      </c>
      <c r="NA34" s="101">
        <f t="shared" si="551"/>
        <v>0</v>
      </c>
      <c r="NB34" s="101">
        <f t="shared" si="551"/>
        <v>0</v>
      </c>
      <c r="NC34" s="101">
        <f t="shared" si="551"/>
        <v>0</v>
      </c>
      <c r="ND34" s="101">
        <f t="shared" si="551"/>
        <v>0</v>
      </c>
      <c r="NE34" s="101">
        <f t="shared" si="551"/>
        <v>0</v>
      </c>
      <c r="NF34" s="101">
        <f t="shared" si="551"/>
        <v>0</v>
      </c>
      <c r="NG34" s="101">
        <f t="shared" si="551"/>
        <v>0</v>
      </c>
      <c r="NH34" s="101">
        <f t="shared" si="551"/>
        <v>0</v>
      </c>
      <c r="NI34" s="101">
        <f t="shared" si="551"/>
        <v>0</v>
      </c>
      <c r="NJ34" s="101">
        <f t="shared" si="551"/>
        <v>0</v>
      </c>
      <c r="NK34" s="101">
        <f t="shared" si="551"/>
        <v>0</v>
      </c>
      <c r="NL34" s="101">
        <f t="shared" si="551"/>
        <v>0</v>
      </c>
      <c r="NM34" s="101">
        <f t="shared" si="551"/>
        <v>0</v>
      </c>
      <c r="NN34" s="101">
        <f t="shared" si="551"/>
        <v>0</v>
      </c>
      <c r="NO34" s="101">
        <f t="shared" si="551"/>
        <v>0</v>
      </c>
      <c r="NP34" s="101">
        <f t="shared" si="551"/>
        <v>0</v>
      </c>
      <c r="NQ34" s="101">
        <f t="shared" si="551"/>
        <v>0</v>
      </c>
      <c r="NR34" s="101">
        <f t="shared" si="551"/>
        <v>0</v>
      </c>
      <c r="NS34" s="101">
        <f t="shared" si="551"/>
        <v>0</v>
      </c>
      <c r="NT34" s="101">
        <f t="shared" si="551"/>
        <v>0</v>
      </c>
      <c r="NU34" s="101">
        <f t="shared" si="551"/>
        <v>0</v>
      </c>
      <c r="NV34" s="101">
        <f t="shared" si="551"/>
        <v>0</v>
      </c>
      <c r="NW34" s="101">
        <f t="shared" si="551"/>
        <v>0</v>
      </c>
      <c r="NX34" s="101">
        <f t="shared" si="551"/>
        <v>0</v>
      </c>
      <c r="NY34" s="101">
        <f t="shared" si="551"/>
        <v>0</v>
      </c>
      <c r="NZ34" s="101">
        <f t="shared" si="551"/>
        <v>0</v>
      </c>
      <c r="OA34" s="101">
        <f t="shared" si="551"/>
        <v>0</v>
      </c>
      <c r="OB34" s="101">
        <f t="shared" si="551"/>
        <v>0</v>
      </c>
      <c r="OC34" s="101">
        <f t="shared" si="551"/>
        <v>0</v>
      </c>
      <c r="OD34" s="101">
        <f t="shared" si="551"/>
        <v>0</v>
      </c>
      <c r="OE34" s="101">
        <f t="shared" ref="OE34:QP34" si="552">ROUNDUP(SUMPRODUCT($E$2:$E$26,OE$2:OE$26)*1.03214954700103%,0)</f>
        <v>0</v>
      </c>
      <c r="OF34" s="101">
        <f t="shared" si="552"/>
        <v>0</v>
      </c>
      <c r="OG34" s="101">
        <f t="shared" si="552"/>
        <v>0</v>
      </c>
      <c r="OH34" s="101">
        <f t="shared" si="552"/>
        <v>0</v>
      </c>
      <c r="OI34" s="101">
        <f t="shared" si="552"/>
        <v>0</v>
      </c>
      <c r="OJ34" s="101">
        <f t="shared" si="552"/>
        <v>0</v>
      </c>
      <c r="OK34" s="101">
        <f t="shared" si="552"/>
        <v>0</v>
      </c>
      <c r="OL34" s="101">
        <f t="shared" si="552"/>
        <v>0</v>
      </c>
      <c r="OM34" s="101">
        <f t="shared" si="552"/>
        <v>0</v>
      </c>
      <c r="ON34" s="101">
        <f t="shared" si="552"/>
        <v>0</v>
      </c>
      <c r="OO34" s="101">
        <f t="shared" si="552"/>
        <v>0</v>
      </c>
      <c r="OP34" s="101">
        <f t="shared" si="552"/>
        <v>0</v>
      </c>
      <c r="OQ34" s="101">
        <f t="shared" si="552"/>
        <v>0</v>
      </c>
      <c r="OR34" s="101">
        <f t="shared" si="552"/>
        <v>0</v>
      </c>
      <c r="OS34" s="101">
        <f t="shared" si="552"/>
        <v>0</v>
      </c>
      <c r="OT34" s="101">
        <f t="shared" si="552"/>
        <v>0</v>
      </c>
      <c r="OU34" s="101">
        <f t="shared" si="552"/>
        <v>0</v>
      </c>
      <c r="OV34" s="101">
        <f t="shared" si="552"/>
        <v>0</v>
      </c>
      <c r="OW34" s="101">
        <f t="shared" si="552"/>
        <v>0</v>
      </c>
      <c r="OX34" s="101">
        <f t="shared" si="552"/>
        <v>0</v>
      </c>
      <c r="OY34" s="101">
        <f t="shared" si="552"/>
        <v>0</v>
      </c>
      <c r="OZ34" s="101">
        <f t="shared" si="552"/>
        <v>0</v>
      </c>
      <c r="PA34" s="101">
        <f t="shared" si="552"/>
        <v>0</v>
      </c>
      <c r="PB34" s="101">
        <f t="shared" si="552"/>
        <v>0</v>
      </c>
      <c r="PC34" s="101">
        <f t="shared" si="552"/>
        <v>0</v>
      </c>
      <c r="PD34" s="101">
        <f t="shared" si="552"/>
        <v>0</v>
      </c>
      <c r="PE34" s="101">
        <f t="shared" si="552"/>
        <v>0</v>
      </c>
      <c r="PF34" s="101">
        <f t="shared" si="552"/>
        <v>0</v>
      </c>
      <c r="PG34" s="101">
        <f t="shared" si="552"/>
        <v>0</v>
      </c>
      <c r="PH34" s="101">
        <f t="shared" si="552"/>
        <v>0</v>
      </c>
      <c r="PI34" s="101">
        <f t="shared" si="552"/>
        <v>0</v>
      </c>
      <c r="PJ34" s="101">
        <f t="shared" si="552"/>
        <v>0</v>
      </c>
      <c r="PK34" s="101">
        <f t="shared" si="552"/>
        <v>0</v>
      </c>
      <c r="PL34" s="101">
        <f t="shared" si="552"/>
        <v>0</v>
      </c>
      <c r="PM34" s="101">
        <f t="shared" si="552"/>
        <v>0</v>
      </c>
      <c r="PN34" s="101">
        <f t="shared" si="552"/>
        <v>0</v>
      </c>
      <c r="PO34" s="101">
        <f t="shared" si="552"/>
        <v>0</v>
      </c>
      <c r="PP34" s="101">
        <f t="shared" si="552"/>
        <v>0</v>
      </c>
      <c r="PQ34" s="101">
        <f t="shared" si="552"/>
        <v>0</v>
      </c>
      <c r="PR34" s="101">
        <f t="shared" si="552"/>
        <v>0</v>
      </c>
      <c r="PS34" s="101">
        <f t="shared" si="552"/>
        <v>0</v>
      </c>
      <c r="PT34" s="101">
        <f t="shared" si="552"/>
        <v>0</v>
      </c>
      <c r="PU34" s="101">
        <f t="shared" si="552"/>
        <v>0</v>
      </c>
      <c r="PV34" s="101">
        <f t="shared" si="552"/>
        <v>0</v>
      </c>
      <c r="PW34" s="101">
        <f t="shared" si="552"/>
        <v>0</v>
      </c>
      <c r="PX34" s="101">
        <f t="shared" si="552"/>
        <v>0</v>
      </c>
      <c r="PY34" s="101">
        <f t="shared" si="552"/>
        <v>0</v>
      </c>
      <c r="PZ34" s="101">
        <f t="shared" si="552"/>
        <v>0</v>
      </c>
      <c r="QA34" s="101">
        <f t="shared" si="552"/>
        <v>0</v>
      </c>
      <c r="QB34" s="101">
        <f t="shared" si="552"/>
        <v>0</v>
      </c>
      <c r="QC34" s="101">
        <f t="shared" si="552"/>
        <v>0</v>
      </c>
      <c r="QD34" s="101">
        <f t="shared" si="552"/>
        <v>0</v>
      </c>
      <c r="QE34" s="101">
        <f t="shared" si="552"/>
        <v>0</v>
      </c>
      <c r="QF34" s="101">
        <f t="shared" si="552"/>
        <v>0</v>
      </c>
      <c r="QG34" s="101">
        <f t="shared" si="552"/>
        <v>0</v>
      </c>
      <c r="QH34" s="101">
        <f t="shared" si="552"/>
        <v>0</v>
      </c>
      <c r="QI34" s="101">
        <f t="shared" si="552"/>
        <v>0</v>
      </c>
      <c r="QJ34" s="101">
        <f t="shared" si="552"/>
        <v>0</v>
      </c>
      <c r="QK34" s="101">
        <f t="shared" si="552"/>
        <v>0</v>
      </c>
      <c r="QL34" s="101">
        <f t="shared" si="552"/>
        <v>0</v>
      </c>
      <c r="QM34" s="101">
        <f t="shared" si="552"/>
        <v>0</v>
      </c>
      <c r="QN34" s="101">
        <f t="shared" si="552"/>
        <v>0</v>
      </c>
      <c r="QO34" s="101">
        <f t="shared" si="552"/>
        <v>0</v>
      </c>
      <c r="QP34" s="101">
        <f t="shared" si="552"/>
        <v>0</v>
      </c>
      <c r="QQ34" s="101">
        <f t="shared" ref="QQ34:TB34" si="553">ROUNDUP(SUMPRODUCT($E$2:$E$26,QQ$2:QQ$26)*1.03214954700103%,0)</f>
        <v>0</v>
      </c>
      <c r="QR34" s="101">
        <f t="shared" si="553"/>
        <v>0</v>
      </c>
      <c r="QS34" s="101">
        <f t="shared" si="553"/>
        <v>0</v>
      </c>
      <c r="QT34" s="101">
        <f t="shared" si="553"/>
        <v>0</v>
      </c>
      <c r="QU34" s="101">
        <f t="shared" si="553"/>
        <v>0</v>
      </c>
      <c r="QV34" s="101">
        <f t="shared" si="553"/>
        <v>0</v>
      </c>
      <c r="QW34" s="101">
        <f t="shared" si="553"/>
        <v>0</v>
      </c>
      <c r="QX34" s="101">
        <f t="shared" si="553"/>
        <v>0</v>
      </c>
      <c r="QY34" s="101">
        <f t="shared" si="553"/>
        <v>0</v>
      </c>
      <c r="QZ34" s="101">
        <f t="shared" si="553"/>
        <v>0</v>
      </c>
      <c r="RA34" s="101">
        <f t="shared" si="553"/>
        <v>0</v>
      </c>
      <c r="RB34" s="101">
        <f t="shared" si="553"/>
        <v>0</v>
      </c>
      <c r="RC34" s="101">
        <f t="shared" si="553"/>
        <v>0</v>
      </c>
      <c r="RD34" s="101">
        <f t="shared" si="553"/>
        <v>0</v>
      </c>
      <c r="RE34" s="101">
        <f t="shared" si="553"/>
        <v>0</v>
      </c>
      <c r="RF34" s="101">
        <f t="shared" si="553"/>
        <v>0</v>
      </c>
      <c r="RG34" s="101">
        <f t="shared" si="553"/>
        <v>0</v>
      </c>
      <c r="RH34" s="101">
        <f t="shared" si="553"/>
        <v>0</v>
      </c>
      <c r="RI34" s="101">
        <f t="shared" si="553"/>
        <v>0</v>
      </c>
      <c r="RJ34" s="101">
        <f t="shared" si="553"/>
        <v>0</v>
      </c>
      <c r="RK34" s="101">
        <f t="shared" si="553"/>
        <v>0</v>
      </c>
      <c r="RL34" s="101">
        <f t="shared" si="553"/>
        <v>0</v>
      </c>
      <c r="RM34" s="101">
        <f t="shared" si="553"/>
        <v>0</v>
      </c>
      <c r="RN34" s="101">
        <f t="shared" si="553"/>
        <v>0</v>
      </c>
      <c r="RO34" s="101">
        <f t="shared" si="553"/>
        <v>0</v>
      </c>
      <c r="RP34" s="101">
        <f t="shared" si="553"/>
        <v>0</v>
      </c>
      <c r="RQ34" s="101">
        <f t="shared" si="553"/>
        <v>0</v>
      </c>
      <c r="RR34" s="101">
        <f t="shared" si="553"/>
        <v>0</v>
      </c>
      <c r="RS34" s="101">
        <f t="shared" si="553"/>
        <v>0</v>
      </c>
      <c r="RT34" s="101">
        <f t="shared" si="553"/>
        <v>0</v>
      </c>
      <c r="RU34" s="101">
        <f t="shared" si="553"/>
        <v>0</v>
      </c>
      <c r="RV34" s="101">
        <f t="shared" si="553"/>
        <v>0</v>
      </c>
      <c r="RW34" s="101">
        <f t="shared" si="553"/>
        <v>0</v>
      </c>
      <c r="RX34" s="101">
        <f t="shared" si="553"/>
        <v>0</v>
      </c>
      <c r="RY34" s="101">
        <f t="shared" si="553"/>
        <v>0</v>
      </c>
      <c r="RZ34" s="101">
        <f t="shared" si="553"/>
        <v>0</v>
      </c>
      <c r="SA34" s="101">
        <f t="shared" si="553"/>
        <v>0</v>
      </c>
      <c r="SB34" s="101">
        <f t="shared" si="553"/>
        <v>0</v>
      </c>
      <c r="SC34" s="101">
        <f t="shared" si="553"/>
        <v>0</v>
      </c>
      <c r="SD34" s="101">
        <f t="shared" si="553"/>
        <v>0</v>
      </c>
      <c r="SE34" s="101">
        <f t="shared" si="553"/>
        <v>0</v>
      </c>
      <c r="SF34" s="101">
        <f t="shared" si="553"/>
        <v>0</v>
      </c>
      <c r="SG34" s="101">
        <f t="shared" si="553"/>
        <v>0</v>
      </c>
      <c r="SH34" s="101">
        <f t="shared" si="553"/>
        <v>0</v>
      </c>
      <c r="SI34" s="101">
        <f t="shared" si="553"/>
        <v>0</v>
      </c>
      <c r="SJ34" s="101">
        <f t="shared" si="553"/>
        <v>0</v>
      </c>
      <c r="SK34" s="101">
        <f t="shared" si="553"/>
        <v>0</v>
      </c>
      <c r="SL34" s="101">
        <f t="shared" si="553"/>
        <v>0</v>
      </c>
      <c r="SM34" s="101">
        <f t="shared" si="553"/>
        <v>0</v>
      </c>
      <c r="SN34" s="101">
        <f t="shared" si="553"/>
        <v>0</v>
      </c>
      <c r="SO34" s="101">
        <f t="shared" si="553"/>
        <v>0</v>
      </c>
      <c r="SP34" s="101">
        <f t="shared" si="553"/>
        <v>0</v>
      </c>
      <c r="SQ34" s="101">
        <f t="shared" si="553"/>
        <v>0</v>
      </c>
      <c r="SR34" s="101">
        <f t="shared" si="553"/>
        <v>0</v>
      </c>
      <c r="SS34" s="101">
        <f t="shared" si="553"/>
        <v>0</v>
      </c>
      <c r="ST34" s="101">
        <f t="shared" si="553"/>
        <v>0</v>
      </c>
      <c r="SU34" s="101">
        <f t="shared" si="553"/>
        <v>0</v>
      </c>
      <c r="SV34" s="101">
        <f t="shared" si="553"/>
        <v>0</v>
      </c>
      <c r="SW34" s="101">
        <f t="shared" si="553"/>
        <v>0</v>
      </c>
      <c r="SX34" s="101">
        <f t="shared" si="553"/>
        <v>0</v>
      </c>
      <c r="SY34" s="101">
        <f t="shared" si="553"/>
        <v>0</v>
      </c>
      <c r="SZ34" s="101">
        <f t="shared" si="553"/>
        <v>0</v>
      </c>
      <c r="TA34" s="101">
        <f t="shared" si="553"/>
        <v>0</v>
      </c>
      <c r="TB34" s="101">
        <f t="shared" si="553"/>
        <v>0</v>
      </c>
      <c r="TC34" s="101">
        <f t="shared" ref="TC34:VN34" si="554">ROUNDUP(SUMPRODUCT($E$2:$E$26,TC$2:TC$26)*1.03214954700103%,0)</f>
        <v>0</v>
      </c>
      <c r="TD34" s="101">
        <f t="shared" si="554"/>
        <v>0</v>
      </c>
      <c r="TE34" s="101">
        <f t="shared" si="554"/>
        <v>0</v>
      </c>
      <c r="TF34" s="101">
        <f t="shared" si="554"/>
        <v>0</v>
      </c>
      <c r="TG34" s="101">
        <f t="shared" si="554"/>
        <v>0</v>
      </c>
      <c r="TH34" s="101">
        <f t="shared" si="554"/>
        <v>0</v>
      </c>
      <c r="TI34" s="101">
        <f t="shared" si="554"/>
        <v>0</v>
      </c>
      <c r="TJ34" s="101">
        <f t="shared" si="554"/>
        <v>0</v>
      </c>
      <c r="TK34" s="101">
        <f t="shared" si="554"/>
        <v>0</v>
      </c>
      <c r="TL34" s="101">
        <f t="shared" si="554"/>
        <v>0</v>
      </c>
      <c r="TM34" s="101">
        <f t="shared" si="554"/>
        <v>0</v>
      </c>
      <c r="TN34" s="101">
        <f t="shared" si="554"/>
        <v>0</v>
      </c>
      <c r="TO34" s="101">
        <f t="shared" si="554"/>
        <v>0</v>
      </c>
      <c r="TP34" s="101">
        <f t="shared" si="554"/>
        <v>0</v>
      </c>
      <c r="TQ34" s="101">
        <f t="shared" si="554"/>
        <v>0</v>
      </c>
      <c r="TR34" s="101">
        <f t="shared" si="554"/>
        <v>0</v>
      </c>
      <c r="TS34" s="101">
        <f t="shared" si="554"/>
        <v>0</v>
      </c>
      <c r="TT34" s="101">
        <f t="shared" si="554"/>
        <v>0</v>
      </c>
      <c r="TU34" s="101">
        <f t="shared" si="554"/>
        <v>0</v>
      </c>
      <c r="TV34" s="101">
        <f t="shared" si="554"/>
        <v>0</v>
      </c>
      <c r="TW34" s="101">
        <f t="shared" si="554"/>
        <v>0</v>
      </c>
      <c r="TX34" s="101">
        <f t="shared" si="554"/>
        <v>0</v>
      </c>
      <c r="TY34" s="101">
        <f t="shared" si="554"/>
        <v>0</v>
      </c>
      <c r="TZ34" s="101">
        <f t="shared" si="554"/>
        <v>0</v>
      </c>
      <c r="UA34" s="101">
        <f t="shared" si="554"/>
        <v>0</v>
      </c>
      <c r="UB34" s="101">
        <f t="shared" si="554"/>
        <v>0</v>
      </c>
      <c r="UC34" s="101">
        <f t="shared" si="554"/>
        <v>0</v>
      </c>
      <c r="UD34" s="101">
        <f t="shared" si="554"/>
        <v>0</v>
      </c>
      <c r="UE34" s="101">
        <f t="shared" si="554"/>
        <v>0</v>
      </c>
      <c r="UF34" s="101">
        <f t="shared" si="554"/>
        <v>0</v>
      </c>
      <c r="UG34" s="101">
        <f t="shared" si="554"/>
        <v>0</v>
      </c>
      <c r="UH34" s="101">
        <f t="shared" si="554"/>
        <v>0</v>
      </c>
      <c r="UI34" s="101">
        <f t="shared" si="554"/>
        <v>0</v>
      </c>
      <c r="UJ34" s="101">
        <f t="shared" si="554"/>
        <v>0</v>
      </c>
      <c r="UK34" s="101">
        <f t="shared" si="554"/>
        <v>0</v>
      </c>
      <c r="UL34" s="101">
        <f t="shared" si="554"/>
        <v>0</v>
      </c>
      <c r="UM34" s="101">
        <f t="shared" si="554"/>
        <v>0</v>
      </c>
      <c r="UN34" s="101">
        <f t="shared" si="554"/>
        <v>0</v>
      </c>
      <c r="UO34" s="101">
        <f t="shared" si="554"/>
        <v>0</v>
      </c>
      <c r="UP34" s="101">
        <f t="shared" si="554"/>
        <v>0</v>
      </c>
      <c r="UQ34" s="101">
        <f t="shared" si="554"/>
        <v>0</v>
      </c>
      <c r="UR34" s="101">
        <f t="shared" si="554"/>
        <v>0</v>
      </c>
      <c r="US34" s="101">
        <f t="shared" si="554"/>
        <v>0</v>
      </c>
      <c r="UT34" s="101">
        <f t="shared" si="554"/>
        <v>0</v>
      </c>
      <c r="UU34" s="101">
        <f t="shared" si="554"/>
        <v>0</v>
      </c>
      <c r="UV34" s="101">
        <f t="shared" si="554"/>
        <v>0</v>
      </c>
      <c r="UW34" s="101">
        <f t="shared" si="554"/>
        <v>0</v>
      </c>
      <c r="UX34" s="101">
        <f t="shared" si="554"/>
        <v>0</v>
      </c>
      <c r="UY34" s="101">
        <f t="shared" si="554"/>
        <v>0</v>
      </c>
      <c r="UZ34" s="101">
        <f t="shared" si="554"/>
        <v>0</v>
      </c>
      <c r="VA34" s="101">
        <f t="shared" si="554"/>
        <v>0</v>
      </c>
      <c r="VB34" s="101">
        <f t="shared" si="554"/>
        <v>0</v>
      </c>
      <c r="VC34" s="101">
        <f t="shared" si="554"/>
        <v>0</v>
      </c>
      <c r="VD34" s="101">
        <f t="shared" si="554"/>
        <v>0</v>
      </c>
      <c r="VE34" s="101">
        <f t="shared" si="554"/>
        <v>0</v>
      </c>
      <c r="VF34" s="101">
        <f t="shared" si="554"/>
        <v>0</v>
      </c>
      <c r="VG34" s="101">
        <f t="shared" si="554"/>
        <v>0</v>
      </c>
      <c r="VH34" s="101">
        <f t="shared" si="554"/>
        <v>0</v>
      </c>
      <c r="VI34" s="101">
        <f t="shared" si="554"/>
        <v>0</v>
      </c>
      <c r="VJ34" s="101">
        <f t="shared" si="554"/>
        <v>0</v>
      </c>
      <c r="VK34" s="101">
        <f t="shared" si="554"/>
        <v>0</v>
      </c>
      <c r="VL34" s="101">
        <f t="shared" si="554"/>
        <v>0</v>
      </c>
      <c r="VM34" s="101">
        <f t="shared" si="554"/>
        <v>0</v>
      </c>
      <c r="VN34" s="101">
        <f t="shared" si="554"/>
        <v>0</v>
      </c>
      <c r="VO34" s="101">
        <f t="shared" ref="VO34:WF34" si="555">ROUNDUP(SUMPRODUCT($E$2:$E$26,VO$2:VO$26)*1.03214954700103%,0)</f>
        <v>0</v>
      </c>
      <c r="VP34" s="101">
        <f t="shared" si="555"/>
        <v>0</v>
      </c>
      <c r="VQ34" s="101">
        <f t="shared" si="555"/>
        <v>0</v>
      </c>
      <c r="VR34" s="101">
        <f t="shared" si="555"/>
        <v>0</v>
      </c>
      <c r="VS34" s="101">
        <f t="shared" si="555"/>
        <v>0</v>
      </c>
      <c r="VT34" s="101">
        <f t="shared" si="555"/>
        <v>0</v>
      </c>
      <c r="VU34" s="101">
        <f t="shared" si="555"/>
        <v>0</v>
      </c>
      <c r="VV34" s="101">
        <f t="shared" si="555"/>
        <v>0</v>
      </c>
      <c r="VW34" s="101">
        <f t="shared" si="555"/>
        <v>0</v>
      </c>
      <c r="VX34" s="101">
        <f t="shared" si="555"/>
        <v>0</v>
      </c>
      <c r="VY34" s="101">
        <f t="shared" si="555"/>
        <v>0</v>
      </c>
      <c r="VZ34" s="101">
        <f t="shared" si="555"/>
        <v>0</v>
      </c>
      <c r="WA34" s="101">
        <f t="shared" si="555"/>
        <v>0</v>
      </c>
      <c r="WB34" s="101">
        <f t="shared" si="555"/>
        <v>0</v>
      </c>
      <c r="WC34" s="101">
        <f t="shared" si="555"/>
        <v>0</v>
      </c>
      <c r="WD34" s="101">
        <f t="shared" si="555"/>
        <v>0</v>
      </c>
      <c r="WE34" s="101">
        <f t="shared" si="555"/>
        <v>0</v>
      </c>
      <c r="WF34" s="101">
        <f t="shared" si="555"/>
        <v>0</v>
      </c>
    </row>
    <row r="35" spans="1:604" s="44" customFormat="1" ht="17.25" customHeight="1" x14ac:dyDescent="0.3">
      <c r="A35" s="39" t="str">
        <f>IF(契約詳細價目表!A35="","",契約詳細價目表!A35)</f>
        <v/>
      </c>
      <c r="B35" s="40" t="str">
        <f>IF(契約詳細價目表!B35="","",契約詳細價目表!B35)</f>
        <v/>
      </c>
      <c r="C35" s="39" t="str">
        <f>IF(契約詳細價目表!C35="","",契約詳細價目表!C35)</f>
        <v/>
      </c>
      <c r="D35" s="41" t="str">
        <f>IF(契約詳細價目表!D35="","",契約詳細價目表!D35)</f>
        <v/>
      </c>
      <c r="E35" s="42">
        <f>IF(契約詳細價目表!E35="","",契約詳細價目表!E35)</f>
        <v>0</v>
      </c>
      <c r="F35" s="42">
        <f>IF(契約詳細價目表!F35="","",契約詳細價目表!F35)</f>
        <v>0</v>
      </c>
      <c r="G35" s="106">
        <f t="shared" si="537"/>
        <v>0</v>
      </c>
      <c r="H35" s="87">
        <f>IF($E35="","",G35*E35)</f>
        <v>0</v>
      </c>
      <c r="I35" s="43" t="str">
        <f t="shared" si="536"/>
        <v/>
      </c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>
        <f t="shared" ref="CT35:EH35" si="556">ROUND(SUMPRODUCT($E$2:$E$26,CT$2:CT$26)*5%,0)</f>
        <v>0</v>
      </c>
      <c r="CU35" s="105"/>
      <c r="CV35" s="105"/>
      <c r="CW35" s="105">
        <f t="shared" si="556"/>
        <v>0</v>
      </c>
      <c r="CX35" s="105"/>
      <c r="CY35" s="105"/>
      <c r="CZ35" s="105"/>
      <c r="DA35" s="105">
        <f t="shared" si="556"/>
        <v>0</v>
      </c>
      <c r="DB35" s="105"/>
      <c r="DC35" s="105"/>
      <c r="DD35" s="105">
        <f t="shared" si="556"/>
        <v>0</v>
      </c>
      <c r="DE35" s="105"/>
      <c r="DF35" s="105"/>
      <c r="DG35" s="105"/>
      <c r="DH35" s="105">
        <f t="shared" si="556"/>
        <v>0</v>
      </c>
      <c r="DI35" s="105">
        <f t="shared" si="556"/>
        <v>0</v>
      </c>
      <c r="DJ35" s="105">
        <f t="shared" si="556"/>
        <v>0</v>
      </c>
      <c r="DK35" s="105">
        <f t="shared" si="556"/>
        <v>0</v>
      </c>
      <c r="DL35" s="105">
        <f t="shared" si="556"/>
        <v>0</v>
      </c>
      <c r="DM35" s="105">
        <f t="shared" si="556"/>
        <v>0</v>
      </c>
      <c r="DN35" s="105">
        <f t="shared" si="556"/>
        <v>0</v>
      </c>
      <c r="DO35" s="105">
        <f t="shared" si="556"/>
        <v>0</v>
      </c>
      <c r="DP35" s="105">
        <f t="shared" si="556"/>
        <v>0</v>
      </c>
      <c r="DQ35" s="105">
        <f t="shared" si="556"/>
        <v>0</v>
      </c>
      <c r="DR35" s="105">
        <f t="shared" si="556"/>
        <v>0</v>
      </c>
      <c r="DS35" s="105">
        <f t="shared" si="556"/>
        <v>0</v>
      </c>
      <c r="DT35" s="105">
        <f t="shared" si="556"/>
        <v>0</v>
      </c>
      <c r="DU35" s="105">
        <f t="shared" si="556"/>
        <v>0</v>
      </c>
      <c r="DV35" s="105">
        <f t="shared" si="556"/>
        <v>0</v>
      </c>
      <c r="DW35" s="105">
        <f t="shared" si="556"/>
        <v>0</v>
      </c>
      <c r="DX35" s="105">
        <f t="shared" si="556"/>
        <v>0</v>
      </c>
      <c r="DY35" s="105">
        <f t="shared" si="556"/>
        <v>0</v>
      </c>
      <c r="DZ35" s="105">
        <f t="shared" si="556"/>
        <v>0</v>
      </c>
      <c r="EA35" s="105">
        <f t="shared" si="556"/>
        <v>0</v>
      </c>
      <c r="EB35" s="105">
        <f t="shared" si="556"/>
        <v>0</v>
      </c>
      <c r="EC35" s="105">
        <f t="shared" si="556"/>
        <v>0</v>
      </c>
      <c r="ED35" s="105">
        <f t="shared" si="556"/>
        <v>0</v>
      </c>
      <c r="EE35" s="105">
        <f t="shared" si="556"/>
        <v>0</v>
      </c>
      <c r="EF35" s="105">
        <f t="shared" si="556"/>
        <v>0</v>
      </c>
      <c r="EG35" s="105">
        <f t="shared" si="556"/>
        <v>0</v>
      </c>
      <c r="EH35" s="105">
        <f t="shared" si="556"/>
        <v>0</v>
      </c>
      <c r="EI35" s="105">
        <f t="shared" ref="EI35:GT35" si="557">ROUND(SUMPRODUCT($E$2:$E$26,EI$2:EI$26)*5%,0)</f>
        <v>0</v>
      </c>
      <c r="EJ35" s="105">
        <f t="shared" si="557"/>
        <v>0</v>
      </c>
      <c r="EK35" s="105">
        <f t="shared" si="557"/>
        <v>0</v>
      </c>
      <c r="EL35" s="105">
        <f t="shared" si="557"/>
        <v>0</v>
      </c>
      <c r="EM35" s="105">
        <f t="shared" si="557"/>
        <v>0</v>
      </c>
      <c r="EN35" s="105">
        <f t="shared" si="557"/>
        <v>0</v>
      </c>
      <c r="EO35" s="105">
        <f t="shared" si="557"/>
        <v>0</v>
      </c>
      <c r="EP35" s="105">
        <f t="shared" si="557"/>
        <v>0</v>
      </c>
      <c r="EQ35" s="105">
        <f t="shared" si="557"/>
        <v>0</v>
      </c>
      <c r="ER35" s="105">
        <f t="shared" si="557"/>
        <v>0</v>
      </c>
      <c r="ES35" s="105">
        <f t="shared" si="557"/>
        <v>0</v>
      </c>
      <c r="ET35" s="105">
        <f t="shared" si="557"/>
        <v>0</v>
      </c>
      <c r="EU35" s="105">
        <f t="shared" si="557"/>
        <v>0</v>
      </c>
      <c r="EV35" s="105">
        <f t="shared" si="557"/>
        <v>0</v>
      </c>
      <c r="EW35" s="105">
        <f t="shared" si="557"/>
        <v>0</v>
      </c>
      <c r="EX35" s="105">
        <f t="shared" si="557"/>
        <v>0</v>
      </c>
      <c r="EY35" s="105">
        <f t="shared" si="557"/>
        <v>0</v>
      </c>
      <c r="EZ35" s="105">
        <f t="shared" si="557"/>
        <v>0</v>
      </c>
      <c r="FA35" s="105">
        <f t="shared" si="557"/>
        <v>0</v>
      </c>
      <c r="FB35" s="105">
        <f t="shared" si="557"/>
        <v>0</v>
      </c>
      <c r="FC35" s="105">
        <f t="shared" si="557"/>
        <v>0</v>
      </c>
      <c r="FD35" s="105">
        <f t="shared" si="557"/>
        <v>0</v>
      </c>
      <c r="FE35" s="105">
        <f t="shared" si="557"/>
        <v>0</v>
      </c>
      <c r="FF35" s="105">
        <f t="shared" si="557"/>
        <v>0</v>
      </c>
      <c r="FG35" s="105">
        <f t="shared" si="557"/>
        <v>0</v>
      </c>
      <c r="FH35" s="105">
        <f t="shared" si="557"/>
        <v>0</v>
      </c>
      <c r="FI35" s="105">
        <f t="shared" si="557"/>
        <v>0</v>
      </c>
      <c r="FJ35" s="105">
        <f t="shared" si="557"/>
        <v>0</v>
      </c>
      <c r="FK35" s="105">
        <f t="shared" si="557"/>
        <v>0</v>
      </c>
      <c r="FL35" s="105">
        <f t="shared" si="557"/>
        <v>0</v>
      </c>
      <c r="FM35" s="105">
        <f t="shared" si="557"/>
        <v>0</v>
      </c>
      <c r="FN35" s="105">
        <f t="shared" si="557"/>
        <v>0</v>
      </c>
      <c r="FO35" s="105">
        <f t="shared" si="557"/>
        <v>0</v>
      </c>
      <c r="FP35" s="105">
        <f t="shared" si="557"/>
        <v>0</v>
      </c>
      <c r="FQ35" s="105">
        <f t="shared" si="557"/>
        <v>0</v>
      </c>
      <c r="FR35" s="105">
        <f t="shared" si="557"/>
        <v>0</v>
      </c>
      <c r="FS35" s="105">
        <f t="shared" si="557"/>
        <v>0</v>
      </c>
      <c r="FT35" s="105">
        <f t="shared" si="557"/>
        <v>0</v>
      </c>
      <c r="FU35" s="101">
        <f t="shared" si="557"/>
        <v>0</v>
      </c>
      <c r="FV35" s="101">
        <f t="shared" si="557"/>
        <v>0</v>
      </c>
      <c r="FW35" s="101">
        <f t="shared" si="557"/>
        <v>0</v>
      </c>
      <c r="FX35" s="101">
        <f t="shared" si="557"/>
        <v>0</v>
      </c>
      <c r="FY35" s="101">
        <f t="shared" si="557"/>
        <v>0</v>
      </c>
      <c r="FZ35" s="101">
        <f t="shared" si="557"/>
        <v>0</v>
      </c>
      <c r="GA35" s="101">
        <f t="shared" si="557"/>
        <v>0</v>
      </c>
      <c r="GB35" s="101">
        <f t="shared" si="557"/>
        <v>0</v>
      </c>
      <c r="GC35" s="101">
        <f t="shared" si="557"/>
        <v>0</v>
      </c>
      <c r="GD35" s="101">
        <f t="shared" si="557"/>
        <v>0</v>
      </c>
      <c r="GE35" s="101">
        <f t="shared" si="557"/>
        <v>0</v>
      </c>
      <c r="GF35" s="101">
        <f t="shared" si="557"/>
        <v>0</v>
      </c>
      <c r="GG35" s="101">
        <f t="shared" si="557"/>
        <v>0</v>
      </c>
      <c r="GH35" s="101">
        <f t="shared" si="557"/>
        <v>0</v>
      </c>
      <c r="GI35" s="101">
        <f t="shared" si="557"/>
        <v>0</v>
      </c>
      <c r="GJ35" s="101">
        <f t="shared" si="557"/>
        <v>0</v>
      </c>
      <c r="GK35" s="101">
        <f t="shared" si="557"/>
        <v>0</v>
      </c>
      <c r="GL35" s="101">
        <f t="shared" si="557"/>
        <v>0</v>
      </c>
      <c r="GM35" s="101">
        <f t="shared" si="557"/>
        <v>0</v>
      </c>
      <c r="GN35" s="101">
        <f t="shared" si="557"/>
        <v>0</v>
      </c>
      <c r="GO35" s="101">
        <f t="shared" si="557"/>
        <v>0</v>
      </c>
      <c r="GP35" s="101">
        <f t="shared" si="557"/>
        <v>0</v>
      </c>
      <c r="GQ35" s="101">
        <f t="shared" si="557"/>
        <v>0</v>
      </c>
      <c r="GR35" s="101">
        <f t="shared" si="557"/>
        <v>0</v>
      </c>
      <c r="GS35" s="101">
        <f t="shared" si="557"/>
        <v>0</v>
      </c>
      <c r="GT35" s="101">
        <f t="shared" si="557"/>
        <v>0</v>
      </c>
      <c r="GU35" s="101">
        <f t="shared" ref="GU35:JF35" si="558">ROUND(SUMPRODUCT($E$2:$E$26,GU$2:GU$26)*5%,0)</f>
        <v>0</v>
      </c>
      <c r="GV35" s="101">
        <f t="shared" si="558"/>
        <v>0</v>
      </c>
      <c r="GW35" s="101">
        <f t="shared" si="558"/>
        <v>0</v>
      </c>
      <c r="GX35" s="101">
        <f t="shared" si="558"/>
        <v>0</v>
      </c>
      <c r="GY35" s="101">
        <f t="shared" si="558"/>
        <v>0</v>
      </c>
      <c r="GZ35" s="101">
        <f t="shared" si="558"/>
        <v>0</v>
      </c>
      <c r="HA35" s="101">
        <f t="shared" si="558"/>
        <v>0</v>
      </c>
      <c r="HB35" s="101">
        <f t="shared" si="558"/>
        <v>0</v>
      </c>
      <c r="HC35" s="101">
        <f t="shared" si="558"/>
        <v>0</v>
      </c>
      <c r="HD35" s="101">
        <f t="shared" si="558"/>
        <v>0</v>
      </c>
      <c r="HE35" s="101">
        <f t="shared" si="558"/>
        <v>0</v>
      </c>
      <c r="HF35" s="101">
        <f t="shared" si="558"/>
        <v>0</v>
      </c>
      <c r="HG35" s="101">
        <f t="shared" si="558"/>
        <v>0</v>
      </c>
      <c r="HH35" s="101">
        <f t="shared" si="558"/>
        <v>0</v>
      </c>
      <c r="HI35" s="101">
        <f t="shared" si="558"/>
        <v>0</v>
      </c>
      <c r="HJ35" s="101">
        <f t="shared" si="558"/>
        <v>0</v>
      </c>
      <c r="HK35" s="101">
        <f t="shared" si="558"/>
        <v>0</v>
      </c>
      <c r="HL35" s="101">
        <f t="shared" si="558"/>
        <v>0</v>
      </c>
      <c r="HM35" s="101">
        <f t="shared" si="558"/>
        <v>0</v>
      </c>
      <c r="HN35" s="101">
        <f t="shared" si="558"/>
        <v>0</v>
      </c>
      <c r="HO35" s="101">
        <f t="shared" si="558"/>
        <v>0</v>
      </c>
      <c r="HP35" s="101">
        <f t="shared" si="558"/>
        <v>0</v>
      </c>
      <c r="HQ35" s="101">
        <f t="shared" si="558"/>
        <v>0</v>
      </c>
      <c r="HR35" s="101">
        <f t="shared" si="558"/>
        <v>0</v>
      </c>
      <c r="HS35" s="101">
        <f t="shared" si="558"/>
        <v>0</v>
      </c>
      <c r="HT35" s="101">
        <f t="shared" si="558"/>
        <v>0</v>
      </c>
      <c r="HU35" s="101">
        <f t="shared" si="558"/>
        <v>0</v>
      </c>
      <c r="HV35" s="101">
        <f t="shared" si="558"/>
        <v>0</v>
      </c>
      <c r="HW35" s="101">
        <f t="shared" si="558"/>
        <v>0</v>
      </c>
      <c r="HX35" s="101">
        <f t="shared" si="558"/>
        <v>0</v>
      </c>
      <c r="HY35" s="101">
        <f t="shared" si="558"/>
        <v>0</v>
      </c>
      <c r="HZ35" s="101">
        <f t="shared" si="558"/>
        <v>0</v>
      </c>
      <c r="IA35" s="101">
        <f t="shared" si="558"/>
        <v>0</v>
      </c>
      <c r="IB35" s="101">
        <f t="shared" si="558"/>
        <v>0</v>
      </c>
      <c r="IC35" s="101">
        <f t="shared" si="558"/>
        <v>0</v>
      </c>
      <c r="ID35" s="101">
        <f t="shared" si="558"/>
        <v>0</v>
      </c>
      <c r="IE35" s="101">
        <f t="shared" si="558"/>
        <v>0</v>
      </c>
      <c r="IF35" s="101">
        <f t="shared" si="558"/>
        <v>0</v>
      </c>
      <c r="IG35" s="101">
        <f t="shared" si="558"/>
        <v>0</v>
      </c>
      <c r="IH35" s="101">
        <f t="shared" si="558"/>
        <v>0</v>
      </c>
      <c r="II35" s="101">
        <f t="shared" si="558"/>
        <v>0</v>
      </c>
      <c r="IJ35" s="101">
        <f t="shared" si="558"/>
        <v>0</v>
      </c>
      <c r="IK35" s="101">
        <f t="shared" si="558"/>
        <v>0</v>
      </c>
      <c r="IL35" s="101">
        <f t="shared" si="558"/>
        <v>0</v>
      </c>
      <c r="IM35" s="101">
        <f t="shared" si="558"/>
        <v>0</v>
      </c>
      <c r="IN35" s="101">
        <f t="shared" si="558"/>
        <v>0</v>
      </c>
      <c r="IO35" s="101">
        <f t="shared" si="558"/>
        <v>0</v>
      </c>
      <c r="IP35" s="101">
        <f t="shared" si="558"/>
        <v>0</v>
      </c>
      <c r="IQ35" s="101">
        <f t="shared" si="558"/>
        <v>0</v>
      </c>
      <c r="IR35" s="101">
        <f t="shared" si="558"/>
        <v>0</v>
      </c>
      <c r="IS35" s="101">
        <f t="shared" si="558"/>
        <v>0</v>
      </c>
      <c r="IT35" s="101">
        <f t="shared" si="558"/>
        <v>0</v>
      </c>
      <c r="IU35" s="101">
        <f t="shared" si="558"/>
        <v>0</v>
      </c>
      <c r="IV35" s="101">
        <f t="shared" si="558"/>
        <v>0</v>
      </c>
      <c r="IW35" s="101">
        <f t="shared" si="558"/>
        <v>0</v>
      </c>
      <c r="IX35" s="101">
        <f t="shared" si="558"/>
        <v>0</v>
      </c>
      <c r="IY35" s="101">
        <f t="shared" si="558"/>
        <v>0</v>
      </c>
      <c r="IZ35" s="101">
        <f t="shared" si="558"/>
        <v>0</v>
      </c>
      <c r="JA35" s="101">
        <f t="shared" si="558"/>
        <v>0</v>
      </c>
      <c r="JB35" s="101">
        <f t="shared" si="558"/>
        <v>0</v>
      </c>
      <c r="JC35" s="101">
        <f t="shared" si="558"/>
        <v>0</v>
      </c>
      <c r="JD35" s="101">
        <f t="shared" si="558"/>
        <v>0</v>
      </c>
      <c r="JE35" s="101">
        <f t="shared" si="558"/>
        <v>0</v>
      </c>
      <c r="JF35" s="101">
        <f t="shared" si="558"/>
        <v>0</v>
      </c>
      <c r="JG35" s="101">
        <f t="shared" ref="JG35:LR35" si="559">ROUND(SUMPRODUCT($E$2:$E$26,JG$2:JG$26)*5%,0)</f>
        <v>0</v>
      </c>
      <c r="JH35" s="101">
        <f t="shared" si="559"/>
        <v>0</v>
      </c>
      <c r="JI35" s="101">
        <f t="shared" si="559"/>
        <v>0</v>
      </c>
      <c r="JJ35" s="101">
        <f t="shared" si="559"/>
        <v>0</v>
      </c>
      <c r="JK35" s="101">
        <f t="shared" si="559"/>
        <v>0</v>
      </c>
      <c r="JL35" s="101">
        <f t="shared" si="559"/>
        <v>0</v>
      </c>
      <c r="JM35" s="101">
        <f t="shared" si="559"/>
        <v>0</v>
      </c>
      <c r="JN35" s="101">
        <f t="shared" si="559"/>
        <v>0</v>
      </c>
      <c r="JO35" s="101">
        <f t="shared" si="559"/>
        <v>0</v>
      </c>
      <c r="JP35" s="101">
        <f t="shared" si="559"/>
        <v>0</v>
      </c>
      <c r="JQ35" s="101">
        <f t="shared" si="559"/>
        <v>0</v>
      </c>
      <c r="JR35" s="101">
        <f t="shared" si="559"/>
        <v>0</v>
      </c>
      <c r="JS35" s="101">
        <f t="shared" si="559"/>
        <v>0</v>
      </c>
      <c r="JT35" s="101">
        <f t="shared" si="559"/>
        <v>0</v>
      </c>
      <c r="JU35" s="101">
        <f t="shared" si="559"/>
        <v>0</v>
      </c>
      <c r="JV35" s="101">
        <f t="shared" si="559"/>
        <v>0</v>
      </c>
      <c r="JW35" s="101">
        <f t="shared" si="559"/>
        <v>0</v>
      </c>
      <c r="JX35" s="101">
        <f t="shared" si="559"/>
        <v>0</v>
      </c>
      <c r="JY35" s="101">
        <f t="shared" si="559"/>
        <v>0</v>
      </c>
      <c r="JZ35" s="101">
        <f t="shared" si="559"/>
        <v>0</v>
      </c>
      <c r="KA35" s="101">
        <f t="shared" si="559"/>
        <v>0</v>
      </c>
      <c r="KB35" s="101">
        <f t="shared" si="559"/>
        <v>0</v>
      </c>
      <c r="KC35" s="101">
        <f t="shared" si="559"/>
        <v>0</v>
      </c>
      <c r="KD35" s="101">
        <f t="shared" si="559"/>
        <v>0</v>
      </c>
      <c r="KE35" s="101">
        <f t="shared" si="559"/>
        <v>0</v>
      </c>
      <c r="KF35" s="101">
        <f t="shared" si="559"/>
        <v>0</v>
      </c>
      <c r="KG35" s="101">
        <f t="shared" si="559"/>
        <v>0</v>
      </c>
      <c r="KH35" s="101">
        <f t="shared" si="559"/>
        <v>0</v>
      </c>
      <c r="KI35" s="101">
        <f t="shared" si="559"/>
        <v>0</v>
      </c>
      <c r="KJ35" s="101">
        <f t="shared" si="559"/>
        <v>0</v>
      </c>
      <c r="KK35" s="101">
        <f t="shared" si="559"/>
        <v>0</v>
      </c>
      <c r="KL35" s="101">
        <f t="shared" si="559"/>
        <v>0</v>
      </c>
      <c r="KM35" s="101">
        <f t="shared" si="559"/>
        <v>0</v>
      </c>
      <c r="KN35" s="101">
        <f t="shared" si="559"/>
        <v>0</v>
      </c>
      <c r="KO35" s="101">
        <f t="shared" si="559"/>
        <v>0</v>
      </c>
      <c r="KP35" s="101">
        <f t="shared" si="559"/>
        <v>0</v>
      </c>
      <c r="KQ35" s="101">
        <f t="shared" si="559"/>
        <v>0</v>
      </c>
      <c r="KR35" s="101">
        <f t="shared" si="559"/>
        <v>0</v>
      </c>
      <c r="KS35" s="101">
        <f t="shared" si="559"/>
        <v>0</v>
      </c>
      <c r="KT35" s="101">
        <f t="shared" si="559"/>
        <v>0</v>
      </c>
      <c r="KU35" s="101">
        <f t="shared" si="559"/>
        <v>0</v>
      </c>
      <c r="KV35" s="101">
        <f t="shared" si="559"/>
        <v>0</v>
      </c>
      <c r="KW35" s="101">
        <f t="shared" si="559"/>
        <v>0</v>
      </c>
      <c r="KX35" s="101">
        <f t="shared" si="559"/>
        <v>0</v>
      </c>
      <c r="KY35" s="101">
        <f t="shared" si="559"/>
        <v>0</v>
      </c>
      <c r="KZ35" s="101">
        <f t="shared" si="559"/>
        <v>0</v>
      </c>
      <c r="LA35" s="101">
        <f t="shared" si="559"/>
        <v>0</v>
      </c>
      <c r="LB35" s="101">
        <f t="shared" si="559"/>
        <v>0</v>
      </c>
      <c r="LC35" s="101">
        <f t="shared" si="559"/>
        <v>0</v>
      </c>
      <c r="LD35" s="101">
        <f t="shared" si="559"/>
        <v>0</v>
      </c>
      <c r="LE35" s="101">
        <f t="shared" si="559"/>
        <v>0</v>
      </c>
      <c r="LF35" s="101">
        <f t="shared" si="559"/>
        <v>0</v>
      </c>
      <c r="LG35" s="101">
        <f t="shared" si="559"/>
        <v>0</v>
      </c>
      <c r="LH35" s="101">
        <f t="shared" si="559"/>
        <v>0</v>
      </c>
      <c r="LI35" s="101">
        <f t="shared" si="559"/>
        <v>0</v>
      </c>
      <c r="LJ35" s="101">
        <f t="shared" si="559"/>
        <v>0</v>
      </c>
      <c r="LK35" s="101">
        <f t="shared" si="559"/>
        <v>0</v>
      </c>
      <c r="LL35" s="101">
        <f t="shared" si="559"/>
        <v>0</v>
      </c>
      <c r="LM35" s="101">
        <f t="shared" si="559"/>
        <v>0</v>
      </c>
      <c r="LN35" s="101">
        <f t="shared" si="559"/>
        <v>0</v>
      </c>
      <c r="LO35" s="101">
        <f t="shared" si="559"/>
        <v>0</v>
      </c>
      <c r="LP35" s="101">
        <f t="shared" si="559"/>
        <v>0</v>
      </c>
      <c r="LQ35" s="101">
        <f t="shared" si="559"/>
        <v>0</v>
      </c>
      <c r="LR35" s="101">
        <f t="shared" si="559"/>
        <v>0</v>
      </c>
      <c r="LS35" s="101">
        <f t="shared" ref="LS35:OD35" si="560">ROUND(SUMPRODUCT($E$2:$E$26,LS$2:LS$26)*5%,0)</f>
        <v>0</v>
      </c>
      <c r="LT35" s="101">
        <f t="shared" si="560"/>
        <v>0</v>
      </c>
      <c r="LU35" s="101">
        <f t="shared" si="560"/>
        <v>0</v>
      </c>
      <c r="LV35" s="101">
        <f t="shared" si="560"/>
        <v>0</v>
      </c>
      <c r="LW35" s="101">
        <f t="shared" si="560"/>
        <v>0</v>
      </c>
      <c r="LX35" s="101">
        <f t="shared" si="560"/>
        <v>0</v>
      </c>
      <c r="LY35" s="101">
        <f t="shared" si="560"/>
        <v>0</v>
      </c>
      <c r="LZ35" s="101">
        <f t="shared" si="560"/>
        <v>0</v>
      </c>
      <c r="MA35" s="101">
        <f t="shared" si="560"/>
        <v>0</v>
      </c>
      <c r="MB35" s="101">
        <f t="shared" si="560"/>
        <v>0</v>
      </c>
      <c r="MC35" s="101">
        <f t="shared" si="560"/>
        <v>0</v>
      </c>
      <c r="MD35" s="101">
        <f t="shared" si="560"/>
        <v>0</v>
      </c>
      <c r="ME35" s="101">
        <f t="shared" si="560"/>
        <v>0</v>
      </c>
      <c r="MF35" s="101">
        <f t="shared" si="560"/>
        <v>0</v>
      </c>
      <c r="MG35" s="101">
        <f t="shared" si="560"/>
        <v>0</v>
      </c>
      <c r="MH35" s="101">
        <f t="shared" si="560"/>
        <v>0</v>
      </c>
      <c r="MI35" s="101">
        <f t="shared" si="560"/>
        <v>0</v>
      </c>
      <c r="MJ35" s="101">
        <f t="shared" si="560"/>
        <v>0</v>
      </c>
      <c r="MK35" s="101">
        <f t="shared" si="560"/>
        <v>0</v>
      </c>
      <c r="ML35" s="101">
        <f t="shared" si="560"/>
        <v>0</v>
      </c>
      <c r="MM35" s="101">
        <f t="shared" si="560"/>
        <v>0</v>
      </c>
      <c r="MN35" s="101">
        <f t="shared" si="560"/>
        <v>0</v>
      </c>
      <c r="MO35" s="101">
        <f t="shared" si="560"/>
        <v>0</v>
      </c>
      <c r="MP35" s="101">
        <f t="shared" si="560"/>
        <v>0</v>
      </c>
      <c r="MQ35" s="101">
        <f t="shared" si="560"/>
        <v>0</v>
      </c>
      <c r="MR35" s="101">
        <f t="shared" si="560"/>
        <v>0</v>
      </c>
      <c r="MS35" s="101">
        <f t="shared" si="560"/>
        <v>0</v>
      </c>
      <c r="MT35" s="101">
        <f t="shared" si="560"/>
        <v>0</v>
      </c>
      <c r="MU35" s="101">
        <f t="shared" si="560"/>
        <v>0</v>
      </c>
      <c r="MV35" s="101">
        <f t="shared" si="560"/>
        <v>0</v>
      </c>
      <c r="MW35" s="101">
        <f t="shared" si="560"/>
        <v>0</v>
      </c>
      <c r="MX35" s="101">
        <f t="shared" si="560"/>
        <v>0</v>
      </c>
      <c r="MY35" s="101">
        <f t="shared" si="560"/>
        <v>0</v>
      </c>
      <c r="MZ35" s="101">
        <f t="shared" si="560"/>
        <v>0</v>
      </c>
      <c r="NA35" s="101">
        <f t="shared" si="560"/>
        <v>0</v>
      </c>
      <c r="NB35" s="101">
        <f t="shared" si="560"/>
        <v>0</v>
      </c>
      <c r="NC35" s="101">
        <f t="shared" si="560"/>
        <v>0</v>
      </c>
      <c r="ND35" s="101">
        <f t="shared" si="560"/>
        <v>0</v>
      </c>
      <c r="NE35" s="101">
        <f t="shared" si="560"/>
        <v>0</v>
      </c>
      <c r="NF35" s="101">
        <f t="shared" si="560"/>
        <v>0</v>
      </c>
      <c r="NG35" s="101">
        <f t="shared" si="560"/>
        <v>0</v>
      </c>
      <c r="NH35" s="101">
        <f t="shared" si="560"/>
        <v>0</v>
      </c>
      <c r="NI35" s="101">
        <f t="shared" si="560"/>
        <v>0</v>
      </c>
      <c r="NJ35" s="101">
        <f t="shared" si="560"/>
        <v>0</v>
      </c>
      <c r="NK35" s="101">
        <f t="shared" si="560"/>
        <v>0</v>
      </c>
      <c r="NL35" s="101">
        <f t="shared" si="560"/>
        <v>0</v>
      </c>
      <c r="NM35" s="101">
        <f t="shared" si="560"/>
        <v>0</v>
      </c>
      <c r="NN35" s="101">
        <f t="shared" si="560"/>
        <v>0</v>
      </c>
      <c r="NO35" s="101">
        <f t="shared" si="560"/>
        <v>0</v>
      </c>
      <c r="NP35" s="101">
        <f t="shared" si="560"/>
        <v>0</v>
      </c>
      <c r="NQ35" s="101">
        <f t="shared" si="560"/>
        <v>0</v>
      </c>
      <c r="NR35" s="101">
        <f t="shared" si="560"/>
        <v>0</v>
      </c>
      <c r="NS35" s="101">
        <f t="shared" si="560"/>
        <v>0</v>
      </c>
      <c r="NT35" s="101">
        <f t="shared" si="560"/>
        <v>0</v>
      </c>
      <c r="NU35" s="101">
        <f t="shared" si="560"/>
        <v>0</v>
      </c>
      <c r="NV35" s="101">
        <f t="shared" si="560"/>
        <v>0</v>
      </c>
      <c r="NW35" s="101">
        <f t="shared" si="560"/>
        <v>0</v>
      </c>
      <c r="NX35" s="101">
        <f t="shared" si="560"/>
        <v>0</v>
      </c>
      <c r="NY35" s="101">
        <f t="shared" si="560"/>
        <v>0</v>
      </c>
      <c r="NZ35" s="101">
        <f t="shared" si="560"/>
        <v>0</v>
      </c>
      <c r="OA35" s="101">
        <f t="shared" si="560"/>
        <v>0</v>
      </c>
      <c r="OB35" s="101">
        <f t="shared" si="560"/>
        <v>0</v>
      </c>
      <c r="OC35" s="101">
        <f t="shared" si="560"/>
        <v>0</v>
      </c>
      <c r="OD35" s="101">
        <f t="shared" si="560"/>
        <v>0</v>
      </c>
      <c r="OE35" s="101">
        <f t="shared" ref="OE35:QP35" si="561">ROUND(SUMPRODUCT($E$2:$E$26,OE$2:OE$26)*5%,0)</f>
        <v>0</v>
      </c>
      <c r="OF35" s="101">
        <f t="shared" si="561"/>
        <v>0</v>
      </c>
      <c r="OG35" s="101">
        <f t="shared" si="561"/>
        <v>0</v>
      </c>
      <c r="OH35" s="101">
        <f t="shared" si="561"/>
        <v>0</v>
      </c>
      <c r="OI35" s="101">
        <f t="shared" si="561"/>
        <v>0</v>
      </c>
      <c r="OJ35" s="101">
        <f t="shared" si="561"/>
        <v>0</v>
      </c>
      <c r="OK35" s="101">
        <f t="shared" si="561"/>
        <v>0</v>
      </c>
      <c r="OL35" s="101">
        <f t="shared" si="561"/>
        <v>0</v>
      </c>
      <c r="OM35" s="101">
        <f t="shared" si="561"/>
        <v>0</v>
      </c>
      <c r="ON35" s="101">
        <f t="shared" si="561"/>
        <v>0</v>
      </c>
      <c r="OO35" s="101">
        <f t="shared" si="561"/>
        <v>0</v>
      </c>
      <c r="OP35" s="101">
        <f t="shared" si="561"/>
        <v>0</v>
      </c>
      <c r="OQ35" s="101">
        <f t="shared" si="561"/>
        <v>0</v>
      </c>
      <c r="OR35" s="101">
        <f t="shared" si="561"/>
        <v>0</v>
      </c>
      <c r="OS35" s="101">
        <f t="shared" si="561"/>
        <v>0</v>
      </c>
      <c r="OT35" s="101">
        <f t="shared" si="561"/>
        <v>0</v>
      </c>
      <c r="OU35" s="101">
        <f t="shared" si="561"/>
        <v>0</v>
      </c>
      <c r="OV35" s="101">
        <f t="shared" si="561"/>
        <v>0</v>
      </c>
      <c r="OW35" s="101">
        <f t="shared" si="561"/>
        <v>0</v>
      </c>
      <c r="OX35" s="101">
        <f t="shared" si="561"/>
        <v>0</v>
      </c>
      <c r="OY35" s="101">
        <f t="shared" si="561"/>
        <v>0</v>
      </c>
      <c r="OZ35" s="101">
        <f t="shared" si="561"/>
        <v>0</v>
      </c>
      <c r="PA35" s="101">
        <f t="shared" si="561"/>
        <v>0</v>
      </c>
      <c r="PB35" s="101">
        <f t="shared" si="561"/>
        <v>0</v>
      </c>
      <c r="PC35" s="101">
        <f t="shared" si="561"/>
        <v>0</v>
      </c>
      <c r="PD35" s="101">
        <f t="shared" si="561"/>
        <v>0</v>
      </c>
      <c r="PE35" s="101">
        <f t="shared" si="561"/>
        <v>0</v>
      </c>
      <c r="PF35" s="101">
        <f t="shared" si="561"/>
        <v>0</v>
      </c>
      <c r="PG35" s="101">
        <f t="shared" si="561"/>
        <v>0</v>
      </c>
      <c r="PH35" s="101">
        <f t="shared" si="561"/>
        <v>0</v>
      </c>
      <c r="PI35" s="101">
        <f t="shared" si="561"/>
        <v>0</v>
      </c>
      <c r="PJ35" s="101">
        <f t="shared" si="561"/>
        <v>0</v>
      </c>
      <c r="PK35" s="101">
        <f t="shared" si="561"/>
        <v>0</v>
      </c>
      <c r="PL35" s="101">
        <f t="shared" si="561"/>
        <v>0</v>
      </c>
      <c r="PM35" s="101">
        <f t="shared" si="561"/>
        <v>0</v>
      </c>
      <c r="PN35" s="101">
        <f t="shared" si="561"/>
        <v>0</v>
      </c>
      <c r="PO35" s="101">
        <f t="shared" si="561"/>
        <v>0</v>
      </c>
      <c r="PP35" s="101">
        <f t="shared" si="561"/>
        <v>0</v>
      </c>
      <c r="PQ35" s="101">
        <f t="shared" si="561"/>
        <v>0</v>
      </c>
      <c r="PR35" s="101">
        <f t="shared" si="561"/>
        <v>0</v>
      </c>
      <c r="PS35" s="101">
        <f t="shared" si="561"/>
        <v>0</v>
      </c>
      <c r="PT35" s="101">
        <f t="shared" si="561"/>
        <v>0</v>
      </c>
      <c r="PU35" s="101">
        <f t="shared" si="561"/>
        <v>0</v>
      </c>
      <c r="PV35" s="101">
        <f t="shared" si="561"/>
        <v>0</v>
      </c>
      <c r="PW35" s="101">
        <f t="shared" si="561"/>
        <v>0</v>
      </c>
      <c r="PX35" s="101">
        <f t="shared" si="561"/>
        <v>0</v>
      </c>
      <c r="PY35" s="101">
        <f t="shared" si="561"/>
        <v>0</v>
      </c>
      <c r="PZ35" s="101">
        <f t="shared" si="561"/>
        <v>0</v>
      </c>
      <c r="QA35" s="101">
        <f t="shared" si="561"/>
        <v>0</v>
      </c>
      <c r="QB35" s="101">
        <f t="shared" si="561"/>
        <v>0</v>
      </c>
      <c r="QC35" s="101">
        <f t="shared" si="561"/>
        <v>0</v>
      </c>
      <c r="QD35" s="101">
        <f t="shared" si="561"/>
        <v>0</v>
      </c>
      <c r="QE35" s="101">
        <f t="shared" si="561"/>
        <v>0</v>
      </c>
      <c r="QF35" s="101">
        <f t="shared" si="561"/>
        <v>0</v>
      </c>
      <c r="QG35" s="101">
        <f t="shared" si="561"/>
        <v>0</v>
      </c>
      <c r="QH35" s="101">
        <f t="shared" si="561"/>
        <v>0</v>
      </c>
      <c r="QI35" s="101">
        <f t="shared" si="561"/>
        <v>0</v>
      </c>
      <c r="QJ35" s="101">
        <f t="shared" si="561"/>
        <v>0</v>
      </c>
      <c r="QK35" s="101">
        <f t="shared" si="561"/>
        <v>0</v>
      </c>
      <c r="QL35" s="101">
        <f t="shared" si="561"/>
        <v>0</v>
      </c>
      <c r="QM35" s="101">
        <f t="shared" si="561"/>
        <v>0</v>
      </c>
      <c r="QN35" s="101">
        <f t="shared" si="561"/>
        <v>0</v>
      </c>
      <c r="QO35" s="101">
        <f t="shared" si="561"/>
        <v>0</v>
      </c>
      <c r="QP35" s="101">
        <f t="shared" si="561"/>
        <v>0</v>
      </c>
      <c r="QQ35" s="101">
        <f t="shared" ref="QQ35:TB35" si="562">ROUND(SUMPRODUCT($E$2:$E$26,QQ$2:QQ$26)*5%,0)</f>
        <v>0</v>
      </c>
      <c r="QR35" s="101">
        <f t="shared" si="562"/>
        <v>0</v>
      </c>
      <c r="QS35" s="101">
        <f t="shared" si="562"/>
        <v>0</v>
      </c>
      <c r="QT35" s="101">
        <f t="shared" si="562"/>
        <v>0</v>
      </c>
      <c r="QU35" s="101">
        <f t="shared" si="562"/>
        <v>0</v>
      </c>
      <c r="QV35" s="101">
        <f t="shared" si="562"/>
        <v>0</v>
      </c>
      <c r="QW35" s="101">
        <f t="shared" si="562"/>
        <v>0</v>
      </c>
      <c r="QX35" s="101">
        <f t="shared" si="562"/>
        <v>0</v>
      </c>
      <c r="QY35" s="101">
        <f t="shared" si="562"/>
        <v>0</v>
      </c>
      <c r="QZ35" s="101">
        <f t="shared" si="562"/>
        <v>0</v>
      </c>
      <c r="RA35" s="101">
        <f t="shared" si="562"/>
        <v>0</v>
      </c>
      <c r="RB35" s="101">
        <f t="shared" si="562"/>
        <v>0</v>
      </c>
      <c r="RC35" s="101">
        <f t="shared" si="562"/>
        <v>0</v>
      </c>
      <c r="RD35" s="101">
        <f t="shared" si="562"/>
        <v>0</v>
      </c>
      <c r="RE35" s="101">
        <f t="shared" si="562"/>
        <v>0</v>
      </c>
      <c r="RF35" s="101">
        <f t="shared" si="562"/>
        <v>0</v>
      </c>
      <c r="RG35" s="101">
        <f t="shared" si="562"/>
        <v>0</v>
      </c>
      <c r="RH35" s="101">
        <f t="shared" si="562"/>
        <v>0</v>
      </c>
      <c r="RI35" s="101">
        <f t="shared" si="562"/>
        <v>0</v>
      </c>
      <c r="RJ35" s="101">
        <f t="shared" si="562"/>
        <v>0</v>
      </c>
      <c r="RK35" s="101">
        <f t="shared" si="562"/>
        <v>0</v>
      </c>
      <c r="RL35" s="101">
        <f t="shared" si="562"/>
        <v>0</v>
      </c>
      <c r="RM35" s="101">
        <f t="shared" si="562"/>
        <v>0</v>
      </c>
      <c r="RN35" s="101">
        <f t="shared" si="562"/>
        <v>0</v>
      </c>
      <c r="RO35" s="101">
        <f t="shared" si="562"/>
        <v>0</v>
      </c>
      <c r="RP35" s="101">
        <f t="shared" si="562"/>
        <v>0</v>
      </c>
      <c r="RQ35" s="101">
        <f t="shared" si="562"/>
        <v>0</v>
      </c>
      <c r="RR35" s="101">
        <f t="shared" si="562"/>
        <v>0</v>
      </c>
      <c r="RS35" s="101">
        <f t="shared" si="562"/>
        <v>0</v>
      </c>
      <c r="RT35" s="101">
        <f t="shared" si="562"/>
        <v>0</v>
      </c>
      <c r="RU35" s="101">
        <f t="shared" si="562"/>
        <v>0</v>
      </c>
      <c r="RV35" s="101">
        <f t="shared" si="562"/>
        <v>0</v>
      </c>
      <c r="RW35" s="101">
        <f t="shared" si="562"/>
        <v>0</v>
      </c>
      <c r="RX35" s="101">
        <f t="shared" si="562"/>
        <v>0</v>
      </c>
      <c r="RY35" s="101">
        <f t="shared" si="562"/>
        <v>0</v>
      </c>
      <c r="RZ35" s="101">
        <f t="shared" si="562"/>
        <v>0</v>
      </c>
      <c r="SA35" s="101">
        <f t="shared" si="562"/>
        <v>0</v>
      </c>
      <c r="SB35" s="101">
        <f t="shared" si="562"/>
        <v>0</v>
      </c>
      <c r="SC35" s="101">
        <f t="shared" si="562"/>
        <v>0</v>
      </c>
      <c r="SD35" s="101">
        <f t="shared" si="562"/>
        <v>0</v>
      </c>
      <c r="SE35" s="101">
        <f t="shared" si="562"/>
        <v>0</v>
      </c>
      <c r="SF35" s="101">
        <f t="shared" si="562"/>
        <v>0</v>
      </c>
      <c r="SG35" s="101">
        <f t="shared" si="562"/>
        <v>0</v>
      </c>
      <c r="SH35" s="101">
        <f t="shared" si="562"/>
        <v>0</v>
      </c>
      <c r="SI35" s="101">
        <f t="shared" si="562"/>
        <v>0</v>
      </c>
      <c r="SJ35" s="101">
        <f t="shared" si="562"/>
        <v>0</v>
      </c>
      <c r="SK35" s="101">
        <f t="shared" si="562"/>
        <v>0</v>
      </c>
      <c r="SL35" s="101">
        <f t="shared" si="562"/>
        <v>0</v>
      </c>
      <c r="SM35" s="101">
        <f t="shared" si="562"/>
        <v>0</v>
      </c>
      <c r="SN35" s="101">
        <f t="shared" si="562"/>
        <v>0</v>
      </c>
      <c r="SO35" s="101">
        <f t="shared" si="562"/>
        <v>0</v>
      </c>
      <c r="SP35" s="101">
        <f t="shared" si="562"/>
        <v>0</v>
      </c>
      <c r="SQ35" s="101">
        <f t="shared" si="562"/>
        <v>0</v>
      </c>
      <c r="SR35" s="101">
        <f t="shared" si="562"/>
        <v>0</v>
      </c>
      <c r="SS35" s="101">
        <f t="shared" si="562"/>
        <v>0</v>
      </c>
      <c r="ST35" s="101">
        <f t="shared" si="562"/>
        <v>0</v>
      </c>
      <c r="SU35" s="101">
        <f t="shared" si="562"/>
        <v>0</v>
      </c>
      <c r="SV35" s="101">
        <f t="shared" si="562"/>
        <v>0</v>
      </c>
      <c r="SW35" s="101">
        <f t="shared" si="562"/>
        <v>0</v>
      </c>
      <c r="SX35" s="101">
        <f t="shared" si="562"/>
        <v>0</v>
      </c>
      <c r="SY35" s="101">
        <f t="shared" si="562"/>
        <v>0</v>
      </c>
      <c r="SZ35" s="101">
        <f t="shared" si="562"/>
        <v>0</v>
      </c>
      <c r="TA35" s="101">
        <f t="shared" si="562"/>
        <v>0</v>
      </c>
      <c r="TB35" s="101">
        <f t="shared" si="562"/>
        <v>0</v>
      </c>
      <c r="TC35" s="101">
        <f t="shared" ref="TC35:VN35" si="563">ROUND(SUMPRODUCT($E$2:$E$26,TC$2:TC$26)*5%,0)</f>
        <v>0</v>
      </c>
      <c r="TD35" s="101">
        <f t="shared" si="563"/>
        <v>0</v>
      </c>
      <c r="TE35" s="101">
        <f t="shared" si="563"/>
        <v>0</v>
      </c>
      <c r="TF35" s="101">
        <f t="shared" si="563"/>
        <v>0</v>
      </c>
      <c r="TG35" s="101">
        <f t="shared" si="563"/>
        <v>0</v>
      </c>
      <c r="TH35" s="101">
        <f t="shared" si="563"/>
        <v>0</v>
      </c>
      <c r="TI35" s="101">
        <f t="shared" si="563"/>
        <v>0</v>
      </c>
      <c r="TJ35" s="101">
        <f t="shared" si="563"/>
        <v>0</v>
      </c>
      <c r="TK35" s="101">
        <f t="shared" si="563"/>
        <v>0</v>
      </c>
      <c r="TL35" s="101">
        <f t="shared" si="563"/>
        <v>0</v>
      </c>
      <c r="TM35" s="101">
        <f t="shared" si="563"/>
        <v>0</v>
      </c>
      <c r="TN35" s="101">
        <f t="shared" si="563"/>
        <v>0</v>
      </c>
      <c r="TO35" s="101">
        <f t="shared" si="563"/>
        <v>0</v>
      </c>
      <c r="TP35" s="101">
        <f t="shared" si="563"/>
        <v>0</v>
      </c>
      <c r="TQ35" s="101">
        <f t="shared" si="563"/>
        <v>0</v>
      </c>
      <c r="TR35" s="101">
        <f t="shared" si="563"/>
        <v>0</v>
      </c>
      <c r="TS35" s="101">
        <f t="shared" si="563"/>
        <v>0</v>
      </c>
      <c r="TT35" s="101">
        <f t="shared" si="563"/>
        <v>0</v>
      </c>
      <c r="TU35" s="101">
        <f t="shared" si="563"/>
        <v>0</v>
      </c>
      <c r="TV35" s="101">
        <f t="shared" si="563"/>
        <v>0</v>
      </c>
      <c r="TW35" s="101">
        <f t="shared" si="563"/>
        <v>0</v>
      </c>
      <c r="TX35" s="101">
        <f t="shared" si="563"/>
        <v>0</v>
      </c>
      <c r="TY35" s="101">
        <f t="shared" si="563"/>
        <v>0</v>
      </c>
      <c r="TZ35" s="101">
        <f t="shared" si="563"/>
        <v>0</v>
      </c>
      <c r="UA35" s="101">
        <f t="shared" si="563"/>
        <v>0</v>
      </c>
      <c r="UB35" s="101">
        <f t="shared" si="563"/>
        <v>0</v>
      </c>
      <c r="UC35" s="101">
        <f t="shared" si="563"/>
        <v>0</v>
      </c>
      <c r="UD35" s="101">
        <f t="shared" si="563"/>
        <v>0</v>
      </c>
      <c r="UE35" s="101">
        <f t="shared" si="563"/>
        <v>0</v>
      </c>
      <c r="UF35" s="101">
        <f t="shared" si="563"/>
        <v>0</v>
      </c>
      <c r="UG35" s="101">
        <f t="shared" si="563"/>
        <v>0</v>
      </c>
      <c r="UH35" s="101">
        <f t="shared" si="563"/>
        <v>0</v>
      </c>
      <c r="UI35" s="101">
        <f t="shared" si="563"/>
        <v>0</v>
      </c>
      <c r="UJ35" s="101">
        <f t="shared" si="563"/>
        <v>0</v>
      </c>
      <c r="UK35" s="101">
        <f t="shared" si="563"/>
        <v>0</v>
      </c>
      <c r="UL35" s="101">
        <f t="shared" si="563"/>
        <v>0</v>
      </c>
      <c r="UM35" s="101">
        <f t="shared" si="563"/>
        <v>0</v>
      </c>
      <c r="UN35" s="101">
        <f t="shared" si="563"/>
        <v>0</v>
      </c>
      <c r="UO35" s="101">
        <f t="shared" si="563"/>
        <v>0</v>
      </c>
      <c r="UP35" s="101">
        <f t="shared" si="563"/>
        <v>0</v>
      </c>
      <c r="UQ35" s="101">
        <f t="shared" si="563"/>
        <v>0</v>
      </c>
      <c r="UR35" s="101">
        <f t="shared" si="563"/>
        <v>0</v>
      </c>
      <c r="US35" s="101">
        <f t="shared" si="563"/>
        <v>0</v>
      </c>
      <c r="UT35" s="101">
        <f t="shared" si="563"/>
        <v>0</v>
      </c>
      <c r="UU35" s="101">
        <f t="shared" si="563"/>
        <v>0</v>
      </c>
      <c r="UV35" s="101">
        <f t="shared" si="563"/>
        <v>0</v>
      </c>
      <c r="UW35" s="101">
        <f t="shared" si="563"/>
        <v>0</v>
      </c>
      <c r="UX35" s="101">
        <f t="shared" si="563"/>
        <v>0</v>
      </c>
      <c r="UY35" s="101">
        <f t="shared" si="563"/>
        <v>0</v>
      </c>
      <c r="UZ35" s="101">
        <f t="shared" si="563"/>
        <v>0</v>
      </c>
      <c r="VA35" s="101">
        <f t="shared" si="563"/>
        <v>0</v>
      </c>
      <c r="VB35" s="101">
        <f t="shared" si="563"/>
        <v>0</v>
      </c>
      <c r="VC35" s="101">
        <f t="shared" si="563"/>
        <v>0</v>
      </c>
      <c r="VD35" s="101">
        <f t="shared" si="563"/>
        <v>0</v>
      </c>
      <c r="VE35" s="101">
        <f t="shared" si="563"/>
        <v>0</v>
      </c>
      <c r="VF35" s="101">
        <f t="shared" si="563"/>
        <v>0</v>
      </c>
      <c r="VG35" s="101">
        <f t="shared" si="563"/>
        <v>0</v>
      </c>
      <c r="VH35" s="101">
        <f t="shared" si="563"/>
        <v>0</v>
      </c>
      <c r="VI35" s="101">
        <f t="shared" si="563"/>
        <v>0</v>
      </c>
      <c r="VJ35" s="101">
        <f t="shared" si="563"/>
        <v>0</v>
      </c>
      <c r="VK35" s="101">
        <f t="shared" si="563"/>
        <v>0</v>
      </c>
      <c r="VL35" s="101">
        <f t="shared" si="563"/>
        <v>0</v>
      </c>
      <c r="VM35" s="101">
        <f t="shared" si="563"/>
        <v>0</v>
      </c>
      <c r="VN35" s="101">
        <f t="shared" si="563"/>
        <v>0</v>
      </c>
      <c r="VO35" s="101">
        <f t="shared" ref="VO35:WF35" si="564">ROUND(SUMPRODUCT($E$2:$E$26,VO$2:VO$26)*5%,0)</f>
        <v>0</v>
      </c>
      <c r="VP35" s="101">
        <f t="shared" si="564"/>
        <v>0</v>
      </c>
      <c r="VQ35" s="101">
        <f t="shared" si="564"/>
        <v>0</v>
      </c>
      <c r="VR35" s="101">
        <f t="shared" si="564"/>
        <v>0</v>
      </c>
      <c r="VS35" s="101">
        <f t="shared" si="564"/>
        <v>0</v>
      </c>
      <c r="VT35" s="101">
        <f t="shared" si="564"/>
        <v>0</v>
      </c>
      <c r="VU35" s="101">
        <f t="shared" si="564"/>
        <v>0</v>
      </c>
      <c r="VV35" s="101">
        <f t="shared" si="564"/>
        <v>0</v>
      </c>
      <c r="VW35" s="101">
        <f t="shared" si="564"/>
        <v>0</v>
      </c>
      <c r="VX35" s="101">
        <f t="shared" si="564"/>
        <v>0</v>
      </c>
      <c r="VY35" s="101">
        <f t="shared" si="564"/>
        <v>0</v>
      </c>
      <c r="VZ35" s="101">
        <f t="shared" si="564"/>
        <v>0</v>
      </c>
      <c r="WA35" s="101">
        <f t="shared" si="564"/>
        <v>0</v>
      </c>
      <c r="WB35" s="101">
        <f t="shared" si="564"/>
        <v>0</v>
      </c>
      <c r="WC35" s="101">
        <f t="shared" si="564"/>
        <v>0</v>
      </c>
      <c r="WD35" s="101">
        <f t="shared" si="564"/>
        <v>0</v>
      </c>
      <c r="WE35" s="101">
        <f t="shared" si="564"/>
        <v>0</v>
      </c>
      <c r="WF35" s="101">
        <f t="shared" si="564"/>
        <v>0</v>
      </c>
    </row>
    <row r="36" spans="1:604" s="44" customFormat="1" ht="17.25" customHeight="1" x14ac:dyDescent="0.3">
      <c r="A36" s="39" t="str">
        <f>IF(契約詳細價目表!A36="","",契約詳細價目表!A36)</f>
        <v/>
      </c>
      <c r="B36" s="40" t="str">
        <f>IF(契約詳細價目表!B36="","",契約詳細價目表!B36)</f>
        <v/>
      </c>
      <c r="C36" s="39" t="str">
        <f>IF(契約詳細價目表!C36="","",契約詳細價目表!C36)</f>
        <v/>
      </c>
      <c r="D36" s="41" t="str">
        <f>IF(契約詳細價目表!D36="","",契約詳細價目表!D36)</f>
        <v/>
      </c>
      <c r="E36" s="42">
        <f>IF(契約詳細價目表!E36="","",契約詳細價目表!E36)</f>
        <v>0</v>
      </c>
      <c r="F36" s="42">
        <f>IF(契約詳細價目表!F36="","",契約詳細價目表!F36)</f>
        <v>0</v>
      </c>
      <c r="G36" s="41">
        <f t="shared" si="537"/>
        <v>0</v>
      </c>
      <c r="H36" s="87">
        <f>IF($E36="","",G36*E36)</f>
        <v>0</v>
      </c>
      <c r="I36" s="43" t="str">
        <f t="shared" si="536"/>
        <v/>
      </c>
      <c r="J36" s="101"/>
      <c r="K36" s="101"/>
      <c r="L36" s="105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>
        <f t="shared" ref="CT36:EH36" si="565">ROUND(SUMPRODUCT($E$2:$E$26,CT$2:CT$26)*0.229375334505696%,0)</f>
        <v>0</v>
      </c>
      <c r="CU36" s="101"/>
      <c r="CV36" s="101"/>
      <c r="CW36" s="101">
        <f t="shared" si="565"/>
        <v>0</v>
      </c>
      <c r="CX36" s="101"/>
      <c r="CY36" s="101"/>
      <c r="CZ36" s="101"/>
      <c r="DA36" s="101">
        <f t="shared" si="565"/>
        <v>0</v>
      </c>
      <c r="DB36" s="101"/>
      <c r="DC36" s="101"/>
      <c r="DD36" s="101">
        <f t="shared" si="565"/>
        <v>0</v>
      </c>
      <c r="DE36" s="101"/>
      <c r="DF36" s="101"/>
      <c r="DG36" s="101"/>
      <c r="DH36" s="101">
        <f t="shared" si="565"/>
        <v>0</v>
      </c>
      <c r="DI36" s="101">
        <f t="shared" si="565"/>
        <v>0</v>
      </c>
      <c r="DJ36" s="101">
        <f t="shared" si="565"/>
        <v>0</v>
      </c>
      <c r="DK36" s="101">
        <f t="shared" si="565"/>
        <v>0</v>
      </c>
      <c r="DL36" s="101">
        <f t="shared" si="565"/>
        <v>0</v>
      </c>
      <c r="DM36" s="101">
        <f t="shared" si="565"/>
        <v>0</v>
      </c>
      <c r="DN36" s="101">
        <f t="shared" si="565"/>
        <v>0</v>
      </c>
      <c r="DO36" s="101">
        <f t="shared" si="565"/>
        <v>0</v>
      </c>
      <c r="DP36" s="101">
        <f t="shared" si="565"/>
        <v>0</v>
      </c>
      <c r="DQ36" s="101">
        <f t="shared" si="565"/>
        <v>0</v>
      </c>
      <c r="DR36" s="101">
        <f t="shared" si="565"/>
        <v>0</v>
      </c>
      <c r="DS36" s="101">
        <f t="shared" si="565"/>
        <v>0</v>
      </c>
      <c r="DT36" s="101">
        <f t="shared" si="565"/>
        <v>0</v>
      </c>
      <c r="DU36" s="101">
        <f t="shared" si="565"/>
        <v>0</v>
      </c>
      <c r="DV36" s="101">
        <f t="shared" si="565"/>
        <v>0</v>
      </c>
      <c r="DW36" s="101">
        <f t="shared" si="565"/>
        <v>0</v>
      </c>
      <c r="DX36" s="101">
        <f t="shared" si="565"/>
        <v>0</v>
      </c>
      <c r="DY36" s="101">
        <f t="shared" si="565"/>
        <v>0</v>
      </c>
      <c r="DZ36" s="101">
        <f t="shared" si="565"/>
        <v>0</v>
      </c>
      <c r="EA36" s="101">
        <f t="shared" si="565"/>
        <v>0</v>
      </c>
      <c r="EB36" s="101">
        <f t="shared" si="565"/>
        <v>0</v>
      </c>
      <c r="EC36" s="101">
        <f t="shared" si="565"/>
        <v>0</v>
      </c>
      <c r="ED36" s="101">
        <f t="shared" si="565"/>
        <v>0</v>
      </c>
      <c r="EE36" s="101">
        <f t="shared" si="565"/>
        <v>0</v>
      </c>
      <c r="EF36" s="101">
        <f t="shared" si="565"/>
        <v>0</v>
      </c>
      <c r="EG36" s="101">
        <f t="shared" si="565"/>
        <v>0</v>
      </c>
      <c r="EH36" s="101">
        <f t="shared" si="565"/>
        <v>0</v>
      </c>
      <c r="EI36" s="101">
        <f t="shared" ref="EI36:GT36" si="566">ROUND(SUMPRODUCT($E$2:$E$26,EI$2:EI$26)*0.229375334505696%,0)</f>
        <v>0</v>
      </c>
      <c r="EJ36" s="101">
        <f t="shared" si="566"/>
        <v>0</v>
      </c>
      <c r="EK36" s="101">
        <f t="shared" si="566"/>
        <v>0</v>
      </c>
      <c r="EL36" s="101">
        <f t="shared" si="566"/>
        <v>0</v>
      </c>
      <c r="EM36" s="101">
        <f t="shared" si="566"/>
        <v>0</v>
      </c>
      <c r="EN36" s="101">
        <f t="shared" si="566"/>
        <v>0</v>
      </c>
      <c r="EO36" s="101">
        <f t="shared" si="566"/>
        <v>0</v>
      </c>
      <c r="EP36" s="101">
        <f t="shared" si="566"/>
        <v>0</v>
      </c>
      <c r="EQ36" s="101">
        <f t="shared" si="566"/>
        <v>0</v>
      </c>
      <c r="ER36" s="101">
        <f t="shared" si="566"/>
        <v>0</v>
      </c>
      <c r="ES36" s="101">
        <f t="shared" si="566"/>
        <v>0</v>
      </c>
      <c r="ET36" s="101">
        <f t="shared" si="566"/>
        <v>0</v>
      </c>
      <c r="EU36" s="101">
        <f t="shared" si="566"/>
        <v>0</v>
      </c>
      <c r="EV36" s="101">
        <f t="shared" si="566"/>
        <v>0</v>
      </c>
      <c r="EW36" s="101">
        <f t="shared" si="566"/>
        <v>0</v>
      </c>
      <c r="EX36" s="101">
        <f t="shared" si="566"/>
        <v>0</v>
      </c>
      <c r="EY36" s="101">
        <f t="shared" si="566"/>
        <v>0</v>
      </c>
      <c r="EZ36" s="101">
        <f t="shared" si="566"/>
        <v>0</v>
      </c>
      <c r="FA36" s="101">
        <f t="shared" si="566"/>
        <v>0</v>
      </c>
      <c r="FB36" s="101">
        <f t="shared" si="566"/>
        <v>0</v>
      </c>
      <c r="FC36" s="101">
        <f t="shared" si="566"/>
        <v>0</v>
      </c>
      <c r="FD36" s="101">
        <f t="shared" si="566"/>
        <v>0</v>
      </c>
      <c r="FE36" s="101">
        <f t="shared" si="566"/>
        <v>0</v>
      </c>
      <c r="FF36" s="101">
        <f t="shared" si="566"/>
        <v>0</v>
      </c>
      <c r="FG36" s="101">
        <f t="shared" si="566"/>
        <v>0</v>
      </c>
      <c r="FH36" s="101">
        <f t="shared" si="566"/>
        <v>0</v>
      </c>
      <c r="FI36" s="101">
        <f t="shared" si="566"/>
        <v>0</v>
      </c>
      <c r="FJ36" s="101">
        <f t="shared" si="566"/>
        <v>0</v>
      </c>
      <c r="FK36" s="101">
        <f t="shared" si="566"/>
        <v>0</v>
      </c>
      <c r="FL36" s="101">
        <f t="shared" si="566"/>
        <v>0</v>
      </c>
      <c r="FM36" s="101">
        <f t="shared" si="566"/>
        <v>0</v>
      </c>
      <c r="FN36" s="101">
        <f t="shared" si="566"/>
        <v>0</v>
      </c>
      <c r="FO36" s="101">
        <f t="shared" si="566"/>
        <v>0</v>
      </c>
      <c r="FP36" s="101">
        <f t="shared" si="566"/>
        <v>0</v>
      </c>
      <c r="FQ36" s="101">
        <f t="shared" si="566"/>
        <v>0</v>
      </c>
      <c r="FR36" s="101">
        <f t="shared" si="566"/>
        <v>0</v>
      </c>
      <c r="FS36" s="101">
        <f t="shared" si="566"/>
        <v>0</v>
      </c>
      <c r="FT36" s="101">
        <f t="shared" si="566"/>
        <v>0</v>
      </c>
      <c r="FU36" s="101">
        <f t="shared" si="566"/>
        <v>0</v>
      </c>
      <c r="FV36" s="101">
        <f t="shared" si="566"/>
        <v>0</v>
      </c>
      <c r="FW36" s="101">
        <f t="shared" si="566"/>
        <v>0</v>
      </c>
      <c r="FX36" s="101">
        <f t="shared" si="566"/>
        <v>0</v>
      </c>
      <c r="FY36" s="101">
        <f t="shared" si="566"/>
        <v>0</v>
      </c>
      <c r="FZ36" s="101">
        <f t="shared" si="566"/>
        <v>0</v>
      </c>
      <c r="GA36" s="101">
        <f t="shared" si="566"/>
        <v>0</v>
      </c>
      <c r="GB36" s="101">
        <f t="shared" si="566"/>
        <v>0</v>
      </c>
      <c r="GC36" s="101">
        <f t="shared" si="566"/>
        <v>0</v>
      </c>
      <c r="GD36" s="101">
        <f t="shared" si="566"/>
        <v>0</v>
      </c>
      <c r="GE36" s="101">
        <f t="shared" si="566"/>
        <v>0</v>
      </c>
      <c r="GF36" s="101">
        <f t="shared" si="566"/>
        <v>0</v>
      </c>
      <c r="GG36" s="101">
        <f t="shared" si="566"/>
        <v>0</v>
      </c>
      <c r="GH36" s="101">
        <f t="shared" si="566"/>
        <v>0</v>
      </c>
      <c r="GI36" s="101">
        <f t="shared" si="566"/>
        <v>0</v>
      </c>
      <c r="GJ36" s="101">
        <f t="shared" si="566"/>
        <v>0</v>
      </c>
      <c r="GK36" s="101">
        <f t="shared" si="566"/>
        <v>0</v>
      </c>
      <c r="GL36" s="101">
        <f t="shared" si="566"/>
        <v>0</v>
      </c>
      <c r="GM36" s="101">
        <f t="shared" si="566"/>
        <v>0</v>
      </c>
      <c r="GN36" s="101">
        <f t="shared" si="566"/>
        <v>0</v>
      </c>
      <c r="GO36" s="101">
        <f t="shared" si="566"/>
        <v>0</v>
      </c>
      <c r="GP36" s="101">
        <f t="shared" si="566"/>
        <v>0</v>
      </c>
      <c r="GQ36" s="101">
        <f t="shared" si="566"/>
        <v>0</v>
      </c>
      <c r="GR36" s="101">
        <f t="shared" si="566"/>
        <v>0</v>
      </c>
      <c r="GS36" s="101">
        <f t="shared" si="566"/>
        <v>0</v>
      </c>
      <c r="GT36" s="101">
        <f t="shared" si="566"/>
        <v>0</v>
      </c>
      <c r="GU36" s="101">
        <f t="shared" ref="GU36:JF36" si="567">ROUND(SUMPRODUCT($E$2:$E$26,GU$2:GU$26)*0.229375334505696%,0)</f>
        <v>0</v>
      </c>
      <c r="GV36" s="101">
        <f t="shared" si="567"/>
        <v>0</v>
      </c>
      <c r="GW36" s="101">
        <f t="shared" si="567"/>
        <v>0</v>
      </c>
      <c r="GX36" s="101">
        <f t="shared" si="567"/>
        <v>0</v>
      </c>
      <c r="GY36" s="101">
        <f t="shared" si="567"/>
        <v>0</v>
      </c>
      <c r="GZ36" s="101">
        <f t="shared" si="567"/>
        <v>0</v>
      </c>
      <c r="HA36" s="101">
        <f t="shared" si="567"/>
        <v>0</v>
      </c>
      <c r="HB36" s="101">
        <f t="shared" si="567"/>
        <v>0</v>
      </c>
      <c r="HC36" s="101">
        <f t="shared" si="567"/>
        <v>0</v>
      </c>
      <c r="HD36" s="101">
        <f t="shared" si="567"/>
        <v>0</v>
      </c>
      <c r="HE36" s="101">
        <f t="shared" si="567"/>
        <v>0</v>
      </c>
      <c r="HF36" s="101">
        <f t="shared" si="567"/>
        <v>0</v>
      </c>
      <c r="HG36" s="101">
        <f t="shared" si="567"/>
        <v>0</v>
      </c>
      <c r="HH36" s="101">
        <f t="shared" si="567"/>
        <v>0</v>
      </c>
      <c r="HI36" s="101">
        <f t="shared" si="567"/>
        <v>0</v>
      </c>
      <c r="HJ36" s="101">
        <f t="shared" si="567"/>
        <v>0</v>
      </c>
      <c r="HK36" s="101">
        <f t="shared" si="567"/>
        <v>0</v>
      </c>
      <c r="HL36" s="101">
        <f t="shared" si="567"/>
        <v>0</v>
      </c>
      <c r="HM36" s="101">
        <f t="shared" si="567"/>
        <v>0</v>
      </c>
      <c r="HN36" s="101">
        <f t="shared" si="567"/>
        <v>0</v>
      </c>
      <c r="HO36" s="101">
        <f t="shared" si="567"/>
        <v>0</v>
      </c>
      <c r="HP36" s="101">
        <f t="shared" si="567"/>
        <v>0</v>
      </c>
      <c r="HQ36" s="101">
        <f t="shared" si="567"/>
        <v>0</v>
      </c>
      <c r="HR36" s="101">
        <f t="shared" si="567"/>
        <v>0</v>
      </c>
      <c r="HS36" s="101">
        <f t="shared" si="567"/>
        <v>0</v>
      </c>
      <c r="HT36" s="101">
        <f t="shared" si="567"/>
        <v>0</v>
      </c>
      <c r="HU36" s="101">
        <f t="shared" si="567"/>
        <v>0</v>
      </c>
      <c r="HV36" s="101">
        <f t="shared" si="567"/>
        <v>0</v>
      </c>
      <c r="HW36" s="101">
        <f t="shared" si="567"/>
        <v>0</v>
      </c>
      <c r="HX36" s="101">
        <f t="shared" si="567"/>
        <v>0</v>
      </c>
      <c r="HY36" s="101">
        <f t="shared" si="567"/>
        <v>0</v>
      </c>
      <c r="HZ36" s="101">
        <f t="shared" si="567"/>
        <v>0</v>
      </c>
      <c r="IA36" s="101">
        <f t="shared" si="567"/>
        <v>0</v>
      </c>
      <c r="IB36" s="101">
        <f t="shared" si="567"/>
        <v>0</v>
      </c>
      <c r="IC36" s="101">
        <f t="shared" si="567"/>
        <v>0</v>
      </c>
      <c r="ID36" s="101">
        <f t="shared" si="567"/>
        <v>0</v>
      </c>
      <c r="IE36" s="101">
        <f t="shared" si="567"/>
        <v>0</v>
      </c>
      <c r="IF36" s="101">
        <f t="shared" si="567"/>
        <v>0</v>
      </c>
      <c r="IG36" s="101">
        <f t="shared" si="567"/>
        <v>0</v>
      </c>
      <c r="IH36" s="101">
        <f t="shared" si="567"/>
        <v>0</v>
      </c>
      <c r="II36" s="101">
        <f t="shared" si="567"/>
        <v>0</v>
      </c>
      <c r="IJ36" s="101">
        <f t="shared" si="567"/>
        <v>0</v>
      </c>
      <c r="IK36" s="101">
        <f t="shared" si="567"/>
        <v>0</v>
      </c>
      <c r="IL36" s="101">
        <f t="shared" si="567"/>
        <v>0</v>
      </c>
      <c r="IM36" s="101">
        <f t="shared" si="567"/>
        <v>0</v>
      </c>
      <c r="IN36" s="101">
        <f t="shared" si="567"/>
        <v>0</v>
      </c>
      <c r="IO36" s="101">
        <f t="shared" si="567"/>
        <v>0</v>
      </c>
      <c r="IP36" s="101">
        <f t="shared" si="567"/>
        <v>0</v>
      </c>
      <c r="IQ36" s="101">
        <f t="shared" si="567"/>
        <v>0</v>
      </c>
      <c r="IR36" s="101">
        <f t="shared" si="567"/>
        <v>0</v>
      </c>
      <c r="IS36" s="101">
        <f t="shared" si="567"/>
        <v>0</v>
      </c>
      <c r="IT36" s="101">
        <f t="shared" si="567"/>
        <v>0</v>
      </c>
      <c r="IU36" s="101">
        <f t="shared" si="567"/>
        <v>0</v>
      </c>
      <c r="IV36" s="101">
        <f t="shared" si="567"/>
        <v>0</v>
      </c>
      <c r="IW36" s="101">
        <f t="shared" si="567"/>
        <v>0</v>
      </c>
      <c r="IX36" s="101">
        <f t="shared" si="567"/>
        <v>0</v>
      </c>
      <c r="IY36" s="101">
        <f t="shared" si="567"/>
        <v>0</v>
      </c>
      <c r="IZ36" s="101">
        <f t="shared" si="567"/>
        <v>0</v>
      </c>
      <c r="JA36" s="101">
        <f t="shared" si="567"/>
        <v>0</v>
      </c>
      <c r="JB36" s="101">
        <f t="shared" si="567"/>
        <v>0</v>
      </c>
      <c r="JC36" s="101">
        <f t="shared" si="567"/>
        <v>0</v>
      </c>
      <c r="JD36" s="101">
        <f t="shared" si="567"/>
        <v>0</v>
      </c>
      <c r="JE36" s="101">
        <f t="shared" si="567"/>
        <v>0</v>
      </c>
      <c r="JF36" s="101">
        <f t="shared" si="567"/>
        <v>0</v>
      </c>
      <c r="JG36" s="101">
        <f t="shared" ref="JG36:LR36" si="568">ROUND(SUMPRODUCT($E$2:$E$26,JG$2:JG$26)*0.229375334505696%,0)</f>
        <v>0</v>
      </c>
      <c r="JH36" s="101">
        <f t="shared" si="568"/>
        <v>0</v>
      </c>
      <c r="JI36" s="101">
        <f t="shared" si="568"/>
        <v>0</v>
      </c>
      <c r="JJ36" s="101">
        <f t="shared" si="568"/>
        <v>0</v>
      </c>
      <c r="JK36" s="101">
        <f t="shared" si="568"/>
        <v>0</v>
      </c>
      <c r="JL36" s="101">
        <f t="shared" si="568"/>
        <v>0</v>
      </c>
      <c r="JM36" s="101">
        <f t="shared" si="568"/>
        <v>0</v>
      </c>
      <c r="JN36" s="101">
        <f t="shared" si="568"/>
        <v>0</v>
      </c>
      <c r="JO36" s="101">
        <f t="shared" si="568"/>
        <v>0</v>
      </c>
      <c r="JP36" s="101">
        <f t="shared" si="568"/>
        <v>0</v>
      </c>
      <c r="JQ36" s="101">
        <f t="shared" si="568"/>
        <v>0</v>
      </c>
      <c r="JR36" s="101">
        <f t="shared" si="568"/>
        <v>0</v>
      </c>
      <c r="JS36" s="101">
        <f t="shared" si="568"/>
        <v>0</v>
      </c>
      <c r="JT36" s="101">
        <f t="shared" si="568"/>
        <v>0</v>
      </c>
      <c r="JU36" s="101">
        <f t="shared" si="568"/>
        <v>0</v>
      </c>
      <c r="JV36" s="101">
        <f t="shared" si="568"/>
        <v>0</v>
      </c>
      <c r="JW36" s="101">
        <f t="shared" si="568"/>
        <v>0</v>
      </c>
      <c r="JX36" s="101">
        <f t="shared" si="568"/>
        <v>0</v>
      </c>
      <c r="JY36" s="101">
        <f t="shared" si="568"/>
        <v>0</v>
      </c>
      <c r="JZ36" s="101">
        <f t="shared" si="568"/>
        <v>0</v>
      </c>
      <c r="KA36" s="101">
        <f t="shared" si="568"/>
        <v>0</v>
      </c>
      <c r="KB36" s="101">
        <f t="shared" si="568"/>
        <v>0</v>
      </c>
      <c r="KC36" s="101">
        <f t="shared" si="568"/>
        <v>0</v>
      </c>
      <c r="KD36" s="101">
        <f t="shared" si="568"/>
        <v>0</v>
      </c>
      <c r="KE36" s="101">
        <f t="shared" si="568"/>
        <v>0</v>
      </c>
      <c r="KF36" s="101">
        <f t="shared" si="568"/>
        <v>0</v>
      </c>
      <c r="KG36" s="101">
        <f t="shared" si="568"/>
        <v>0</v>
      </c>
      <c r="KH36" s="101">
        <f t="shared" si="568"/>
        <v>0</v>
      </c>
      <c r="KI36" s="101">
        <f t="shared" si="568"/>
        <v>0</v>
      </c>
      <c r="KJ36" s="101">
        <f t="shared" si="568"/>
        <v>0</v>
      </c>
      <c r="KK36" s="101">
        <f t="shared" si="568"/>
        <v>0</v>
      </c>
      <c r="KL36" s="101">
        <f t="shared" si="568"/>
        <v>0</v>
      </c>
      <c r="KM36" s="101">
        <f t="shared" si="568"/>
        <v>0</v>
      </c>
      <c r="KN36" s="101">
        <f t="shared" si="568"/>
        <v>0</v>
      </c>
      <c r="KO36" s="101">
        <f t="shared" si="568"/>
        <v>0</v>
      </c>
      <c r="KP36" s="101">
        <f t="shared" si="568"/>
        <v>0</v>
      </c>
      <c r="KQ36" s="101">
        <f t="shared" si="568"/>
        <v>0</v>
      </c>
      <c r="KR36" s="101">
        <f t="shared" si="568"/>
        <v>0</v>
      </c>
      <c r="KS36" s="101">
        <f t="shared" si="568"/>
        <v>0</v>
      </c>
      <c r="KT36" s="101">
        <f t="shared" si="568"/>
        <v>0</v>
      </c>
      <c r="KU36" s="101">
        <f t="shared" si="568"/>
        <v>0</v>
      </c>
      <c r="KV36" s="101">
        <f t="shared" si="568"/>
        <v>0</v>
      </c>
      <c r="KW36" s="101">
        <f t="shared" si="568"/>
        <v>0</v>
      </c>
      <c r="KX36" s="101">
        <f t="shared" si="568"/>
        <v>0</v>
      </c>
      <c r="KY36" s="101">
        <f t="shared" si="568"/>
        <v>0</v>
      </c>
      <c r="KZ36" s="101">
        <f t="shared" si="568"/>
        <v>0</v>
      </c>
      <c r="LA36" s="101">
        <f t="shared" si="568"/>
        <v>0</v>
      </c>
      <c r="LB36" s="101">
        <f t="shared" si="568"/>
        <v>0</v>
      </c>
      <c r="LC36" s="101">
        <f t="shared" si="568"/>
        <v>0</v>
      </c>
      <c r="LD36" s="101">
        <f t="shared" si="568"/>
        <v>0</v>
      </c>
      <c r="LE36" s="101">
        <f t="shared" si="568"/>
        <v>0</v>
      </c>
      <c r="LF36" s="101">
        <f t="shared" si="568"/>
        <v>0</v>
      </c>
      <c r="LG36" s="101">
        <f t="shared" si="568"/>
        <v>0</v>
      </c>
      <c r="LH36" s="101">
        <f t="shared" si="568"/>
        <v>0</v>
      </c>
      <c r="LI36" s="101">
        <f t="shared" si="568"/>
        <v>0</v>
      </c>
      <c r="LJ36" s="101">
        <f t="shared" si="568"/>
        <v>0</v>
      </c>
      <c r="LK36" s="101">
        <f t="shared" si="568"/>
        <v>0</v>
      </c>
      <c r="LL36" s="101">
        <f t="shared" si="568"/>
        <v>0</v>
      </c>
      <c r="LM36" s="101">
        <f t="shared" si="568"/>
        <v>0</v>
      </c>
      <c r="LN36" s="101">
        <f t="shared" si="568"/>
        <v>0</v>
      </c>
      <c r="LO36" s="101">
        <f t="shared" si="568"/>
        <v>0</v>
      </c>
      <c r="LP36" s="101">
        <f t="shared" si="568"/>
        <v>0</v>
      </c>
      <c r="LQ36" s="101">
        <f t="shared" si="568"/>
        <v>0</v>
      </c>
      <c r="LR36" s="101">
        <f t="shared" si="568"/>
        <v>0</v>
      </c>
      <c r="LS36" s="101">
        <f t="shared" ref="LS36:OD36" si="569">ROUND(SUMPRODUCT($E$2:$E$26,LS$2:LS$26)*0.229375334505696%,0)</f>
        <v>0</v>
      </c>
      <c r="LT36" s="101">
        <f t="shared" si="569"/>
        <v>0</v>
      </c>
      <c r="LU36" s="101">
        <f t="shared" si="569"/>
        <v>0</v>
      </c>
      <c r="LV36" s="101">
        <f t="shared" si="569"/>
        <v>0</v>
      </c>
      <c r="LW36" s="101">
        <f t="shared" si="569"/>
        <v>0</v>
      </c>
      <c r="LX36" s="101">
        <f t="shared" si="569"/>
        <v>0</v>
      </c>
      <c r="LY36" s="101">
        <f t="shared" si="569"/>
        <v>0</v>
      </c>
      <c r="LZ36" s="101">
        <f t="shared" si="569"/>
        <v>0</v>
      </c>
      <c r="MA36" s="101">
        <f t="shared" si="569"/>
        <v>0</v>
      </c>
      <c r="MB36" s="101">
        <f t="shared" si="569"/>
        <v>0</v>
      </c>
      <c r="MC36" s="101">
        <f t="shared" si="569"/>
        <v>0</v>
      </c>
      <c r="MD36" s="101">
        <f t="shared" si="569"/>
        <v>0</v>
      </c>
      <c r="ME36" s="101">
        <f t="shared" si="569"/>
        <v>0</v>
      </c>
      <c r="MF36" s="101">
        <f t="shared" si="569"/>
        <v>0</v>
      </c>
      <c r="MG36" s="101">
        <f t="shared" si="569"/>
        <v>0</v>
      </c>
      <c r="MH36" s="101">
        <f t="shared" si="569"/>
        <v>0</v>
      </c>
      <c r="MI36" s="101">
        <f t="shared" si="569"/>
        <v>0</v>
      </c>
      <c r="MJ36" s="101">
        <f t="shared" si="569"/>
        <v>0</v>
      </c>
      <c r="MK36" s="101">
        <f t="shared" si="569"/>
        <v>0</v>
      </c>
      <c r="ML36" s="101">
        <f t="shared" si="569"/>
        <v>0</v>
      </c>
      <c r="MM36" s="101">
        <f t="shared" si="569"/>
        <v>0</v>
      </c>
      <c r="MN36" s="101">
        <f t="shared" si="569"/>
        <v>0</v>
      </c>
      <c r="MO36" s="101">
        <f t="shared" si="569"/>
        <v>0</v>
      </c>
      <c r="MP36" s="101">
        <f t="shared" si="569"/>
        <v>0</v>
      </c>
      <c r="MQ36" s="101">
        <f t="shared" si="569"/>
        <v>0</v>
      </c>
      <c r="MR36" s="101">
        <f t="shared" si="569"/>
        <v>0</v>
      </c>
      <c r="MS36" s="101">
        <f t="shared" si="569"/>
        <v>0</v>
      </c>
      <c r="MT36" s="101">
        <f t="shared" si="569"/>
        <v>0</v>
      </c>
      <c r="MU36" s="101">
        <f t="shared" si="569"/>
        <v>0</v>
      </c>
      <c r="MV36" s="101">
        <f t="shared" si="569"/>
        <v>0</v>
      </c>
      <c r="MW36" s="101">
        <f t="shared" si="569"/>
        <v>0</v>
      </c>
      <c r="MX36" s="101">
        <f t="shared" si="569"/>
        <v>0</v>
      </c>
      <c r="MY36" s="101">
        <f t="shared" si="569"/>
        <v>0</v>
      </c>
      <c r="MZ36" s="101">
        <f t="shared" si="569"/>
        <v>0</v>
      </c>
      <c r="NA36" s="101">
        <f t="shared" si="569"/>
        <v>0</v>
      </c>
      <c r="NB36" s="101">
        <f t="shared" si="569"/>
        <v>0</v>
      </c>
      <c r="NC36" s="101">
        <f t="shared" si="569"/>
        <v>0</v>
      </c>
      <c r="ND36" s="101">
        <f t="shared" si="569"/>
        <v>0</v>
      </c>
      <c r="NE36" s="101">
        <f t="shared" si="569"/>
        <v>0</v>
      </c>
      <c r="NF36" s="101">
        <f t="shared" si="569"/>
        <v>0</v>
      </c>
      <c r="NG36" s="101">
        <f t="shared" si="569"/>
        <v>0</v>
      </c>
      <c r="NH36" s="101">
        <f t="shared" si="569"/>
        <v>0</v>
      </c>
      <c r="NI36" s="101">
        <f t="shared" si="569"/>
        <v>0</v>
      </c>
      <c r="NJ36" s="101">
        <f t="shared" si="569"/>
        <v>0</v>
      </c>
      <c r="NK36" s="101">
        <f t="shared" si="569"/>
        <v>0</v>
      </c>
      <c r="NL36" s="101">
        <f t="shared" si="569"/>
        <v>0</v>
      </c>
      <c r="NM36" s="101">
        <f t="shared" si="569"/>
        <v>0</v>
      </c>
      <c r="NN36" s="101">
        <f t="shared" si="569"/>
        <v>0</v>
      </c>
      <c r="NO36" s="101">
        <f t="shared" si="569"/>
        <v>0</v>
      </c>
      <c r="NP36" s="101">
        <f t="shared" si="569"/>
        <v>0</v>
      </c>
      <c r="NQ36" s="101">
        <f t="shared" si="569"/>
        <v>0</v>
      </c>
      <c r="NR36" s="101">
        <f t="shared" si="569"/>
        <v>0</v>
      </c>
      <c r="NS36" s="101">
        <f t="shared" si="569"/>
        <v>0</v>
      </c>
      <c r="NT36" s="101">
        <f t="shared" si="569"/>
        <v>0</v>
      </c>
      <c r="NU36" s="101">
        <f t="shared" si="569"/>
        <v>0</v>
      </c>
      <c r="NV36" s="101">
        <f t="shared" si="569"/>
        <v>0</v>
      </c>
      <c r="NW36" s="101">
        <f t="shared" si="569"/>
        <v>0</v>
      </c>
      <c r="NX36" s="101">
        <f t="shared" si="569"/>
        <v>0</v>
      </c>
      <c r="NY36" s="101">
        <f t="shared" si="569"/>
        <v>0</v>
      </c>
      <c r="NZ36" s="101">
        <f t="shared" si="569"/>
        <v>0</v>
      </c>
      <c r="OA36" s="101">
        <f t="shared" si="569"/>
        <v>0</v>
      </c>
      <c r="OB36" s="101">
        <f t="shared" si="569"/>
        <v>0</v>
      </c>
      <c r="OC36" s="101">
        <f t="shared" si="569"/>
        <v>0</v>
      </c>
      <c r="OD36" s="101">
        <f t="shared" si="569"/>
        <v>0</v>
      </c>
      <c r="OE36" s="101">
        <f t="shared" ref="OE36:QP36" si="570">ROUND(SUMPRODUCT($E$2:$E$26,OE$2:OE$26)*0.229375334505696%,0)</f>
        <v>0</v>
      </c>
      <c r="OF36" s="101">
        <f t="shared" si="570"/>
        <v>0</v>
      </c>
      <c r="OG36" s="101">
        <f t="shared" si="570"/>
        <v>0</v>
      </c>
      <c r="OH36" s="101">
        <f t="shared" si="570"/>
        <v>0</v>
      </c>
      <c r="OI36" s="101">
        <f t="shared" si="570"/>
        <v>0</v>
      </c>
      <c r="OJ36" s="101">
        <f t="shared" si="570"/>
        <v>0</v>
      </c>
      <c r="OK36" s="101">
        <f t="shared" si="570"/>
        <v>0</v>
      </c>
      <c r="OL36" s="101">
        <f t="shared" si="570"/>
        <v>0</v>
      </c>
      <c r="OM36" s="101">
        <f t="shared" si="570"/>
        <v>0</v>
      </c>
      <c r="ON36" s="101">
        <f t="shared" si="570"/>
        <v>0</v>
      </c>
      <c r="OO36" s="101">
        <f t="shared" si="570"/>
        <v>0</v>
      </c>
      <c r="OP36" s="101">
        <f t="shared" si="570"/>
        <v>0</v>
      </c>
      <c r="OQ36" s="101">
        <f t="shared" si="570"/>
        <v>0</v>
      </c>
      <c r="OR36" s="101">
        <f t="shared" si="570"/>
        <v>0</v>
      </c>
      <c r="OS36" s="101">
        <f t="shared" si="570"/>
        <v>0</v>
      </c>
      <c r="OT36" s="101">
        <f t="shared" si="570"/>
        <v>0</v>
      </c>
      <c r="OU36" s="101">
        <f t="shared" si="570"/>
        <v>0</v>
      </c>
      <c r="OV36" s="101">
        <f t="shared" si="570"/>
        <v>0</v>
      </c>
      <c r="OW36" s="101">
        <f t="shared" si="570"/>
        <v>0</v>
      </c>
      <c r="OX36" s="101">
        <f t="shared" si="570"/>
        <v>0</v>
      </c>
      <c r="OY36" s="101">
        <f t="shared" si="570"/>
        <v>0</v>
      </c>
      <c r="OZ36" s="101">
        <f t="shared" si="570"/>
        <v>0</v>
      </c>
      <c r="PA36" s="101">
        <f t="shared" si="570"/>
        <v>0</v>
      </c>
      <c r="PB36" s="101">
        <f t="shared" si="570"/>
        <v>0</v>
      </c>
      <c r="PC36" s="101">
        <f t="shared" si="570"/>
        <v>0</v>
      </c>
      <c r="PD36" s="101">
        <f t="shared" si="570"/>
        <v>0</v>
      </c>
      <c r="PE36" s="101">
        <f t="shared" si="570"/>
        <v>0</v>
      </c>
      <c r="PF36" s="101">
        <f t="shared" si="570"/>
        <v>0</v>
      </c>
      <c r="PG36" s="101">
        <f t="shared" si="570"/>
        <v>0</v>
      </c>
      <c r="PH36" s="101">
        <f t="shared" si="570"/>
        <v>0</v>
      </c>
      <c r="PI36" s="101">
        <f t="shared" si="570"/>
        <v>0</v>
      </c>
      <c r="PJ36" s="101">
        <f t="shared" si="570"/>
        <v>0</v>
      </c>
      <c r="PK36" s="101">
        <f t="shared" si="570"/>
        <v>0</v>
      </c>
      <c r="PL36" s="101">
        <f t="shared" si="570"/>
        <v>0</v>
      </c>
      <c r="PM36" s="101">
        <f t="shared" si="570"/>
        <v>0</v>
      </c>
      <c r="PN36" s="101">
        <f t="shared" si="570"/>
        <v>0</v>
      </c>
      <c r="PO36" s="101">
        <f t="shared" si="570"/>
        <v>0</v>
      </c>
      <c r="PP36" s="101">
        <f t="shared" si="570"/>
        <v>0</v>
      </c>
      <c r="PQ36" s="101">
        <f t="shared" si="570"/>
        <v>0</v>
      </c>
      <c r="PR36" s="101">
        <f t="shared" si="570"/>
        <v>0</v>
      </c>
      <c r="PS36" s="101">
        <f t="shared" si="570"/>
        <v>0</v>
      </c>
      <c r="PT36" s="101">
        <f t="shared" si="570"/>
        <v>0</v>
      </c>
      <c r="PU36" s="101">
        <f t="shared" si="570"/>
        <v>0</v>
      </c>
      <c r="PV36" s="101">
        <f t="shared" si="570"/>
        <v>0</v>
      </c>
      <c r="PW36" s="101">
        <f t="shared" si="570"/>
        <v>0</v>
      </c>
      <c r="PX36" s="101">
        <f t="shared" si="570"/>
        <v>0</v>
      </c>
      <c r="PY36" s="101">
        <f t="shared" si="570"/>
        <v>0</v>
      </c>
      <c r="PZ36" s="101">
        <f t="shared" si="570"/>
        <v>0</v>
      </c>
      <c r="QA36" s="101">
        <f t="shared" si="570"/>
        <v>0</v>
      </c>
      <c r="QB36" s="101">
        <f t="shared" si="570"/>
        <v>0</v>
      </c>
      <c r="QC36" s="101">
        <f t="shared" si="570"/>
        <v>0</v>
      </c>
      <c r="QD36" s="101">
        <f t="shared" si="570"/>
        <v>0</v>
      </c>
      <c r="QE36" s="101">
        <f t="shared" si="570"/>
        <v>0</v>
      </c>
      <c r="QF36" s="101">
        <f t="shared" si="570"/>
        <v>0</v>
      </c>
      <c r="QG36" s="101">
        <f t="shared" si="570"/>
        <v>0</v>
      </c>
      <c r="QH36" s="101">
        <f t="shared" si="570"/>
        <v>0</v>
      </c>
      <c r="QI36" s="101">
        <f t="shared" si="570"/>
        <v>0</v>
      </c>
      <c r="QJ36" s="101">
        <f t="shared" si="570"/>
        <v>0</v>
      </c>
      <c r="QK36" s="101">
        <f t="shared" si="570"/>
        <v>0</v>
      </c>
      <c r="QL36" s="101">
        <f t="shared" si="570"/>
        <v>0</v>
      </c>
      <c r="QM36" s="101">
        <f t="shared" si="570"/>
        <v>0</v>
      </c>
      <c r="QN36" s="101">
        <f t="shared" si="570"/>
        <v>0</v>
      </c>
      <c r="QO36" s="101">
        <f t="shared" si="570"/>
        <v>0</v>
      </c>
      <c r="QP36" s="101">
        <f t="shared" si="570"/>
        <v>0</v>
      </c>
      <c r="QQ36" s="101">
        <f t="shared" ref="QQ36:TB36" si="571">ROUND(SUMPRODUCT($E$2:$E$26,QQ$2:QQ$26)*0.229375334505696%,0)</f>
        <v>0</v>
      </c>
      <c r="QR36" s="101">
        <f t="shared" si="571"/>
        <v>0</v>
      </c>
      <c r="QS36" s="101">
        <f t="shared" si="571"/>
        <v>0</v>
      </c>
      <c r="QT36" s="101">
        <f t="shared" si="571"/>
        <v>0</v>
      </c>
      <c r="QU36" s="101">
        <f t="shared" si="571"/>
        <v>0</v>
      </c>
      <c r="QV36" s="101">
        <f t="shared" si="571"/>
        <v>0</v>
      </c>
      <c r="QW36" s="101">
        <f t="shared" si="571"/>
        <v>0</v>
      </c>
      <c r="QX36" s="101">
        <f t="shared" si="571"/>
        <v>0</v>
      </c>
      <c r="QY36" s="101">
        <f t="shared" si="571"/>
        <v>0</v>
      </c>
      <c r="QZ36" s="101">
        <f t="shared" si="571"/>
        <v>0</v>
      </c>
      <c r="RA36" s="101">
        <f t="shared" si="571"/>
        <v>0</v>
      </c>
      <c r="RB36" s="101">
        <f t="shared" si="571"/>
        <v>0</v>
      </c>
      <c r="RC36" s="101">
        <f t="shared" si="571"/>
        <v>0</v>
      </c>
      <c r="RD36" s="101">
        <f t="shared" si="571"/>
        <v>0</v>
      </c>
      <c r="RE36" s="101">
        <f t="shared" si="571"/>
        <v>0</v>
      </c>
      <c r="RF36" s="101">
        <f t="shared" si="571"/>
        <v>0</v>
      </c>
      <c r="RG36" s="101">
        <f t="shared" si="571"/>
        <v>0</v>
      </c>
      <c r="RH36" s="101">
        <f t="shared" si="571"/>
        <v>0</v>
      </c>
      <c r="RI36" s="101">
        <f t="shared" si="571"/>
        <v>0</v>
      </c>
      <c r="RJ36" s="101">
        <f t="shared" si="571"/>
        <v>0</v>
      </c>
      <c r="RK36" s="101">
        <f t="shared" si="571"/>
        <v>0</v>
      </c>
      <c r="RL36" s="101">
        <f t="shared" si="571"/>
        <v>0</v>
      </c>
      <c r="RM36" s="101">
        <f t="shared" si="571"/>
        <v>0</v>
      </c>
      <c r="RN36" s="101">
        <f t="shared" si="571"/>
        <v>0</v>
      </c>
      <c r="RO36" s="101">
        <f t="shared" si="571"/>
        <v>0</v>
      </c>
      <c r="RP36" s="101">
        <f t="shared" si="571"/>
        <v>0</v>
      </c>
      <c r="RQ36" s="101">
        <f t="shared" si="571"/>
        <v>0</v>
      </c>
      <c r="RR36" s="101">
        <f t="shared" si="571"/>
        <v>0</v>
      </c>
      <c r="RS36" s="101">
        <f t="shared" si="571"/>
        <v>0</v>
      </c>
      <c r="RT36" s="101">
        <f t="shared" si="571"/>
        <v>0</v>
      </c>
      <c r="RU36" s="101">
        <f t="shared" si="571"/>
        <v>0</v>
      </c>
      <c r="RV36" s="101">
        <f t="shared" si="571"/>
        <v>0</v>
      </c>
      <c r="RW36" s="101">
        <f t="shared" si="571"/>
        <v>0</v>
      </c>
      <c r="RX36" s="101">
        <f t="shared" si="571"/>
        <v>0</v>
      </c>
      <c r="RY36" s="101">
        <f t="shared" si="571"/>
        <v>0</v>
      </c>
      <c r="RZ36" s="101">
        <f t="shared" si="571"/>
        <v>0</v>
      </c>
      <c r="SA36" s="101">
        <f t="shared" si="571"/>
        <v>0</v>
      </c>
      <c r="SB36" s="101">
        <f t="shared" si="571"/>
        <v>0</v>
      </c>
      <c r="SC36" s="101">
        <f t="shared" si="571"/>
        <v>0</v>
      </c>
      <c r="SD36" s="101">
        <f t="shared" si="571"/>
        <v>0</v>
      </c>
      <c r="SE36" s="101">
        <f t="shared" si="571"/>
        <v>0</v>
      </c>
      <c r="SF36" s="101">
        <f t="shared" si="571"/>
        <v>0</v>
      </c>
      <c r="SG36" s="101">
        <f t="shared" si="571"/>
        <v>0</v>
      </c>
      <c r="SH36" s="101">
        <f t="shared" si="571"/>
        <v>0</v>
      </c>
      <c r="SI36" s="101">
        <f t="shared" si="571"/>
        <v>0</v>
      </c>
      <c r="SJ36" s="101">
        <f t="shared" si="571"/>
        <v>0</v>
      </c>
      <c r="SK36" s="101">
        <f t="shared" si="571"/>
        <v>0</v>
      </c>
      <c r="SL36" s="101">
        <f t="shared" si="571"/>
        <v>0</v>
      </c>
      <c r="SM36" s="101">
        <f t="shared" si="571"/>
        <v>0</v>
      </c>
      <c r="SN36" s="101">
        <f t="shared" si="571"/>
        <v>0</v>
      </c>
      <c r="SO36" s="101">
        <f t="shared" si="571"/>
        <v>0</v>
      </c>
      <c r="SP36" s="101">
        <f t="shared" si="571"/>
        <v>0</v>
      </c>
      <c r="SQ36" s="101">
        <f t="shared" si="571"/>
        <v>0</v>
      </c>
      <c r="SR36" s="101">
        <f t="shared" si="571"/>
        <v>0</v>
      </c>
      <c r="SS36" s="101">
        <f t="shared" si="571"/>
        <v>0</v>
      </c>
      <c r="ST36" s="101">
        <f t="shared" si="571"/>
        <v>0</v>
      </c>
      <c r="SU36" s="101">
        <f t="shared" si="571"/>
        <v>0</v>
      </c>
      <c r="SV36" s="101">
        <f t="shared" si="571"/>
        <v>0</v>
      </c>
      <c r="SW36" s="101">
        <f t="shared" si="571"/>
        <v>0</v>
      </c>
      <c r="SX36" s="101">
        <f t="shared" si="571"/>
        <v>0</v>
      </c>
      <c r="SY36" s="101">
        <f t="shared" si="571"/>
        <v>0</v>
      </c>
      <c r="SZ36" s="101">
        <f t="shared" si="571"/>
        <v>0</v>
      </c>
      <c r="TA36" s="101">
        <f t="shared" si="571"/>
        <v>0</v>
      </c>
      <c r="TB36" s="101">
        <f t="shared" si="571"/>
        <v>0</v>
      </c>
      <c r="TC36" s="101">
        <f t="shared" ref="TC36:VN36" si="572">ROUND(SUMPRODUCT($E$2:$E$26,TC$2:TC$26)*0.229375334505696%,0)</f>
        <v>0</v>
      </c>
      <c r="TD36" s="101">
        <f t="shared" si="572"/>
        <v>0</v>
      </c>
      <c r="TE36" s="101">
        <f t="shared" si="572"/>
        <v>0</v>
      </c>
      <c r="TF36" s="101">
        <f t="shared" si="572"/>
        <v>0</v>
      </c>
      <c r="TG36" s="101">
        <f t="shared" si="572"/>
        <v>0</v>
      </c>
      <c r="TH36" s="101">
        <f t="shared" si="572"/>
        <v>0</v>
      </c>
      <c r="TI36" s="101">
        <f t="shared" si="572"/>
        <v>0</v>
      </c>
      <c r="TJ36" s="101">
        <f t="shared" si="572"/>
        <v>0</v>
      </c>
      <c r="TK36" s="101">
        <f t="shared" si="572"/>
        <v>0</v>
      </c>
      <c r="TL36" s="101">
        <f t="shared" si="572"/>
        <v>0</v>
      </c>
      <c r="TM36" s="101">
        <f t="shared" si="572"/>
        <v>0</v>
      </c>
      <c r="TN36" s="101">
        <f t="shared" si="572"/>
        <v>0</v>
      </c>
      <c r="TO36" s="101">
        <f t="shared" si="572"/>
        <v>0</v>
      </c>
      <c r="TP36" s="101">
        <f t="shared" si="572"/>
        <v>0</v>
      </c>
      <c r="TQ36" s="101">
        <f t="shared" si="572"/>
        <v>0</v>
      </c>
      <c r="TR36" s="101">
        <f t="shared" si="572"/>
        <v>0</v>
      </c>
      <c r="TS36" s="101">
        <f t="shared" si="572"/>
        <v>0</v>
      </c>
      <c r="TT36" s="101">
        <f t="shared" si="572"/>
        <v>0</v>
      </c>
      <c r="TU36" s="101">
        <f t="shared" si="572"/>
        <v>0</v>
      </c>
      <c r="TV36" s="101">
        <f t="shared" si="572"/>
        <v>0</v>
      </c>
      <c r="TW36" s="101">
        <f t="shared" si="572"/>
        <v>0</v>
      </c>
      <c r="TX36" s="101">
        <f t="shared" si="572"/>
        <v>0</v>
      </c>
      <c r="TY36" s="101">
        <f t="shared" si="572"/>
        <v>0</v>
      </c>
      <c r="TZ36" s="101">
        <f t="shared" si="572"/>
        <v>0</v>
      </c>
      <c r="UA36" s="101">
        <f t="shared" si="572"/>
        <v>0</v>
      </c>
      <c r="UB36" s="101">
        <f t="shared" si="572"/>
        <v>0</v>
      </c>
      <c r="UC36" s="101">
        <f t="shared" si="572"/>
        <v>0</v>
      </c>
      <c r="UD36" s="101">
        <f t="shared" si="572"/>
        <v>0</v>
      </c>
      <c r="UE36" s="101">
        <f t="shared" si="572"/>
        <v>0</v>
      </c>
      <c r="UF36" s="101">
        <f t="shared" si="572"/>
        <v>0</v>
      </c>
      <c r="UG36" s="101">
        <f t="shared" si="572"/>
        <v>0</v>
      </c>
      <c r="UH36" s="101">
        <f t="shared" si="572"/>
        <v>0</v>
      </c>
      <c r="UI36" s="101">
        <f t="shared" si="572"/>
        <v>0</v>
      </c>
      <c r="UJ36" s="101">
        <f t="shared" si="572"/>
        <v>0</v>
      </c>
      <c r="UK36" s="101">
        <f t="shared" si="572"/>
        <v>0</v>
      </c>
      <c r="UL36" s="101">
        <f t="shared" si="572"/>
        <v>0</v>
      </c>
      <c r="UM36" s="101">
        <f t="shared" si="572"/>
        <v>0</v>
      </c>
      <c r="UN36" s="101">
        <f t="shared" si="572"/>
        <v>0</v>
      </c>
      <c r="UO36" s="101">
        <f t="shared" si="572"/>
        <v>0</v>
      </c>
      <c r="UP36" s="101">
        <f t="shared" si="572"/>
        <v>0</v>
      </c>
      <c r="UQ36" s="101">
        <f t="shared" si="572"/>
        <v>0</v>
      </c>
      <c r="UR36" s="101">
        <f t="shared" si="572"/>
        <v>0</v>
      </c>
      <c r="US36" s="101">
        <f t="shared" si="572"/>
        <v>0</v>
      </c>
      <c r="UT36" s="101">
        <f t="shared" si="572"/>
        <v>0</v>
      </c>
      <c r="UU36" s="101">
        <f t="shared" si="572"/>
        <v>0</v>
      </c>
      <c r="UV36" s="101">
        <f t="shared" si="572"/>
        <v>0</v>
      </c>
      <c r="UW36" s="101">
        <f t="shared" si="572"/>
        <v>0</v>
      </c>
      <c r="UX36" s="101">
        <f t="shared" si="572"/>
        <v>0</v>
      </c>
      <c r="UY36" s="101">
        <f t="shared" si="572"/>
        <v>0</v>
      </c>
      <c r="UZ36" s="101">
        <f t="shared" si="572"/>
        <v>0</v>
      </c>
      <c r="VA36" s="101">
        <f t="shared" si="572"/>
        <v>0</v>
      </c>
      <c r="VB36" s="101">
        <f t="shared" si="572"/>
        <v>0</v>
      </c>
      <c r="VC36" s="101">
        <f t="shared" si="572"/>
        <v>0</v>
      </c>
      <c r="VD36" s="101">
        <f t="shared" si="572"/>
        <v>0</v>
      </c>
      <c r="VE36" s="101">
        <f t="shared" si="572"/>
        <v>0</v>
      </c>
      <c r="VF36" s="101">
        <f t="shared" si="572"/>
        <v>0</v>
      </c>
      <c r="VG36" s="101">
        <f t="shared" si="572"/>
        <v>0</v>
      </c>
      <c r="VH36" s="101">
        <f t="shared" si="572"/>
        <v>0</v>
      </c>
      <c r="VI36" s="101">
        <f t="shared" si="572"/>
        <v>0</v>
      </c>
      <c r="VJ36" s="101">
        <f t="shared" si="572"/>
        <v>0</v>
      </c>
      <c r="VK36" s="101">
        <f t="shared" si="572"/>
        <v>0</v>
      </c>
      <c r="VL36" s="101">
        <f t="shared" si="572"/>
        <v>0</v>
      </c>
      <c r="VM36" s="101">
        <f t="shared" si="572"/>
        <v>0</v>
      </c>
      <c r="VN36" s="101">
        <f t="shared" si="572"/>
        <v>0</v>
      </c>
      <c r="VO36" s="101">
        <f t="shared" ref="VO36:WF36" si="573">ROUND(SUMPRODUCT($E$2:$E$26,VO$2:VO$26)*0.229375334505696%,0)</f>
        <v>0</v>
      </c>
      <c r="VP36" s="101">
        <f t="shared" si="573"/>
        <v>0</v>
      </c>
      <c r="VQ36" s="101">
        <f t="shared" si="573"/>
        <v>0</v>
      </c>
      <c r="VR36" s="101">
        <f t="shared" si="573"/>
        <v>0</v>
      </c>
      <c r="VS36" s="101">
        <f t="shared" si="573"/>
        <v>0</v>
      </c>
      <c r="VT36" s="101">
        <f t="shared" si="573"/>
        <v>0</v>
      </c>
      <c r="VU36" s="101">
        <f t="shared" si="573"/>
        <v>0</v>
      </c>
      <c r="VV36" s="101">
        <f t="shared" si="573"/>
        <v>0</v>
      </c>
      <c r="VW36" s="101">
        <f t="shared" si="573"/>
        <v>0</v>
      </c>
      <c r="VX36" s="101">
        <f t="shared" si="573"/>
        <v>0</v>
      </c>
      <c r="VY36" s="101">
        <f t="shared" si="573"/>
        <v>0</v>
      </c>
      <c r="VZ36" s="101">
        <f t="shared" si="573"/>
        <v>0</v>
      </c>
      <c r="WA36" s="101">
        <f t="shared" si="573"/>
        <v>0</v>
      </c>
      <c r="WB36" s="101">
        <f t="shared" si="573"/>
        <v>0</v>
      </c>
      <c r="WC36" s="101">
        <f t="shared" si="573"/>
        <v>0</v>
      </c>
      <c r="WD36" s="101">
        <f t="shared" si="573"/>
        <v>0</v>
      </c>
      <c r="WE36" s="101">
        <f t="shared" si="573"/>
        <v>0</v>
      </c>
      <c r="WF36" s="101">
        <f t="shared" si="573"/>
        <v>0</v>
      </c>
    </row>
    <row r="37" spans="1:604" s="44" customFormat="1" ht="17.25" customHeight="1" x14ac:dyDescent="0.3">
      <c r="A37" s="39" t="str">
        <f>IF(契約詳細價目表!A37="","",契約詳細價目表!A37)</f>
        <v/>
      </c>
      <c r="B37" s="40" t="str">
        <f>IF(契約詳細價目表!B37="","",契約詳細價目表!B37)</f>
        <v/>
      </c>
      <c r="C37" s="39" t="str">
        <f>IF(契約詳細價目表!C37="","",契約詳細價目表!C37)</f>
        <v/>
      </c>
      <c r="D37" s="41" t="str">
        <f>IF(契約詳細價目表!D37="","",契約詳細價目表!D37)</f>
        <v/>
      </c>
      <c r="E37" s="42">
        <f>IF(契約詳細價目表!E37="","",契約詳細價目表!E37)</f>
        <v>0</v>
      </c>
      <c r="F37" s="42">
        <f>IF(契約詳細價目表!F37="","",契約詳細價目表!F37)</f>
        <v>0</v>
      </c>
      <c r="G37" s="106">
        <f t="shared" si="537"/>
        <v>0</v>
      </c>
      <c r="H37" s="87">
        <f>IF($E37="","",G37*E37)</f>
        <v>0</v>
      </c>
      <c r="I37" s="43" t="str">
        <f t="shared" si="536"/>
        <v/>
      </c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>
        <f t="shared" ref="CT37:EV37" si="574">ROUND(SUM(SUMPRODUCT($E$2:$E$26,CT$2:CT$26),CT$33:CT$36)*5%,0)</f>
        <v>0</v>
      </c>
      <c r="CU37" s="105"/>
      <c r="CV37" s="105"/>
      <c r="CW37" s="105">
        <f t="shared" si="574"/>
        <v>0</v>
      </c>
      <c r="CX37" s="105"/>
      <c r="CY37" s="105"/>
      <c r="CZ37" s="105"/>
      <c r="DA37" s="105">
        <f t="shared" si="574"/>
        <v>0</v>
      </c>
      <c r="DB37" s="105"/>
      <c r="DC37" s="105"/>
      <c r="DD37" s="105">
        <f t="shared" si="574"/>
        <v>0</v>
      </c>
      <c r="DE37" s="105"/>
      <c r="DF37" s="105"/>
      <c r="DG37" s="105"/>
      <c r="DH37" s="105">
        <f t="shared" si="574"/>
        <v>0</v>
      </c>
      <c r="DI37" s="105">
        <f t="shared" si="574"/>
        <v>0</v>
      </c>
      <c r="DJ37" s="105">
        <f t="shared" si="574"/>
        <v>0</v>
      </c>
      <c r="DK37" s="105">
        <f t="shared" si="574"/>
        <v>0</v>
      </c>
      <c r="DL37" s="105">
        <f t="shared" si="574"/>
        <v>0</v>
      </c>
      <c r="DM37" s="105">
        <f t="shared" si="574"/>
        <v>0</v>
      </c>
      <c r="DN37" s="105">
        <f t="shared" si="574"/>
        <v>0</v>
      </c>
      <c r="DO37" s="105">
        <f t="shared" si="574"/>
        <v>0</v>
      </c>
      <c r="DP37" s="105">
        <f t="shared" si="574"/>
        <v>0</v>
      </c>
      <c r="DQ37" s="105">
        <f t="shared" si="574"/>
        <v>0</v>
      </c>
      <c r="DR37" s="105">
        <f t="shared" si="574"/>
        <v>0</v>
      </c>
      <c r="DS37" s="105">
        <f t="shared" si="574"/>
        <v>0</v>
      </c>
      <c r="DT37" s="105">
        <f t="shared" si="574"/>
        <v>0</v>
      </c>
      <c r="DU37" s="105">
        <f t="shared" si="574"/>
        <v>0</v>
      </c>
      <c r="DV37" s="105">
        <f t="shared" si="574"/>
        <v>0</v>
      </c>
      <c r="DW37" s="105">
        <f t="shared" si="574"/>
        <v>0</v>
      </c>
      <c r="DX37" s="105">
        <f t="shared" si="574"/>
        <v>0</v>
      </c>
      <c r="DY37" s="105">
        <f t="shared" si="574"/>
        <v>0</v>
      </c>
      <c r="DZ37" s="105">
        <f t="shared" si="574"/>
        <v>0</v>
      </c>
      <c r="EA37" s="105">
        <f t="shared" si="574"/>
        <v>0</v>
      </c>
      <c r="EB37" s="105">
        <f t="shared" si="574"/>
        <v>0</v>
      </c>
      <c r="EC37" s="105">
        <f t="shared" si="574"/>
        <v>0</v>
      </c>
      <c r="ED37" s="105">
        <f t="shared" si="574"/>
        <v>0</v>
      </c>
      <c r="EE37" s="105">
        <f t="shared" si="574"/>
        <v>0</v>
      </c>
      <c r="EF37" s="105">
        <f t="shared" si="574"/>
        <v>0</v>
      </c>
      <c r="EG37" s="105">
        <f t="shared" si="574"/>
        <v>0</v>
      </c>
      <c r="EH37" s="105">
        <f t="shared" si="574"/>
        <v>0</v>
      </c>
      <c r="EI37" s="105">
        <f t="shared" si="574"/>
        <v>0</v>
      </c>
      <c r="EJ37" s="105">
        <f t="shared" si="574"/>
        <v>0</v>
      </c>
      <c r="EK37" s="105">
        <f t="shared" si="574"/>
        <v>0</v>
      </c>
      <c r="EL37" s="105">
        <f t="shared" si="574"/>
        <v>0</v>
      </c>
      <c r="EM37" s="105">
        <f t="shared" si="574"/>
        <v>0</v>
      </c>
      <c r="EN37" s="105">
        <f t="shared" si="574"/>
        <v>0</v>
      </c>
      <c r="EO37" s="105">
        <f t="shared" si="574"/>
        <v>0</v>
      </c>
      <c r="EP37" s="105">
        <f t="shared" si="574"/>
        <v>0</v>
      </c>
      <c r="EQ37" s="105">
        <f t="shared" si="574"/>
        <v>0</v>
      </c>
      <c r="ER37" s="105">
        <f t="shared" si="574"/>
        <v>0</v>
      </c>
      <c r="ES37" s="105">
        <f t="shared" si="574"/>
        <v>0</v>
      </c>
      <c r="ET37" s="105">
        <f t="shared" si="574"/>
        <v>0</v>
      </c>
      <c r="EU37" s="105">
        <f t="shared" si="574"/>
        <v>0</v>
      </c>
      <c r="EV37" s="105">
        <f t="shared" si="574"/>
        <v>0</v>
      </c>
      <c r="EW37" s="105">
        <f t="shared" ref="EW37:HH37" si="575">ROUND(SUM(SUMPRODUCT($E$2:$E$26,EW$2:EW$26),EW$33:EW$36)*5%,0)</f>
        <v>0</v>
      </c>
      <c r="EX37" s="105">
        <f t="shared" si="575"/>
        <v>0</v>
      </c>
      <c r="EY37" s="105">
        <f t="shared" si="575"/>
        <v>0</v>
      </c>
      <c r="EZ37" s="105">
        <f t="shared" si="575"/>
        <v>0</v>
      </c>
      <c r="FA37" s="105">
        <f t="shared" si="575"/>
        <v>0</v>
      </c>
      <c r="FB37" s="105">
        <f t="shared" si="575"/>
        <v>0</v>
      </c>
      <c r="FC37" s="105">
        <f t="shared" si="575"/>
        <v>0</v>
      </c>
      <c r="FD37" s="105">
        <f t="shared" si="575"/>
        <v>0</v>
      </c>
      <c r="FE37" s="105">
        <f t="shared" si="575"/>
        <v>0</v>
      </c>
      <c r="FF37" s="105">
        <f t="shared" si="575"/>
        <v>0</v>
      </c>
      <c r="FG37" s="105">
        <f t="shared" si="575"/>
        <v>0</v>
      </c>
      <c r="FH37" s="105">
        <f t="shared" si="575"/>
        <v>0</v>
      </c>
      <c r="FI37" s="105">
        <f t="shared" si="575"/>
        <v>0</v>
      </c>
      <c r="FJ37" s="105">
        <f t="shared" si="575"/>
        <v>0</v>
      </c>
      <c r="FK37" s="105">
        <f t="shared" si="575"/>
        <v>0</v>
      </c>
      <c r="FL37" s="105">
        <f t="shared" si="575"/>
        <v>0</v>
      </c>
      <c r="FM37" s="105">
        <f t="shared" si="575"/>
        <v>0</v>
      </c>
      <c r="FN37" s="105">
        <f t="shared" si="575"/>
        <v>0</v>
      </c>
      <c r="FO37" s="105">
        <f t="shared" si="575"/>
        <v>0</v>
      </c>
      <c r="FP37" s="105">
        <f t="shared" si="575"/>
        <v>0</v>
      </c>
      <c r="FQ37" s="105">
        <f t="shared" si="575"/>
        <v>0</v>
      </c>
      <c r="FR37" s="105">
        <f t="shared" si="575"/>
        <v>0</v>
      </c>
      <c r="FS37" s="105">
        <f t="shared" si="575"/>
        <v>0</v>
      </c>
      <c r="FT37" s="105">
        <f t="shared" si="575"/>
        <v>0</v>
      </c>
      <c r="FU37" s="101">
        <f t="shared" si="575"/>
        <v>0</v>
      </c>
      <c r="FV37" s="101">
        <f t="shared" si="575"/>
        <v>0</v>
      </c>
      <c r="FW37" s="101">
        <f t="shared" si="575"/>
        <v>0</v>
      </c>
      <c r="FX37" s="101">
        <f t="shared" si="575"/>
        <v>0</v>
      </c>
      <c r="FY37" s="101">
        <f t="shared" si="575"/>
        <v>0</v>
      </c>
      <c r="FZ37" s="101">
        <f t="shared" si="575"/>
        <v>0</v>
      </c>
      <c r="GA37" s="101">
        <f t="shared" si="575"/>
        <v>0</v>
      </c>
      <c r="GB37" s="101">
        <f t="shared" si="575"/>
        <v>0</v>
      </c>
      <c r="GC37" s="101">
        <f t="shared" si="575"/>
        <v>0</v>
      </c>
      <c r="GD37" s="101">
        <f t="shared" si="575"/>
        <v>0</v>
      </c>
      <c r="GE37" s="101">
        <f t="shared" si="575"/>
        <v>0</v>
      </c>
      <c r="GF37" s="101">
        <f t="shared" si="575"/>
        <v>0</v>
      </c>
      <c r="GG37" s="101">
        <f t="shared" si="575"/>
        <v>0</v>
      </c>
      <c r="GH37" s="101">
        <f t="shared" si="575"/>
        <v>0</v>
      </c>
      <c r="GI37" s="101">
        <f t="shared" si="575"/>
        <v>0</v>
      </c>
      <c r="GJ37" s="101">
        <f t="shared" si="575"/>
        <v>0</v>
      </c>
      <c r="GK37" s="101">
        <f t="shared" si="575"/>
        <v>0</v>
      </c>
      <c r="GL37" s="101">
        <f t="shared" si="575"/>
        <v>0</v>
      </c>
      <c r="GM37" s="101">
        <f t="shared" si="575"/>
        <v>0</v>
      </c>
      <c r="GN37" s="101">
        <f t="shared" si="575"/>
        <v>0</v>
      </c>
      <c r="GO37" s="101">
        <f t="shared" si="575"/>
        <v>0</v>
      </c>
      <c r="GP37" s="101">
        <f t="shared" si="575"/>
        <v>0</v>
      </c>
      <c r="GQ37" s="101">
        <f t="shared" si="575"/>
        <v>0</v>
      </c>
      <c r="GR37" s="101">
        <f t="shared" si="575"/>
        <v>0</v>
      </c>
      <c r="GS37" s="101">
        <f t="shared" si="575"/>
        <v>0</v>
      </c>
      <c r="GT37" s="101">
        <f t="shared" si="575"/>
        <v>0</v>
      </c>
      <c r="GU37" s="101">
        <f t="shared" si="575"/>
        <v>0</v>
      </c>
      <c r="GV37" s="101">
        <f t="shared" si="575"/>
        <v>0</v>
      </c>
      <c r="GW37" s="101">
        <f t="shared" si="575"/>
        <v>0</v>
      </c>
      <c r="GX37" s="101">
        <f t="shared" si="575"/>
        <v>0</v>
      </c>
      <c r="GY37" s="101">
        <f t="shared" si="575"/>
        <v>0</v>
      </c>
      <c r="GZ37" s="101">
        <f t="shared" si="575"/>
        <v>0</v>
      </c>
      <c r="HA37" s="101">
        <f t="shared" si="575"/>
        <v>0</v>
      </c>
      <c r="HB37" s="101">
        <f t="shared" si="575"/>
        <v>0</v>
      </c>
      <c r="HC37" s="101">
        <f t="shared" si="575"/>
        <v>0</v>
      </c>
      <c r="HD37" s="101">
        <f t="shared" si="575"/>
        <v>0</v>
      </c>
      <c r="HE37" s="101">
        <f t="shared" si="575"/>
        <v>0</v>
      </c>
      <c r="HF37" s="101">
        <f t="shared" si="575"/>
        <v>0</v>
      </c>
      <c r="HG37" s="101">
        <f t="shared" si="575"/>
        <v>0</v>
      </c>
      <c r="HH37" s="101">
        <f t="shared" si="575"/>
        <v>0</v>
      </c>
      <c r="HI37" s="101">
        <f t="shared" ref="HI37:JT37" si="576">ROUND(SUM(SUMPRODUCT($E$2:$E$26,HI$2:HI$26),HI$33:HI$36)*5%,0)</f>
        <v>0</v>
      </c>
      <c r="HJ37" s="101">
        <f t="shared" si="576"/>
        <v>0</v>
      </c>
      <c r="HK37" s="101">
        <f t="shared" si="576"/>
        <v>0</v>
      </c>
      <c r="HL37" s="101">
        <f t="shared" si="576"/>
        <v>0</v>
      </c>
      <c r="HM37" s="101">
        <f t="shared" si="576"/>
        <v>0</v>
      </c>
      <c r="HN37" s="101">
        <f t="shared" si="576"/>
        <v>0</v>
      </c>
      <c r="HO37" s="101">
        <f t="shared" si="576"/>
        <v>0</v>
      </c>
      <c r="HP37" s="101">
        <f t="shared" si="576"/>
        <v>0</v>
      </c>
      <c r="HQ37" s="101">
        <f t="shared" si="576"/>
        <v>0</v>
      </c>
      <c r="HR37" s="101">
        <f t="shared" si="576"/>
        <v>0</v>
      </c>
      <c r="HS37" s="101">
        <f t="shared" si="576"/>
        <v>0</v>
      </c>
      <c r="HT37" s="101">
        <f t="shared" si="576"/>
        <v>0</v>
      </c>
      <c r="HU37" s="101">
        <f t="shared" si="576"/>
        <v>0</v>
      </c>
      <c r="HV37" s="101">
        <f t="shared" si="576"/>
        <v>0</v>
      </c>
      <c r="HW37" s="101">
        <f t="shared" si="576"/>
        <v>0</v>
      </c>
      <c r="HX37" s="101">
        <f t="shared" si="576"/>
        <v>0</v>
      </c>
      <c r="HY37" s="101">
        <f t="shared" si="576"/>
        <v>0</v>
      </c>
      <c r="HZ37" s="101">
        <f t="shared" si="576"/>
        <v>0</v>
      </c>
      <c r="IA37" s="101">
        <f t="shared" si="576"/>
        <v>0</v>
      </c>
      <c r="IB37" s="101">
        <f t="shared" si="576"/>
        <v>0</v>
      </c>
      <c r="IC37" s="101">
        <f t="shared" si="576"/>
        <v>0</v>
      </c>
      <c r="ID37" s="101">
        <f t="shared" si="576"/>
        <v>0</v>
      </c>
      <c r="IE37" s="101">
        <f t="shared" si="576"/>
        <v>0</v>
      </c>
      <c r="IF37" s="101">
        <f t="shared" si="576"/>
        <v>0</v>
      </c>
      <c r="IG37" s="101">
        <f t="shared" si="576"/>
        <v>0</v>
      </c>
      <c r="IH37" s="101">
        <f t="shared" si="576"/>
        <v>0</v>
      </c>
      <c r="II37" s="101">
        <f t="shared" si="576"/>
        <v>0</v>
      </c>
      <c r="IJ37" s="101">
        <f t="shared" si="576"/>
        <v>0</v>
      </c>
      <c r="IK37" s="101">
        <f t="shared" si="576"/>
        <v>0</v>
      </c>
      <c r="IL37" s="101">
        <f t="shared" si="576"/>
        <v>0</v>
      </c>
      <c r="IM37" s="101">
        <f t="shared" si="576"/>
        <v>0</v>
      </c>
      <c r="IN37" s="101">
        <f t="shared" si="576"/>
        <v>0</v>
      </c>
      <c r="IO37" s="101">
        <f t="shared" si="576"/>
        <v>0</v>
      </c>
      <c r="IP37" s="101">
        <f t="shared" si="576"/>
        <v>0</v>
      </c>
      <c r="IQ37" s="101">
        <f t="shared" si="576"/>
        <v>0</v>
      </c>
      <c r="IR37" s="101">
        <f t="shared" si="576"/>
        <v>0</v>
      </c>
      <c r="IS37" s="101">
        <f t="shared" si="576"/>
        <v>0</v>
      </c>
      <c r="IT37" s="101">
        <f t="shared" si="576"/>
        <v>0</v>
      </c>
      <c r="IU37" s="101">
        <f t="shared" si="576"/>
        <v>0</v>
      </c>
      <c r="IV37" s="101">
        <f t="shared" si="576"/>
        <v>0</v>
      </c>
      <c r="IW37" s="101">
        <f t="shared" si="576"/>
        <v>0</v>
      </c>
      <c r="IX37" s="101">
        <f t="shared" si="576"/>
        <v>0</v>
      </c>
      <c r="IY37" s="101">
        <f t="shared" si="576"/>
        <v>0</v>
      </c>
      <c r="IZ37" s="101">
        <f t="shared" si="576"/>
        <v>0</v>
      </c>
      <c r="JA37" s="101">
        <f t="shared" si="576"/>
        <v>0</v>
      </c>
      <c r="JB37" s="101">
        <f t="shared" si="576"/>
        <v>0</v>
      </c>
      <c r="JC37" s="101">
        <f t="shared" si="576"/>
        <v>0</v>
      </c>
      <c r="JD37" s="101">
        <f t="shared" si="576"/>
        <v>0</v>
      </c>
      <c r="JE37" s="101">
        <f t="shared" si="576"/>
        <v>0</v>
      </c>
      <c r="JF37" s="101">
        <f t="shared" si="576"/>
        <v>0</v>
      </c>
      <c r="JG37" s="101">
        <f t="shared" si="576"/>
        <v>0</v>
      </c>
      <c r="JH37" s="101">
        <f t="shared" si="576"/>
        <v>0</v>
      </c>
      <c r="JI37" s="101">
        <f t="shared" si="576"/>
        <v>0</v>
      </c>
      <c r="JJ37" s="101">
        <f t="shared" si="576"/>
        <v>0</v>
      </c>
      <c r="JK37" s="101">
        <f t="shared" si="576"/>
        <v>0</v>
      </c>
      <c r="JL37" s="101">
        <f t="shared" si="576"/>
        <v>0</v>
      </c>
      <c r="JM37" s="101">
        <f t="shared" si="576"/>
        <v>0</v>
      </c>
      <c r="JN37" s="101">
        <f t="shared" si="576"/>
        <v>0</v>
      </c>
      <c r="JO37" s="101">
        <f t="shared" si="576"/>
        <v>0</v>
      </c>
      <c r="JP37" s="101">
        <f t="shared" si="576"/>
        <v>0</v>
      </c>
      <c r="JQ37" s="101">
        <f t="shared" si="576"/>
        <v>0</v>
      </c>
      <c r="JR37" s="101">
        <f t="shared" si="576"/>
        <v>0</v>
      </c>
      <c r="JS37" s="101">
        <f t="shared" si="576"/>
        <v>0</v>
      </c>
      <c r="JT37" s="101">
        <f t="shared" si="576"/>
        <v>0</v>
      </c>
      <c r="JU37" s="101">
        <f t="shared" ref="JU37:MF37" si="577">ROUND(SUM(SUMPRODUCT($E$2:$E$26,JU$2:JU$26),JU$33:JU$36)*5%,0)</f>
        <v>0</v>
      </c>
      <c r="JV37" s="101">
        <f t="shared" si="577"/>
        <v>0</v>
      </c>
      <c r="JW37" s="101">
        <f t="shared" si="577"/>
        <v>0</v>
      </c>
      <c r="JX37" s="101">
        <f t="shared" si="577"/>
        <v>0</v>
      </c>
      <c r="JY37" s="101">
        <f t="shared" si="577"/>
        <v>0</v>
      </c>
      <c r="JZ37" s="101">
        <f t="shared" si="577"/>
        <v>0</v>
      </c>
      <c r="KA37" s="101">
        <f t="shared" si="577"/>
        <v>0</v>
      </c>
      <c r="KB37" s="101">
        <f t="shared" si="577"/>
        <v>0</v>
      </c>
      <c r="KC37" s="101">
        <f t="shared" si="577"/>
        <v>0</v>
      </c>
      <c r="KD37" s="101">
        <f t="shared" si="577"/>
        <v>0</v>
      </c>
      <c r="KE37" s="101">
        <f t="shared" si="577"/>
        <v>0</v>
      </c>
      <c r="KF37" s="101">
        <f t="shared" si="577"/>
        <v>0</v>
      </c>
      <c r="KG37" s="101">
        <f t="shared" si="577"/>
        <v>0</v>
      </c>
      <c r="KH37" s="101">
        <f t="shared" si="577"/>
        <v>0</v>
      </c>
      <c r="KI37" s="101">
        <f t="shared" si="577"/>
        <v>0</v>
      </c>
      <c r="KJ37" s="101">
        <f t="shared" si="577"/>
        <v>0</v>
      </c>
      <c r="KK37" s="101">
        <f t="shared" si="577"/>
        <v>0</v>
      </c>
      <c r="KL37" s="101">
        <f t="shared" si="577"/>
        <v>0</v>
      </c>
      <c r="KM37" s="101">
        <f t="shared" si="577"/>
        <v>0</v>
      </c>
      <c r="KN37" s="101">
        <f t="shared" si="577"/>
        <v>0</v>
      </c>
      <c r="KO37" s="101">
        <f t="shared" si="577"/>
        <v>0</v>
      </c>
      <c r="KP37" s="101">
        <f t="shared" si="577"/>
        <v>0</v>
      </c>
      <c r="KQ37" s="101">
        <f t="shared" si="577"/>
        <v>0</v>
      </c>
      <c r="KR37" s="101">
        <f t="shared" si="577"/>
        <v>0</v>
      </c>
      <c r="KS37" s="101">
        <f t="shared" si="577"/>
        <v>0</v>
      </c>
      <c r="KT37" s="101">
        <f t="shared" si="577"/>
        <v>0</v>
      </c>
      <c r="KU37" s="101">
        <f t="shared" si="577"/>
        <v>0</v>
      </c>
      <c r="KV37" s="101">
        <f t="shared" si="577"/>
        <v>0</v>
      </c>
      <c r="KW37" s="101">
        <f t="shared" si="577"/>
        <v>0</v>
      </c>
      <c r="KX37" s="101">
        <f t="shared" si="577"/>
        <v>0</v>
      </c>
      <c r="KY37" s="101">
        <f t="shared" si="577"/>
        <v>0</v>
      </c>
      <c r="KZ37" s="101">
        <f t="shared" si="577"/>
        <v>0</v>
      </c>
      <c r="LA37" s="101">
        <f t="shared" si="577"/>
        <v>0</v>
      </c>
      <c r="LB37" s="101">
        <f t="shared" si="577"/>
        <v>0</v>
      </c>
      <c r="LC37" s="101">
        <f t="shared" si="577"/>
        <v>0</v>
      </c>
      <c r="LD37" s="101">
        <f t="shared" si="577"/>
        <v>0</v>
      </c>
      <c r="LE37" s="101">
        <f t="shared" si="577"/>
        <v>0</v>
      </c>
      <c r="LF37" s="101">
        <f t="shared" si="577"/>
        <v>0</v>
      </c>
      <c r="LG37" s="101">
        <f t="shared" si="577"/>
        <v>0</v>
      </c>
      <c r="LH37" s="101">
        <f t="shared" si="577"/>
        <v>0</v>
      </c>
      <c r="LI37" s="101">
        <f t="shared" si="577"/>
        <v>0</v>
      </c>
      <c r="LJ37" s="101">
        <f t="shared" si="577"/>
        <v>0</v>
      </c>
      <c r="LK37" s="101">
        <f t="shared" si="577"/>
        <v>0</v>
      </c>
      <c r="LL37" s="101">
        <f t="shared" si="577"/>
        <v>0</v>
      </c>
      <c r="LM37" s="101">
        <f t="shared" si="577"/>
        <v>0</v>
      </c>
      <c r="LN37" s="101">
        <f t="shared" si="577"/>
        <v>0</v>
      </c>
      <c r="LO37" s="101">
        <f t="shared" si="577"/>
        <v>0</v>
      </c>
      <c r="LP37" s="101">
        <f t="shared" si="577"/>
        <v>0</v>
      </c>
      <c r="LQ37" s="101">
        <f t="shared" si="577"/>
        <v>0</v>
      </c>
      <c r="LR37" s="101">
        <f t="shared" si="577"/>
        <v>0</v>
      </c>
      <c r="LS37" s="101">
        <f t="shared" si="577"/>
        <v>0</v>
      </c>
      <c r="LT37" s="101">
        <f t="shared" si="577"/>
        <v>0</v>
      </c>
      <c r="LU37" s="101">
        <f t="shared" si="577"/>
        <v>0</v>
      </c>
      <c r="LV37" s="101">
        <f t="shared" si="577"/>
        <v>0</v>
      </c>
      <c r="LW37" s="101">
        <f t="shared" si="577"/>
        <v>0</v>
      </c>
      <c r="LX37" s="101">
        <f t="shared" si="577"/>
        <v>0</v>
      </c>
      <c r="LY37" s="101">
        <f t="shared" si="577"/>
        <v>0</v>
      </c>
      <c r="LZ37" s="101">
        <f t="shared" si="577"/>
        <v>0</v>
      </c>
      <c r="MA37" s="101">
        <f t="shared" si="577"/>
        <v>0</v>
      </c>
      <c r="MB37" s="101">
        <f t="shared" si="577"/>
        <v>0</v>
      </c>
      <c r="MC37" s="101">
        <f t="shared" si="577"/>
        <v>0</v>
      </c>
      <c r="MD37" s="101">
        <f t="shared" si="577"/>
        <v>0</v>
      </c>
      <c r="ME37" s="101">
        <f t="shared" si="577"/>
        <v>0</v>
      </c>
      <c r="MF37" s="101">
        <f t="shared" si="577"/>
        <v>0</v>
      </c>
      <c r="MG37" s="101">
        <f t="shared" ref="MG37:OR37" si="578">ROUND(SUM(SUMPRODUCT($E$2:$E$26,MG$2:MG$26),MG$33:MG$36)*5%,0)</f>
        <v>0</v>
      </c>
      <c r="MH37" s="101">
        <f t="shared" si="578"/>
        <v>0</v>
      </c>
      <c r="MI37" s="101">
        <f t="shared" si="578"/>
        <v>0</v>
      </c>
      <c r="MJ37" s="101">
        <f t="shared" si="578"/>
        <v>0</v>
      </c>
      <c r="MK37" s="101">
        <f t="shared" si="578"/>
        <v>0</v>
      </c>
      <c r="ML37" s="101">
        <f t="shared" si="578"/>
        <v>0</v>
      </c>
      <c r="MM37" s="101">
        <f t="shared" si="578"/>
        <v>0</v>
      </c>
      <c r="MN37" s="101">
        <f t="shared" si="578"/>
        <v>0</v>
      </c>
      <c r="MO37" s="101">
        <f t="shared" si="578"/>
        <v>0</v>
      </c>
      <c r="MP37" s="101">
        <f t="shared" si="578"/>
        <v>0</v>
      </c>
      <c r="MQ37" s="101">
        <f t="shared" si="578"/>
        <v>0</v>
      </c>
      <c r="MR37" s="101">
        <f t="shared" si="578"/>
        <v>0</v>
      </c>
      <c r="MS37" s="101">
        <f t="shared" si="578"/>
        <v>0</v>
      </c>
      <c r="MT37" s="101">
        <f t="shared" si="578"/>
        <v>0</v>
      </c>
      <c r="MU37" s="101">
        <f t="shared" si="578"/>
        <v>0</v>
      </c>
      <c r="MV37" s="101">
        <f t="shared" si="578"/>
        <v>0</v>
      </c>
      <c r="MW37" s="101">
        <f t="shared" si="578"/>
        <v>0</v>
      </c>
      <c r="MX37" s="101">
        <f t="shared" si="578"/>
        <v>0</v>
      </c>
      <c r="MY37" s="101">
        <f t="shared" si="578"/>
        <v>0</v>
      </c>
      <c r="MZ37" s="101">
        <f t="shared" si="578"/>
        <v>0</v>
      </c>
      <c r="NA37" s="101">
        <f t="shared" si="578"/>
        <v>0</v>
      </c>
      <c r="NB37" s="101">
        <f t="shared" si="578"/>
        <v>0</v>
      </c>
      <c r="NC37" s="101">
        <f t="shared" si="578"/>
        <v>0</v>
      </c>
      <c r="ND37" s="101">
        <f t="shared" si="578"/>
        <v>0</v>
      </c>
      <c r="NE37" s="101">
        <f t="shared" si="578"/>
        <v>0</v>
      </c>
      <c r="NF37" s="101">
        <f t="shared" si="578"/>
        <v>0</v>
      </c>
      <c r="NG37" s="101">
        <f t="shared" si="578"/>
        <v>0</v>
      </c>
      <c r="NH37" s="101">
        <f t="shared" si="578"/>
        <v>0</v>
      </c>
      <c r="NI37" s="101">
        <f t="shared" si="578"/>
        <v>0</v>
      </c>
      <c r="NJ37" s="101">
        <f t="shared" si="578"/>
        <v>0</v>
      </c>
      <c r="NK37" s="101">
        <f t="shared" si="578"/>
        <v>0</v>
      </c>
      <c r="NL37" s="101">
        <f t="shared" si="578"/>
        <v>0</v>
      </c>
      <c r="NM37" s="101">
        <f t="shared" si="578"/>
        <v>0</v>
      </c>
      <c r="NN37" s="101">
        <f t="shared" si="578"/>
        <v>0</v>
      </c>
      <c r="NO37" s="101">
        <f t="shared" si="578"/>
        <v>0</v>
      </c>
      <c r="NP37" s="101">
        <f t="shared" si="578"/>
        <v>0</v>
      </c>
      <c r="NQ37" s="101">
        <f t="shared" si="578"/>
        <v>0</v>
      </c>
      <c r="NR37" s="101">
        <f t="shared" si="578"/>
        <v>0</v>
      </c>
      <c r="NS37" s="101">
        <f t="shared" si="578"/>
        <v>0</v>
      </c>
      <c r="NT37" s="101">
        <f t="shared" si="578"/>
        <v>0</v>
      </c>
      <c r="NU37" s="101">
        <f t="shared" si="578"/>
        <v>0</v>
      </c>
      <c r="NV37" s="101">
        <f t="shared" si="578"/>
        <v>0</v>
      </c>
      <c r="NW37" s="101">
        <f t="shared" si="578"/>
        <v>0</v>
      </c>
      <c r="NX37" s="101">
        <f t="shared" si="578"/>
        <v>0</v>
      </c>
      <c r="NY37" s="101">
        <f t="shared" si="578"/>
        <v>0</v>
      </c>
      <c r="NZ37" s="101">
        <f t="shared" si="578"/>
        <v>0</v>
      </c>
      <c r="OA37" s="101">
        <f t="shared" si="578"/>
        <v>0</v>
      </c>
      <c r="OB37" s="101">
        <f t="shared" si="578"/>
        <v>0</v>
      </c>
      <c r="OC37" s="101">
        <f t="shared" si="578"/>
        <v>0</v>
      </c>
      <c r="OD37" s="101">
        <f t="shared" si="578"/>
        <v>0</v>
      </c>
      <c r="OE37" s="101">
        <f t="shared" si="578"/>
        <v>0</v>
      </c>
      <c r="OF37" s="101">
        <f t="shared" si="578"/>
        <v>0</v>
      </c>
      <c r="OG37" s="101">
        <f t="shared" si="578"/>
        <v>0</v>
      </c>
      <c r="OH37" s="101">
        <f t="shared" si="578"/>
        <v>0</v>
      </c>
      <c r="OI37" s="101">
        <f t="shared" si="578"/>
        <v>0</v>
      </c>
      <c r="OJ37" s="101">
        <f t="shared" si="578"/>
        <v>0</v>
      </c>
      <c r="OK37" s="101">
        <f t="shared" si="578"/>
        <v>0</v>
      </c>
      <c r="OL37" s="101">
        <f t="shared" si="578"/>
        <v>0</v>
      </c>
      <c r="OM37" s="101">
        <f t="shared" si="578"/>
        <v>0</v>
      </c>
      <c r="ON37" s="101">
        <f t="shared" si="578"/>
        <v>0</v>
      </c>
      <c r="OO37" s="101">
        <f t="shared" si="578"/>
        <v>0</v>
      </c>
      <c r="OP37" s="101">
        <f t="shared" si="578"/>
        <v>0</v>
      </c>
      <c r="OQ37" s="101">
        <f t="shared" si="578"/>
        <v>0</v>
      </c>
      <c r="OR37" s="101">
        <f t="shared" si="578"/>
        <v>0</v>
      </c>
      <c r="OS37" s="101">
        <f t="shared" ref="OS37:RD37" si="579">ROUND(SUM(SUMPRODUCT($E$2:$E$26,OS$2:OS$26),OS$33:OS$36)*5%,0)</f>
        <v>0</v>
      </c>
      <c r="OT37" s="101">
        <f t="shared" si="579"/>
        <v>0</v>
      </c>
      <c r="OU37" s="101">
        <f t="shared" si="579"/>
        <v>0</v>
      </c>
      <c r="OV37" s="101">
        <f t="shared" si="579"/>
        <v>0</v>
      </c>
      <c r="OW37" s="101">
        <f t="shared" si="579"/>
        <v>0</v>
      </c>
      <c r="OX37" s="101">
        <f t="shared" si="579"/>
        <v>0</v>
      </c>
      <c r="OY37" s="101">
        <f t="shared" si="579"/>
        <v>0</v>
      </c>
      <c r="OZ37" s="101">
        <f t="shared" si="579"/>
        <v>0</v>
      </c>
      <c r="PA37" s="101">
        <f t="shared" si="579"/>
        <v>0</v>
      </c>
      <c r="PB37" s="101">
        <f t="shared" si="579"/>
        <v>0</v>
      </c>
      <c r="PC37" s="101">
        <f t="shared" si="579"/>
        <v>0</v>
      </c>
      <c r="PD37" s="101">
        <f t="shared" si="579"/>
        <v>0</v>
      </c>
      <c r="PE37" s="101">
        <f t="shared" si="579"/>
        <v>0</v>
      </c>
      <c r="PF37" s="101">
        <f t="shared" si="579"/>
        <v>0</v>
      </c>
      <c r="PG37" s="101">
        <f t="shared" si="579"/>
        <v>0</v>
      </c>
      <c r="PH37" s="101">
        <f t="shared" si="579"/>
        <v>0</v>
      </c>
      <c r="PI37" s="101">
        <f t="shared" si="579"/>
        <v>0</v>
      </c>
      <c r="PJ37" s="101">
        <f t="shared" si="579"/>
        <v>0</v>
      </c>
      <c r="PK37" s="101">
        <f t="shared" si="579"/>
        <v>0</v>
      </c>
      <c r="PL37" s="101">
        <f t="shared" si="579"/>
        <v>0</v>
      </c>
      <c r="PM37" s="101">
        <f t="shared" si="579"/>
        <v>0</v>
      </c>
      <c r="PN37" s="101">
        <f t="shared" si="579"/>
        <v>0</v>
      </c>
      <c r="PO37" s="101">
        <f t="shared" si="579"/>
        <v>0</v>
      </c>
      <c r="PP37" s="101">
        <f t="shared" si="579"/>
        <v>0</v>
      </c>
      <c r="PQ37" s="101">
        <f t="shared" si="579"/>
        <v>0</v>
      </c>
      <c r="PR37" s="101">
        <f t="shared" si="579"/>
        <v>0</v>
      </c>
      <c r="PS37" s="101">
        <f t="shared" si="579"/>
        <v>0</v>
      </c>
      <c r="PT37" s="101">
        <f t="shared" si="579"/>
        <v>0</v>
      </c>
      <c r="PU37" s="101">
        <f t="shared" si="579"/>
        <v>0</v>
      </c>
      <c r="PV37" s="101">
        <f t="shared" si="579"/>
        <v>0</v>
      </c>
      <c r="PW37" s="101">
        <f t="shared" si="579"/>
        <v>0</v>
      </c>
      <c r="PX37" s="101">
        <f t="shared" si="579"/>
        <v>0</v>
      </c>
      <c r="PY37" s="101">
        <f t="shared" si="579"/>
        <v>0</v>
      </c>
      <c r="PZ37" s="101">
        <f t="shared" si="579"/>
        <v>0</v>
      </c>
      <c r="QA37" s="101">
        <f t="shared" si="579"/>
        <v>0</v>
      </c>
      <c r="QB37" s="101">
        <f t="shared" si="579"/>
        <v>0</v>
      </c>
      <c r="QC37" s="101">
        <f t="shared" si="579"/>
        <v>0</v>
      </c>
      <c r="QD37" s="101">
        <f t="shared" si="579"/>
        <v>0</v>
      </c>
      <c r="QE37" s="101">
        <f t="shared" si="579"/>
        <v>0</v>
      </c>
      <c r="QF37" s="101">
        <f t="shared" si="579"/>
        <v>0</v>
      </c>
      <c r="QG37" s="101">
        <f t="shared" si="579"/>
        <v>0</v>
      </c>
      <c r="QH37" s="101">
        <f t="shared" si="579"/>
        <v>0</v>
      </c>
      <c r="QI37" s="101">
        <f t="shared" si="579"/>
        <v>0</v>
      </c>
      <c r="QJ37" s="101">
        <f t="shared" si="579"/>
        <v>0</v>
      </c>
      <c r="QK37" s="101">
        <f t="shared" si="579"/>
        <v>0</v>
      </c>
      <c r="QL37" s="101">
        <f t="shared" si="579"/>
        <v>0</v>
      </c>
      <c r="QM37" s="101">
        <f t="shared" si="579"/>
        <v>0</v>
      </c>
      <c r="QN37" s="101">
        <f t="shared" si="579"/>
        <v>0</v>
      </c>
      <c r="QO37" s="101">
        <f t="shared" si="579"/>
        <v>0</v>
      </c>
      <c r="QP37" s="101">
        <f t="shared" si="579"/>
        <v>0</v>
      </c>
      <c r="QQ37" s="101">
        <f t="shared" si="579"/>
        <v>0</v>
      </c>
      <c r="QR37" s="101">
        <f t="shared" si="579"/>
        <v>0</v>
      </c>
      <c r="QS37" s="101">
        <f t="shared" si="579"/>
        <v>0</v>
      </c>
      <c r="QT37" s="101">
        <f t="shared" si="579"/>
        <v>0</v>
      </c>
      <c r="QU37" s="101">
        <f t="shared" si="579"/>
        <v>0</v>
      </c>
      <c r="QV37" s="101">
        <f t="shared" si="579"/>
        <v>0</v>
      </c>
      <c r="QW37" s="101">
        <f t="shared" si="579"/>
        <v>0</v>
      </c>
      <c r="QX37" s="101">
        <f t="shared" si="579"/>
        <v>0</v>
      </c>
      <c r="QY37" s="101">
        <f t="shared" si="579"/>
        <v>0</v>
      </c>
      <c r="QZ37" s="101">
        <f t="shared" si="579"/>
        <v>0</v>
      </c>
      <c r="RA37" s="101">
        <f t="shared" si="579"/>
        <v>0</v>
      </c>
      <c r="RB37" s="101">
        <f t="shared" si="579"/>
        <v>0</v>
      </c>
      <c r="RC37" s="101">
        <f t="shared" si="579"/>
        <v>0</v>
      </c>
      <c r="RD37" s="101">
        <f t="shared" si="579"/>
        <v>0</v>
      </c>
      <c r="RE37" s="101">
        <f t="shared" ref="RE37:TP37" si="580">ROUND(SUM(SUMPRODUCT($E$2:$E$26,RE$2:RE$26),RE$33:RE$36)*5%,0)</f>
        <v>0</v>
      </c>
      <c r="RF37" s="101">
        <f t="shared" si="580"/>
        <v>0</v>
      </c>
      <c r="RG37" s="101">
        <f t="shared" si="580"/>
        <v>0</v>
      </c>
      <c r="RH37" s="101">
        <f t="shared" si="580"/>
        <v>0</v>
      </c>
      <c r="RI37" s="101">
        <f t="shared" si="580"/>
        <v>0</v>
      </c>
      <c r="RJ37" s="101">
        <f t="shared" si="580"/>
        <v>0</v>
      </c>
      <c r="RK37" s="101">
        <f t="shared" si="580"/>
        <v>0</v>
      </c>
      <c r="RL37" s="101">
        <f t="shared" si="580"/>
        <v>0</v>
      </c>
      <c r="RM37" s="101">
        <f t="shared" si="580"/>
        <v>0</v>
      </c>
      <c r="RN37" s="101">
        <f t="shared" si="580"/>
        <v>0</v>
      </c>
      <c r="RO37" s="101">
        <f t="shared" si="580"/>
        <v>0</v>
      </c>
      <c r="RP37" s="101">
        <f t="shared" si="580"/>
        <v>0</v>
      </c>
      <c r="RQ37" s="101">
        <f t="shared" si="580"/>
        <v>0</v>
      </c>
      <c r="RR37" s="101">
        <f t="shared" si="580"/>
        <v>0</v>
      </c>
      <c r="RS37" s="101">
        <f t="shared" si="580"/>
        <v>0</v>
      </c>
      <c r="RT37" s="101">
        <f t="shared" si="580"/>
        <v>0</v>
      </c>
      <c r="RU37" s="101">
        <f t="shared" si="580"/>
        <v>0</v>
      </c>
      <c r="RV37" s="101">
        <f t="shared" si="580"/>
        <v>0</v>
      </c>
      <c r="RW37" s="101">
        <f t="shared" si="580"/>
        <v>0</v>
      </c>
      <c r="RX37" s="101">
        <f t="shared" si="580"/>
        <v>0</v>
      </c>
      <c r="RY37" s="101">
        <f t="shared" si="580"/>
        <v>0</v>
      </c>
      <c r="RZ37" s="101">
        <f t="shared" si="580"/>
        <v>0</v>
      </c>
      <c r="SA37" s="101">
        <f t="shared" si="580"/>
        <v>0</v>
      </c>
      <c r="SB37" s="101">
        <f t="shared" si="580"/>
        <v>0</v>
      </c>
      <c r="SC37" s="101">
        <f t="shared" si="580"/>
        <v>0</v>
      </c>
      <c r="SD37" s="101">
        <f t="shared" si="580"/>
        <v>0</v>
      </c>
      <c r="SE37" s="101">
        <f t="shared" si="580"/>
        <v>0</v>
      </c>
      <c r="SF37" s="101">
        <f t="shared" si="580"/>
        <v>0</v>
      </c>
      <c r="SG37" s="101">
        <f t="shared" si="580"/>
        <v>0</v>
      </c>
      <c r="SH37" s="101">
        <f t="shared" si="580"/>
        <v>0</v>
      </c>
      <c r="SI37" s="101">
        <f t="shared" si="580"/>
        <v>0</v>
      </c>
      <c r="SJ37" s="101">
        <f t="shared" si="580"/>
        <v>0</v>
      </c>
      <c r="SK37" s="101">
        <f t="shared" si="580"/>
        <v>0</v>
      </c>
      <c r="SL37" s="101">
        <f t="shared" si="580"/>
        <v>0</v>
      </c>
      <c r="SM37" s="101">
        <f t="shared" si="580"/>
        <v>0</v>
      </c>
      <c r="SN37" s="101">
        <f t="shared" si="580"/>
        <v>0</v>
      </c>
      <c r="SO37" s="101">
        <f t="shared" si="580"/>
        <v>0</v>
      </c>
      <c r="SP37" s="101">
        <f t="shared" si="580"/>
        <v>0</v>
      </c>
      <c r="SQ37" s="101">
        <f t="shared" si="580"/>
        <v>0</v>
      </c>
      <c r="SR37" s="101">
        <f t="shared" si="580"/>
        <v>0</v>
      </c>
      <c r="SS37" s="101">
        <f t="shared" si="580"/>
        <v>0</v>
      </c>
      <c r="ST37" s="101">
        <f t="shared" si="580"/>
        <v>0</v>
      </c>
      <c r="SU37" s="101">
        <f t="shared" si="580"/>
        <v>0</v>
      </c>
      <c r="SV37" s="101">
        <f t="shared" si="580"/>
        <v>0</v>
      </c>
      <c r="SW37" s="101">
        <f t="shared" si="580"/>
        <v>0</v>
      </c>
      <c r="SX37" s="101">
        <f t="shared" si="580"/>
        <v>0</v>
      </c>
      <c r="SY37" s="101">
        <f t="shared" si="580"/>
        <v>0</v>
      </c>
      <c r="SZ37" s="101">
        <f t="shared" si="580"/>
        <v>0</v>
      </c>
      <c r="TA37" s="101">
        <f t="shared" si="580"/>
        <v>0</v>
      </c>
      <c r="TB37" s="101">
        <f t="shared" si="580"/>
        <v>0</v>
      </c>
      <c r="TC37" s="101">
        <f t="shared" si="580"/>
        <v>0</v>
      </c>
      <c r="TD37" s="101">
        <f t="shared" si="580"/>
        <v>0</v>
      </c>
      <c r="TE37" s="101">
        <f t="shared" si="580"/>
        <v>0</v>
      </c>
      <c r="TF37" s="101">
        <f t="shared" si="580"/>
        <v>0</v>
      </c>
      <c r="TG37" s="101">
        <f t="shared" si="580"/>
        <v>0</v>
      </c>
      <c r="TH37" s="101">
        <f t="shared" si="580"/>
        <v>0</v>
      </c>
      <c r="TI37" s="101">
        <f t="shared" si="580"/>
        <v>0</v>
      </c>
      <c r="TJ37" s="101">
        <f t="shared" si="580"/>
        <v>0</v>
      </c>
      <c r="TK37" s="101">
        <f t="shared" si="580"/>
        <v>0</v>
      </c>
      <c r="TL37" s="101">
        <f t="shared" si="580"/>
        <v>0</v>
      </c>
      <c r="TM37" s="101">
        <f t="shared" si="580"/>
        <v>0</v>
      </c>
      <c r="TN37" s="101">
        <f t="shared" si="580"/>
        <v>0</v>
      </c>
      <c r="TO37" s="101">
        <f t="shared" si="580"/>
        <v>0</v>
      </c>
      <c r="TP37" s="101">
        <f t="shared" si="580"/>
        <v>0</v>
      </c>
      <c r="TQ37" s="101">
        <f t="shared" ref="TQ37:WF37" si="581">ROUND(SUM(SUMPRODUCT($E$2:$E$26,TQ$2:TQ$26),TQ$33:TQ$36)*5%,0)</f>
        <v>0</v>
      </c>
      <c r="TR37" s="101">
        <f t="shared" si="581"/>
        <v>0</v>
      </c>
      <c r="TS37" s="101">
        <f t="shared" si="581"/>
        <v>0</v>
      </c>
      <c r="TT37" s="101">
        <f t="shared" si="581"/>
        <v>0</v>
      </c>
      <c r="TU37" s="101">
        <f t="shared" si="581"/>
        <v>0</v>
      </c>
      <c r="TV37" s="101">
        <f t="shared" si="581"/>
        <v>0</v>
      </c>
      <c r="TW37" s="101">
        <f t="shared" si="581"/>
        <v>0</v>
      </c>
      <c r="TX37" s="101">
        <f t="shared" si="581"/>
        <v>0</v>
      </c>
      <c r="TY37" s="101">
        <f t="shared" si="581"/>
        <v>0</v>
      </c>
      <c r="TZ37" s="101">
        <f t="shared" si="581"/>
        <v>0</v>
      </c>
      <c r="UA37" s="101">
        <f t="shared" si="581"/>
        <v>0</v>
      </c>
      <c r="UB37" s="101">
        <f t="shared" si="581"/>
        <v>0</v>
      </c>
      <c r="UC37" s="101">
        <f t="shared" si="581"/>
        <v>0</v>
      </c>
      <c r="UD37" s="101">
        <f t="shared" si="581"/>
        <v>0</v>
      </c>
      <c r="UE37" s="101">
        <f t="shared" si="581"/>
        <v>0</v>
      </c>
      <c r="UF37" s="101">
        <f t="shared" si="581"/>
        <v>0</v>
      </c>
      <c r="UG37" s="101">
        <f t="shared" si="581"/>
        <v>0</v>
      </c>
      <c r="UH37" s="101">
        <f t="shared" si="581"/>
        <v>0</v>
      </c>
      <c r="UI37" s="101">
        <f t="shared" si="581"/>
        <v>0</v>
      </c>
      <c r="UJ37" s="101">
        <f t="shared" si="581"/>
        <v>0</v>
      </c>
      <c r="UK37" s="101">
        <f t="shared" si="581"/>
        <v>0</v>
      </c>
      <c r="UL37" s="101">
        <f t="shared" si="581"/>
        <v>0</v>
      </c>
      <c r="UM37" s="101">
        <f t="shared" si="581"/>
        <v>0</v>
      </c>
      <c r="UN37" s="101">
        <f t="shared" si="581"/>
        <v>0</v>
      </c>
      <c r="UO37" s="101">
        <f t="shared" si="581"/>
        <v>0</v>
      </c>
      <c r="UP37" s="101">
        <f t="shared" si="581"/>
        <v>0</v>
      </c>
      <c r="UQ37" s="101">
        <f t="shared" si="581"/>
        <v>0</v>
      </c>
      <c r="UR37" s="101">
        <f t="shared" si="581"/>
        <v>0</v>
      </c>
      <c r="US37" s="101">
        <f t="shared" si="581"/>
        <v>0</v>
      </c>
      <c r="UT37" s="101">
        <f t="shared" si="581"/>
        <v>0</v>
      </c>
      <c r="UU37" s="101">
        <f t="shared" si="581"/>
        <v>0</v>
      </c>
      <c r="UV37" s="101">
        <f t="shared" si="581"/>
        <v>0</v>
      </c>
      <c r="UW37" s="101">
        <f t="shared" si="581"/>
        <v>0</v>
      </c>
      <c r="UX37" s="101">
        <f t="shared" si="581"/>
        <v>0</v>
      </c>
      <c r="UY37" s="101">
        <f t="shared" si="581"/>
        <v>0</v>
      </c>
      <c r="UZ37" s="101">
        <f t="shared" si="581"/>
        <v>0</v>
      </c>
      <c r="VA37" s="101">
        <f t="shared" si="581"/>
        <v>0</v>
      </c>
      <c r="VB37" s="101">
        <f t="shared" si="581"/>
        <v>0</v>
      </c>
      <c r="VC37" s="101">
        <f t="shared" si="581"/>
        <v>0</v>
      </c>
      <c r="VD37" s="101">
        <f t="shared" si="581"/>
        <v>0</v>
      </c>
      <c r="VE37" s="101">
        <f t="shared" si="581"/>
        <v>0</v>
      </c>
      <c r="VF37" s="101">
        <f t="shared" si="581"/>
        <v>0</v>
      </c>
      <c r="VG37" s="101">
        <f t="shared" si="581"/>
        <v>0</v>
      </c>
      <c r="VH37" s="101">
        <f t="shared" si="581"/>
        <v>0</v>
      </c>
      <c r="VI37" s="101">
        <f t="shared" si="581"/>
        <v>0</v>
      </c>
      <c r="VJ37" s="101">
        <f t="shared" si="581"/>
        <v>0</v>
      </c>
      <c r="VK37" s="101">
        <f t="shared" si="581"/>
        <v>0</v>
      </c>
      <c r="VL37" s="101">
        <f t="shared" si="581"/>
        <v>0</v>
      </c>
      <c r="VM37" s="101">
        <f t="shared" si="581"/>
        <v>0</v>
      </c>
      <c r="VN37" s="101">
        <f t="shared" si="581"/>
        <v>0</v>
      </c>
      <c r="VO37" s="101">
        <f t="shared" si="581"/>
        <v>0</v>
      </c>
      <c r="VP37" s="101">
        <f t="shared" si="581"/>
        <v>0</v>
      </c>
      <c r="VQ37" s="101">
        <f t="shared" si="581"/>
        <v>0</v>
      </c>
      <c r="VR37" s="101">
        <f t="shared" si="581"/>
        <v>0</v>
      </c>
      <c r="VS37" s="101">
        <f t="shared" si="581"/>
        <v>0</v>
      </c>
      <c r="VT37" s="101">
        <f t="shared" si="581"/>
        <v>0</v>
      </c>
      <c r="VU37" s="101">
        <f t="shared" si="581"/>
        <v>0</v>
      </c>
      <c r="VV37" s="101">
        <f t="shared" si="581"/>
        <v>0</v>
      </c>
      <c r="VW37" s="101">
        <f t="shared" si="581"/>
        <v>0</v>
      </c>
      <c r="VX37" s="101">
        <f t="shared" si="581"/>
        <v>0</v>
      </c>
      <c r="VY37" s="101">
        <f t="shared" si="581"/>
        <v>0</v>
      </c>
      <c r="VZ37" s="101">
        <f t="shared" si="581"/>
        <v>0</v>
      </c>
      <c r="WA37" s="101">
        <f t="shared" si="581"/>
        <v>0</v>
      </c>
      <c r="WB37" s="101">
        <f t="shared" si="581"/>
        <v>0</v>
      </c>
      <c r="WC37" s="101">
        <f t="shared" si="581"/>
        <v>0</v>
      </c>
      <c r="WD37" s="101">
        <f t="shared" si="581"/>
        <v>0</v>
      </c>
      <c r="WE37" s="101">
        <f t="shared" si="581"/>
        <v>0</v>
      </c>
      <c r="WF37" s="101">
        <f t="shared" si="581"/>
        <v>0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 t="s">
        <v>68</v>
      </c>
      <c r="C284" s="30"/>
      <c r="D284" s="32"/>
      <c r="E284" s="33"/>
      <c r="F284" s="33">
        <f>ROUND(SUM(F2:F283),0)</f>
        <v>0</v>
      </c>
      <c r="G284" s="33"/>
      <c r="H284" s="33">
        <f>ROUND(SUM(H2:H283),0)</f>
        <v>0</v>
      </c>
      <c r="I284" s="33"/>
      <c r="J284" s="34">
        <f t="shared" ref="J284:BU284" si="582">ROUND(SUM(SUMPRODUCT($E$2:$E$37,J$2:J$37)),0)</f>
        <v>0</v>
      </c>
      <c r="K284" s="34">
        <f t="shared" si="582"/>
        <v>0</v>
      </c>
      <c r="L284" s="34">
        <f t="shared" si="582"/>
        <v>0</v>
      </c>
      <c r="M284" s="34">
        <f t="shared" si="582"/>
        <v>0</v>
      </c>
      <c r="N284" s="34">
        <f t="shared" si="582"/>
        <v>0</v>
      </c>
      <c r="O284" s="34">
        <f t="shared" si="582"/>
        <v>0</v>
      </c>
      <c r="P284" s="34">
        <f t="shared" si="582"/>
        <v>0</v>
      </c>
      <c r="Q284" s="34">
        <f t="shared" si="582"/>
        <v>0</v>
      </c>
      <c r="R284" s="34">
        <f t="shared" si="582"/>
        <v>0</v>
      </c>
      <c r="S284" s="34">
        <f t="shared" si="582"/>
        <v>0</v>
      </c>
      <c r="T284" s="34">
        <f t="shared" si="582"/>
        <v>0</v>
      </c>
      <c r="U284" s="34">
        <f t="shared" si="582"/>
        <v>0</v>
      </c>
      <c r="V284" s="34">
        <f t="shared" si="582"/>
        <v>0</v>
      </c>
      <c r="W284" s="34">
        <f t="shared" si="582"/>
        <v>0</v>
      </c>
      <c r="X284" s="34">
        <f t="shared" si="582"/>
        <v>0</v>
      </c>
      <c r="Y284" s="34">
        <f t="shared" si="582"/>
        <v>0</v>
      </c>
      <c r="Z284" s="34">
        <f t="shared" si="582"/>
        <v>0</v>
      </c>
      <c r="AA284" s="34">
        <f t="shared" si="582"/>
        <v>0</v>
      </c>
      <c r="AB284" s="34">
        <f t="shared" si="582"/>
        <v>0</v>
      </c>
      <c r="AC284" s="34">
        <f t="shared" si="582"/>
        <v>0</v>
      </c>
      <c r="AD284" s="34">
        <f t="shared" si="582"/>
        <v>0</v>
      </c>
      <c r="AE284" s="34">
        <f t="shared" si="582"/>
        <v>0</v>
      </c>
      <c r="AF284" s="34">
        <f t="shared" si="582"/>
        <v>0</v>
      </c>
      <c r="AG284" s="34">
        <f t="shared" si="582"/>
        <v>0</v>
      </c>
      <c r="AH284" s="34">
        <f t="shared" si="582"/>
        <v>0</v>
      </c>
      <c r="AI284" s="34">
        <f t="shared" si="582"/>
        <v>0</v>
      </c>
      <c r="AJ284" s="34">
        <f t="shared" si="582"/>
        <v>0</v>
      </c>
      <c r="AK284" s="34">
        <f t="shared" si="582"/>
        <v>0</v>
      </c>
      <c r="AL284" s="34">
        <f t="shared" si="582"/>
        <v>0</v>
      </c>
      <c r="AM284" s="34">
        <f t="shared" si="582"/>
        <v>0</v>
      </c>
      <c r="AN284" s="34">
        <f t="shared" si="582"/>
        <v>0</v>
      </c>
      <c r="AO284" s="34">
        <f t="shared" si="582"/>
        <v>0</v>
      </c>
      <c r="AP284" s="34">
        <f t="shared" si="582"/>
        <v>0</v>
      </c>
      <c r="AQ284" s="34">
        <f t="shared" si="582"/>
        <v>0</v>
      </c>
      <c r="AR284" s="34">
        <f t="shared" si="582"/>
        <v>0</v>
      </c>
      <c r="AS284" s="34">
        <f t="shared" si="582"/>
        <v>0</v>
      </c>
      <c r="AT284" s="34">
        <f t="shared" si="582"/>
        <v>0</v>
      </c>
      <c r="AU284" s="34">
        <f t="shared" si="582"/>
        <v>0</v>
      </c>
      <c r="AV284" s="34">
        <f t="shared" si="582"/>
        <v>0</v>
      </c>
      <c r="AW284" s="34">
        <f t="shared" si="582"/>
        <v>0</v>
      </c>
      <c r="AX284" s="34">
        <f t="shared" si="582"/>
        <v>0</v>
      </c>
      <c r="AY284" s="34">
        <f t="shared" si="582"/>
        <v>0</v>
      </c>
      <c r="AZ284" s="34">
        <f t="shared" si="582"/>
        <v>0</v>
      </c>
      <c r="BA284" s="34">
        <f t="shared" si="582"/>
        <v>0</v>
      </c>
      <c r="BB284" s="34">
        <f t="shared" si="582"/>
        <v>0</v>
      </c>
      <c r="BC284" s="34">
        <f t="shared" si="582"/>
        <v>0</v>
      </c>
      <c r="BD284" s="34">
        <f t="shared" si="582"/>
        <v>0</v>
      </c>
      <c r="BE284" s="34">
        <f t="shared" si="582"/>
        <v>0</v>
      </c>
      <c r="BF284" s="34">
        <f t="shared" si="582"/>
        <v>0</v>
      </c>
      <c r="BG284" s="34">
        <f t="shared" si="582"/>
        <v>0</v>
      </c>
      <c r="BH284" s="34">
        <f t="shared" si="582"/>
        <v>0</v>
      </c>
      <c r="BI284" s="34">
        <f t="shared" si="582"/>
        <v>0</v>
      </c>
      <c r="BJ284" s="34">
        <f t="shared" si="582"/>
        <v>0</v>
      </c>
      <c r="BK284" s="34">
        <f t="shared" si="582"/>
        <v>0</v>
      </c>
      <c r="BL284" s="34">
        <f t="shared" si="582"/>
        <v>0</v>
      </c>
      <c r="BM284" s="34">
        <f t="shared" si="582"/>
        <v>0</v>
      </c>
      <c r="BN284" s="34">
        <f t="shared" si="582"/>
        <v>0</v>
      </c>
      <c r="BO284" s="34">
        <f t="shared" si="582"/>
        <v>0</v>
      </c>
      <c r="BP284" s="34">
        <f t="shared" si="582"/>
        <v>0</v>
      </c>
      <c r="BQ284" s="34">
        <f t="shared" si="582"/>
        <v>0</v>
      </c>
      <c r="BR284" s="34">
        <f t="shared" si="582"/>
        <v>0</v>
      </c>
      <c r="BS284" s="34">
        <f t="shared" si="582"/>
        <v>0</v>
      </c>
      <c r="BT284" s="34">
        <f t="shared" si="582"/>
        <v>0</v>
      </c>
      <c r="BU284" s="34">
        <f t="shared" si="582"/>
        <v>0</v>
      </c>
      <c r="BV284" s="34">
        <f t="shared" ref="BV284:EG284" si="583">ROUND(SUM(SUMPRODUCT($E$2:$E$37,BV$2:BV$37)),0)</f>
        <v>0</v>
      </c>
      <c r="BW284" s="34">
        <f t="shared" si="583"/>
        <v>0</v>
      </c>
      <c r="BX284" s="34">
        <f t="shared" si="583"/>
        <v>0</v>
      </c>
      <c r="BY284" s="34">
        <f t="shared" si="583"/>
        <v>0</v>
      </c>
      <c r="BZ284" s="34">
        <f t="shared" si="583"/>
        <v>0</v>
      </c>
      <c r="CA284" s="34">
        <f t="shared" si="583"/>
        <v>0</v>
      </c>
      <c r="CB284" s="34">
        <f t="shared" si="583"/>
        <v>0</v>
      </c>
      <c r="CC284" s="34">
        <f t="shared" si="583"/>
        <v>0</v>
      </c>
      <c r="CD284" s="34">
        <f t="shared" si="583"/>
        <v>0</v>
      </c>
      <c r="CE284" s="34">
        <f t="shared" si="583"/>
        <v>0</v>
      </c>
      <c r="CF284" s="34">
        <f t="shared" si="583"/>
        <v>0</v>
      </c>
      <c r="CG284" s="34">
        <f t="shared" si="583"/>
        <v>0</v>
      </c>
      <c r="CH284" s="34">
        <f t="shared" si="583"/>
        <v>0</v>
      </c>
      <c r="CI284" s="34">
        <f t="shared" si="583"/>
        <v>0</v>
      </c>
      <c r="CJ284" s="34">
        <f t="shared" si="583"/>
        <v>0</v>
      </c>
      <c r="CK284" s="34">
        <f t="shared" si="583"/>
        <v>0</v>
      </c>
      <c r="CL284" s="34">
        <f t="shared" si="583"/>
        <v>0</v>
      </c>
      <c r="CM284" s="34">
        <f t="shared" si="583"/>
        <v>0</v>
      </c>
      <c r="CN284" s="34">
        <f t="shared" si="583"/>
        <v>0</v>
      </c>
      <c r="CO284" s="34">
        <f t="shared" si="583"/>
        <v>0</v>
      </c>
      <c r="CP284" s="34">
        <f t="shared" si="583"/>
        <v>0</v>
      </c>
      <c r="CQ284" s="34">
        <f t="shared" si="583"/>
        <v>0</v>
      </c>
      <c r="CR284" s="34">
        <f t="shared" si="583"/>
        <v>0</v>
      </c>
      <c r="CS284" s="34">
        <f t="shared" si="583"/>
        <v>0</v>
      </c>
      <c r="CT284" s="34">
        <f t="shared" si="583"/>
        <v>0</v>
      </c>
      <c r="CU284" s="34">
        <f t="shared" si="583"/>
        <v>0</v>
      </c>
      <c r="CV284" s="34">
        <f t="shared" si="583"/>
        <v>0</v>
      </c>
      <c r="CW284" s="34">
        <f t="shared" si="583"/>
        <v>0</v>
      </c>
      <c r="CX284" s="34">
        <f t="shared" si="583"/>
        <v>0</v>
      </c>
      <c r="CY284" s="34">
        <f t="shared" si="583"/>
        <v>0</v>
      </c>
      <c r="CZ284" s="34">
        <f t="shared" si="583"/>
        <v>0</v>
      </c>
      <c r="DA284" s="34">
        <f t="shared" si="583"/>
        <v>0</v>
      </c>
      <c r="DB284" s="34">
        <f t="shared" si="583"/>
        <v>0</v>
      </c>
      <c r="DC284" s="34">
        <f t="shared" si="583"/>
        <v>0</v>
      </c>
      <c r="DD284" s="34">
        <f t="shared" si="583"/>
        <v>0</v>
      </c>
      <c r="DE284" s="34">
        <f t="shared" si="583"/>
        <v>0</v>
      </c>
      <c r="DF284" s="34">
        <f t="shared" si="583"/>
        <v>0</v>
      </c>
      <c r="DG284" s="34">
        <f t="shared" si="583"/>
        <v>0</v>
      </c>
      <c r="DH284" s="34">
        <f t="shared" si="583"/>
        <v>0</v>
      </c>
      <c r="DI284" s="34">
        <f t="shared" si="583"/>
        <v>0</v>
      </c>
      <c r="DJ284" s="34">
        <f t="shared" si="583"/>
        <v>0</v>
      </c>
      <c r="DK284" s="34">
        <f t="shared" si="583"/>
        <v>0</v>
      </c>
      <c r="DL284" s="34">
        <f t="shared" si="583"/>
        <v>0</v>
      </c>
      <c r="DM284" s="34">
        <f t="shared" si="583"/>
        <v>0</v>
      </c>
      <c r="DN284" s="34">
        <f t="shared" si="583"/>
        <v>0</v>
      </c>
      <c r="DO284" s="34">
        <f t="shared" si="583"/>
        <v>0</v>
      </c>
      <c r="DP284" s="34">
        <f t="shared" si="583"/>
        <v>0</v>
      </c>
      <c r="DQ284" s="34">
        <f t="shared" si="583"/>
        <v>0</v>
      </c>
      <c r="DR284" s="34">
        <f t="shared" si="583"/>
        <v>0</v>
      </c>
      <c r="DS284" s="34">
        <f t="shared" si="583"/>
        <v>0</v>
      </c>
      <c r="DT284" s="34">
        <f t="shared" si="583"/>
        <v>0</v>
      </c>
      <c r="DU284" s="34">
        <f t="shared" si="583"/>
        <v>0</v>
      </c>
      <c r="DV284" s="34">
        <f t="shared" si="583"/>
        <v>0</v>
      </c>
      <c r="DW284" s="34">
        <f t="shared" si="583"/>
        <v>0</v>
      </c>
      <c r="DX284" s="34">
        <f t="shared" si="583"/>
        <v>0</v>
      </c>
      <c r="DY284" s="34">
        <f t="shared" si="583"/>
        <v>0</v>
      </c>
      <c r="DZ284" s="34">
        <f t="shared" si="583"/>
        <v>0</v>
      </c>
      <c r="EA284" s="34">
        <f t="shared" si="583"/>
        <v>0</v>
      </c>
      <c r="EB284" s="34">
        <f t="shared" si="583"/>
        <v>0</v>
      </c>
      <c r="EC284" s="34">
        <f t="shared" si="583"/>
        <v>0</v>
      </c>
      <c r="ED284" s="34">
        <f t="shared" si="583"/>
        <v>0</v>
      </c>
      <c r="EE284" s="34">
        <f t="shared" si="583"/>
        <v>0</v>
      </c>
      <c r="EF284" s="34">
        <f t="shared" si="583"/>
        <v>0</v>
      </c>
      <c r="EG284" s="34">
        <f t="shared" si="583"/>
        <v>0</v>
      </c>
      <c r="EH284" s="34">
        <f t="shared" ref="EH284:GS284" si="584">ROUND(SUM(SUMPRODUCT($E$2:$E$37,EH$2:EH$37)),0)</f>
        <v>0</v>
      </c>
      <c r="EI284" s="34">
        <f t="shared" si="584"/>
        <v>0</v>
      </c>
      <c r="EJ284" s="34">
        <f t="shared" si="584"/>
        <v>0</v>
      </c>
      <c r="EK284" s="34">
        <f t="shared" si="584"/>
        <v>0</v>
      </c>
      <c r="EL284" s="34">
        <f t="shared" si="584"/>
        <v>0</v>
      </c>
      <c r="EM284" s="34">
        <f t="shared" si="584"/>
        <v>0</v>
      </c>
      <c r="EN284" s="34">
        <f t="shared" si="584"/>
        <v>0</v>
      </c>
      <c r="EO284" s="34">
        <f t="shared" si="584"/>
        <v>0</v>
      </c>
      <c r="EP284" s="34">
        <f t="shared" si="584"/>
        <v>0</v>
      </c>
      <c r="EQ284" s="34">
        <f t="shared" si="584"/>
        <v>0</v>
      </c>
      <c r="ER284" s="34">
        <f t="shared" si="584"/>
        <v>0</v>
      </c>
      <c r="ES284" s="34">
        <f t="shared" si="584"/>
        <v>0</v>
      </c>
      <c r="ET284" s="34">
        <f t="shared" si="584"/>
        <v>0</v>
      </c>
      <c r="EU284" s="34">
        <f t="shared" si="584"/>
        <v>0</v>
      </c>
      <c r="EV284" s="34">
        <f t="shared" si="584"/>
        <v>0</v>
      </c>
      <c r="EW284" s="34">
        <f t="shared" si="584"/>
        <v>0</v>
      </c>
      <c r="EX284" s="34">
        <f t="shared" si="584"/>
        <v>0</v>
      </c>
      <c r="EY284" s="34">
        <f t="shared" si="584"/>
        <v>0</v>
      </c>
      <c r="EZ284" s="34">
        <f t="shared" si="584"/>
        <v>0</v>
      </c>
      <c r="FA284" s="34">
        <f t="shared" si="584"/>
        <v>0</v>
      </c>
      <c r="FB284" s="34">
        <f t="shared" si="584"/>
        <v>0</v>
      </c>
      <c r="FC284" s="34">
        <f t="shared" si="584"/>
        <v>0</v>
      </c>
      <c r="FD284" s="34">
        <f t="shared" si="584"/>
        <v>0</v>
      </c>
      <c r="FE284" s="34">
        <f t="shared" si="584"/>
        <v>0</v>
      </c>
      <c r="FF284" s="34">
        <f t="shared" si="584"/>
        <v>0</v>
      </c>
      <c r="FG284" s="34">
        <f t="shared" si="584"/>
        <v>0</v>
      </c>
      <c r="FH284" s="34">
        <f t="shared" si="584"/>
        <v>0</v>
      </c>
      <c r="FI284" s="34">
        <f t="shared" si="584"/>
        <v>0</v>
      </c>
      <c r="FJ284" s="34">
        <f t="shared" si="584"/>
        <v>0</v>
      </c>
      <c r="FK284" s="34">
        <f t="shared" si="584"/>
        <v>0</v>
      </c>
      <c r="FL284" s="34">
        <f t="shared" si="584"/>
        <v>0</v>
      </c>
      <c r="FM284" s="34">
        <f t="shared" si="584"/>
        <v>0</v>
      </c>
      <c r="FN284" s="34">
        <f t="shared" si="584"/>
        <v>0</v>
      </c>
      <c r="FO284" s="34">
        <f t="shared" si="584"/>
        <v>0</v>
      </c>
      <c r="FP284" s="34">
        <f t="shared" si="584"/>
        <v>0</v>
      </c>
      <c r="FQ284" s="34">
        <f t="shared" si="584"/>
        <v>0</v>
      </c>
      <c r="FR284" s="34">
        <f t="shared" si="584"/>
        <v>0</v>
      </c>
      <c r="FS284" s="34">
        <f t="shared" si="584"/>
        <v>0</v>
      </c>
      <c r="FT284" s="34">
        <f t="shared" si="584"/>
        <v>0</v>
      </c>
      <c r="FU284" s="34">
        <f t="shared" si="584"/>
        <v>0</v>
      </c>
      <c r="FV284" s="34">
        <f t="shared" si="584"/>
        <v>0</v>
      </c>
      <c r="FW284" s="34">
        <f t="shared" si="584"/>
        <v>0</v>
      </c>
      <c r="FX284" s="34">
        <f t="shared" si="584"/>
        <v>0</v>
      </c>
      <c r="FY284" s="34">
        <f t="shared" si="584"/>
        <v>0</v>
      </c>
      <c r="FZ284" s="34">
        <f t="shared" si="584"/>
        <v>0</v>
      </c>
      <c r="GA284" s="34">
        <f t="shared" si="584"/>
        <v>0</v>
      </c>
      <c r="GB284" s="34">
        <f t="shared" si="584"/>
        <v>0</v>
      </c>
      <c r="GC284" s="34">
        <f t="shared" si="584"/>
        <v>0</v>
      </c>
      <c r="GD284" s="34">
        <f t="shared" si="584"/>
        <v>0</v>
      </c>
      <c r="GE284" s="34">
        <f t="shared" si="584"/>
        <v>0</v>
      </c>
      <c r="GF284" s="34">
        <f t="shared" si="584"/>
        <v>0</v>
      </c>
      <c r="GG284" s="34">
        <f t="shared" si="584"/>
        <v>0</v>
      </c>
      <c r="GH284" s="34">
        <f t="shared" si="584"/>
        <v>0</v>
      </c>
      <c r="GI284" s="34">
        <f t="shared" si="584"/>
        <v>0</v>
      </c>
      <c r="GJ284" s="34">
        <f t="shared" si="584"/>
        <v>0</v>
      </c>
      <c r="GK284" s="34">
        <f t="shared" si="584"/>
        <v>0</v>
      </c>
      <c r="GL284" s="34">
        <f t="shared" si="584"/>
        <v>0</v>
      </c>
      <c r="GM284" s="34">
        <f t="shared" si="584"/>
        <v>0</v>
      </c>
      <c r="GN284" s="34">
        <f t="shared" si="584"/>
        <v>0</v>
      </c>
      <c r="GO284" s="34">
        <f t="shared" si="584"/>
        <v>0</v>
      </c>
      <c r="GP284" s="34">
        <f t="shared" si="584"/>
        <v>0</v>
      </c>
      <c r="GQ284" s="34">
        <f t="shared" si="584"/>
        <v>0</v>
      </c>
      <c r="GR284" s="34">
        <f t="shared" si="584"/>
        <v>0</v>
      </c>
      <c r="GS284" s="34">
        <f t="shared" si="584"/>
        <v>0</v>
      </c>
      <c r="GT284" s="34">
        <f t="shared" ref="GT284:JE284" si="585">ROUND(SUM(SUMPRODUCT($E$2:$E$37,GT$2:GT$37)),0)</f>
        <v>0</v>
      </c>
      <c r="GU284" s="34">
        <f t="shared" si="585"/>
        <v>0</v>
      </c>
      <c r="GV284" s="34">
        <f t="shared" si="585"/>
        <v>0</v>
      </c>
      <c r="GW284" s="34">
        <f t="shared" si="585"/>
        <v>0</v>
      </c>
      <c r="GX284" s="34">
        <f t="shared" si="585"/>
        <v>0</v>
      </c>
      <c r="GY284" s="34">
        <f t="shared" si="585"/>
        <v>0</v>
      </c>
      <c r="GZ284" s="34">
        <f t="shared" si="585"/>
        <v>0</v>
      </c>
      <c r="HA284" s="34">
        <f t="shared" si="585"/>
        <v>0</v>
      </c>
      <c r="HB284" s="34">
        <f t="shared" si="585"/>
        <v>0</v>
      </c>
      <c r="HC284" s="34">
        <f t="shared" si="585"/>
        <v>0</v>
      </c>
      <c r="HD284" s="34">
        <f t="shared" si="585"/>
        <v>0</v>
      </c>
      <c r="HE284" s="34">
        <f t="shared" si="585"/>
        <v>0</v>
      </c>
      <c r="HF284" s="34">
        <f t="shared" si="585"/>
        <v>0</v>
      </c>
      <c r="HG284" s="34">
        <f t="shared" si="585"/>
        <v>0</v>
      </c>
      <c r="HH284" s="34">
        <f t="shared" si="585"/>
        <v>0</v>
      </c>
      <c r="HI284" s="34">
        <f t="shared" si="585"/>
        <v>0</v>
      </c>
      <c r="HJ284" s="34">
        <f t="shared" si="585"/>
        <v>0</v>
      </c>
      <c r="HK284" s="34">
        <f t="shared" si="585"/>
        <v>0</v>
      </c>
      <c r="HL284" s="34">
        <f t="shared" si="585"/>
        <v>0</v>
      </c>
      <c r="HM284" s="34">
        <f t="shared" si="585"/>
        <v>0</v>
      </c>
      <c r="HN284" s="34">
        <f t="shared" si="585"/>
        <v>0</v>
      </c>
      <c r="HO284" s="34">
        <f t="shared" si="585"/>
        <v>0</v>
      </c>
      <c r="HP284" s="34">
        <f t="shared" si="585"/>
        <v>0</v>
      </c>
      <c r="HQ284" s="34">
        <f t="shared" si="585"/>
        <v>0</v>
      </c>
      <c r="HR284" s="34">
        <f t="shared" si="585"/>
        <v>0</v>
      </c>
      <c r="HS284" s="34">
        <f t="shared" si="585"/>
        <v>0</v>
      </c>
      <c r="HT284" s="34">
        <f t="shared" si="585"/>
        <v>0</v>
      </c>
      <c r="HU284" s="34">
        <f t="shared" si="585"/>
        <v>0</v>
      </c>
      <c r="HV284" s="34">
        <f t="shared" si="585"/>
        <v>0</v>
      </c>
      <c r="HW284" s="34">
        <f t="shared" si="585"/>
        <v>0</v>
      </c>
      <c r="HX284" s="34">
        <f t="shared" si="585"/>
        <v>0</v>
      </c>
      <c r="HY284" s="34">
        <f t="shared" si="585"/>
        <v>0</v>
      </c>
      <c r="HZ284" s="34">
        <f t="shared" si="585"/>
        <v>0</v>
      </c>
      <c r="IA284" s="34">
        <f t="shared" si="585"/>
        <v>0</v>
      </c>
      <c r="IB284" s="34">
        <f t="shared" si="585"/>
        <v>0</v>
      </c>
      <c r="IC284" s="34">
        <f t="shared" si="585"/>
        <v>0</v>
      </c>
      <c r="ID284" s="34">
        <f t="shared" si="585"/>
        <v>0</v>
      </c>
      <c r="IE284" s="34">
        <f t="shared" si="585"/>
        <v>0</v>
      </c>
      <c r="IF284" s="34">
        <f t="shared" si="585"/>
        <v>0</v>
      </c>
      <c r="IG284" s="34">
        <f t="shared" si="585"/>
        <v>0</v>
      </c>
      <c r="IH284" s="34">
        <f t="shared" si="585"/>
        <v>0</v>
      </c>
      <c r="II284" s="34">
        <f t="shared" si="585"/>
        <v>0</v>
      </c>
      <c r="IJ284" s="34">
        <f t="shared" si="585"/>
        <v>0</v>
      </c>
      <c r="IK284" s="34">
        <f t="shared" si="585"/>
        <v>0</v>
      </c>
      <c r="IL284" s="34">
        <f t="shared" si="585"/>
        <v>0</v>
      </c>
      <c r="IM284" s="34">
        <f t="shared" si="585"/>
        <v>0</v>
      </c>
      <c r="IN284" s="34">
        <f t="shared" si="585"/>
        <v>0</v>
      </c>
      <c r="IO284" s="34">
        <f t="shared" si="585"/>
        <v>0</v>
      </c>
      <c r="IP284" s="34">
        <f t="shared" si="585"/>
        <v>0</v>
      </c>
      <c r="IQ284" s="34">
        <f t="shared" si="585"/>
        <v>0</v>
      </c>
      <c r="IR284" s="34">
        <f t="shared" si="585"/>
        <v>0</v>
      </c>
      <c r="IS284" s="34">
        <f t="shared" si="585"/>
        <v>0</v>
      </c>
      <c r="IT284" s="34">
        <f t="shared" si="585"/>
        <v>0</v>
      </c>
      <c r="IU284" s="34">
        <f t="shared" si="585"/>
        <v>0</v>
      </c>
      <c r="IV284" s="34">
        <f t="shared" si="585"/>
        <v>0</v>
      </c>
      <c r="IW284" s="34">
        <f t="shared" si="585"/>
        <v>0</v>
      </c>
      <c r="IX284" s="34">
        <f t="shared" si="585"/>
        <v>0</v>
      </c>
      <c r="IY284" s="34">
        <f t="shared" si="585"/>
        <v>0</v>
      </c>
      <c r="IZ284" s="34">
        <f t="shared" si="585"/>
        <v>0</v>
      </c>
      <c r="JA284" s="34">
        <f t="shared" si="585"/>
        <v>0</v>
      </c>
      <c r="JB284" s="34">
        <f t="shared" si="585"/>
        <v>0</v>
      </c>
      <c r="JC284" s="34">
        <f t="shared" si="585"/>
        <v>0</v>
      </c>
      <c r="JD284" s="34">
        <f t="shared" si="585"/>
        <v>0</v>
      </c>
      <c r="JE284" s="34">
        <f t="shared" si="585"/>
        <v>0</v>
      </c>
      <c r="JF284" s="34">
        <f t="shared" ref="JF284:LQ284" si="586">ROUND(SUM(SUMPRODUCT($E$2:$E$37,JF$2:JF$37)),0)</f>
        <v>0</v>
      </c>
      <c r="JG284" s="34">
        <f t="shared" si="586"/>
        <v>0</v>
      </c>
      <c r="JH284" s="34">
        <f t="shared" si="586"/>
        <v>0</v>
      </c>
      <c r="JI284" s="34">
        <f t="shared" si="586"/>
        <v>0</v>
      </c>
      <c r="JJ284" s="34">
        <f t="shared" si="586"/>
        <v>0</v>
      </c>
      <c r="JK284" s="34">
        <f t="shared" si="586"/>
        <v>0</v>
      </c>
      <c r="JL284" s="34">
        <f t="shared" si="586"/>
        <v>0</v>
      </c>
      <c r="JM284" s="34">
        <f t="shared" si="586"/>
        <v>0</v>
      </c>
      <c r="JN284" s="34">
        <f t="shared" si="586"/>
        <v>0</v>
      </c>
      <c r="JO284" s="34">
        <f t="shared" si="586"/>
        <v>0</v>
      </c>
      <c r="JP284" s="34">
        <f t="shared" si="586"/>
        <v>0</v>
      </c>
      <c r="JQ284" s="34">
        <f t="shared" si="586"/>
        <v>0</v>
      </c>
      <c r="JR284" s="34">
        <f t="shared" si="586"/>
        <v>0</v>
      </c>
      <c r="JS284" s="34">
        <f t="shared" si="586"/>
        <v>0</v>
      </c>
      <c r="JT284" s="34">
        <f t="shared" si="586"/>
        <v>0</v>
      </c>
      <c r="JU284" s="34">
        <f t="shared" si="586"/>
        <v>0</v>
      </c>
      <c r="JV284" s="34">
        <f t="shared" si="586"/>
        <v>0</v>
      </c>
      <c r="JW284" s="34">
        <f t="shared" si="586"/>
        <v>0</v>
      </c>
      <c r="JX284" s="34">
        <f t="shared" si="586"/>
        <v>0</v>
      </c>
      <c r="JY284" s="34">
        <f t="shared" si="586"/>
        <v>0</v>
      </c>
      <c r="JZ284" s="34">
        <f t="shared" si="586"/>
        <v>0</v>
      </c>
      <c r="KA284" s="34">
        <f t="shared" si="586"/>
        <v>0</v>
      </c>
      <c r="KB284" s="34">
        <f t="shared" si="586"/>
        <v>0</v>
      </c>
      <c r="KC284" s="34">
        <f t="shared" si="586"/>
        <v>0</v>
      </c>
      <c r="KD284" s="34">
        <f t="shared" si="586"/>
        <v>0</v>
      </c>
      <c r="KE284" s="34">
        <f t="shared" si="586"/>
        <v>0</v>
      </c>
      <c r="KF284" s="34">
        <f t="shared" si="586"/>
        <v>0</v>
      </c>
      <c r="KG284" s="34">
        <f t="shared" si="586"/>
        <v>0</v>
      </c>
      <c r="KH284" s="34">
        <f t="shared" si="586"/>
        <v>0</v>
      </c>
      <c r="KI284" s="34">
        <f t="shared" si="586"/>
        <v>0</v>
      </c>
      <c r="KJ284" s="34">
        <f t="shared" si="586"/>
        <v>0</v>
      </c>
      <c r="KK284" s="34">
        <f t="shared" si="586"/>
        <v>0</v>
      </c>
      <c r="KL284" s="34">
        <f t="shared" si="586"/>
        <v>0</v>
      </c>
      <c r="KM284" s="34">
        <f t="shared" si="586"/>
        <v>0</v>
      </c>
      <c r="KN284" s="34">
        <f t="shared" si="586"/>
        <v>0</v>
      </c>
      <c r="KO284" s="34">
        <f t="shared" si="586"/>
        <v>0</v>
      </c>
      <c r="KP284" s="34">
        <f t="shared" si="586"/>
        <v>0</v>
      </c>
      <c r="KQ284" s="34">
        <f t="shared" si="586"/>
        <v>0</v>
      </c>
      <c r="KR284" s="34">
        <f t="shared" si="586"/>
        <v>0</v>
      </c>
      <c r="KS284" s="34">
        <f t="shared" si="586"/>
        <v>0</v>
      </c>
      <c r="KT284" s="34">
        <f t="shared" si="586"/>
        <v>0</v>
      </c>
      <c r="KU284" s="34">
        <f t="shared" si="586"/>
        <v>0</v>
      </c>
      <c r="KV284" s="34">
        <f t="shared" si="586"/>
        <v>0</v>
      </c>
      <c r="KW284" s="34">
        <f t="shared" si="586"/>
        <v>0</v>
      </c>
      <c r="KX284" s="34">
        <f t="shared" si="586"/>
        <v>0</v>
      </c>
      <c r="KY284" s="34">
        <f t="shared" si="586"/>
        <v>0</v>
      </c>
      <c r="KZ284" s="34">
        <f t="shared" si="586"/>
        <v>0</v>
      </c>
      <c r="LA284" s="34">
        <f t="shared" si="586"/>
        <v>0</v>
      </c>
      <c r="LB284" s="34">
        <f t="shared" si="586"/>
        <v>0</v>
      </c>
      <c r="LC284" s="34">
        <f t="shared" si="586"/>
        <v>0</v>
      </c>
      <c r="LD284" s="34">
        <f t="shared" si="586"/>
        <v>0</v>
      </c>
      <c r="LE284" s="34">
        <f t="shared" si="586"/>
        <v>0</v>
      </c>
      <c r="LF284" s="34">
        <f t="shared" si="586"/>
        <v>0</v>
      </c>
      <c r="LG284" s="34">
        <f t="shared" si="586"/>
        <v>0</v>
      </c>
      <c r="LH284" s="34">
        <f t="shared" si="586"/>
        <v>0</v>
      </c>
      <c r="LI284" s="34">
        <f t="shared" si="586"/>
        <v>0</v>
      </c>
      <c r="LJ284" s="34">
        <f t="shared" si="586"/>
        <v>0</v>
      </c>
      <c r="LK284" s="34">
        <f t="shared" si="586"/>
        <v>0</v>
      </c>
      <c r="LL284" s="34">
        <f t="shared" si="586"/>
        <v>0</v>
      </c>
      <c r="LM284" s="34">
        <f t="shared" si="586"/>
        <v>0</v>
      </c>
      <c r="LN284" s="34">
        <f t="shared" si="586"/>
        <v>0</v>
      </c>
      <c r="LO284" s="34">
        <f t="shared" si="586"/>
        <v>0</v>
      </c>
      <c r="LP284" s="34">
        <f t="shared" si="586"/>
        <v>0</v>
      </c>
      <c r="LQ284" s="34">
        <f t="shared" si="586"/>
        <v>0</v>
      </c>
      <c r="LR284" s="34">
        <f t="shared" ref="LR284:OC284" si="587">ROUND(SUM(SUMPRODUCT($E$2:$E$37,LR$2:LR$37)),0)</f>
        <v>0</v>
      </c>
      <c r="LS284" s="34">
        <f t="shared" si="587"/>
        <v>0</v>
      </c>
      <c r="LT284" s="34">
        <f t="shared" si="587"/>
        <v>0</v>
      </c>
      <c r="LU284" s="34">
        <f t="shared" si="587"/>
        <v>0</v>
      </c>
      <c r="LV284" s="34">
        <f t="shared" si="587"/>
        <v>0</v>
      </c>
      <c r="LW284" s="34">
        <f t="shared" si="587"/>
        <v>0</v>
      </c>
      <c r="LX284" s="34">
        <f t="shared" si="587"/>
        <v>0</v>
      </c>
      <c r="LY284" s="34">
        <f t="shared" si="587"/>
        <v>0</v>
      </c>
      <c r="LZ284" s="34">
        <f t="shared" si="587"/>
        <v>0</v>
      </c>
      <c r="MA284" s="34">
        <f t="shared" si="587"/>
        <v>0</v>
      </c>
      <c r="MB284" s="34">
        <f t="shared" si="587"/>
        <v>0</v>
      </c>
      <c r="MC284" s="34">
        <f t="shared" si="587"/>
        <v>0</v>
      </c>
      <c r="MD284" s="34">
        <f t="shared" si="587"/>
        <v>0</v>
      </c>
      <c r="ME284" s="34">
        <f t="shared" si="587"/>
        <v>0</v>
      </c>
      <c r="MF284" s="34">
        <f t="shared" si="587"/>
        <v>0</v>
      </c>
      <c r="MG284" s="34">
        <f t="shared" si="587"/>
        <v>0</v>
      </c>
      <c r="MH284" s="34">
        <f t="shared" si="587"/>
        <v>0</v>
      </c>
      <c r="MI284" s="34">
        <f t="shared" si="587"/>
        <v>0</v>
      </c>
      <c r="MJ284" s="34">
        <f t="shared" si="587"/>
        <v>0</v>
      </c>
      <c r="MK284" s="34">
        <f t="shared" si="587"/>
        <v>0</v>
      </c>
      <c r="ML284" s="34">
        <f t="shared" si="587"/>
        <v>0</v>
      </c>
      <c r="MM284" s="34">
        <f t="shared" si="587"/>
        <v>0</v>
      </c>
      <c r="MN284" s="34">
        <f t="shared" si="587"/>
        <v>0</v>
      </c>
      <c r="MO284" s="34">
        <f t="shared" si="587"/>
        <v>0</v>
      </c>
      <c r="MP284" s="34">
        <f t="shared" si="587"/>
        <v>0</v>
      </c>
      <c r="MQ284" s="34">
        <f t="shared" si="587"/>
        <v>0</v>
      </c>
      <c r="MR284" s="34">
        <f t="shared" si="587"/>
        <v>0</v>
      </c>
      <c r="MS284" s="34">
        <f t="shared" si="587"/>
        <v>0</v>
      </c>
      <c r="MT284" s="34">
        <f t="shared" si="587"/>
        <v>0</v>
      </c>
      <c r="MU284" s="34">
        <f t="shared" si="587"/>
        <v>0</v>
      </c>
      <c r="MV284" s="34">
        <f t="shared" si="587"/>
        <v>0</v>
      </c>
      <c r="MW284" s="34">
        <f t="shared" si="587"/>
        <v>0</v>
      </c>
      <c r="MX284" s="34">
        <f t="shared" si="587"/>
        <v>0</v>
      </c>
      <c r="MY284" s="34">
        <f t="shared" si="587"/>
        <v>0</v>
      </c>
      <c r="MZ284" s="34">
        <f t="shared" si="587"/>
        <v>0</v>
      </c>
      <c r="NA284" s="34">
        <f t="shared" si="587"/>
        <v>0</v>
      </c>
      <c r="NB284" s="34">
        <f t="shared" si="587"/>
        <v>0</v>
      </c>
      <c r="NC284" s="34">
        <f t="shared" si="587"/>
        <v>0</v>
      </c>
      <c r="ND284" s="34">
        <f t="shared" si="587"/>
        <v>0</v>
      </c>
      <c r="NE284" s="34">
        <f t="shared" si="587"/>
        <v>0</v>
      </c>
      <c r="NF284" s="34">
        <f t="shared" si="587"/>
        <v>0</v>
      </c>
      <c r="NG284" s="34">
        <f t="shared" si="587"/>
        <v>0</v>
      </c>
      <c r="NH284" s="34">
        <f t="shared" si="587"/>
        <v>0</v>
      </c>
      <c r="NI284" s="34">
        <f t="shared" si="587"/>
        <v>0</v>
      </c>
      <c r="NJ284" s="34">
        <f t="shared" si="587"/>
        <v>0</v>
      </c>
      <c r="NK284" s="34">
        <f t="shared" si="587"/>
        <v>0</v>
      </c>
      <c r="NL284" s="34">
        <f t="shared" si="587"/>
        <v>0</v>
      </c>
      <c r="NM284" s="34">
        <f t="shared" si="587"/>
        <v>0</v>
      </c>
      <c r="NN284" s="34">
        <f t="shared" si="587"/>
        <v>0</v>
      </c>
      <c r="NO284" s="34">
        <f t="shared" si="587"/>
        <v>0</v>
      </c>
      <c r="NP284" s="34">
        <f t="shared" si="587"/>
        <v>0</v>
      </c>
      <c r="NQ284" s="34">
        <f t="shared" si="587"/>
        <v>0</v>
      </c>
      <c r="NR284" s="34">
        <f t="shared" si="587"/>
        <v>0</v>
      </c>
      <c r="NS284" s="34">
        <f t="shared" si="587"/>
        <v>0</v>
      </c>
      <c r="NT284" s="34">
        <f t="shared" si="587"/>
        <v>0</v>
      </c>
      <c r="NU284" s="34">
        <f t="shared" si="587"/>
        <v>0</v>
      </c>
      <c r="NV284" s="34">
        <f t="shared" si="587"/>
        <v>0</v>
      </c>
      <c r="NW284" s="34">
        <f t="shared" si="587"/>
        <v>0</v>
      </c>
      <c r="NX284" s="34">
        <f t="shared" si="587"/>
        <v>0</v>
      </c>
      <c r="NY284" s="34">
        <f t="shared" si="587"/>
        <v>0</v>
      </c>
      <c r="NZ284" s="34">
        <f t="shared" si="587"/>
        <v>0</v>
      </c>
      <c r="OA284" s="34">
        <f t="shared" si="587"/>
        <v>0</v>
      </c>
      <c r="OB284" s="34">
        <f t="shared" si="587"/>
        <v>0</v>
      </c>
      <c r="OC284" s="34">
        <f t="shared" si="587"/>
        <v>0</v>
      </c>
      <c r="OD284" s="34">
        <f t="shared" ref="OD284:QO284" si="588">ROUND(SUM(SUMPRODUCT($E$2:$E$37,OD$2:OD$37)),0)</f>
        <v>0</v>
      </c>
      <c r="OE284" s="34">
        <f t="shared" si="588"/>
        <v>0</v>
      </c>
      <c r="OF284" s="34">
        <f t="shared" si="588"/>
        <v>0</v>
      </c>
      <c r="OG284" s="34">
        <f t="shared" si="588"/>
        <v>0</v>
      </c>
      <c r="OH284" s="34">
        <f t="shared" si="588"/>
        <v>0</v>
      </c>
      <c r="OI284" s="34">
        <f t="shared" si="588"/>
        <v>0</v>
      </c>
      <c r="OJ284" s="34">
        <f t="shared" si="588"/>
        <v>0</v>
      </c>
      <c r="OK284" s="34">
        <f t="shared" si="588"/>
        <v>0</v>
      </c>
      <c r="OL284" s="34">
        <f t="shared" si="588"/>
        <v>0</v>
      </c>
      <c r="OM284" s="34">
        <f t="shared" si="588"/>
        <v>0</v>
      </c>
      <c r="ON284" s="34">
        <f t="shared" si="588"/>
        <v>0</v>
      </c>
      <c r="OO284" s="34">
        <f t="shared" si="588"/>
        <v>0</v>
      </c>
      <c r="OP284" s="34">
        <f t="shared" si="588"/>
        <v>0</v>
      </c>
      <c r="OQ284" s="34">
        <f t="shared" si="588"/>
        <v>0</v>
      </c>
      <c r="OR284" s="34">
        <f t="shared" si="588"/>
        <v>0</v>
      </c>
      <c r="OS284" s="34">
        <f t="shared" si="588"/>
        <v>0</v>
      </c>
      <c r="OT284" s="34">
        <f t="shared" si="588"/>
        <v>0</v>
      </c>
      <c r="OU284" s="34">
        <f t="shared" si="588"/>
        <v>0</v>
      </c>
      <c r="OV284" s="34">
        <f t="shared" si="588"/>
        <v>0</v>
      </c>
      <c r="OW284" s="34">
        <f t="shared" si="588"/>
        <v>0</v>
      </c>
      <c r="OX284" s="34">
        <f t="shared" si="588"/>
        <v>0</v>
      </c>
      <c r="OY284" s="34">
        <f t="shared" si="588"/>
        <v>0</v>
      </c>
      <c r="OZ284" s="34">
        <f t="shared" si="588"/>
        <v>0</v>
      </c>
      <c r="PA284" s="34">
        <f t="shared" si="588"/>
        <v>0</v>
      </c>
      <c r="PB284" s="34">
        <f t="shared" si="588"/>
        <v>0</v>
      </c>
      <c r="PC284" s="34">
        <f t="shared" si="588"/>
        <v>0</v>
      </c>
      <c r="PD284" s="34">
        <f t="shared" si="588"/>
        <v>0</v>
      </c>
      <c r="PE284" s="34">
        <f t="shared" si="588"/>
        <v>0</v>
      </c>
      <c r="PF284" s="34">
        <f t="shared" si="588"/>
        <v>0</v>
      </c>
      <c r="PG284" s="34">
        <f t="shared" si="588"/>
        <v>0</v>
      </c>
      <c r="PH284" s="34">
        <f t="shared" si="588"/>
        <v>0</v>
      </c>
      <c r="PI284" s="34">
        <f t="shared" si="588"/>
        <v>0</v>
      </c>
      <c r="PJ284" s="34">
        <f t="shared" si="588"/>
        <v>0</v>
      </c>
      <c r="PK284" s="34">
        <f t="shared" si="588"/>
        <v>0</v>
      </c>
      <c r="PL284" s="34">
        <f t="shared" si="588"/>
        <v>0</v>
      </c>
      <c r="PM284" s="34">
        <f t="shared" si="588"/>
        <v>0</v>
      </c>
      <c r="PN284" s="34">
        <f t="shared" si="588"/>
        <v>0</v>
      </c>
      <c r="PO284" s="34">
        <f t="shared" si="588"/>
        <v>0</v>
      </c>
      <c r="PP284" s="34">
        <f t="shared" si="588"/>
        <v>0</v>
      </c>
      <c r="PQ284" s="34">
        <f t="shared" si="588"/>
        <v>0</v>
      </c>
      <c r="PR284" s="34">
        <f t="shared" si="588"/>
        <v>0</v>
      </c>
      <c r="PS284" s="34">
        <f t="shared" si="588"/>
        <v>0</v>
      </c>
      <c r="PT284" s="34">
        <f t="shared" si="588"/>
        <v>0</v>
      </c>
      <c r="PU284" s="34">
        <f t="shared" si="588"/>
        <v>0</v>
      </c>
      <c r="PV284" s="34">
        <f t="shared" si="588"/>
        <v>0</v>
      </c>
      <c r="PW284" s="34">
        <f t="shared" si="588"/>
        <v>0</v>
      </c>
      <c r="PX284" s="34">
        <f t="shared" si="588"/>
        <v>0</v>
      </c>
      <c r="PY284" s="34">
        <f t="shared" si="588"/>
        <v>0</v>
      </c>
      <c r="PZ284" s="34">
        <f t="shared" si="588"/>
        <v>0</v>
      </c>
      <c r="QA284" s="34">
        <f t="shared" si="588"/>
        <v>0</v>
      </c>
      <c r="QB284" s="34">
        <f t="shared" si="588"/>
        <v>0</v>
      </c>
      <c r="QC284" s="34">
        <f t="shared" si="588"/>
        <v>0</v>
      </c>
      <c r="QD284" s="34">
        <f t="shared" si="588"/>
        <v>0</v>
      </c>
      <c r="QE284" s="34">
        <f t="shared" si="588"/>
        <v>0</v>
      </c>
      <c r="QF284" s="34">
        <f t="shared" si="588"/>
        <v>0</v>
      </c>
      <c r="QG284" s="34">
        <f t="shared" si="588"/>
        <v>0</v>
      </c>
      <c r="QH284" s="34">
        <f t="shared" si="588"/>
        <v>0</v>
      </c>
      <c r="QI284" s="34">
        <f t="shared" si="588"/>
        <v>0</v>
      </c>
      <c r="QJ284" s="34">
        <f t="shared" si="588"/>
        <v>0</v>
      </c>
      <c r="QK284" s="34">
        <f t="shared" si="588"/>
        <v>0</v>
      </c>
      <c r="QL284" s="34">
        <f t="shared" si="588"/>
        <v>0</v>
      </c>
      <c r="QM284" s="34">
        <f t="shared" si="588"/>
        <v>0</v>
      </c>
      <c r="QN284" s="34">
        <f t="shared" si="588"/>
        <v>0</v>
      </c>
      <c r="QO284" s="34">
        <f t="shared" si="588"/>
        <v>0</v>
      </c>
      <c r="QP284" s="34">
        <f t="shared" ref="QP284:TA284" si="589">ROUND(SUM(SUMPRODUCT($E$2:$E$37,QP$2:QP$37)),0)</f>
        <v>0</v>
      </c>
      <c r="QQ284" s="34">
        <f t="shared" si="589"/>
        <v>0</v>
      </c>
      <c r="QR284" s="34">
        <f t="shared" si="589"/>
        <v>0</v>
      </c>
      <c r="QS284" s="34">
        <f t="shared" si="589"/>
        <v>0</v>
      </c>
      <c r="QT284" s="34">
        <f t="shared" si="589"/>
        <v>0</v>
      </c>
      <c r="QU284" s="34">
        <f t="shared" si="589"/>
        <v>0</v>
      </c>
      <c r="QV284" s="34">
        <f t="shared" si="589"/>
        <v>0</v>
      </c>
      <c r="QW284" s="34">
        <f t="shared" si="589"/>
        <v>0</v>
      </c>
      <c r="QX284" s="34">
        <f t="shared" si="589"/>
        <v>0</v>
      </c>
      <c r="QY284" s="34">
        <f t="shared" si="589"/>
        <v>0</v>
      </c>
      <c r="QZ284" s="34">
        <f t="shared" si="589"/>
        <v>0</v>
      </c>
      <c r="RA284" s="34">
        <f t="shared" si="589"/>
        <v>0</v>
      </c>
      <c r="RB284" s="34">
        <f t="shared" si="589"/>
        <v>0</v>
      </c>
      <c r="RC284" s="34">
        <f t="shared" si="589"/>
        <v>0</v>
      </c>
      <c r="RD284" s="34">
        <f t="shared" si="589"/>
        <v>0</v>
      </c>
      <c r="RE284" s="34">
        <f t="shared" si="589"/>
        <v>0</v>
      </c>
      <c r="RF284" s="34">
        <f t="shared" si="589"/>
        <v>0</v>
      </c>
      <c r="RG284" s="34">
        <f t="shared" si="589"/>
        <v>0</v>
      </c>
      <c r="RH284" s="34">
        <f t="shared" si="589"/>
        <v>0</v>
      </c>
      <c r="RI284" s="34">
        <f t="shared" si="589"/>
        <v>0</v>
      </c>
      <c r="RJ284" s="34">
        <f t="shared" si="589"/>
        <v>0</v>
      </c>
      <c r="RK284" s="34">
        <f t="shared" si="589"/>
        <v>0</v>
      </c>
      <c r="RL284" s="34">
        <f t="shared" si="589"/>
        <v>0</v>
      </c>
      <c r="RM284" s="34">
        <f t="shared" si="589"/>
        <v>0</v>
      </c>
      <c r="RN284" s="34">
        <f t="shared" si="589"/>
        <v>0</v>
      </c>
      <c r="RO284" s="34">
        <f t="shared" si="589"/>
        <v>0</v>
      </c>
      <c r="RP284" s="34">
        <f t="shared" si="589"/>
        <v>0</v>
      </c>
      <c r="RQ284" s="34">
        <f t="shared" si="589"/>
        <v>0</v>
      </c>
      <c r="RR284" s="34">
        <f t="shared" si="589"/>
        <v>0</v>
      </c>
      <c r="RS284" s="34">
        <f t="shared" si="589"/>
        <v>0</v>
      </c>
      <c r="RT284" s="34">
        <f t="shared" si="589"/>
        <v>0</v>
      </c>
      <c r="RU284" s="34">
        <f t="shared" si="589"/>
        <v>0</v>
      </c>
      <c r="RV284" s="34">
        <f t="shared" si="589"/>
        <v>0</v>
      </c>
      <c r="RW284" s="34">
        <f t="shared" si="589"/>
        <v>0</v>
      </c>
      <c r="RX284" s="34">
        <f t="shared" si="589"/>
        <v>0</v>
      </c>
      <c r="RY284" s="34">
        <f t="shared" si="589"/>
        <v>0</v>
      </c>
      <c r="RZ284" s="34">
        <f t="shared" si="589"/>
        <v>0</v>
      </c>
      <c r="SA284" s="34">
        <f t="shared" si="589"/>
        <v>0</v>
      </c>
      <c r="SB284" s="34">
        <f t="shared" si="589"/>
        <v>0</v>
      </c>
      <c r="SC284" s="34">
        <f t="shared" si="589"/>
        <v>0</v>
      </c>
      <c r="SD284" s="34">
        <f t="shared" si="589"/>
        <v>0</v>
      </c>
      <c r="SE284" s="34">
        <f t="shared" si="589"/>
        <v>0</v>
      </c>
      <c r="SF284" s="34">
        <f t="shared" si="589"/>
        <v>0</v>
      </c>
      <c r="SG284" s="34">
        <f t="shared" si="589"/>
        <v>0</v>
      </c>
      <c r="SH284" s="34">
        <f t="shared" si="589"/>
        <v>0</v>
      </c>
      <c r="SI284" s="34">
        <f t="shared" si="589"/>
        <v>0</v>
      </c>
      <c r="SJ284" s="34">
        <f t="shared" si="589"/>
        <v>0</v>
      </c>
      <c r="SK284" s="34">
        <f t="shared" si="589"/>
        <v>0</v>
      </c>
      <c r="SL284" s="34">
        <f t="shared" si="589"/>
        <v>0</v>
      </c>
      <c r="SM284" s="34">
        <f t="shared" si="589"/>
        <v>0</v>
      </c>
      <c r="SN284" s="34">
        <f t="shared" si="589"/>
        <v>0</v>
      </c>
      <c r="SO284" s="34">
        <f t="shared" si="589"/>
        <v>0</v>
      </c>
      <c r="SP284" s="34">
        <f t="shared" si="589"/>
        <v>0</v>
      </c>
      <c r="SQ284" s="34">
        <f t="shared" si="589"/>
        <v>0</v>
      </c>
      <c r="SR284" s="34">
        <f t="shared" si="589"/>
        <v>0</v>
      </c>
      <c r="SS284" s="34">
        <f t="shared" si="589"/>
        <v>0</v>
      </c>
      <c r="ST284" s="34">
        <f t="shared" si="589"/>
        <v>0</v>
      </c>
      <c r="SU284" s="34">
        <f t="shared" si="589"/>
        <v>0</v>
      </c>
      <c r="SV284" s="34">
        <f t="shared" si="589"/>
        <v>0</v>
      </c>
      <c r="SW284" s="34">
        <f t="shared" si="589"/>
        <v>0</v>
      </c>
      <c r="SX284" s="34">
        <f t="shared" si="589"/>
        <v>0</v>
      </c>
      <c r="SY284" s="34">
        <f t="shared" si="589"/>
        <v>0</v>
      </c>
      <c r="SZ284" s="34">
        <f t="shared" si="589"/>
        <v>0</v>
      </c>
      <c r="TA284" s="34">
        <f t="shared" si="589"/>
        <v>0</v>
      </c>
      <c r="TB284" s="34">
        <f t="shared" ref="TB284:VM284" si="590">ROUND(SUM(SUMPRODUCT($E$2:$E$37,TB$2:TB$37)),0)</f>
        <v>0</v>
      </c>
      <c r="TC284" s="34">
        <f t="shared" si="590"/>
        <v>0</v>
      </c>
      <c r="TD284" s="34">
        <f t="shared" si="590"/>
        <v>0</v>
      </c>
      <c r="TE284" s="34">
        <f t="shared" si="590"/>
        <v>0</v>
      </c>
      <c r="TF284" s="34">
        <f t="shared" si="590"/>
        <v>0</v>
      </c>
      <c r="TG284" s="34">
        <f t="shared" si="590"/>
        <v>0</v>
      </c>
      <c r="TH284" s="34">
        <f t="shared" si="590"/>
        <v>0</v>
      </c>
      <c r="TI284" s="34">
        <f t="shared" si="590"/>
        <v>0</v>
      </c>
      <c r="TJ284" s="34">
        <f t="shared" si="590"/>
        <v>0</v>
      </c>
      <c r="TK284" s="34">
        <f t="shared" si="590"/>
        <v>0</v>
      </c>
      <c r="TL284" s="34">
        <f t="shared" si="590"/>
        <v>0</v>
      </c>
      <c r="TM284" s="34">
        <f t="shared" si="590"/>
        <v>0</v>
      </c>
      <c r="TN284" s="34">
        <f t="shared" si="590"/>
        <v>0</v>
      </c>
      <c r="TO284" s="34">
        <f t="shared" si="590"/>
        <v>0</v>
      </c>
      <c r="TP284" s="34">
        <f t="shared" si="590"/>
        <v>0</v>
      </c>
      <c r="TQ284" s="34">
        <f t="shared" si="590"/>
        <v>0</v>
      </c>
      <c r="TR284" s="34">
        <f t="shared" si="590"/>
        <v>0</v>
      </c>
      <c r="TS284" s="34">
        <f t="shared" si="590"/>
        <v>0</v>
      </c>
      <c r="TT284" s="34">
        <f t="shared" si="590"/>
        <v>0</v>
      </c>
      <c r="TU284" s="34">
        <f t="shared" si="590"/>
        <v>0</v>
      </c>
      <c r="TV284" s="34">
        <f t="shared" si="590"/>
        <v>0</v>
      </c>
      <c r="TW284" s="34">
        <f t="shared" si="590"/>
        <v>0</v>
      </c>
      <c r="TX284" s="34">
        <f t="shared" si="590"/>
        <v>0</v>
      </c>
      <c r="TY284" s="34">
        <f t="shared" si="590"/>
        <v>0</v>
      </c>
      <c r="TZ284" s="34">
        <f t="shared" si="590"/>
        <v>0</v>
      </c>
      <c r="UA284" s="34">
        <f t="shared" si="590"/>
        <v>0</v>
      </c>
      <c r="UB284" s="34">
        <f t="shared" si="590"/>
        <v>0</v>
      </c>
      <c r="UC284" s="34">
        <f t="shared" si="590"/>
        <v>0</v>
      </c>
      <c r="UD284" s="34">
        <f t="shared" si="590"/>
        <v>0</v>
      </c>
      <c r="UE284" s="34">
        <f t="shared" si="590"/>
        <v>0</v>
      </c>
      <c r="UF284" s="34">
        <f t="shared" si="590"/>
        <v>0</v>
      </c>
      <c r="UG284" s="34">
        <f t="shared" si="590"/>
        <v>0</v>
      </c>
      <c r="UH284" s="34">
        <f t="shared" si="590"/>
        <v>0</v>
      </c>
      <c r="UI284" s="34">
        <f t="shared" si="590"/>
        <v>0</v>
      </c>
      <c r="UJ284" s="34">
        <f t="shared" si="590"/>
        <v>0</v>
      </c>
      <c r="UK284" s="34">
        <f t="shared" si="590"/>
        <v>0</v>
      </c>
      <c r="UL284" s="34">
        <f t="shared" si="590"/>
        <v>0</v>
      </c>
      <c r="UM284" s="34">
        <f t="shared" si="590"/>
        <v>0</v>
      </c>
      <c r="UN284" s="34">
        <f t="shared" si="590"/>
        <v>0</v>
      </c>
      <c r="UO284" s="34">
        <f t="shared" si="590"/>
        <v>0</v>
      </c>
      <c r="UP284" s="34">
        <f t="shared" si="590"/>
        <v>0</v>
      </c>
      <c r="UQ284" s="34">
        <f t="shared" si="590"/>
        <v>0</v>
      </c>
      <c r="UR284" s="34">
        <f t="shared" si="590"/>
        <v>0</v>
      </c>
      <c r="US284" s="34">
        <f t="shared" si="590"/>
        <v>0</v>
      </c>
      <c r="UT284" s="34">
        <f t="shared" si="590"/>
        <v>0</v>
      </c>
      <c r="UU284" s="34">
        <f t="shared" si="590"/>
        <v>0</v>
      </c>
      <c r="UV284" s="34">
        <f t="shared" si="590"/>
        <v>0</v>
      </c>
      <c r="UW284" s="34">
        <f t="shared" si="590"/>
        <v>0</v>
      </c>
      <c r="UX284" s="34">
        <f t="shared" si="590"/>
        <v>0</v>
      </c>
      <c r="UY284" s="34">
        <f t="shared" si="590"/>
        <v>0</v>
      </c>
      <c r="UZ284" s="34">
        <f t="shared" si="590"/>
        <v>0</v>
      </c>
      <c r="VA284" s="34">
        <f t="shared" si="590"/>
        <v>0</v>
      </c>
      <c r="VB284" s="34">
        <f t="shared" si="590"/>
        <v>0</v>
      </c>
      <c r="VC284" s="34">
        <f t="shared" si="590"/>
        <v>0</v>
      </c>
      <c r="VD284" s="34">
        <f t="shared" si="590"/>
        <v>0</v>
      </c>
      <c r="VE284" s="34">
        <f t="shared" si="590"/>
        <v>0</v>
      </c>
      <c r="VF284" s="34">
        <f t="shared" si="590"/>
        <v>0</v>
      </c>
      <c r="VG284" s="34">
        <f t="shared" si="590"/>
        <v>0</v>
      </c>
      <c r="VH284" s="34">
        <f t="shared" si="590"/>
        <v>0</v>
      </c>
      <c r="VI284" s="34">
        <f t="shared" si="590"/>
        <v>0</v>
      </c>
      <c r="VJ284" s="34">
        <f t="shared" si="590"/>
        <v>0</v>
      </c>
      <c r="VK284" s="34">
        <f t="shared" si="590"/>
        <v>0</v>
      </c>
      <c r="VL284" s="34">
        <f t="shared" si="590"/>
        <v>0</v>
      </c>
      <c r="VM284" s="34">
        <f t="shared" si="590"/>
        <v>0</v>
      </c>
      <c r="VN284" s="34">
        <f t="shared" ref="VN284:WF284" si="591">ROUND(SUM(SUMPRODUCT($E$2:$E$37,VN$2:VN$37)),0)</f>
        <v>0</v>
      </c>
      <c r="VO284" s="34">
        <f t="shared" si="591"/>
        <v>0</v>
      </c>
      <c r="VP284" s="34">
        <f t="shared" si="591"/>
        <v>0</v>
      </c>
      <c r="VQ284" s="34">
        <f t="shared" si="591"/>
        <v>0</v>
      </c>
      <c r="VR284" s="34">
        <f t="shared" si="591"/>
        <v>0</v>
      </c>
      <c r="VS284" s="34">
        <f t="shared" si="591"/>
        <v>0</v>
      </c>
      <c r="VT284" s="34">
        <f t="shared" si="591"/>
        <v>0</v>
      </c>
      <c r="VU284" s="34">
        <f t="shared" si="591"/>
        <v>0</v>
      </c>
      <c r="VV284" s="34">
        <f t="shared" si="591"/>
        <v>0</v>
      </c>
      <c r="VW284" s="34">
        <f t="shared" si="591"/>
        <v>0</v>
      </c>
      <c r="VX284" s="34">
        <f t="shared" si="591"/>
        <v>0</v>
      </c>
      <c r="VY284" s="34">
        <f t="shared" si="591"/>
        <v>0</v>
      </c>
      <c r="VZ284" s="34">
        <f t="shared" si="591"/>
        <v>0</v>
      </c>
      <c r="WA284" s="34">
        <f t="shared" si="591"/>
        <v>0</v>
      </c>
      <c r="WB284" s="34">
        <f t="shared" si="591"/>
        <v>0</v>
      </c>
      <c r="WC284" s="34">
        <f t="shared" si="591"/>
        <v>0</v>
      </c>
      <c r="WD284" s="34">
        <f t="shared" si="591"/>
        <v>0</v>
      </c>
      <c r="WE284" s="34">
        <f t="shared" si="591"/>
        <v>0</v>
      </c>
      <c r="WF284" s="34">
        <f t="shared" si="591"/>
        <v>0</v>
      </c>
    </row>
    <row r="285" spans="1:604" x14ac:dyDescent="0.3">
      <c r="A285" s="158" t="s">
        <v>69</v>
      </c>
      <c r="B285" s="158"/>
      <c r="C285" s="158"/>
      <c r="D285" s="158"/>
      <c r="E285" s="158"/>
      <c r="F285" s="158"/>
      <c r="G285" s="158"/>
      <c r="H285" s="158"/>
      <c r="I285" s="158"/>
      <c r="J285" s="89" t="e">
        <f>J$284/$F$284</f>
        <v>#DIV/0!</v>
      </c>
      <c r="K285" s="89" t="e">
        <f t="shared" ref="K285:BV285" si="592">ROUND(K$284/$F$284,5)</f>
        <v>#DIV/0!</v>
      </c>
      <c r="L285" s="89" t="e">
        <f t="shared" si="592"/>
        <v>#DIV/0!</v>
      </c>
      <c r="M285" s="89" t="e">
        <f t="shared" si="592"/>
        <v>#DIV/0!</v>
      </c>
      <c r="N285" s="89" t="e">
        <f>ROUND(N$284/$F$284,5)</f>
        <v>#DIV/0!</v>
      </c>
      <c r="O285" s="89" t="e">
        <f>ROUND(O$284/$F$284,5)+0.0001</f>
        <v>#DIV/0!</v>
      </c>
      <c r="P285" s="89" t="e">
        <f>ROUND(P$284/$F$284,5)</f>
        <v>#DIV/0!</v>
      </c>
      <c r="Q285" s="89" t="e">
        <f t="shared" si="592"/>
        <v>#DIV/0!</v>
      </c>
      <c r="R285" s="89" t="e">
        <f t="shared" si="592"/>
        <v>#DIV/0!</v>
      </c>
      <c r="S285" s="89" t="e">
        <f t="shared" si="592"/>
        <v>#DIV/0!</v>
      </c>
      <c r="T285" s="89" t="e">
        <f t="shared" si="592"/>
        <v>#DIV/0!</v>
      </c>
      <c r="U285" s="89" t="e">
        <f>ROUND(U$284/$F$284,5)</f>
        <v>#DIV/0!</v>
      </c>
      <c r="V285" s="89" t="e">
        <f>ROUND(V$284/$F$284,5)</f>
        <v>#DIV/0!</v>
      </c>
      <c r="W285" s="89" t="e">
        <f t="shared" si="592"/>
        <v>#DIV/0!</v>
      </c>
      <c r="X285" s="89" t="e">
        <f t="shared" si="592"/>
        <v>#DIV/0!</v>
      </c>
      <c r="Y285" s="89" t="e">
        <f t="shared" si="592"/>
        <v>#DIV/0!</v>
      </c>
      <c r="Z285" s="89" t="e">
        <f t="shared" si="592"/>
        <v>#DIV/0!</v>
      </c>
      <c r="AA285" s="89" t="e">
        <f>ROUND(AA$284/$F$284,5)</f>
        <v>#DIV/0!</v>
      </c>
      <c r="AB285" s="89" t="e">
        <f>ROUND(AB$284/$F$284,5)</f>
        <v>#DIV/0!</v>
      </c>
      <c r="AC285" s="89" t="e">
        <f t="shared" si="592"/>
        <v>#DIV/0!</v>
      </c>
      <c r="AD285" s="89" t="e">
        <f t="shared" si="592"/>
        <v>#DIV/0!</v>
      </c>
      <c r="AE285" s="89" t="e">
        <f t="shared" si="592"/>
        <v>#DIV/0!</v>
      </c>
      <c r="AF285" s="89" t="e">
        <f t="shared" si="592"/>
        <v>#DIV/0!</v>
      </c>
      <c r="AG285" s="89" t="e">
        <f t="shared" si="592"/>
        <v>#DIV/0!</v>
      </c>
      <c r="AH285" s="89" t="e">
        <f t="shared" si="592"/>
        <v>#DIV/0!</v>
      </c>
      <c r="AI285" s="89" t="e">
        <f t="shared" si="592"/>
        <v>#DIV/0!</v>
      </c>
      <c r="AJ285" s="89" t="e">
        <f t="shared" si="592"/>
        <v>#DIV/0!</v>
      </c>
      <c r="AK285" s="89" t="e">
        <f t="shared" si="592"/>
        <v>#DIV/0!</v>
      </c>
      <c r="AL285" s="89" t="e">
        <f t="shared" si="592"/>
        <v>#DIV/0!</v>
      </c>
      <c r="AM285" s="89" t="e">
        <f t="shared" si="592"/>
        <v>#DIV/0!</v>
      </c>
      <c r="AN285" s="89" t="e">
        <f t="shared" si="592"/>
        <v>#DIV/0!</v>
      </c>
      <c r="AO285" s="89" t="e">
        <f t="shared" si="592"/>
        <v>#DIV/0!</v>
      </c>
      <c r="AP285" s="89" t="e">
        <f>ROUND(AP$284/$F$284,5)+0.0001</f>
        <v>#DIV/0!</v>
      </c>
      <c r="AQ285" s="89" t="e">
        <f t="shared" si="592"/>
        <v>#DIV/0!</v>
      </c>
      <c r="AR285" s="89" t="e">
        <f t="shared" si="592"/>
        <v>#DIV/0!</v>
      </c>
      <c r="AS285" s="89" t="e">
        <f t="shared" si="592"/>
        <v>#DIV/0!</v>
      </c>
      <c r="AT285" s="89" t="e">
        <f>ROUND(AT$284/$F$284,5)+0.0001</f>
        <v>#DIV/0!</v>
      </c>
      <c r="AU285" s="89" t="e">
        <f t="shared" si="592"/>
        <v>#DIV/0!</v>
      </c>
      <c r="AV285" s="89" t="e">
        <f t="shared" si="592"/>
        <v>#DIV/0!</v>
      </c>
      <c r="AW285" s="89" t="e">
        <f>ROUND(AW$284/$F$284,5)+0.0001</f>
        <v>#DIV/0!</v>
      </c>
      <c r="AX285" s="89" t="e">
        <f t="shared" si="592"/>
        <v>#DIV/0!</v>
      </c>
      <c r="AY285" s="89" t="e">
        <f t="shared" si="592"/>
        <v>#DIV/0!</v>
      </c>
      <c r="AZ285" s="89" t="e">
        <f t="shared" si="592"/>
        <v>#DIV/0!</v>
      </c>
      <c r="BA285" s="89" t="e">
        <f t="shared" si="592"/>
        <v>#DIV/0!</v>
      </c>
      <c r="BB285" s="89" t="e">
        <f t="shared" si="592"/>
        <v>#DIV/0!</v>
      </c>
      <c r="BC285" s="89" t="e">
        <f t="shared" si="592"/>
        <v>#DIV/0!</v>
      </c>
      <c r="BD285" s="89" t="e">
        <f t="shared" si="592"/>
        <v>#DIV/0!</v>
      </c>
      <c r="BE285" s="89" t="e">
        <f t="shared" si="592"/>
        <v>#DIV/0!</v>
      </c>
      <c r="BF285" s="89" t="e">
        <f t="shared" si="592"/>
        <v>#DIV/0!</v>
      </c>
      <c r="BG285" s="89" t="e">
        <f t="shared" si="592"/>
        <v>#DIV/0!</v>
      </c>
      <c r="BH285" s="89" t="e">
        <f t="shared" si="592"/>
        <v>#DIV/0!</v>
      </c>
      <c r="BI285" s="89" t="e">
        <f t="shared" si="592"/>
        <v>#DIV/0!</v>
      </c>
      <c r="BJ285" s="89" t="e">
        <f t="shared" si="592"/>
        <v>#DIV/0!</v>
      </c>
      <c r="BK285" s="89" t="e">
        <f t="shared" si="592"/>
        <v>#DIV/0!</v>
      </c>
      <c r="BL285" s="89" t="e">
        <f t="shared" si="592"/>
        <v>#DIV/0!</v>
      </c>
      <c r="BM285" s="89" t="e">
        <f t="shared" si="592"/>
        <v>#DIV/0!</v>
      </c>
      <c r="BN285" s="89" t="e">
        <f t="shared" si="592"/>
        <v>#DIV/0!</v>
      </c>
      <c r="BO285" s="89" t="e">
        <f t="shared" si="592"/>
        <v>#DIV/0!</v>
      </c>
      <c r="BP285" s="89" t="e">
        <f t="shared" si="592"/>
        <v>#DIV/0!</v>
      </c>
      <c r="BQ285" s="89" t="e">
        <f t="shared" si="592"/>
        <v>#DIV/0!</v>
      </c>
      <c r="BR285" s="89" t="e">
        <f t="shared" si="592"/>
        <v>#DIV/0!</v>
      </c>
      <c r="BS285" s="89" t="e">
        <f t="shared" si="592"/>
        <v>#DIV/0!</v>
      </c>
      <c r="BT285" s="89" t="e">
        <f t="shared" si="592"/>
        <v>#DIV/0!</v>
      </c>
      <c r="BU285" s="89" t="e">
        <f>ROUND(BU$284/$F$284,5)+0.0001</f>
        <v>#DIV/0!</v>
      </c>
      <c r="BV285" s="89" t="e">
        <f t="shared" si="592"/>
        <v>#DIV/0!</v>
      </c>
      <c r="BW285" s="89" t="e">
        <f t="shared" ref="BW285:EI285" si="593">ROUND(BW$284/$F$284,5)</f>
        <v>#DIV/0!</v>
      </c>
      <c r="BX285" s="89" t="e">
        <f t="shared" si="593"/>
        <v>#DIV/0!</v>
      </c>
      <c r="BY285" s="89" t="e">
        <f>ROUND(BY$284/$F$284,5)+0.0001</f>
        <v>#DIV/0!</v>
      </c>
      <c r="BZ285" s="89" t="e">
        <f>ROUND(BZ$284/$F$284,5)-0.0001</f>
        <v>#DIV/0!</v>
      </c>
      <c r="CA285" s="89" t="e">
        <f>ROUND(CA$284/$F$284,5)+0.0001</f>
        <v>#DIV/0!</v>
      </c>
      <c r="CB285" s="89" t="e">
        <f>ROUND(CB$284/$F$284,5)-0.0001</f>
        <v>#DIV/0!</v>
      </c>
      <c r="CC285" s="89" t="e">
        <f t="shared" si="593"/>
        <v>#DIV/0!</v>
      </c>
      <c r="CD285" s="89" t="e">
        <f t="shared" si="593"/>
        <v>#DIV/0!</v>
      </c>
      <c r="CE285" s="89" t="e">
        <f t="shared" si="593"/>
        <v>#DIV/0!</v>
      </c>
      <c r="CF285" s="89" t="e">
        <f t="shared" si="593"/>
        <v>#DIV/0!</v>
      </c>
      <c r="CG285" s="89" t="e">
        <f>ROUND(CG$284/$F$284,5)+0.0003</f>
        <v>#DIV/0!</v>
      </c>
      <c r="CH285" s="89" t="e">
        <f t="shared" si="593"/>
        <v>#DIV/0!</v>
      </c>
      <c r="CI285" s="89" t="e">
        <f t="shared" si="593"/>
        <v>#DIV/0!</v>
      </c>
      <c r="CJ285" s="89" t="e">
        <f>ROUND(CJ$284/$F$284,5)+0.0001</f>
        <v>#DIV/0!</v>
      </c>
      <c r="CK285" s="89" t="e">
        <f t="shared" si="593"/>
        <v>#DIV/0!</v>
      </c>
      <c r="CL285" s="89" t="e">
        <f t="shared" si="593"/>
        <v>#DIV/0!</v>
      </c>
      <c r="CM285" s="89" t="e">
        <f t="shared" si="593"/>
        <v>#DIV/0!</v>
      </c>
      <c r="CN285" s="89" t="e">
        <f t="shared" si="593"/>
        <v>#DIV/0!</v>
      </c>
      <c r="CO285" s="89" t="e">
        <f>ROUND(CO$284/$F$284,5)+0.0001</f>
        <v>#DIV/0!</v>
      </c>
      <c r="CP285" s="89" t="e">
        <f>ROUND(CP$284/$F$284,5)-0.0001</f>
        <v>#DIV/0!</v>
      </c>
      <c r="CQ285" s="89" t="e">
        <f t="shared" si="593"/>
        <v>#DIV/0!</v>
      </c>
      <c r="CR285" s="89" t="e">
        <f t="shared" si="593"/>
        <v>#DIV/0!</v>
      </c>
      <c r="CS285" s="89" t="e">
        <f t="shared" si="593"/>
        <v>#DIV/0!</v>
      </c>
      <c r="CT285" s="89" t="e">
        <f t="shared" si="593"/>
        <v>#DIV/0!</v>
      </c>
      <c r="CU285" s="89" t="e">
        <f>ROUND(CU$284/$F$284,5)+0.0001</f>
        <v>#DIV/0!</v>
      </c>
      <c r="CV285" s="89" t="e">
        <f t="shared" si="593"/>
        <v>#DIV/0!</v>
      </c>
      <c r="CW285" s="89" t="e">
        <f t="shared" si="593"/>
        <v>#DIV/0!</v>
      </c>
      <c r="CX285" s="89" t="e">
        <f>ROUND(CX$284/$F$284,5)-0.0001</f>
        <v>#DIV/0!</v>
      </c>
      <c r="CY285" s="89" t="e">
        <f t="shared" si="593"/>
        <v>#DIV/0!</v>
      </c>
      <c r="CZ285" s="89" t="e">
        <f t="shared" si="593"/>
        <v>#DIV/0!</v>
      </c>
      <c r="DA285" s="89" t="e">
        <f t="shared" si="593"/>
        <v>#DIV/0!</v>
      </c>
      <c r="DB285" s="89" t="e">
        <f>ROUND(DB$284/$F$284,5)+0.0001</f>
        <v>#DIV/0!</v>
      </c>
      <c r="DC285" s="89" t="e">
        <f>ROUND(DC$284/$F$284,5)-0.0001</f>
        <v>#DIV/0!</v>
      </c>
      <c r="DD285" s="89" t="e">
        <f t="shared" si="593"/>
        <v>#DIV/0!</v>
      </c>
      <c r="DE285" s="89" t="e">
        <f t="shared" si="593"/>
        <v>#DIV/0!</v>
      </c>
      <c r="DF285" s="89" t="e">
        <f t="shared" si="593"/>
        <v>#DIV/0!</v>
      </c>
      <c r="DG285" s="89" t="e">
        <f t="shared" si="593"/>
        <v>#DIV/0!</v>
      </c>
      <c r="DH285" s="89" t="e">
        <f t="shared" si="593"/>
        <v>#DIV/0!</v>
      </c>
      <c r="DI285" s="89" t="e">
        <f t="shared" si="593"/>
        <v>#DIV/0!</v>
      </c>
      <c r="DJ285" s="89" t="e">
        <f t="shared" si="593"/>
        <v>#DIV/0!</v>
      </c>
      <c r="DK285" s="89" t="e">
        <f t="shared" si="593"/>
        <v>#DIV/0!</v>
      </c>
      <c r="DL285" s="89" t="e">
        <f t="shared" si="593"/>
        <v>#DIV/0!</v>
      </c>
      <c r="DM285" s="89" t="e">
        <f t="shared" si="593"/>
        <v>#DIV/0!</v>
      </c>
      <c r="DN285" s="89" t="e">
        <f t="shared" si="593"/>
        <v>#DIV/0!</v>
      </c>
      <c r="DO285" s="89" t="e">
        <f t="shared" si="593"/>
        <v>#DIV/0!</v>
      </c>
      <c r="DP285" s="89" t="e">
        <f t="shared" si="593"/>
        <v>#DIV/0!</v>
      </c>
      <c r="DQ285" s="89" t="e">
        <f t="shared" si="593"/>
        <v>#DIV/0!</v>
      </c>
      <c r="DR285" s="89" t="e">
        <f t="shared" si="593"/>
        <v>#DIV/0!</v>
      </c>
      <c r="DS285" s="89" t="e">
        <f t="shared" si="593"/>
        <v>#DIV/0!</v>
      </c>
      <c r="DT285" s="89" t="e">
        <f t="shared" si="593"/>
        <v>#DIV/0!</v>
      </c>
      <c r="DU285" s="89" t="e">
        <f t="shared" si="593"/>
        <v>#DIV/0!</v>
      </c>
      <c r="DV285" s="89" t="e">
        <f t="shared" si="593"/>
        <v>#DIV/0!</v>
      </c>
      <c r="DW285" s="89" t="e">
        <f t="shared" si="593"/>
        <v>#DIV/0!</v>
      </c>
      <c r="DX285" s="89" t="e">
        <f t="shared" si="593"/>
        <v>#DIV/0!</v>
      </c>
      <c r="DY285" s="89" t="e">
        <f t="shared" si="593"/>
        <v>#DIV/0!</v>
      </c>
      <c r="DZ285" s="89" t="e">
        <f t="shared" si="593"/>
        <v>#DIV/0!</v>
      </c>
      <c r="EA285" s="89" t="e">
        <f t="shared" si="593"/>
        <v>#DIV/0!</v>
      </c>
      <c r="EB285" s="89" t="e">
        <f t="shared" si="593"/>
        <v>#DIV/0!</v>
      </c>
      <c r="EC285" s="89" t="e">
        <f t="shared" si="593"/>
        <v>#DIV/0!</v>
      </c>
      <c r="ED285" s="89" t="e">
        <f t="shared" si="593"/>
        <v>#DIV/0!</v>
      </c>
      <c r="EE285" s="89" t="e">
        <f t="shared" si="593"/>
        <v>#DIV/0!</v>
      </c>
      <c r="EF285" s="89" t="e">
        <f t="shared" si="593"/>
        <v>#DIV/0!</v>
      </c>
      <c r="EG285" s="89" t="e">
        <f t="shared" si="593"/>
        <v>#DIV/0!</v>
      </c>
      <c r="EH285" s="89" t="e">
        <f t="shared" si="593"/>
        <v>#DIV/0!</v>
      </c>
      <c r="EI285" s="89" t="e">
        <f t="shared" si="593"/>
        <v>#DIV/0!</v>
      </c>
      <c r="EJ285" s="89" t="e">
        <f t="shared" ref="EJ285:GU285" si="594">ROUND(EJ$284/$F$284,5)</f>
        <v>#DIV/0!</v>
      </c>
      <c r="EK285" s="89" t="e">
        <f t="shared" si="594"/>
        <v>#DIV/0!</v>
      </c>
      <c r="EL285" s="89" t="e">
        <f t="shared" si="594"/>
        <v>#DIV/0!</v>
      </c>
      <c r="EM285" s="89" t="e">
        <f t="shared" si="594"/>
        <v>#DIV/0!</v>
      </c>
      <c r="EN285" s="89" t="e">
        <f t="shared" si="594"/>
        <v>#DIV/0!</v>
      </c>
      <c r="EO285" s="89" t="e">
        <f t="shared" si="594"/>
        <v>#DIV/0!</v>
      </c>
      <c r="EP285" s="89" t="e">
        <f t="shared" si="594"/>
        <v>#DIV/0!</v>
      </c>
      <c r="EQ285" s="89" t="e">
        <f t="shared" si="594"/>
        <v>#DIV/0!</v>
      </c>
      <c r="ER285" s="89" t="e">
        <f t="shared" si="594"/>
        <v>#DIV/0!</v>
      </c>
      <c r="ES285" s="89" t="e">
        <f t="shared" si="594"/>
        <v>#DIV/0!</v>
      </c>
      <c r="ET285" s="89" t="e">
        <f t="shared" si="594"/>
        <v>#DIV/0!</v>
      </c>
      <c r="EU285" s="89" t="e">
        <f t="shared" si="594"/>
        <v>#DIV/0!</v>
      </c>
      <c r="EV285" s="89" t="e">
        <f t="shared" si="594"/>
        <v>#DIV/0!</v>
      </c>
      <c r="EW285" s="89" t="e">
        <f t="shared" si="594"/>
        <v>#DIV/0!</v>
      </c>
      <c r="EX285" s="89" t="e">
        <f t="shared" si="594"/>
        <v>#DIV/0!</v>
      </c>
      <c r="EY285" s="89" t="e">
        <f t="shared" si="594"/>
        <v>#DIV/0!</v>
      </c>
      <c r="EZ285" s="89" t="e">
        <f t="shared" si="594"/>
        <v>#DIV/0!</v>
      </c>
      <c r="FA285" s="89" t="e">
        <f t="shared" si="594"/>
        <v>#DIV/0!</v>
      </c>
      <c r="FB285" s="89" t="e">
        <f t="shared" si="594"/>
        <v>#DIV/0!</v>
      </c>
      <c r="FC285" s="89" t="e">
        <f t="shared" si="594"/>
        <v>#DIV/0!</v>
      </c>
      <c r="FD285" s="89" t="e">
        <f t="shared" si="594"/>
        <v>#DIV/0!</v>
      </c>
      <c r="FE285" s="89" t="e">
        <f t="shared" si="594"/>
        <v>#DIV/0!</v>
      </c>
      <c r="FF285" s="89" t="e">
        <f t="shared" si="594"/>
        <v>#DIV/0!</v>
      </c>
      <c r="FG285" s="89" t="e">
        <f t="shared" si="594"/>
        <v>#DIV/0!</v>
      </c>
      <c r="FH285" s="89" t="e">
        <f t="shared" si="594"/>
        <v>#DIV/0!</v>
      </c>
      <c r="FI285" s="89" t="e">
        <f t="shared" si="594"/>
        <v>#DIV/0!</v>
      </c>
      <c r="FJ285" s="89" t="e">
        <f t="shared" si="594"/>
        <v>#DIV/0!</v>
      </c>
      <c r="FK285" s="89" t="e">
        <f t="shared" si="594"/>
        <v>#DIV/0!</v>
      </c>
      <c r="FL285" s="89" t="e">
        <f t="shared" si="594"/>
        <v>#DIV/0!</v>
      </c>
      <c r="FM285" s="89" t="e">
        <f t="shared" si="594"/>
        <v>#DIV/0!</v>
      </c>
      <c r="FN285" s="89" t="e">
        <f t="shared" si="594"/>
        <v>#DIV/0!</v>
      </c>
      <c r="FO285" s="89" t="e">
        <f t="shared" si="594"/>
        <v>#DIV/0!</v>
      </c>
      <c r="FP285" s="89" t="e">
        <f t="shared" si="594"/>
        <v>#DIV/0!</v>
      </c>
      <c r="FQ285" s="89" t="e">
        <f t="shared" si="594"/>
        <v>#DIV/0!</v>
      </c>
      <c r="FR285" s="89" t="e">
        <f t="shared" si="594"/>
        <v>#DIV/0!</v>
      </c>
      <c r="FS285" s="89" t="e">
        <f t="shared" si="594"/>
        <v>#DIV/0!</v>
      </c>
      <c r="FT285" s="89" t="e">
        <f t="shared" si="594"/>
        <v>#DIV/0!</v>
      </c>
      <c r="FU285" s="89" t="e">
        <f t="shared" si="594"/>
        <v>#DIV/0!</v>
      </c>
      <c r="FV285" s="89" t="e">
        <f t="shared" si="594"/>
        <v>#DIV/0!</v>
      </c>
      <c r="FW285" s="89" t="e">
        <f t="shared" si="594"/>
        <v>#DIV/0!</v>
      </c>
      <c r="FX285" s="89" t="e">
        <f t="shared" si="594"/>
        <v>#DIV/0!</v>
      </c>
      <c r="FY285" s="89" t="e">
        <f t="shared" si="594"/>
        <v>#DIV/0!</v>
      </c>
      <c r="FZ285" s="89" t="e">
        <f t="shared" si="594"/>
        <v>#DIV/0!</v>
      </c>
      <c r="GA285" s="89" t="e">
        <f t="shared" si="594"/>
        <v>#DIV/0!</v>
      </c>
      <c r="GB285" s="89" t="e">
        <f t="shared" si="594"/>
        <v>#DIV/0!</v>
      </c>
      <c r="GC285" s="89" t="e">
        <f t="shared" si="594"/>
        <v>#DIV/0!</v>
      </c>
      <c r="GD285" s="89" t="e">
        <f t="shared" si="594"/>
        <v>#DIV/0!</v>
      </c>
      <c r="GE285" s="89" t="e">
        <f t="shared" si="594"/>
        <v>#DIV/0!</v>
      </c>
      <c r="GF285" s="89" t="e">
        <f t="shared" si="594"/>
        <v>#DIV/0!</v>
      </c>
      <c r="GG285" s="89" t="e">
        <f t="shared" si="594"/>
        <v>#DIV/0!</v>
      </c>
      <c r="GH285" s="89" t="e">
        <f t="shared" si="594"/>
        <v>#DIV/0!</v>
      </c>
      <c r="GI285" s="89" t="e">
        <f t="shared" si="594"/>
        <v>#DIV/0!</v>
      </c>
      <c r="GJ285" s="89" t="e">
        <f t="shared" si="594"/>
        <v>#DIV/0!</v>
      </c>
      <c r="GK285" s="89" t="e">
        <f t="shared" si="594"/>
        <v>#DIV/0!</v>
      </c>
      <c r="GL285" s="89" t="e">
        <f t="shared" si="594"/>
        <v>#DIV/0!</v>
      </c>
      <c r="GM285" s="89" t="e">
        <f t="shared" si="594"/>
        <v>#DIV/0!</v>
      </c>
      <c r="GN285" s="89" t="e">
        <f t="shared" si="594"/>
        <v>#DIV/0!</v>
      </c>
      <c r="GO285" s="89" t="e">
        <f t="shared" si="594"/>
        <v>#DIV/0!</v>
      </c>
      <c r="GP285" s="89" t="e">
        <f t="shared" si="594"/>
        <v>#DIV/0!</v>
      </c>
      <c r="GQ285" s="89" t="e">
        <f t="shared" si="594"/>
        <v>#DIV/0!</v>
      </c>
      <c r="GR285" s="89" t="e">
        <f t="shared" si="594"/>
        <v>#DIV/0!</v>
      </c>
      <c r="GS285" s="89" t="e">
        <f t="shared" si="594"/>
        <v>#DIV/0!</v>
      </c>
      <c r="GT285" s="89" t="e">
        <f t="shared" si="594"/>
        <v>#DIV/0!</v>
      </c>
      <c r="GU285" s="89" t="e">
        <f t="shared" si="594"/>
        <v>#DIV/0!</v>
      </c>
      <c r="GV285" s="89" t="e">
        <f t="shared" ref="GV285:JH285" si="595">ROUND(GV$284/$F$284,5)</f>
        <v>#DIV/0!</v>
      </c>
      <c r="GW285" s="89" t="e">
        <f t="shared" si="595"/>
        <v>#DIV/0!</v>
      </c>
      <c r="GX285" s="89" t="e">
        <f t="shared" si="595"/>
        <v>#DIV/0!</v>
      </c>
      <c r="GY285" s="89" t="e">
        <f t="shared" si="595"/>
        <v>#DIV/0!</v>
      </c>
      <c r="GZ285" s="89" t="e">
        <f t="shared" si="595"/>
        <v>#DIV/0!</v>
      </c>
      <c r="HA285" s="89" t="e">
        <f t="shared" si="595"/>
        <v>#DIV/0!</v>
      </c>
      <c r="HB285" s="89" t="e">
        <f t="shared" si="595"/>
        <v>#DIV/0!</v>
      </c>
      <c r="HC285" s="89" t="e">
        <f t="shared" si="595"/>
        <v>#DIV/0!</v>
      </c>
      <c r="HD285" s="89" t="e">
        <f t="shared" si="595"/>
        <v>#DIV/0!</v>
      </c>
      <c r="HE285" s="89" t="e">
        <f t="shared" si="595"/>
        <v>#DIV/0!</v>
      </c>
      <c r="HF285" s="89" t="e">
        <f t="shared" si="595"/>
        <v>#DIV/0!</v>
      </c>
      <c r="HG285" s="89" t="e">
        <f t="shared" si="595"/>
        <v>#DIV/0!</v>
      </c>
      <c r="HH285" s="89" t="e">
        <f t="shared" si="595"/>
        <v>#DIV/0!</v>
      </c>
      <c r="HI285" s="89" t="e">
        <f t="shared" si="595"/>
        <v>#DIV/0!</v>
      </c>
      <c r="HJ285" s="89" t="e">
        <f t="shared" si="595"/>
        <v>#DIV/0!</v>
      </c>
      <c r="HK285" s="89" t="e">
        <f t="shared" si="595"/>
        <v>#DIV/0!</v>
      </c>
      <c r="HL285" s="89" t="e">
        <f t="shared" si="595"/>
        <v>#DIV/0!</v>
      </c>
      <c r="HM285" s="89" t="e">
        <f t="shared" si="595"/>
        <v>#DIV/0!</v>
      </c>
      <c r="HN285" s="89" t="e">
        <f t="shared" si="595"/>
        <v>#DIV/0!</v>
      </c>
      <c r="HO285" s="89" t="e">
        <f t="shared" si="595"/>
        <v>#DIV/0!</v>
      </c>
      <c r="HP285" s="89" t="e">
        <f t="shared" si="595"/>
        <v>#DIV/0!</v>
      </c>
      <c r="HQ285" s="89" t="e">
        <f t="shared" si="595"/>
        <v>#DIV/0!</v>
      </c>
      <c r="HR285" s="89" t="e">
        <f t="shared" si="595"/>
        <v>#DIV/0!</v>
      </c>
      <c r="HS285" s="89" t="e">
        <f t="shared" si="595"/>
        <v>#DIV/0!</v>
      </c>
      <c r="HT285" s="89" t="e">
        <f t="shared" si="595"/>
        <v>#DIV/0!</v>
      </c>
      <c r="HU285" s="89" t="e">
        <f t="shared" si="595"/>
        <v>#DIV/0!</v>
      </c>
      <c r="HV285" s="89" t="e">
        <f t="shared" si="595"/>
        <v>#DIV/0!</v>
      </c>
      <c r="HW285" s="89" t="e">
        <f t="shared" si="595"/>
        <v>#DIV/0!</v>
      </c>
      <c r="HX285" s="89" t="e">
        <f t="shared" si="595"/>
        <v>#DIV/0!</v>
      </c>
      <c r="HY285" s="89" t="e">
        <f t="shared" si="595"/>
        <v>#DIV/0!</v>
      </c>
      <c r="HZ285" s="89" t="e">
        <f t="shared" si="595"/>
        <v>#DIV/0!</v>
      </c>
      <c r="IA285" s="89" t="e">
        <f t="shared" si="595"/>
        <v>#DIV/0!</v>
      </c>
      <c r="IB285" s="89" t="e">
        <f t="shared" si="595"/>
        <v>#DIV/0!</v>
      </c>
      <c r="IC285" s="89" t="e">
        <f t="shared" si="595"/>
        <v>#DIV/0!</v>
      </c>
      <c r="ID285" s="89" t="e">
        <f t="shared" si="595"/>
        <v>#DIV/0!</v>
      </c>
      <c r="IE285" s="89" t="e">
        <f t="shared" si="595"/>
        <v>#DIV/0!</v>
      </c>
      <c r="IF285" s="89" t="e">
        <f t="shared" si="595"/>
        <v>#DIV/0!</v>
      </c>
      <c r="IG285" s="89" t="e">
        <f t="shared" si="595"/>
        <v>#DIV/0!</v>
      </c>
      <c r="IH285" s="89" t="e">
        <f t="shared" si="595"/>
        <v>#DIV/0!</v>
      </c>
      <c r="II285" s="89" t="e">
        <f t="shared" si="595"/>
        <v>#DIV/0!</v>
      </c>
      <c r="IJ285" s="89" t="e">
        <f t="shared" si="595"/>
        <v>#DIV/0!</v>
      </c>
      <c r="IK285" s="89" t="e">
        <f t="shared" si="595"/>
        <v>#DIV/0!</v>
      </c>
      <c r="IL285" s="89" t="e">
        <f t="shared" si="595"/>
        <v>#DIV/0!</v>
      </c>
      <c r="IM285" s="89" t="e">
        <f t="shared" si="595"/>
        <v>#DIV/0!</v>
      </c>
      <c r="IN285" s="89" t="e">
        <f t="shared" si="595"/>
        <v>#DIV/0!</v>
      </c>
      <c r="IO285" s="89" t="e">
        <f t="shared" si="595"/>
        <v>#DIV/0!</v>
      </c>
      <c r="IP285" s="89" t="e">
        <f t="shared" si="595"/>
        <v>#DIV/0!</v>
      </c>
      <c r="IQ285" s="89" t="e">
        <f t="shared" si="595"/>
        <v>#DIV/0!</v>
      </c>
      <c r="IR285" s="89" t="e">
        <f t="shared" si="595"/>
        <v>#DIV/0!</v>
      </c>
      <c r="IS285" s="89" t="e">
        <f t="shared" si="595"/>
        <v>#DIV/0!</v>
      </c>
      <c r="IT285" s="89" t="e">
        <f t="shared" si="595"/>
        <v>#DIV/0!</v>
      </c>
      <c r="IU285" s="89" t="e">
        <f t="shared" si="595"/>
        <v>#DIV/0!</v>
      </c>
      <c r="IV285" s="89" t="e">
        <f t="shared" si="595"/>
        <v>#DIV/0!</v>
      </c>
      <c r="IW285" s="89" t="e">
        <f t="shared" si="595"/>
        <v>#DIV/0!</v>
      </c>
      <c r="IX285" s="89" t="e">
        <f t="shared" si="595"/>
        <v>#DIV/0!</v>
      </c>
      <c r="IY285" s="89" t="e">
        <f t="shared" si="595"/>
        <v>#DIV/0!</v>
      </c>
      <c r="IZ285" s="89" t="e">
        <f t="shared" si="595"/>
        <v>#DIV/0!</v>
      </c>
      <c r="JA285" s="89" t="e">
        <f t="shared" si="595"/>
        <v>#DIV/0!</v>
      </c>
      <c r="JB285" s="89" t="e">
        <f t="shared" si="595"/>
        <v>#DIV/0!</v>
      </c>
      <c r="JC285" s="89" t="e">
        <f t="shared" si="595"/>
        <v>#DIV/0!</v>
      </c>
      <c r="JD285" s="89" t="e">
        <f t="shared" si="595"/>
        <v>#DIV/0!</v>
      </c>
      <c r="JE285" s="89" t="e">
        <f t="shared" si="595"/>
        <v>#DIV/0!</v>
      </c>
      <c r="JF285" s="89" t="e">
        <f t="shared" si="595"/>
        <v>#DIV/0!</v>
      </c>
      <c r="JG285" s="89" t="e">
        <f t="shared" si="595"/>
        <v>#DIV/0!</v>
      </c>
      <c r="JH285" s="89" t="e">
        <f t="shared" si="595"/>
        <v>#DIV/0!</v>
      </c>
      <c r="JI285" s="89" t="e">
        <f t="shared" ref="JI285:LT285" si="596">ROUND(JI$284/$F$284,5)</f>
        <v>#DIV/0!</v>
      </c>
      <c r="JJ285" s="89" t="e">
        <f t="shared" si="596"/>
        <v>#DIV/0!</v>
      </c>
      <c r="JK285" s="89" t="e">
        <f t="shared" si="596"/>
        <v>#DIV/0!</v>
      </c>
      <c r="JL285" s="89" t="e">
        <f t="shared" si="596"/>
        <v>#DIV/0!</v>
      </c>
      <c r="JM285" s="89" t="e">
        <f t="shared" si="596"/>
        <v>#DIV/0!</v>
      </c>
      <c r="JN285" s="89" t="e">
        <f t="shared" si="596"/>
        <v>#DIV/0!</v>
      </c>
      <c r="JO285" s="89" t="e">
        <f t="shared" si="596"/>
        <v>#DIV/0!</v>
      </c>
      <c r="JP285" s="89" t="e">
        <f t="shared" si="596"/>
        <v>#DIV/0!</v>
      </c>
      <c r="JQ285" s="89" t="e">
        <f t="shared" si="596"/>
        <v>#DIV/0!</v>
      </c>
      <c r="JR285" s="89" t="e">
        <f t="shared" si="596"/>
        <v>#DIV/0!</v>
      </c>
      <c r="JS285" s="89" t="e">
        <f t="shared" si="596"/>
        <v>#DIV/0!</v>
      </c>
      <c r="JT285" s="89" t="e">
        <f t="shared" si="596"/>
        <v>#DIV/0!</v>
      </c>
      <c r="JU285" s="89" t="e">
        <f t="shared" si="596"/>
        <v>#DIV/0!</v>
      </c>
      <c r="JV285" s="89" t="e">
        <f t="shared" si="596"/>
        <v>#DIV/0!</v>
      </c>
      <c r="JW285" s="89" t="e">
        <f t="shared" si="596"/>
        <v>#DIV/0!</v>
      </c>
      <c r="JX285" s="89" t="e">
        <f t="shared" si="596"/>
        <v>#DIV/0!</v>
      </c>
      <c r="JY285" s="89" t="e">
        <f t="shared" si="596"/>
        <v>#DIV/0!</v>
      </c>
      <c r="JZ285" s="89" t="e">
        <f t="shared" si="596"/>
        <v>#DIV/0!</v>
      </c>
      <c r="KA285" s="89" t="e">
        <f t="shared" si="596"/>
        <v>#DIV/0!</v>
      </c>
      <c r="KB285" s="89" t="e">
        <f t="shared" si="596"/>
        <v>#DIV/0!</v>
      </c>
      <c r="KC285" s="89" t="e">
        <f t="shared" si="596"/>
        <v>#DIV/0!</v>
      </c>
      <c r="KD285" s="89" t="e">
        <f t="shared" si="596"/>
        <v>#DIV/0!</v>
      </c>
      <c r="KE285" s="89" t="e">
        <f t="shared" si="596"/>
        <v>#DIV/0!</v>
      </c>
      <c r="KF285" s="89" t="e">
        <f t="shared" si="596"/>
        <v>#DIV/0!</v>
      </c>
      <c r="KG285" s="89" t="e">
        <f t="shared" si="596"/>
        <v>#DIV/0!</v>
      </c>
      <c r="KH285" s="89" t="e">
        <f t="shared" si="596"/>
        <v>#DIV/0!</v>
      </c>
      <c r="KI285" s="89" t="e">
        <f t="shared" si="596"/>
        <v>#DIV/0!</v>
      </c>
      <c r="KJ285" s="89" t="e">
        <f t="shared" si="596"/>
        <v>#DIV/0!</v>
      </c>
      <c r="KK285" s="89" t="e">
        <f t="shared" si="596"/>
        <v>#DIV/0!</v>
      </c>
      <c r="KL285" s="89" t="e">
        <f t="shared" si="596"/>
        <v>#DIV/0!</v>
      </c>
      <c r="KM285" s="89" t="e">
        <f t="shared" si="596"/>
        <v>#DIV/0!</v>
      </c>
      <c r="KN285" s="89" t="e">
        <f t="shared" si="596"/>
        <v>#DIV/0!</v>
      </c>
      <c r="KO285" s="89" t="e">
        <f t="shared" si="596"/>
        <v>#DIV/0!</v>
      </c>
      <c r="KP285" s="89" t="e">
        <f t="shared" si="596"/>
        <v>#DIV/0!</v>
      </c>
      <c r="KQ285" s="89" t="e">
        <f t="shared" si="596"/>
        <v>#DIV/0!</v>
      </c>
      <c r="KR285" s="89" t="e">
        <f t="shared" si="596"/>
        <v>#DIV/0!</v>
      </c>
      <c r="KS285" s="89" t="e">
        <f t="shared" si="596"/>
        <v>#DIV/0!</v>
      </c>
      <c r="KT285" s="89" t="e">
        <f t="shared" si="596"/>
        <v>#DIV/0!</v>
      </c>
      <c r="KU285" s="89" t="e">
        <f t="shared" si="596"/>
        <v>#DIV/0!</v>
      </c>
      <c r="KV285" s="89" t="e">
        <f t="shared" si="596"/>
        <v>#DIV/0!</v>
      </c>
      <c r="KW285" s="89" t="e">
        <f t="shared" si="596"/>
        <v>#DIV/0!</v>
      </c>
      <c r="KX285" s="89" t="e">
        <f t="shared" si="596"/>
        <v>#DIV/0!</v>
      </c>
      <c r="KY285" s="89" t="e">
        <f t="shared" si="596"/>
        <v>#DIV/0!</v>
      </c>
      <c r="KZ285" s="89" t="e">
        <f t="shared" si="596"/>
        <v>#DIV/0!</v>
      </c>
      <c r="LA285" s="89" t="e">
        <f t="shared" si="596"/>
        <v>#DIV/0!</v>
      </c>
      <c r="LB285" s="89" t="e">
        <f t="shared" si="596"/>
        <v>#DIV/0!</v>
      </c>
      <c r="LC285" s="89" t="e">
        <f t="shared" si="596"/>
        <v>#DIV/0!</v>
      </c>
      <c r="LD285" s="89" t="e">
        <f t="shared" si="596"/>
        <v>#DIV/0!</v>
      </c>
      <c r="LE285" s="89" t="e">
        <f t="shared" si="596"/>
        <v>#DIV/0!</v>
      </c>
      <c r="LF285" s="89" t="e">
        <f t="shared" si="596"/>
        <v>#DIV/0!</v>
      </c>
      <c r="LG285" s="89" t="e">
        <f t="shared" si="596"/>
        <v>#DIV/0!</v>
      </c>
      <c r="LH285" s="89" t="e">
        <f t="shared" si="596"/>
        <v>#DIV/0!</v>
      </c>
      <c r="LI285" s="89" t="e">
        <f t="shared" si="596"/>
        <v>#DIV/0!</v>
      </c>
      <c r="LJ285" s="89" t="e">
        <f t="shared" si="596"/>
        <v>#DIV/0!</v>
      </c>
      <c r="LK285" s="89" t="e">
        <f t="shared" si="596"/>
        <v>#DIV/0!</v>
      </c>
      <c r="LL285" s="89" t="e">
        <f t="shared" si="596"/>
        <v>#DIV/0!</v>
      </c>
      <c r="LM285" s="89" t="e">
        <f t="shared" si="596"/>
        <v>#DIV/0!</v>
      </c>
      <c r="LN285" s="89" t="e">
        <f t="shared" si="596"/>
        <v>#DIV/0!</v>
      </c>
      <c r="LO285" s="89" t="e">
        <f t="shared" si="596"/>
        <v>#DIV/0!</v>
      </c>
      <c r="LP285" s="89" t="e">
        <f t="shared" si="596"/>
        <v>#DIV/0!</v>
      </c>
      <c r="LQ285" s="89" t="e">
        <f t="shared" si="596"/>
        <v>#DIV/0!</v>
      </c>
      <c r="LR285" s="89" t="e">
        <f t="shared" si="596"/>
        <v>#DIV/0!</v>
      </c>
      <c r="LS285" s="89" t="e">
        <f t="shared" si="596"/>
        <v>#DIV/0!</v>
      </c>
      <c r="LT285" s="89" t="e">
        <f t="shared" si="596"/>
        <v>#DIV/0!</v>
      </c>
      <c r="LU285" s="89" t="e">
        <f t="shared" ref="LU285:OG285" si="597">ROUND(LU$284/$F$284,5)</f>
        <v>#DIV/0!</v>
      </c>
      <c r="LV285" s="89" t="e">
        <f t="shared" si="597"/>
        <v>#DIV/0!</v>
      </c>
      <c r="LW285" s="89" t="e">
        <f t="shared" si="597"/>
        <v>#DIV/0!</v>
      </c>
      <c r="LX285" s="89" t="e">
        <f t="shared" si="597"/>
        <v>#DIV/0!</v>
      </c>
      <c r="LY285" s="89" t="e">
        <f t="shared" si="597"/>
        <v>#DIV/0!</v>
      </c>
      <c r="LZ285" s="89" t="e">
        <f t="shared" si="597"/>
        <v>#DIV/0!</v>
      </c>
      <c r="MA285" s="89" t="e">
        <f t="shared" si="597"/>
        <v>#DIV/0!</v>
      </c>
      <c r="MB285" s="89" t="e">
        <f t="shared" si="597"/>
        <v>#DIV/0!</v>
      </c>
      <c r="MC285" s="89" t="e">
        <f t="shared" si="597"/>
        <v>#DIV/0!</v>
      </c>
      <c r="MD285" s="89" t="e">
        <f t="shared" si="597"/>
        <v>#DIV/0!</v>
      </c>
      <c r="ME285" s="89" t="e">
        <f t="shared" si="597"/>
        <v>#DIV/0!</v>
      </c>
      <c r="MF285" s="89" t="e">
        <f t="shared" si="597"/>
        <v>#DIV/0!</v>
      </c>
      <c r="MG285" s="89" t="e">
        <f t="shared" si="597"/>
        <v>#DIV/0!</v>
      </c>
      <c r="MH285" s="89" t="e">
        <f t="shared" si="597"/>
        <v>#DIV/0!</v>
      </c>
      <c r="MI285" s="89" t="e">
        <f t="shared" si="597"/>
        <v>#DIV/0!</v>
      </c>
      <c r="MJ285" s="89" t="e">
        <f t="shared" si="597"/>
        <v>#DIV/0!</v>
      </c>
      <c r="MK285" s="89" t="e">
        <f t="shared" si="597"/>
        <v>#DIV/0!</v>
      </c>
      <c r="ML285" s="89" t="e">
        <f t="shared" si="597"/>
        <v>#DIV/0!</v>
      </c>
      <c r="MM285" s="89" t="e">
        <f t="shared" si="597"/>
        <v>#DIV/0!</v>
      </c>
      <c r="MN285" s="89" t="e">
        <f t="shared" si="597"/>
        <v>#DIV/0!</v>
      </c>
      <c r="MO285" s="89" t="e">
        <f t="shared" si="597"/>
        <v>#DIV/0!</v>
      </c>
      <c r="MP285" s="89" t="e">
        <f t="shared" si="597"/>
        <v>#DIV/0!</v>
      </c>
      <c r="MQ285" s="89" t="e">
        <f t="shared" si="597"/>
        <v>#DIV/0!</v>
      </c>
      <c r="MR285" s="89" t="e">
        <f t="shared" si="597"/>
        <v>#DIV/0!</v>
      </c>
      <c r="MS285" s="89" t="e">
        <f t="shared" si="597"/>
        <v>#DIV/0!</v>
      </c>
      <c r="MT285" s="89" t="e">
        <f t="shared" si="597"/>
        <v>#DIV/0!</v>
      </c>
      <c r="MU285" s="89" t="e">
        <f t="shared" si="597"/>
        <v>#DIV/0!</v>
      </c>
      <c r="MV285" s="89" t="e">
        <f t="shared" si="597"/>
        <v>#DIV/0!</v>
      </c>
      <c r="MW285" s="89" t="e">
        <f t="shared" si="597"/>
        <v>#DIV/0!</v>
      </c>
      <c r="MX285" s="89" t="e">
        <f t="shared" si="597"/>
        <v>#DIV/0!</v>
      </c>
      <c r="MY285" s="89" t="e">
        <f t="shared" si="597"/>
        <v>#DIV/0!</v>
      </c>
      <c r="MZ285" s="89" t="e">
        <f t="shared" si="597"/>
        <v>#DIV/0!</v>
      </c>
      <c r="NA285" s="89" t="e">
        <f t="shared" si="597"/>
        <v>#DIV/0!</v>
      </c>
      <c r="NB285" s="89" t="e">
        <f t="shared" si="597"/>
        <v>#DIV/0!</v>
      </c>
      <c r="NC285" s="89" t="e">
        <f t="shared" si="597"/>
        <v>#DIV/0!</v>
      </c>
      <c r="ND285" s="89" t="e">
        <f t="shared" si="597"/>
        <v>#DIV/0!</v>
      </c>
      <c r="NE285" s="89" t="e">
        <f t="shared" si="597"/>
        <v>#DIV/0!</v>
      </c>
      <c r="NF285" s="89" t="e">
        <f t="shared" si="597"/>
        <v>#DIV/0!</v>
      </c>
      <c r="NG285" s="89" t="e">
        <f t="shared" si="597"/>
        <v>#DIV/0!</v>
      </c>
      <c r="NH285" s="89" t="e">
        <f t="shared" si="597"/>
        <v>#DIV/0!</v>
      </c>
      <c r="NI285" s="89" t="e">
        <f t="shared" si="597"/>
        <v>#DIV/0!</v>
      </c>
      <c r="NJ285" s="89" t="e">
        <f t="shared" si="597"/>
        <v>#DIV/0!</v>
      </c>
      <c r="NK285" s="89" t="e">
        <f t="shared" si="597"/>
        <v>#DIV/0!</v>
      </c>
      <c r="NL285" s="89" t="e">
        <f t="shared" si="597"/>
        <v>#DIV/0!</v>
      </c>
      <c r="NM285" s="89" t="e">
        <f t="shared" si="597"/>
        <v>#DIV/0!</v>
      </c>
      <c r="NN285" s="89" t="e">
        <f t="shared" si="597"/>
        <v>#DIV/0!</v>
      </c>
      <c r="NO285" s="89" t="e">
        <f t="shared" si="597"/>
        <v>#DIV/0!</v>
      </c>
      <c r="NP285" s="89" t="e">
        <f t="shared" si="597"/>
        <v>#DIV/0!</v>
      </c>
      <c r="NQ285" s="89" t="e">
        <f t="shared" si="597"/>
        <v>#DIV/0!</v>
      </c>
      <c r="NR285" s="89" t="e">
        <f t="shared" si="597"/>
        <v>#DIV/0!</v>
      </c>
      <c r="NS285" s="89" t="e">
        <f t="shared" si="597"/>
        <v>#DIV/0!</v>
      </c>
      <c r="NT285" s="89" t="e">
        <f t="shared" si="597"/>
        <v>#DIV/0!</v>
      </c>
      <c r="NU285" s="89" t="e">
        <f t="shared" si="597"/>
        <v>#DIV/0!</v>
      </c>
      <c r="NV285" s="89" t="e">
        <f t="shared" si="597"/>
        <v>#DIV/0!</v>
      </c>
      <c r="NW285" s="89" t="e">
        <f t="shared" si="597"/>
        <v>#DIV/0!</v>
      </c>
      <c r="NX285" s="89" t="e">
        <f t="shared" si="597"/>
        <v>#DIV/0!</v>
      </c>
      <c r="NY285" s="89" t="e">
        <f t="shared" si="597"/>
        <v>#DIV/0!</v>
      </c>
      <c r="NZ285" s="89" t="e">
        <f t="shared" si="597"/>
        <v>#DIV/0!</v>
      </c>
      <c r="OA285" s="89" t="e">
        <f t="shared" si="597"/>
        <v>#DIV/0!</v>
      </c>
      <c r="OB285" s="89" t="e">
        <f t="shared" si="597"/>
        <v>#DIV/0!</v>
      </c>
      <c r="OC285" s="89" t="e">
        <f t="shared" si="597"/>
        <v>#DIV/0!</v>
      </c>
      <c r="OD285" s="89" t="e">
        <f t="shared" si="597"/>
        <v>#DIV/0!</v>
      </c>
      <c r="OE285" s="89" t="e">
        <f t="shared" si="597"/>
        <v>#DIV/0!</v>
      </c>
      <c r="OF285" s="89" t="e">
        <f t="shared" si="597"/>
        <v>#DIV/0!</v>
      </c>
      <c r="OG285" s="89" t="e">
        <f t="shared" si="597"/>
        <v>#DIV/0!</v>
      </c>
      <c r="OH285" s="89" t="e">
        <f t="shared" ref="OH285:QS285" si="598">ROUND(OH$284/$F$284,5)</f>
        <v>#DIV/0!</v>
      </c>
      <c r="OI285" s="89" t="e">
        <f t="shared" si="598"/>
        <v>#DIV/0!</v>
      </c>
      <c r="OJ285" s="89" t="e">
        <f t="shared" si="598"/>
        <v>#DIV/0!</v>
      </c>
      <c r="OK285" s="89" t="e">
        <f t="shared" si="598"/>
        <v>#DIV/0!</v>
      </c>
      <c r="OL285" s="89" t="e">
        <f t="shared" si="598"/>
        <v>#DIV/0!</v>
      </c>
      <c r="OM285" s="89" t="e">
        <f t="shared" si="598"/>
        <v>#DIV/0!</v>
      </c>
      <c r="ON285" s="89" t="e">
        <f t="shared" si="598"/>
        <v>#DIV/0!</v>
      </c>
      <c r="OO285" s="89" t="e">
        <f t="shared" si="598"/>
        <v>#DIV/0!</v>
      </c>
      <c r="OP285" s="89" t="e">
        <f t="shared" si="598"/>
        <v>#DIV/0!</v>
      </c>
      <c r="OQ285" s="89" t="e">
        <f t="shared" si="598"/>
        <v>#DIV/0!</v>
      </c>
      <c r="OR285" s="89" t="e">
        <f t="shared" si="598"/>
        <v>#DIV/0!</v>
      </c>
      <c r="OS285" s="89" t="e">
        <f t="shared" si="598"/>
        <v>#DIV/0!</v>
      </c>
      <c r="OT285" s="89" t="e">
        <f t="shared" si="598"/>
        <v>#DIV/0!</v>
      </c>
      <c r="OU285" s="89" t="e">
        <f t="shared" si="598"/>
        <v>#DIV/0!</v>
      </c>
      <c r="OV285" s="89" t="e">
        <f t="shared" si="598"/>
        <v>#DIV/0!</v>
      </c>
      <c r="OW285" s="89" t="e">
        <f t="shared" si="598"/>
        <v>#DIV/0!</v>
      </c>
      <c r="OX285" s="89" t="e">
        <f t="shared" si="598"/>
        <v>#DIV/0!</v>
      </c>
      <c r="OY285" s="89" t="e">
        <f t="shared" si="598"/>
        <v>#DIV/0!</v>
      </c>
      <c r="OZ285" s="89" t="e">
        <f t="shared" si="598"/>
        <v>#DIV/0!</v>
      </c>
      <c r="PA285" s="89" t="e">
        <f t="shared" si="598"/>
        <v>#DIV/0!</v>
      </c>
      <c r="PB285" s="89" t="e">
        <f t="shared" si="598"/>
        <v>#DIV/0!</v>
      </c>
      <c r="PC285" s="89" t="e">
        <f t="shared" si="598"/>
        <v>#DIV/0!</v>
      </c>
      <c r="PD285" s="89" t="e">
        <f t="shared" si="598"/>
        <v>#DIV/0!</v>
      </c>
      <c r="PE285" s="89" t="e">
        <f t="shared" si="598"/>
        <v>#DIV/0!</v>
      </c>
      <c r="PF285" s="89" t="e">
        <f t="shared" si="598"/>
        <v>#DIV/0!</v>
      </c>
      <c r="PG285" s="89" t="e">
        <f t="shared" si="598"/>
        <v>#DIV/0!</v>
      </c>
      <c r="PH285" s="89" t="e">
        <f t="shared" si="598"/>
        <v>#DIV/0!</v>
      </c>
      <c r="PI285" s="89" t="e">
        <f t="shared" si="598"/>
        <v>#DIV/0!</v>
      </c>
      <c r="PJ285" s="89" t="e">
        <f t="shared" si="598"/>
        <v>#DIV/0!</v>
      </c>
      <c r="PK285" s="89" t="e">
        <f t="shared" si="598"/>
        <v>#DIV/0!</v>
      </c>
      <c r="PL285" s="89" t="e">
        <f t="shared" si="598"/>
        <v>#DIV/0!</v>
      </c>
      <c r="PM285" s="89" t="e">
        <f t="shared" si="598"/>
        <v>#DIV/0!</v>
      </c>
      <c r="PN285" s="89" t="e">
        <f t="shared" si="598"/>
        <v>#DIV/0!</v>
      </c>
      <c r="PO285" s="89" t="e">
        <f t="shared" si="598"/>
        <v>#DIV/0!</v>
      </c>
      <c r="PP285" s="89" t="e">
        <f t="shared" si="598"/>
        <v>#DIV/0!</v>
      </c>
      <c r="PQ285" s="89" t="e">
        <f t="shared" si="598"/>
        <v>#DIV/0!</v>
      </c>
      <c r="PR285" s="89" t="e">
        <f t="shared" si="598"/>
        <v>#DIV/0!</v>
      </c>
      <c r="PS285" s="89" t="e">
        <f t="shared" si="598"/>
        <v>#DIV/0!</v>
      </c>
      <c r="PT285" s="89" t="e">
        <f t="shared" si="598"/>
        <v>#DIV/0!</v>
      </c>
      <c r="PU285" s="89" t="e">
        <f t="shared" si="598"/>
        <v>#DIV/0!</v>
      </c>
      <c r="PV285" s="89" t="e">
        <f t="shared" si="598"/>
        <v>#DIV/0!</v>
      </c>
      <c r="PW285" s="89" t="e">
        <f t="shared" si="598"/>
        <v>#DIV/0!</v>
      </c>
      <c r="PX285" s="89" t="e">
        <f t="shared" si="598"/>
        <v>#DIV/0!</v>
      </c>
      <c r="PY285" s="89" t="e">
        <f t="shared" si="598"/>
        <v>#DIV/0!</v>
      </c>
      <c r="PZ285" s="89" t="e">
        <f t="shared" si="598"/>
        <v>#DIV/0!</v>
      </c>
      <c r="QA285" s="89" t="e">
        <f t="shared" si="598"/>
        <v>#DIV/0!</v>
      </c>
      <c r="QB285" s="89" t="e">
        <f t="shared" si="598"/>
        <v>#DIV/0!</v>
      </c>
      <c r="QC285" s="89" t="e">
        <f t="shared" si="598"/>
        <v>#DIV/0!</v>
      </c>
      <c r="QD285" s="89" t="e">
        <f t="shared" si="598"/>
        <v>#DIV/0!</v>
      </c>
      <c r="QE285" s="89" t="e">
        <f t="shared" si="598"/>
        <v>#DIV/0!</v>
      </c>
      <c r="QF285" s="89" t="e">
        <f t="shared" si="598"/>
        <v>#DIV/0!</v>
      </c>
      <c r="QG285" s="89" t="e">
        <f t="shared" si="598"/>
        <v>#DIV/0!</v>
      </c>
      <c r="QH285" s="89" t="e">
        <f t="shared" si="598"/>
        <v>#DIV/0!</v>
      </c>
      <c r="QI285" s="89" t="e">
        <f t="shared" si="598"/>
        <v>#DIV/0!</v>
      </c>
      <c r="QJ285" s="89" t="e">
        <f t="shared" si="598"/>
        <v>#DIV/0!</v>
      </c>
      <c r="QK285" s="89" t="e">
        <f t="shared" si="598"/>
        <v>#DIV/0!</v>
      </c>
      <c r="QL285" s="89" t="e">
        <f t="shared" si="598"/>
        <v>#DIV/0!</v>
      </c>
      <c r="QM285" s="89" t="e">
        <f t="shared" si="598"/>
        <v>#DIV/0!</v>
      </c>
      <c r="QN285" s="89" t="e">
        <f t="shared" si="598"/>
        <v>#DIV/0!</v>
      </c>
      <c r="QO285" s="89" t="e">
        <f t="shared" si="598"/>
        <v>#DIV/0!</v>
      </c>
      <c r="QP285" s="89" t="e">
        <f t="shared" si="598"/>
        <v>#DIV/0!</v>
      </c>
      <c r="QQ285" s="89" t="e">
        <f t="shared" si="598"/>
        <v>#DIV/0!</v>
      </c>
      <c r="QR285" s="89" t="e">
        <f t="shared" si="598"/>
        <v>#DIV/0!</v>
      </c>
      <c r="QS285" s="89" t="e">
        <f t="shared" si="598"/>
        <v>#DIV/0!</v>
      </c>
      <c r="QT285" s="89" t="e">
        <f t="shared" ref="QT285:TF285" si="599">ROUND(QT$284/$F$284,5)</f>
        <v>#DIV/0!</v>
      </c>
      <c r="QU285" s="89" t="e">
        <f t="shared" si="599"/>
        <v>#DIV/0!</v>
      </c>
      <c r="QV285" s="89" t="e">
        <f t="shared" si="599"/>
        <v>#DIV/0!</v>
      </c>
      <c r="QW285" s="89" t="e">
        <f t="shared" si="599"/>
        <v>#DIV/0!</v>
      </c>
      <c r="QX285" s="89" t="e">
        <f t="shared" si="599"/>
        <v>#DIV/0!</v>
      </c>
      <c r="QY285" s="89" t="e">
        <f t="shared" si="599"/>
        <v>#DIV/0!</v>
      </c>
      <c r="QZ285" s="89" t="e">
        <f t="shared" si="599"/>
        <v>#DIV/0!</v>
      </c>
      <c r="RA285" s="89" t="e">
        <f t="shared" si="599"/>
        <v>#DIV/0!</v>
      </c>
      <c r="RB285" s="89" t="e">
        <f t="shared" si="599"/>
        <v>#DIV/0!</v>
      </c>
      <c r="RC285" s="89" t="e">
        <f t="shared" si="599"/>
        <v>#DIV/0!</v>
      </c>
      <c r="RD285" s="89" t="e">
        <f t="shared" si="599"/>
        <v>#DIV/0!</v>
      </c>
      <c r="RE285" s="89" t="e">
        <f t="shared" si="599"/>
        <v>#DIV/0!</v>
      </c>
      <c r="RF285" s="89" t="e">
        <f t="shared" si="599"/>
        <v>#DIV/0!</v>
      </c>
      <c r="RG285" s="89" t="e">
        <f t="shared" si="599"/>
        <v>#DIV/0!</v>
      </c>
      <c r="RH285" s="89" t="e">
        <f t="shared" si="599"/>
        <v>#DIV/0!</v>
      </c>
      <c r="RI285" s="89" t="e">
        <f t="shared" si="599"/>
        <v>#DIV/0!</v>
      </c>
      <c r="RJ285" s="89" t="e">
        <f t="shared" si="599"/>
        <v>#DIV/0!</v>
      </c>
      <c r="RK285" s="89" t="e">
        <f t="shared" si="599"/>
        <v>#DIV/0!</v>
      </c>
      <c r="RL285" s="89" t="e">
        <f t="shared" si="599"/>
        <v>#DIV/0!</v>
      </c>
      <c r="RM285" s="89" t="e">
        <f t="shared" si="599"/>
        <v>#DIV/0!</v>
      </c>
      <c r="RN285" s="89" t="e">
        <f t="shared" si="599"/>
        <v>#DIV/0!</v>
      </c>
      <c r="RO285" s="89" t="e">
        <f t="shared" si="599"/>
        <v>#DIV/0!</v>
      </c>
      <c r="RP285" s="89" t="e">
        <f t="shared" si="599"/>
        <v>#DIV/0!</v>
      </c>
      <c r="RQ285" s="89" t="e">
        <f t="shared" si="599"/>
        <v>#DIV/0!</v>
      </c>
      <c r="RR285" s="89" t="e">
        <f t="shared" si="599"/>
        <v>#DIV/0!</v>
      </c>
      <c r="RS285" s="89" t="e">
        <f t="shared" si="599"/>
        <v>#DIV/0!</v>
      </c>
      <c r="RT285" s="89" t="e">
        <f t="shared" si="599"/>
        <v>#DIV/0!</v>
      </c>
      <c r="RU285" s="89" t="e">
        <f t="shared" si="599"/>
        <v>#DIV/0!</v>
      </c>
      <c r="RV285" s="89" t="e">
        <f t="shared" si="599"/>
        <v>#DIV/0!</v>
      </c>
      <c r="RW285" s="89" t="e">
        <f t="shared" si="599"/>
        <v>#DIV/0!</v>
      </c>
      <c r="RX285" s="89" t="e">
        <f t="shared" si="599"/>
        <v>#DIV/0!</v>
      </c>
      <c r="RY285" s="89" t="e">
        <f t="shared" si="599"/>
        <v>#DIV/0!</v>
      </c>
      <c r="RZ285" s="89" t="e">
        <f t="shared" si="599"/>
        <v>#DIV/0!</v>
      </c>
      <c r="SA285" s="89" t="e">
        <f t="shared" si="599"/>
        <v>#DIV/0!</v>
      </c>
      <c r="SB285" s="89" t="e">
        <f t="shared" si="599"/>
        <v>#DIV/0!</v>
      </c>
      <c r="SC285" s="89" t="e">
        <f t="shared" si="599"/>
        <v>#DIV/0!</v>
      </c>
      <c r="SD285" s="89" t="e">
        <f t="shared" si="599"/>
        <v>#DIV/0!</v>
      </c>
      <c r="SE285" s="89" t="e">
        <f t="shared" si="599"/>
        <v>#DIV/0!</v>
      </c>
      <c r="SF285" s="89" t="e">
        <f t="shared" si="599"/>
        <v>#DIV/0!</v>
      </c>
      <c r="SG285" s="89" t="e">
        <f t="shared" si="599"/>
        <v>#DIV/0!</v>
      </c>
      <c r="SH285" s="89" t="e">
        <f t="shared" si="599"/>
        <v>#DIV/0!</v>
      </c>
      <c r="SI285" s="89" t="e">
        <f t="shared" si="599"/>
        <v>#DIV/0!</v>
      </c>
      <c r="SJ285" s="89" t="e">
        <f t="shared" si="599"/>
        <v>#DIV/0!</v>
      </c>
      <c r="SK285" s="89" t="e">
        <f t="shared" si="599"/>
        <v>#DIV/0!</v>
      </c>
      <c r="SL285" s="89" t="e">
        <f t="shared" si="599"/>
        <v>#DIV/0!</v>
      </c>
      <c r="SM285" s="89" t="e">
        <f t="shared" si="599"/>
        <v>#DIV/0!</v>
      </c>
      <c r="SN285" s="89" t="e">
        <f t="shared" si="599"/>
        <v>#DIV/0!</v>
      </c>
      <c r="SO285" s="89" t="e">
        <f t="shared" si="599"/>
        <v>#DIV/0!</v>
      </c>
      <c r="SP285" s="89" t="e">
        <f t="shared" si="599"/>
        <v>#DIV/0!</v>
      </c>
      <c r="SQ285" s="89" t="e">
        <f t="shared" si="599"/>
        <v>#DIV/0!</v>
      </c>
      <c r="SR285" s="89" t="e">
        <f t="shared" si="599"/>
        <v>#DIV/0!</v>
      </c>
      <c r="SS285" s="89" t="e">
        <f t="shared" si="599"/>
        <v>#DIV/0!</v>
      </c>
      <c r="ST285" s="89" t="e">
        <f t="shared" si="599"/>
        <v>#DIV/0!</v>
      </c>
      <c r="SU285" s="89" t="e">
        <f t="shared" si="599"/>
        <v>#DIV/0!</v>
      </c>
      <c r="SV285" s="89" t="e">
        <f t="shared" si="599"/>
        <v>#DIV/0!</v>
      </c>
      <c r="SW285" s="89" t="e">
        <f t="shared" si="599"/>
        <v>#DIV/0!</v>
      </c>
      <c r="SX285" s="89" t="e">
        <f t="shared" si="599"/>
        <v>#DIV/0!</v>
      </c>
      <c r="SY285" s="89" t="e">
        <f t="shared" si="599"/>
        <v>#DIV/0!</v>
      </c>
      <c r="SZ285" s="89" t="e">
        <f t="shared" si="599"/>
        <v>#DIV/0!</v>
      </c>
      <c r="TA285" s="89" t="e">
        <f t="shared" si="599"/>
        <v>#DIV/0!</v>
      </c>
      <c r="TB285" s="89" t="e">
        <f t="shared" si="599"/>
        <v>#DIV/0!</v>
      </c>
      <c r="TC285" s="89" t="e">
        <f t="shared" si="599"/>
        <v>#DIV/0!</v>
      </c>
      <c r="TD285" s="89" t="e">
        <f t="shared" si="599"/>
        <v>#DIV/0!</v>
      </c>
      <c r="TE285" s="89" t="e">
        <f t="shared" si="599"/>
        <v>#DIV/0!</v>
      </c>
      <c r="TF285" s="89" t="e">
        <f t="shared" si="599"/>
        <v>#DIV/0!</v>
      </c>
      <c r="TG285" s="89" t="e">
        <f t="shared" ref="TG285:VR285" si="600">ROUND(TG$284/$F$284,5)</f>
        <v>#DIV/0!</v>
      </c>
      <c r="TH285" s="89" t="e">
        <f t="shared" si="600"/>
        <v>#DIV/0!</v>
      </c>
      <c r="TI285" s="89" t="e">
        <f t="shared" si="600"/>
        <v>#DIV/0!</v>
      </c>
      <c r="TJ285" s="89" t="e">
        <f t="shared" si="600"/>
        <v>#DIV/0!</v>
      </c>
      <c r="TK285" s="89" t="e">
        <f t="shared" si="600"/>
        <v>#DIV/0!</v>
      </c>
      <c r="TL285" s="89" t="e">
        <f t="shared" si="600"/>
        <v>#DIV/0!</v>
      </c>
      <c r="TM285" s="89" t="e">
        <f t="shared" si="600"/>
        <v>#DIV/0!</v>
      </c>
      <c r="TN285" s="89" t="e">
        <f t="shared" si="600"/>
        <v>#DIV/0!</v>
      </c>
      <c r="TO285" s="89" t="e">
        <f t="shared" si="600"/>
        <v>#DIV/0!</v>
      </c>
      <c r="TP285" s="89" t="e">
        <f t="shared" si="600"/>
        <v>#DIV/0!</v>
      </c>
      <c r="TQ285" s="89" t="e">
        <f t="shared" si="600"/>
        <v>#DIV/0!</v>
      </c>
      <c r="TR285" s="89" t="e">
        <f t="shared" si="600"/>
        <v>#DIV/0!</v>
      </c>
      <c r="TS285" s="89" t="e">
        <f t="shared" si="600"/>
        <v>#DIV/0!</v>
      </c>
      <c r="TT285" s="89" t="e">
        <f t="shared" si="600"/>
        <v>#DIV/0!</v>
      </c>
      <c r="TU285" s="89" t="e">
        <f t="shared" si="600"/>
        <v>#DIV/0!</v>
      </c>
      <c r="TV285" s="89" t="e">
        <f t="shared" si="600"/>
        <v>#DIV/0!</v>
      </c>
      <c r="TW285" s="89" t="e">
        <f t="shared" si="600"/>
        <v>#DIV/0!</v>
      </c>
      <c r="TX285" s="89" t="e">
        <f t="shared" si="600"/>
        <v>#DIV/0!</v>
      </c>
      <c r="TY285" s="89" t="e">
        <f t="shared" si="600"/>
        <v>#DIV/0!</v>
      </c>
      <c r="TZ285" s="89" t="e">
        <f t="shared" si="600"/>
        <v>#DIV/0!</v>
      </c>
      <c r="UA285" s="89" t="e">
        <f t="shared" si="600"/>
        <v>#DIV/0!</v>
      </c>
      <c r="UB285" s="89" t="e">
        <f t="shared" si="600"/>
        <v>#DIV/0!</v>
      </c>
      <c r="UC285" s="89" t="e">
        <f t="shared" si="600"/>
        <v>#DIV/0!</v>
      </c>
      <c r="UD285" s="89" t="e">
        <f t="shared" si="600"/>
        <v>#DIV/0!</v>
      </c>
      <c r="UE285" s="89" t="e">
        <f t="shared" si="600"/>
        <v>#DIV/0!</v>
      </c>
      <c r="UF285" s="89" t="e">
        <f t="shared" si="600"/>
        <v>#DIV/0!</v>
      </c>
      <c r="UG285" s="89" t="e">
        <f t="shared" si="600"/>
        <v>#DIV/0!</v>
      </c>
      <c r="UH285" s="89" t="e">
        <f t="shared" si="600"/>
        <v>#DIV/0!</v>
      </c>
      <c r="UI285" s="89" t="e">
        <f t="shared" si="600"/>
        <v>#DIV/0!</v>
      </c>
      <c r="UJ285" s="89" t="e">
        <f t="shared" si="600"/>
        <v>#DIV/0!</v>
      </c>
      <c r="UK285" s="89" t="e">
        <f t="shared" si="600"/>
        <v>#DIV/0!</v>
      </c>
      <c r="UL285" s="89" t="e">
        <f t="shared" si="600"/>
        <v>#DIV/0!</v>
      </c>
      <c r="UM285" s="89" t="e">
        <f t="shared" si="600"/>
        <v>#DIV/0!</v>
      </c>
      <c r="UN285" s="89" t="e">
        <f t="shared" si="600"/>
        <v>#DIV/0!</v>
      </c>
      <c r="UO285" s="89" t="e">
        <f t="shared" si="600"/>
        <v>#DIV/0!</v>
      </c>
      <c r="UP285" s="89" t="e">
        <f t="shared" si="600"/>
        <v>#DIV/0!</v>
      </c>
      <c r="UQ285" s="89" t="e">
        <f t="shared" si="600"/>
        <v>#DIV/0!</v>
      </c>
      <c r="UR285" s="89" t="e">
        <f t="shared" si="600"/>
        <v>#DIV/0!</v>
      </c>
      <c r="US285" s="89" t="e">
        <f t="shared" si="600"/>
        <v>#DIV/0!</v>
      </c>
      <c r="UT285" s="89" t="e">
        <f t="shared" si="600"/>
        <v>#DIV/0!</v>
      </c>
      <c r="UU285" s="89" t="e">
        <f t="shared" si="600"/>
        <v>#DIV/0!</v>
      </c>
      <c r="UV285" s="89" t="e">
        <f t="shared" si="600"/>
        <v>#DIV/0!</v>
      </c>
      <c r="UW285" s="89" t="e">
        <f t="shared" si="600"/>
        <v>#DIV/0!</v>
      </c>
      <c r="UX285" s="89" t="e">
        <f t="shared" si="600"/>
        <v>#DIV/0!</v>
      </c>
      <c r="UY285" s="89" t="e">
        <f t="shared" si="600"/>
        <v>#DIV/0!</v>
      </c>
      <c r="UZ285" s="89" t="e">
        <f t="shared" si="600"/>
        <v>#DIV/0!</v>
      </c>
      <c r="VA285" s="89" t="e">
        <f t="shared" si="600"/>
        <v>#DIV/0!</v>
      </c>
      <c r="VB285" s="89" t="e">
        <f t="shared" si="600"/>
        <v>#DIV/0!</v>
      </c>
      <c r="VC285" s="89" t="e">
        <f t="shared" si="600"/>
        <v>#DIV/0!</v>
      </c>
      <c r="VD285" s="89" t="e">
        <f t="shared" si="600"/>
        <v>#DIV/0!</v>
      </c>
      <c r="VE285" s="89" t="e">
        <f t="shared" si="600"/>
        <v>#DIV/0!</v>
      </c>
      <c r="VF285" s="89" t="e">
        <f t="shared" si="600"/>
        <v>#DIV/0!</v>
      </c>
      <c r="VG285" s="89" t="e">
        <f t="shared" si="600"/>
        <v>#DIV/0!</v>
      </c>
      <c r="VH285" s="89" t="e">
        <f t="shared" si="600"/>
        <v>#DIV/0!</v>
      </c>
      <c r="VI285" s="89" t="e">
        <f t="shared" si="600"/>
        <v>#DIV/0!</v>
      </c>
      <c r="VJ285" s="89" t="e">
        <f t="shared" si="600"/>
        <v>#DIV/0!</v>
      </c>
      <c r="VK285" s="89" t="e">
        <f t="shared" si="600"/>
        <v>#DIV/0!</v>
      </c>
      <c r="VL285" s="89" t="e">
        <f t="shared" si="600"/>
        <v>#DIV/0!</v>
      </c>
      <c r="VM285" s="89" t="e">
        <f t="shared" si="600"/>
        <v>#DIV/0!</v>
      </c>
      <c r="VN285" s="89" t="e">
        <f t="shared" si="600"/>
        <v>#DIV/0!</v>
      </c>
      <c r="VO285" s="89" t="e">
        <f t="shared" si="600"/>
        <v>#DIV/0!</v>
      </c>
      <c r="VP285" s="89" t="e">
        <f t="shared" si="600"/>
        <v>#DIV/0!</v>
      </c>
      <c r="VQ285" s="89" t="e">
        <f t="shared" si="600"/>
        <v>#DIV/0!</v>
      </c>
      <c r="VR285" s="89" t="e">
        <f t="shared" si="600"/>
        <v>#DIV/0!</v>
      </c>
      <c r="VS285" s="89" t="e">
        <f t="shared" ref="VS285:WF285" si="601">ROUND(VS$284/$F$284,5)</f>
        <v>#DIV/0!</v>
      </c>
      <c r="VT285" s="89" t="e">
        <f t="shared" si="601"/>
        <v>#DIV/0!</v>
      </c>
      <c r="VU285" s="89" t="e">
        <f t="shared" si="601"/>
        <v>#DIV/0!</v>
      </c>
      <c r="VV285" s="89" t="e">
        <f t="shared" si="601"/>
        <v>#DIV/0!</v>
      </c>
      <c r="VW285" s="89" t="e">
        <f t="shared" si="601"/>
        <v>#DIV/0!</v>
      </c>
      <c r="VX285" s="89" t="e">
        <f t="shared" si="601"/>
        <v>#DIV/0!</v>
      </c>
      <c r="VY285" s="89" t="e">
        <f t="shared" si="601"/>
        <v>#DIV/0!</v>
      </c>
      <c r="VZ285" s="89" t="e">
        <f t="shared" si="601"/>
        <v>#DIV/0!</v>
      </c>
      <c r="WA285" s="89" t="e">
        <f t="shared" si="601"/>
        <v>#DIV/0!</v>
      </c>
      <c r="WB285" s="89" t="e">
        <f t="shared" si="601"/>
        <v>#DIV/0!</v>
      </c>
      <c r="WC285" s="89" t="e">
        <f t="shared" si="601"/>
        <v>#DIV/0!</v>
      </c>
      <c r="WD285" s="89" t="e">
        <f t="shared" si="601"/>
        <v>#DIV/0!</v>
      </c>
      <c r="WE285" s="89" t="e">
        <f t="shared" si="601"/>
        <v>#DIV/0!</v>
      </c>
      <c r="WF285" s="89" t="e">
        <f t="shared" si="601"/>
        <v>#DIV/0!</v>
      </c>
    </row>
    <row r="286" spans="1:604" x14ac:dyDescent="0.3">
      <c r="A286" s="162" t="s">
        <v>70</v>
      </c>
      <c r="B286" s="162"/>
      <c r="C286" s="162"/>
      <c r="D286" s="162"/>
      <c r="E286" s="162"/>
      <c r="F286" s="162"/>
      <c r="G286" s="162"/>
      <c r="H286" s="162"/>
      <c r="I286" s="162"/>
      <c r="J286" s="89" t="e">
        <f>J285</f>
        <v>#DIV/0!</v>
      </c>
      <c r="K286" s="89" t="e">
        <f>K285+J286</f>
        <v>#DIV/0!</v>
      </c>
      <c r="L286" s="89" t="e">
        <f t="shared" ref="L286:BR286" si="602">L285+K286</f>
        <v>#DIV/0!</v>
      </c>
      <c r="M286" s="89" t="e">
        <f t="shared" si="602"/>
        <v>#DIV/0!</v>
      </c>
      <c r="N286" s="89" t="e">
        <f t="shared" si="602"/>
        <v>#DIV/0!</v>
      </c>
      <c r="O286" s="89" t="e">
        <f t="shared" si="602"/>
        <v>#DIV/0!</v>
      </c>
      <c r="P286" s="89" t="e">
        <f t="shared" si="602"/>
        <v>#DIV/0!</v>
      </c>
      <c r="Q286" s="89" t="e">
        <f t="shared" si="602"/>
        <v>#DIV/0!</v>
      </c>
      <c r="R286" s="89" t="e">
        <f t="shared" si="602"/>
        <v>#DIV/0!</v>
      </c>
      <c r="S286" s="89" t="e">
        <f t="shared" si="602"/>
        <v>#DIV/0!</v>
      </c>
      <c r="T286" s="89" t="e">
        <f t="shared" si="602"/>
        <v>#DIV/0!</v>
      </c>
      <c r="U286" s="89" t="e">
        <f t="shared" si="602"/>
        <v>#DIV/0!</v>
      </c>
      <c r="V286" s="89" t="e">
        <f t="shared" si="602"/>
        <v>#DIV/0!</v>
      </c>
      <c r="W286" s="89" t="e">
        <f t="shared" si="602"/>
        <v>#DIV/0!</v>
      </c>
      <c r="X286" s="89" t="e">
        <f t="shared" si="602"/>
        <v>#DIV/0!</v>
      </c>
      <c r="Y286" s="89" t="e">
        <f t="shared" si="602"/>
        <v>#DIV/0!</v>
      </c>
      <c r="Z286" s="89" t="e">
        <f t="shared" si="602"/>
        <v>#DIV/0!</v>
      </c>
      <c r="AA286" s="89" t="e">
        <f t="shared" si="602"/>
        <v>#DIV/0!</v>
      </c>
      <c r="AB286" s="89" t="e">
        <f t="shared" si="602"/>
        <v>#DIV/0!</v>
      </c>
      <c r="AC286" s="89" t="e">
        <f t="shared" si="602"/>
        <v>#DIV/0!</v>
      </c>
      <c r="AD286" s="89" t="e">
        <f t="shared" si="602"/>
        <v>#DIV/0!</v>
      </c>
      <c r="AE286" s="89" t="e">
        <f t="shared" si="602"/>
        <v>#DIV/0!</v>
      </c>
      <c r="AF286" s="89" t="e">
        <f t="shared" si="602"/>
        <v>#DIV/0!</v>
      </c>
      <c r="AG286" s="89" t="e">
        <f t="shared" si="602"/>
        <v>#DIV/0!</v>
      </c>
      <c r="AH286" s="89" t="e">
        <f t="shared" si="602"/>
        <v>#DIV/0!</v>
      </c>
      <c r="AI286" s="89" t="e">
        <f t="shared" si="602"/>
        <v>#DIV/0!</v>
      </c>
      <c r="AJ286" s="89" t="e">
        <f t="shared" si="602"/>
        <v>#DIV/0!</v>
      </c>
      <c r="AK286" s="89" t="e">
        <f t="shared" si="602"/>
        <v>#DIV/0!</v>
      </c>
      <c r="AL286" s="89" t="e">
        <f t="shared" si="602"/>
        <v>#DIV/0!</v>
      </c>
      <c r="AM286" s="89" t="e">
        <f t="shared" si="602"/>
        <v>#DIV/0!</v>
      </c>
      <c r="AN286" s="89" t="e">
        <f t="shared" si="602"/>
        <v>#DIV/0!</v>
      </c>
      <c r="AO286" s="89" t="e">
        <f t="shared" si="602"/>
        <v>#DIV/0!</v>
      </c>
      <c r="AP286" s="89" t="e">
        <f t="shared" si="602"/>
        <v>#DIV/0!</v>
      </c>
      <c r="AQ286" s="89" t="e">
        <f t="shared" si="602"/>
        <v>#DIV/0!</v>
      </c>
      <c r="AR286" s="89" t="e">
        <f t="shared" si="602"/>
        <v>#DIV/0!</v>
      </c>
      <c r="AS286" s="89" t="e">
        <f t="shared" si="602"/>
        <v>#DIV/0!</v>
      </c>
      <c r="AT286" s="89" t="e">
        <f t="shared" si="602"/>
        <v>#DIV/0!</v>
      </c>
      <c r="AU286" s="89" t="e">
        <f t="shared" si="602"/>
        <v>#DIV/0!</v>
      </c>
      <c r="AV286" s="89" t="e">
        <f t="shared" si="602"/>
        <v>#DIV/0!</v>
      </c>
      <c r="AW286" s="89" t="e">
        <f t="shared" si="602"/>
        <v>#DIV/0!</v>
      </c>
      <c r="AX286" s="89" t="e">
        <f t="shared" si="602"/>
        <v>#DIV/0!</v>
      </c>
      <c r="AY286" s="89" t="e">
        <f t="shared" si="602"/>
        <v>#DIV/0!</v>
      </c>
      <c r="AZ286" s="89" t="e">
        <f t="shared" si="602"/>
        <v>#DIV/0!</v>
      </c>
      <c r="BA286" s="89" t="e">
        <f t="shared" si="602"/>
        <v>#DIV/0!</v>
      </c>
      <c r="BB286" s="89" t="e">
        <f t="shared" si="602"/>
        <v>#DIV/0!</v>
      </c>
      <c r="BC286" s="89" t="e">
        <f t="shared" si="602"/>
        <v>#DIV/0!</v>
      </c>
      <c r="BD286" s="89" t="e">
        <f t="shared" si="602"/>
        <v>#DIV/0!</v>
      </c>
      <c r="BE286" s="89" t="e">
        <f t="shared" si="602"/>
        <v>#DIV/0!</v>
      </c>
      <c r="BF286" s="89" t="e">
        <f t="shared" si="602"/>
        <v>#DIV/0!</v>
      </c>
      <c r="BG286" s="89" t="e">
        <f t="shared" si="602"/>
        <v>#DIV/0!</v>
      </c>
      <c r="BH286" s="89" t="e">
        <f t="shared" si="602"/>
        <v>#DIV/0!</v>
      </c>
      <c r="BI286" s="89" t="e">
        <f t="shared" si="602"/>
        <v>#DIV/0!</v>
      </c>
      <c r="BJ286" s="89" t="e">
        <f t="shared" si="602"/>
        <v>#DIV/0!</v>
      </c>
      <c r="BK286" s="89" t="e">
        <f t="shared" si="602"/>
        <v>#DIV/0!</v>
      </c>
      <c r="BL286" s="89" t="e">
        <f t="shared" si="602"/>
        <v>#DIV/0!</v>
      </c>
      <c r="BM286" s="89" t="e">
        <f t="shared" si="602"/>
        <v>#DIV/0!</v>
      </c>
      <c r="BN286" s="89" t="e">
        <f t="shared" si="602"/>
        <v>#DIV/0!</v>
      </c>
      <c r="BO286" s="89" t="e">
        <f t="shared" si="602"/>
        <v>#DIV/0!</v>
      </c>
      <c r="BP286" s="89" t="e">
        <f t="shared" si="602"/>
        <v>#DIV/0!</v>
      </c>
      <c r="BQ286" s="89" t="e">
        <f t="shared" si="602"/>
        <v>#DIV/0!</v>
      </c>
      <c r="BR286" s="89" t="e">
        <f t="shared" si="602"/>
        <v>#DIV/0!</v>
      </c>
      <c r="BS286" s="89" t="e">
        <f t="shared" ref="BS286" si="603">BS285+BR286</f>
        <v>#DIV/0!</v>
      </c>
      <c r="BT286" s="89" t="e">
        <f t="shared" ref="BT286" si="604">BT285+BS286</f>
        <v>#DIV/0!</v>
      </c>
      <c r="BU286" s="89" t="e">
        <f t="shared" ref="BU286" si="605">BU285+BT286</f>
        <v>#DIV/0!</v>
      </c>
      <c r="BV286" s="89" t="e">
        <f t="shared" ref="BV286" si="606">BV285+BU286</f>
        <v>#DIV/0!</v>
      </c>
      <c r="BW286" s="89" t="e">
        <f t="shared" ref="BW286" si="607">BW285+BV286</f>
        <v>#DIV/0!</v>
      </c>
      <c r="BX286" s="89" t="e">
        <f t="shared" ref="BX286" si="608">BX285+BW286</f>
        <v>#DIV/0!</v>
      </c>
      <c r="BY286" s="89" t="e">
        <f t="shared" ref="BY286" si="609">BY285+BX286</f>
        <v>#DIV/0!</v>
      </c>
      <c r="BZ286" s="89" t="e">
        <f t="shared" ref="BZ286" si="610">BZ285+BY286</f>
        <v>#DIV/0!</v>
      </c>
      <c r="CA286" s="89" t="e">
        <f t="shared" ref="CA286" si="611">CA285+BZ286</f>
        <v>#DIV/0!</v>
      </c>
      <c r="CB286" s="89" t="e">
        <f t="shared" ref="CB286" si="612">CB285+CA286</f>
        <v>#DIV/0!</v>
      </c>
      <c r="CC286" s="89" t="e">
        <f t="shared" ref="CC286" si="613">CC285+CB286</f>
        <v>#DIV/0!</v>
      </c>
      <c r="CD286" s="89" t="e">
        <f t="shared" ref="CD286" si="614">CD285+CC286</f>
        <v>#DIV/0!</v>
      </c>
      <c r="CE286" s="89" t="e">
        <f t="shared" ref="CE286" si="615">CE285+CD286</f>
        <v>#DIV/0!</v>
      </c>
      <c r="CF286" s="89" t="e">
        <f t="shared" ref="CF286" si="616">CF285+CE286</f>
        <v>#DIV/0!</v>
      </c>
      <c r="CG286" s="89" t="e">
        <f t="shared" ref="CG286" si="617">CG285+CF286</f>
        <v>#DIV/0!</v>
      </c>
      <c r="CH286" s="89" t="e">
        <f t="shared" ref="CH286" si="618">CH285+CG286</f>
        <v>#DIV/0!</v>
      </c>
      <c r="CI286" s="89" t="e">
        <f t="shared" ref="CI286" si="619">CI285+CH286</f>
        <v>#DIV/0!</v>
      </c>
      <c r="CJ286" s="89" t="e">
        <f t="shared" ref="CJ286" si="620">CJ285+CI286</f>
        <v>#DIV/0!</v>
      </c>
      <c r="CK286" s="89" t="e">
        <f t="shared" ref="CK286" si="621">CK285+CJ286</f>
        <v>#DIV/0!</v>
      </c>
      <c r="CL286" s="89" t="e">
        <f t="shared" ref="CL286" si="622">CL285+CK286</f>
        <v>#DIV/0!</v>
      </c>
      <c r="CM286" s="89" t="e">
        <f t="shared" ref="CM286" si="623">CM285+CL286</f>
        <v>#DIV/0!</v>
      </c>
      <c r="CN286" s="89" t="e">
        <f t="shared" ref="CN286" si="624">CN285+CM286</f>
        <v>#DIV/0!</v>
      </c>
      <c r="CO286" s="89" t="e">
        <f t="shared" ref="CO286" si="625">CO285+CN286</f>
        <v>#DIV/0!</v>
      </c>
      <c r="CP286" s="89" t="e">
        <f t="shared" ref="CP286" si="626">CP285+CO286</f>
        <v>#DIV/0!</v>
      </c>
      <c r="CQ286" s="89" t="e">
        <f t="shared" ref="CQ286" si="627">CQ285+CP286</f>
        <v>#DIV/0!</v>
      </c>
      <c r="CR286" s="89" t="e">
        <f t="shared" ref="CR286" si="628">CR285+CQ286</f>
        <v>#DIV/0!</v>
      </c>
      <c r="CS286" s="89" t="e">
        <f t="shared" ref="CS286" si="629">CS285+CR286</f>
        <v>#DIV/0!</v>
      </c>
      <c r="CT286" s="89" t="e">
        <f t="shared" ref="CT286" si="630">CT285+CS286</f>
        <v>#DIV/0!</v>
      </c>
      <c r="CU286" s="89" t="e">
        <f t="shared" ref="CU286" si="631">CU285+CT286</f>
        <v>#DIV/0!</v>
      </c>
      <c r="CV286" s="89" t="e">
        <f t="shared" ref="CV286" si="632">CV285+CU286</f>
        <v>#DIV/0!</v>
      </c>
      <c r="CW286" s="89" t="e">
        <f t="shared" ref="CW286" si="633">CW285+CV286</f>
        <v>#DIV/0!</v>
      </c>
      <c r="CX286" s="89" t="e">
        <f t="shared" ref="CX286" si="634">CX285+CW286</f>
        <v>#DIV/0!</v>
      </c>
      <c r="CY286" s="89" t="e">
        <f t="shared" ref="CY286" si="635">CY285+CX286</f>
        <v>#DIV/0!</v>
      </c>
      <c r="CZ286" s="89" t="e">
        <f t="shared" ref="CZ286" si="636">CZ285+CY286</f>
        <v>#DIV/0!</v>
      </c>
      <c r="DA286" s="89" t="e">
        <f t="shared" ref="DA286" si="637">DA285+CZ286</f>
        <v>#DIV/0!</v>
      </c>
      <c r="DB286" s="89" t="e">
        <f t="shared" ref="DB286" si="638">DB285+DA286</f>
        <v>#DIV/0!</v>
      </c>
      <c r="DC286" s="89" t="e">
        <f t="shared" ref="DC286" si="639">DC285+DB286</f>
        <v>#DIV/0!</v>
      </c>
      <c r="DD286" s="89" t="e">
        <f t="shared" ref="DD286" si="640">DD285+DC286</f>
        <v>#DIV/0!</v>
      </c>
      <c r="DE286" s="89" t="e">
        <f t="shared" ref="DE286" si="641">DE285+DD286</f>
        <v>#DIV/0!</v>
      </c>
      <c r="DF286" s="89" t="e">
        <f t="shared" ref="DF286" si="642">DF285+DE286</f>
        <v>#DIV/0!</v>
      </c>
      <c r="DG286" s="89" t="e">
        <f t="shared" ref="DG286" si="643">DG285+DF286</f>
        <v>#DIV/0!</v>
      </c>
      <c r="DH286" s="89" t="e">
        <f t="shared" ref="DH286" si="644">DH285+DG286</f>
        <v>#DIV/0!</v>
      </c>
      <c r="DI286" s="89" t="e">
        <f t="shared" ref="DI286" si="645">DI285+DH286</f>
        <v>#DIV/0!</v>
      </c>
      <c r="DJ286" s="89" t="e">
        <f t="shared" ref="DJ286" si="646">DJ285+DI286</f>
        <v>#DIV/0!</v>
      </c>
      <c r="DK286" s="89" t="e">
        <f t="shared" ref="DK286" si="647">DK285+DJ286</f>
        <v>#DIV/0!</v>
      </c>
      <c r="DL286" s="89" t="e">
        <f t="shared" ref="DL286" si="648">DL285+DK286</f>
        <v>#DIV/0!</v>
      </c>
      <c r="DM286" s="89" t="e">
        <f t="shared" ref="DM286" si="649">DM285+DL286</f>
        <v>#DIV/0!</v>
      </c>
      <c r="DN286" s="89" t="e">
        <f t="shared" ref="DN286" si="650">DN285+DM286</f>
        <v>#DIV/0!</v>
      </c>
      <c r="DO286" s="89" t="e">
        <f t="shared" ref="DO286" si="651">DO285+DN286</f>
        <v>#DIV/0!</v>
      </c>
      <c r="DP286" s="89" t="e">
        <f t="shared" ref="DP286" si="652">DP285+DO286</f>
        <v>#DIV/0!</v>
      </c>
      <c r="DQ286" s="89" t="e">
        <f t="shared" ref="DQ286" si="653">DQ285+DP286</f>
        <v>#DIV/0!</v>
      </c>
      <c r="DR286" s="89" t="e">
        <f t="shared" ref="DR286" si="654">DR285+DQ286</f>
        <v>#DIV/0!</v>
      </c>
      <c r="DS286" s="89" t="e">
        <f t="shared" ref="DS286" si="655">DS285+DR286</f>
        <v>#DIV/0!</v>
      </c>
      <c r="DT286" s="89" t="e">
        <f t="shared" ref="DT286" si="656">DT285+DS286</f>
        <v>#DIV/0!</v>
      </c>
      <c r="DU286" s="89" t="e">
        <f t="shared" ref="DU286" si="657">DU285+DT286</f>
        <v>#DIV/0!</v>
      </c>
      <c r="DV286" s="89" t="e">
        <f t="shared" ref="DV286" si="658">DV285+DU286</f>
        <v>#DIV/0!</v>
      </c>
      <c r="DW286" s="89" t="e">
        <f t="shared" ref="DW286" si="659">DW285+DV286</f>
        <v>#DIV/0!</v>
      </c>
      <c r="DX286" s="89" t="e">
        <f t="shared" ref="DX286" si="660">DX285+DW286</f>
        <v>#DIV/0!</v>
      </c>
      <c r="DY286" s="89" t="e">
        <f t="shared" ref="DY286" si="661">DY285+DX286</f>
        <v>#DIV/0!</v>
      </c>
      <c r="DZ286" s="89" t="e">
        <f t="shared" ref="DZ286" si="662">DZ285+DY286</f>
        <v>#DIV/0!</v>
      </c>
      <c r="EA286" s="89" t="e">
        <f t="shared" ref="EA286" si="663">EA285+DZ286</f>
        <v>#DIV/0!</v>
      </c>
      <c r="EB286" s="89" t="e">
        <f t="shared" ref="EB286" si="664">EB285+EA286</f>
        <v>#DIV/0!</v>
      </c>
      <c r="EC286" s="89" t="e">
        <f t="shared" ref="EC286" si="665">EC285+EB286</f>
        <v>#DIV/0!</v>
      </c>
      <c r="ED286" s="89" t="e">
        <f t="shared" ref="ED286" si="666">ED285+EC286</f>
        <v>#DIV/0!</v>
      </c>
      <c r="EE286" s="89" t="e">
        <f t="shared" ref="EE286" si="667">EE285+ED286</f>
        <v>#DIV/0!</v>
      </c>
      <c r="EF286" s="89" t="e">
        <f t="shared" ref="EF286" si="668">EF285+EE286</f>
        <v>#DIV/0!</v>
      </c>
      <c r="EG286" s="89" t="e">
        <f t="shared" ref="EG286" si="669">EG285+EF286</f>
        <v>#DIV/0!</v>
      </c>
      <c r="EH286" s="89" t="e">
        <f t="shared" ref="EH286" si="670">EH285+EG286</f>
        <v>#DIV/0!</v>
      </c>
      <c r="EI286" s="89" t="e">
        <f t="shared" ref="EI286" si="671">EI285+EH286</f>
        <v>#DIV/0!</v>
      </c>
      <c r="EJ286" s="89" t="e">
        <f t="shared" ref="EJ286" si="672">EJ285+EI286</f>
        <v>#DIV/0!</v>
      </c>
      <c r="EK286" s="89" t="e">
        <f t="shared" ref="EK286" si="673">EK285+EJ286</f>
        <v>#DIV/0!</v>
      </c>
      <c r="EL286" s="89" t="e">
        <f t="shared" ref="EL286" si="674">EL285+EK286</f>
        <v>#DIV/0!</v>
      </c>
      <c r="EM286" s="89" t="e">
        <f t="shared" ref="EM286" si="675">EM285+EL286</f>
        <v>#DIV/0!</v>
      </c>
      <c r="EN286" s="89" t="e">
        <f t="shared" ref="EN286" si="676">EN285+EM286</f>
        <v>#DIV/0!</v>
      </c>
      <c r="EO286" s="89" t="e">
        <f t="shared" ref="EO286" si="677">EO285+EN286</f>
        <v>#DIV/0!</v>
      </c>
      <c r="EP286" s="89" t="e">
        <f t="shared" ref="EP286" si="678">EP285+EO286</f>
        <v>#DIV/0!</v>
      </c>
      <c r="EQ286" s="89" t="e">
        <f t="shared" ref="EQ286" si="679">EQ285+EP286</f>
        <v>#DIV/0!</v>
      </c>
      <c r="ER286" s="89" t="e">
        <f t="shared" ref="ER286" si="680">ER285+EQ286</f>
        <v>#DIV/0!</v>
      </c>
      <c r="ES286" s="89" t="e">
        <f t="shared" ref="ES286" si="681">ES285+ER286</f>
        <v>#DIV/0!</v>
      </c>
      <c r="ET286" s="89" t="e">
        <f t="shared" ref="ET286" si="682">ET285+ES286</f>
        <v>#DIV/0!</v>
      </c>
      <c r="EU286" s="89" t="e">
        <f t="shared" ref="EU286" si="683">EU285+ET286</f>
        <v>#DIV/0!</v>
      </c>
      <c r="EV286" s="89" t="e">
        <f t="shared" ref="EV286" si="684">EV285+EU286</f>
        <v>#DIV/0!</v>
      </c>
      <c r="EW286" s="89" t="e">
        <f t="shared" ref="EW286" si="685">EW285+EV286</f>
        <v>#DIV/0!</v>
      </c>
      <c r="EX286" s="89" t="e">
        <f t="shared" ref="EX286" si="686">EX285+EW286</f>
        <v>#DIV/0!</v>
      </c>
      <c r="EY286" s="89" t="e">
        <f t="shared" ref="EY286" si="687">EY285+EX286</f>
        <v>#DIV/0!</v>
      </c>
      <c r="EZ286" s="89" t="e">
        <f t="shared" ref="EZ286" si="688">EZ285+EY286</f>
        <v>#DIV/0!</v>
      </c>
      <c r="FA286" s="89" t="e">
        <f t="shared" ref="FA286" si="689">FA285+EZ286</f>
        <v>#DIV/0!</v>
      </c>
      <c r="FB286" s="89" t="e">
        <f t="shared" ref="FB286" si="690">FB285+FA286</f>
        <v>#DIV/0!</v>
      </c>
      <c r="FC286" s="89" t="e">
        <f t="shared" ref="FC286" si="691">FC285+FB286</f>
        <v>#DIV/0!</v>
      </c>
      <c r="FD286" s="89" t="e">
        <f t="shared" ref="FD286" si="692">FD285+FC286</f>
        <v>#DIV/0!</v>
      </c>
      <c r="FE286" s="89" t="e">
        <f t="shared" ref="FE286" si="693">FE285+FD286</f>
        <v>#DIV/0!</v>
      </c>
      <c r="FF286" s="89" t="e">
        <f t="shared" ref="FF286" si="694">FF285+FE286</f>
        <v>#DIV/0!</v>
      </c>
      <c r="FG286" s="89" t="e">
        <f t="shared" ref="FG286" si="695">FG285+FF286</f>
        <v>#DIV/0!</v>
      </c>
      <c r="FH286" s="89" t="e">
        <f t="shared" ref="FH286" si="696">FH285+FG286</f>
        <v>#DIV/0!</v>
      </c>
      <c r="FI286" s="89" t="e">
        <f t="shared" ref="FI286" si="697">FI285+FH286</f>
        <v>#DIV/0!</v>
      </c>
      <c r="FJ286" s="89" t="e">
        <f t="shared" ref="FJ286" si="698">FJ285+FI286</f>
        <v>#DIV/0!</v>
      </c>
      <c r="FK286" s="89" t="e">
        <f t="shared" ref="FK286" si="699">FK285+FJ286</f>
        <v>#DIV/0!</v>
      </c>
      <c r="FL286" s="89" t="e">
        <f t="shared" ref="FL286" si="700">FL285+FK286</f>
        <v>#DIV/0!</v>
      </c>
      <c r="FM286" s="89" t="e">
        <f t="shared" ref="FM286" si="701">FM285+FL286</f>
        <v>#DIV/0!</v>
      </c>
      <c r="FN286" s="89" t="e">
        <f t="shared" ref="FN286" si="702">FN285+FM286</f>
        <v>#DIV/0!</v>
      </c>
      <c r="FO286" s="89" t="e">
        <f t="shared" ref="FO286" si="703">FO285+FN286</f>
        <v>#DIV/0!</v>
      </c>
      <c r="FP286" s="89" t="e">
        <f t="shared" ref="FP286" si="704">FP285+FO286</f>
        <v>#DIV/0!</v>
      </c>
      <c r="FQ286" s="89" t="e">
        <f t="shared" ref="FQ286" si="705">FQ285+FP286</f>
        <v>#DIV/0!</v>
      </c>
      <c r="FR286" s="89" t="e">
        <f t="shared" ref="FR286" si="706">FR285+FQ286</f>
        <v>#DIV/0!</v>
      </c>
      <c r="FS286" s="89" t="e">
        <f t="shared" ref="FS286" si="707">FS285+FR286</f>
        <v>#DIV/0!</v>
      </c>
      <c r="FT286" s="89" t="e">
        <f t="shared" ref="FT286" si="708">FT285+FS286</f>
        <v>#DIV/0!</v>
      </c>
      <c r="FU286" s="89" t="e">
        <f t="shared" ref="FU286" si="709">FU285+FT286</f>
        <v>#DIV/0!</v>
      </c>
      <c r="FV286" s="89" t="e">
        <f t="shared" ref="FV286" si="710">FV285+FU286</f>
        <v>#DIV/0!</v>
      </c>
      <c r="FW286" s="89" t="e">
        <f t="shared" ref="FW286" si="711">FW285+FV286</f>
        <v>#DIV/0!</v>
      </c>
      <c r="FX286" s="89" t="e">
        <f t="shared" ref="FX286" si="712">FX285+FW286</f>
        <v>#DIV/0!</v>
      </c>
      <c r="FY286" s="89" t="e">
        <f t="shared" ref="FY286" si="713">FY285+FX286</f>
        <v>#DIV/0!</v>
      </c>
      <c r="FZ286" s="89" t="e">
        <f t="shared" ref="FZ286" si="714">FZ285+FY286</f>
        <v>#DIV/0!</v>
      </c>
      <c r="GA286" s="89" t="e">
        <f t="shared" ref="GA286" si="715">GA285+FZ286</f>
        <v>#DIV/0!</v>
      </c>
      <c r="GB286" s="89" t="e">
        <f t="shared" ref="GB286" si="716">GB285+GA286</f>
        <v>#DIV/0!</v>
      </c>
      <c r="GC286" s="89" t="e">
        <f t="shared" ref="GC286" si="717">GC285+GB286</f>
        <v>#DIV/0!</v>
      </c>
      <c r="GD286" s="89" t="e">
        <f t="shared" ref="GD286" si="718">GD285+GC286</f>
        <v>#DIV/0!</v>
      </c>
      <c r="GE286" s="89" t="e">
        <f t="shared" ref="GE286" si="719">GE285+GD286</f>
        <v>#DIV/0!</v>
      </c>
      <c r="GF286" s="89" t="e">
        <f t="shared" ref="GF286" si="720">GF285+GE286</f>
        <v>#DIV/0!</v>
      </c>
      <c r="GG286" s="89" t="e">
        <f t="shared" ref="GG286" si="721">GG285+GF286</f>
        <v>#DIV/0!</v>
      </c>
      <c r="GH286" s="89" t="e">
        <f t="shared" ref="GH286" si="722">GH285+GG286</f>
        <v>#DIV/0!</v>
      </c>
      <c r="GI286" s="89" t="e">
        <f t="shared" ref="GI286" si="723">GI285+GH286</f>
        <v>#DIV/0!</v>
      </c>
      <c r="GJ286" s="89" t="e">
        <f t="shared" ref="GJ286" si="724">GJ285+GI286</f>
        <v>#DIV/0!</v>
      </c>
      <c r="GK286" s="89" t="e">
        <f t="shared" ref="GK286" si="725">GK285+GJ286</f>
        <v>#DIV/0!</v>
      </c>
      <c r="GL286" s="89" t="e">
        <f t="shared" ref="GL286" si="726">GL285+GK286</f>
        <v>#DIV/0!</v>
      </c>
      <c r="GM286" s="89" t="e">
        <f t="shared" ref="GM286" si="727">GM285+GL286</f>
        <v>#DIV/0!</v>
      </c>
      <c r="GN286" s="89" t="e">
        <f t="shared" ref="GN286" si="728">GN285+GM286</f>
        <v>#DIV/0!</v>
      </c>
      <c r="GO286" s="89" t="e">
        <f t="shared" ref="GO286" si="729">GO285+GN286</f>
        <v>#DIV/0!</v>
      </c>
      <c r="GP286" s="89" t="e">
        <f t="shared" ref="GP286" si="730">GP285+GO286</f>
        <v>#DIV/0!</v>
      </c>
      <c r="GQ286" s="89" t="e">
        <f t="shared" ref="GQ286" si="731">GQ285+GP286</f>
        <v>#DIV/0!</v>
      </c>
      <c r="GR286" s="89" t="e">
        <f t="shared" ref="GR286" si="732">GR285+GQ286</f>
        <v>#DIV/0!</v>
      </c>
      <c r="GS286" s="89" t="e">
        <f t="shared" ref="GS286" si="733">GS285+GR286</f>
        <v>#DIV/0!</v>
      </c>
      <c r="GT286" s="89" t="e">
        <f t="shared" ref="GT286" si="734">GT285+GS286</f>
        <v>#DIV/0!</v>
      </c>
      <c r="GU286" s="89" t="e">
        <f t="shared" ref="GU286" si="735">GU285+GT286</f>
        <v>#DIV/0!</v>
      </c>
      <c r="GV286" s="89" t="e">
        <f t="shared" ref="GV286" si="736">GV285+GU286</f>
        <v>#DIV/0!</v>
      </c>
      <c r="GW286" s="89" t="e">
        <f t="shared" ref="GW286" si="737">GW285+GV286</f>
        <v>#DIV/0!</v>
      </c>
      <c r="GX286" s="89" t="e">
        <f t="shared" ref="GX286" si="738">GX285+GW286</f>
        <v>#DIV/0!</v>
      </c>
      <c r="GY286" s="89" t="e">
        <f t="shared" ref="GY286" si="739">GY285+GX286</f>
        <v>#DIV/0!</v>
      </c>
      <c r="GZ286" s="89" t="e">
        <f t="shared" ref="GZ286" si="740">GZ285+GY286</f>
        <v>#DIV/0!</v>
      </c>
      <c r="HA286" s="89" t="e">
        <f t="shared" ref="HA286" si="741">HA285+GZ286</f>
        <v>#DIV/0!</v>
      </c>
      <c r="HB286" s="89" t="e">
        <f t="shared" ref="HB286" si="742">HB285+HA286</f>
        <v>#DIV/0!</v>
      </c>
      <c r="HC286" s="89" t="e">
        <f t="shared" ref="HC286" si="743">HC285+HB286</f>
        <v>#DIV/0!</v>
      </c>
      <c r="HD286" s="89" t="e">
        <f t="shared" ref="HD286" si="744">HD285+HC286</f>
        <v>#DIV/0!</v>
      </c>
      <c r="HE286" s="89" t="e">
        <f t="shared" ref="HE286" si="745">HE285+HD286</f>
        <v>#DIV/0!</v>
      </c>
      <c r="HF286" s="89" t="e">
        <f t="shared" ref="HF286" si="746">HF285+HE286</f>
        <v>#DIV/0!</v>
      </c>
      <c r="HG286" s="89" t="e">
        <f t="shared" ref="HG286" si="747">HG285+HF286</f>
        <v>#DIV/0!</v>
      </c>
      <c r="HH286" s="89" t="e">
        <f t="shared" ref="HH286" si="748">HH285+HG286</f>
        <v>#DIV/0!</v>
      </c>
      <c r="HI286" s="89" t="e">
        <f t="shared" ref="HI286" si="749">HI285+HH286</f>
        <v>#DIV/0!</v>
      </c>
      <c r="HJ286" s="89" t="e">
        <f t="shared" ref="HJ286" si="750">HJ285+HI286</f>
        <v>#DIV/0!</v>
      </c>
      <c r="HK286" s="89" t="e">
        <f t="shared" ref="HK286" si="751">HK285+HJ286</f>
        <v>#DIV/0!</v>
      </c>
      <c r="HL286" s="89" t="e">
        <f t="shared" ref="HL286" si="752">HL285+HK286</f>
        <v>#DIV/0!</v>
      </c>
      <c r="HM286" s="89" t="e">
        <f t="shared" ref="HM286" si="753">HM285+HL286</f>
        <v>#DIV/0!</v>
      </c>
      <c r="HN286" s="89" t="e">
        <f t="shared" ref="HN286" si="754">HN285+HM286</f>
        <v>#DIV/0!</v>
      </c>
      <c r="HO286" s="89" t="e">
        <f t="shared" ref="HO286" si="755">HO285+HN286</f>
        <v>#DIV/0!</v>
      </c>
      <c r="HP286" s="89" t="e">
        <f t="shared" ref="HP286" si="756">HP285+HO286</f>
        <v>#DIV/0!</v>
      </c>
      <c r="HQ286" s="89" t="e">
        <f t="shared" ref="HQ286" si="757">HQ285+HP286</f>
        <v>#DIV/0!</v>
      </c>
      <c r="HR286" s="89" t="e">
        <f t="shared" ref="HR286" si="758">HR285+HQ286</f>
        <v>#DIV/0!</v>
      </c>
      <c r="HS286" s="89" t="e">
        <f t="shared" ref="HS286" si="759">HS285+HR286</f>
        <v>#DIV/0!</v>
      </c>
      <c r="HT286" s="89" t="e">
        <f t="shared" ref="HT286" si="760">HT285+HS286</f>
        <v>#DIV/0!</v>
      </c>
      <c r="HU286" s="89" t="e">
        <f t="shared" ref="HU286" si="761">HU285+HT286</f>
        <v>#DIV/0!</v>
      </c>
      <c r="HV286" s="89" t="e">
        <f t="shared" ref="HV286" si="762">HV285+HU286</f>
        <v>#DIV/0!</v>
      </c>
      <c r="HW286" s="89" t="e">
        <f t="shared" ref="HW286" si="763">HW285+HV286</f>
        <v>#DIV/0!</v>
      </c>
      <c r="HX286" s="89" t="e">
        <f t="shared" ref="HX286" si="764">HX285+HW286</f>
        <v>#DIV/0!</v>
      </c>
      <c r="HY286" s="89" t="e">
        <f t="shared" ref="HY286" si="765">HY285+HX286</f>
        <v>#DIV/0!</v>
      </c>
      <c r="HZ286" s="89" t="e">
        <f t="shared" ref="HZ286" si="766">HZ285+HY286</f>
        <v>#DIV/0!</v>
      </c>
      <c r="IA286" s="89" t="e">
        <f t="shared" ref="IA286" si="767">IA285+HZ286</f>
        <v>#DIV/0!</v>
      </c>
      <c r="IB286" s="89" t="e">
        <f t="shared" ref="IB286" si="768">IB285+IA286</f>
        <v>#DIV/0!</v>
      </c>
      <c r="IC286" s="89" t="e">
        <f t="shared" ref="IC286" si="769">IC285+IB286</f>
        <v>#DIV/0!</v>
      </c>
      <c r="ID286" s="89" t="e">
        <f t="shared" ref="ID286" si="770">ID285+IC286</f>
        <v>#DIV/0!</v>
      </c>
      <c r="IE286" s="89" t="e">
        <f t="shared" ref="IE286" si="771">IE285+ID286</f>
        <v>#DIV/0!</v>
      </c>
      <c r="IF286" s="89" t="e">
        <f t="shared" ref="IF286" si="772">IF285+IE286</f>
        <v>#DIV/0!</v>
      </c>
      <c r="IG286" s="89" t="e">
        <f t="shared" ref="IG286" si="773">IG285+IF286</f>
        <v>#DIV/0!</v>
      </c>
      <c r="IH286" s="89" t="e">
        <f t="shared" ref="IH286" si="774">IH285+IG286</f>
        <v>#DIV/0!</v>
      </c>
      <c r="II286" s="89" t="e">
        <f t="shared" ref="II286" si="775">II285+IH286</f>
        <v>#DIV/0!</v>
      </c>
      <c r="IJ286" s="89" t="e">
        <f t="shared" ref="IJ286" si="776">IJ285+II286</f>
        <v>#DIV/0!</v>
      </c>
      <c r="IK286" s="89" t="e">
        <f t="shared" ref="IK286" si="777">IK285+IJ286</f>
        <v>#DIV/0!</v>
      </c>
      <c r="IL286" s="89" t="e">
        <f t="shared" ref="IL286" si="778">IL285+IK286</f>
        <v>#DIV/0!</v>
      </c>
      <c r="IM286" s="89" t="e">
        <f t="shared" ref="IM286" si="779">IM285+IL286</f>
        <v>#DIV/0!</v>
      </c>
      <c r="IN286" s="89" t="e">
        <f t="shared" ref="IN286" si="780">IN285+IM286</f>
        <v>#DIV/0!</v>
      </c>
      <c r="IO286" s="89" t="e">
        <f t="shared" ref="IO286" si="781">IO285+IN286</f>
        <v>#DIV/0!</v>
      </c>
      <c r="IP286" s="89" t="e">
        <f t="shared" ref="IP286" si="782">IP285+IO286</f>
        <v>#DIV/0!</v>
      </c>
      <c r="IQ286" s="89" t="e">
        <f t="shared" ref="IQ286" si="783">IQ285+IP286</f>
        <v>#DIV/0!</v>
      </c>
      <c r="IR286" s="89" t="e">
        <f t="shared" ref="IR286" si="784">IR285+IQ286</f>
        <v>#DIV/0!</v>
      </c>
      <c r="IS286" s="89" t="e">
        <f t="shared" ref="IS286" si="785">IS285+IR286</f>
        <v>#DIV/0!</v>
      </c>
      <c r="IT286" s="89" t="e">
        <f t="shared" ref="IT286" si="786">IT285+IS286</f>
        <v>#DIV/0!</v>
      </c>
      <c r="IU286" s="89" t="e">
        <f t="shared" ref="IU286" si="787">IU285+IT286</f>
        <v>#DIV/0!</v>
      </c>
      <c r="IV286" s="89" t="e">
        <f t="shared" ref="IV286" si="788">IV285+IU286</f>
        <v>#DIV/0!</v>
      </c>
      <c r="IW286" s="89" t="e">
        <f t="shared" ref="IW286" si="789">IW285+IV286</f>
        <v>#DIV/0!</v>
      </c>
      <c r="IX286" s="89" t="e">
        <f t="shared" ref="IX286" si="790">IX285+IW286</f>
        <v>#DIV/0!</v>
      </c>
      <c r="IY286" s="89" t="e">
        <f t="shared" ref="IY286" si="791">IY285+IX286</f>
        <v>#DIV/0!</v>
      </c>
      <c r="IZ286" s="89" t="e">
        <f t="shared" ref="IZ286" si="792">IZ285+IY286</f>
        <v>#DIV/0!</v>
      </c>
      <c r="JA286" s="89" t="e">
        <f t="shared" ref="JA286" si="793">JA285+IZ286</f>
        <v>#DIV/0!</v>
      </c>
      <c r="JB286" s="89" t="e">
        <f t="shared" ref="JB286" si="794">JB285+JA286</f>
        <v>#DIV/0!</v>
      </c>
      <c r="JC286" s="89" t="e">
        <f t="shared" ref="JC286" si="795">JC285+JB286</f>
        <v>#DIV/0!</v>
      </c>
      <c r="JD286" s="89" t="e">
        <f t="shared" ref="JD286" si="796">JD285+JC286</f>
        <v>#DIV/0!</v>
      </c>
      <c r="JE286" s="89" t="e">
        <f t="shared" ref="JE286" si="797">JE285+JD286</f>
        <v>#DIV/0!</v>
      </c>
      <c r="JF286" s="89" t="e">
        <f t="shared" ref="JF286" si="798">JF285+JE286</f>
        <v>#DIV/0!</v>
      </c>
      <c r="JG286" s="89" t="e">
        <f t="shared" ref="JG286" si="799">JG285+JF286</f>
        <v>#DIV/0!</v>
      </c>
      <c r="JH286" s="89" t="e">
        <f t="shared" ref="JH286" si="800">JH285+JG286</f>
        <v>#DIV/0!</v>
      </c>
      <c r="JI286" s="89" t="e">
        <f t="shared" ref="JI286" si="801">JI285+JH286</f>
        <v>#DIV/0!</v>
      </c>
      <c r="JJ286" s="89" t="e">
        <f t="shared" ref="JJ286" si="802">JJ285+JI286</f>
        <v>#DIV/0!</v>
      </c>
      <c r="JK286" s="89" t="e">
        <f t="shared" ref="JK286" si="803">JK285+JJ286</f>
        <v>#DIV/0!</v>
      </c>
      <c r="JL286" s="89" t="e">
        <f t="shared" ref="JL286" si="804">JL285+JK286</f>
        <v>#DIV/0!</v>
      </c>
      <c r="JM286" s="89" t="e">
        <f t="shared" ref="JM286" si="805">JM285+JL286</f>
        <v>#DIV/0!</v>
      </c>
      <c r="JN286" s="89" t="e">
        <f t="shared" ref="JN286" si="806">JN285+JM286</f>
        <v>#DIV/0!</v>
      </c>
      <c r="JO286" s="89" t="e">
        <f t="shared" ref="JO286" si="807">JO285+JN286</f>
        <v>#DIV/0!</v>
      </c>
      <c r="JP286" s="89" t="e">
        <f t="shared" ref="JP286" si="808">JP285+JO286</f>
        <v>#DIV/0!</v>
      </c>
      <c r="JQ286" s="89" t="e">
        <f t="shared" ref="JQ286" si="809">JQ285+JP286</f>
        <v>#DIV/0!</v>
      </c>
      <c r="JR286" s="89" t="e">
        <f t="shared" ref="JR286" si="810">JR285+JQ286</f>
        <v>#DIV/0!</v>
      </c>
      <c r="JS286" s="89" t="e">
        <f t="shared" ref="JS286" si="811">JS285+JR286</f>
        <v>#DIV/0!</v>
      </c>
      <c r="JT286" s="89" t="e">
        <f t="shared" ref="JT286" si="812">JT285+JS286</f>
        <v>#DIV/0!</v>
      </c>
      <c r="JU286" s="89" t="e">
        <f t="shared" ref="JU286" si="813">JU285+JT286</f>
        <v>#DIV/0!</v>
      </c>
      <c r="JV286" s="89" t="e">
        <f t="shared" ref="JV286" si="814">JV285+JU286</f>
        <v>#DIV/0!</v>
      </c>
      <c r="JW286" s="89" t="e">
        <f t="shared" ref="JW286" si="815">JW285+JV286</f>
        <v>#DIV/0!</v>
      </c>
      <c r="JX286" s="89" t="e">
        <f t="shared" ref="JX286" si="816">JX285+JW286</f>
        <v>#DIV/0!</v>
      </c>
      <c r="JY286" s="89" t="e">
        <f t="shared" ref="JY286" si="817">JY285+JX286</f>
        <v>#DIV/0!</v>
      </c>
      <c r="JZ286" s="89" t="e">
        <f t="shared" ref="JZ286" si="818">JZ285+JY286</f>
        <v>#DIV/0!</v>
      </c>
      <c r="KA286" s="89" t="e">
        <f t="shared" ref="KA286" si="819">KA285+JZ286</f>
        <v>#DIV/0!</v>
      </c>
      <c r="KB286" s="89" t="e">
        <f t="shared" ref="KB286" si="820">KB285+KA286</f>
        <v>#DIV/0!</v>
      </c>
      <c r="KC286" s="89" t="e">
        <f t="shared" ref="KC286" si="821">KC285+KB286</f>
        <v>#DIV/0!</v>
      </c>
      <c r="KD286" s="89" t="e">
        <f t="shared" ref="KD286" si="822">KD285+KC286</f>
        <v>#DIV/0!</v>
      </c>
      <c r="KE286" s="89" t="e">
        <f t="shared" ref="KE286" si="823">KE285+KD286</f>
        <v>#DIV/0!</v>
      </c>
      <c r="KF286" s="89" t="e">
        <f t="shared" ref="KF286" si="824">KF285+KE286</f>
        <v>#DIV/0!</v>
      </c>
      <c r="KG286" s="89" t="e">
        <f t="shared" ref="KG286" si="825">KG285+KF286</f>
        <v>#DIV/0!</v>
      </c>
      <c r="KH286" s="89" t="e">
        <f t="shared" ref="KH286" si="826">KH285+KG286</f>
        <v>#DIV/0!</v>
      </c>
      <c r="KI286" s="89" t="e">
        <f t="shared" ref="KI286" si="827">KI285+KH286</f>
        <v>#DIV/0!</v>
      </c>
      <c r="KJ286" s="89" t="e">
        <f t="shared" ref="KJ286" si="828">KJ285+KI286</f>
        <v>#DIV/0!</v>
      </c>
      <c r="KK286" s="89" t="e">
        <f t="shared" ref="KK286" si="829">KK285+KJ286</f>
        <v>#DIV/0!</v>
      </c>
      <c r="KL286" s="89" t="e">
        <f t="shared" ref="KL286" si="830">KL285+KK286</f>
        <v>#DIV/0!</v>
      </c>
      <c r="KM286" s="89" t="e">
        <f t="shared" ref="KM286" si="831">KM285+KL286</f>
        <v>#DIV/0!</v>
      </c>
      <c r="KN286" s="89" t="e">
        <f t="shared" ref="KN286" si="832">KN285+KM286</f>
        <v>#DIV/0!</v>
      </c>
      <c r="KO286" s="89" t="e">
        <f t="shared" ref="KO286" si="833">KO285+KN286</f>
        <v>#DIV/0!</v>
      </c>
      <c r="KP286" s="89" t="e">
        <f t="shared" ref="KP286" si="834">KP285+KO286</f>
        <v>#DIV/0!</v>
      </c>
      <c r="KQ286" s="89" t="e">
        <f t="shared" ref="KQ286" si="835">KQ285+KP286</f>
        <v>#DIV/0!</v>
      </c>
      <c r="KR286" s="89" t="e">
        <f t="shared" ref="KR286" si="836">KR285+KQ286</f>
        <v>#DIV/0!</v>
      </c>
      <c r="KS286" s="89" t="e">
        <f t="shared" ref="KS286" si="837">KS285+KR286</f>
        <v>#DIV/0!</v>
      </c>
      <c r="KT286" s="89" t="e">
        <f t="shared" ref="KT286" si="838">KT285+KS286</f>
        <v>#DIV/0!</v>
      </c>
      <c r="KU286" s="89" t="e">
        <f t="shared" ref="KU286" si="839">KU285+KT286</f>
        <v>#DIV/0!</v>
      </c>
      <c r="KV286" s="89" t="e">
        <f t="shared" ref="KV286" si="840">KV285+KU286</f>
        <v>#DIV/0!</v>
      </c>
      <c r="KW286" s="89" t="e">
        <f t="shared" ref="KW286" si="841">KW285+KV286</f>
        <v>#DIV/0!</v>
      </c>
      <c r="KX286" s="89" t="e">
        <f t="shared" ref="KX286" si="842">KX285+KW286</f>
        <v>#DIV/0!</v>
      </c>
      <c r="KY286" s="89" t="e">
        <f t="shared" ref="KY286" si="843">KY285+KX286</f>
        <v>#DIV/0!</v>
      </c>
      <c r="KZ286" s="89" t="e">
        <f t="shared" ref="KZ286" si="844">KZ285+KY286</f>
        <v>#DIV/0!</v>
      </c>
      <c r="LA286" s="89" t="e">
        <f t="shared" ref="LA286" si="845">LA285+KZ286</f>
        <v>#DIV/0!</v>
      </c>
      <c r="LB286" s="89" t="e">
        <f t="shared" ref="LB286" si="846">LB285+LA286</f>
        <v>#DIV/0!</v>
      </c>
      <c r="LC286" s="89" t="e">
        <f t="shared" ref="LC286" si="847">LC285+LB286</f>
        <v>#DIV/0!</v>
      </c>
      <c r="LD286" s="89" t="e">
        <f t="shared" ref="LD286" si="848">LD285+LC286</f>
        <v>#DIV/0!</v>
      </c>
      <c r="LE286" s="89" t="e">
        <f t="shared" ref="LE286" si="849">LE285+LD286</f>
        <v>#DIV/0!</v>
      </c>
      <c r="LF286" s="89" t="e">
        <f t="shared" ref="LF286" si="850">LF285+LE286</f>
        <v>#DIV/0!</v>
      </c>
      <c r="LG286" s="89" t="e">
        <f t="shared" ref="LG286" si="851">LG285+LF286</f>
        <v>#DIV/0!</v>
      </c>
      <c r="LH286" s="89" t="e">
        <f t="shared" ref="LH286" si="852">LH285+LG286</f>
        <v>#DIV/0!</v>
      </c>
      <c r="LI286" s="89" t="e">
        <f t="shared" ref="LI286" si="853">LI285+LH286</f>
        <v>#DIV/0!</v>
      </c>
      <c r="LJ286" s="89" t="e">
        <f t="shared" ref="LJ286" si="854">LJ285+LI286</f>
        <v>#DIV/0!</v>
      </c>
      <c r="LK286" s="89" t="e">
        <f t="shared" ref="LK286" si="855">LK285+LJ286</f>
        <v>#DIV/0!</v>
      </c>
      <c r="LL286" s="89" t="e">
        <f t="shared" ref="LL286" si="856">LL285+LK286</f>
        <v>#DIV/0!</v>
      </c>
      <c r="LM286" s="89" t="e">
        <f t="shared" ref="LM286" si="857">LM285+LL286</f>
        <v>#DIV/0!</v>
      </c>
      <c r="LN286" s="89" t="e">
        <f t="shared" ref="LN286" si="858">LN285+LM286</f>
        <v>#DIV/0!</v>
      </c>
      <c r="LO286" s="89" t="e">
        <f t="shared" ref="LO286" si="859">LO285+LN286</f>
        <v>#DIV/0!</v>
      </c>
      <c r="LP286" s="89" t="e">
        <f t="shared" ref="LP286" si="860">LP285+LO286</f>
        <v>#DIV/0!</v>
      </c>
      <c r="LQ286" s="89" t="e">
        <f t="shared" ref="LQ286" si="861">LQ285+LP286</f>
        <v>#DIV/0!</v>
      </c>
      <c r="LR286" s="89" t="e">
        <f t="shared" ref="LR286" si="862">LR285+LQ286</f>
        <v>#DIV/0!</v>
      </c>
      <c r="LS286" s="89" t="e">
        <f t="shared" ref="LS286" si="863">LS285+LR286</f>
        <v>#DIV/0!</v>
      </c>
      <c r="LT286" s="89" t="e">
        <f t="shared" ref="LT286" si="864">LT285+LS286</f>
        <v>#DIV/0!</v>
      </c>
      <c r="LU286" s="89" t="e">
        <f t="shared" ref="LU286" si="865">LU285+LT286</f>
        <v>#DIV/0!</v>
      </c>
      <c r="LV286" s="89" t="e">
        <f t="shared" ref="LV286" si="866">LV285+LU286</f>
        <v>#DIV/0!</v>
      </c>
      <c r="LW286" s="89" t="e">
        <f t="shared" ref="LW286" si="867">LW285+LV286</f>
        <v>#DIV/0!</v>
      </c>
      <c r="LX286" s="89" t="e">
        <f t="shared" ref="LX286" si="868">LX285+LW286</f>
        <v>#DIV/0!</v>
      </c>
      <c r="LY286" s="89" t="e">
        <f t="shared" ref="LY286" si="869">LY285+LX286</f>
        <v>#DIV/0!</v>
      </c>
      <c r="LZ286" s="89" t="e">
        <f t="shared" ref="LZ286" si="870">LZ285+LY286</f>
        <v>#DIV/0!</v>
      </c>
      <c r="MA286" s="89" t="e">
        <f t="shared" ref="MA286" si="871">MA285+LZ286</f>
        <v>#DIV/0!</v>
      </c>
      <c r="MB286" s="89" t="e">
        <f t="shared" ref="MB286" si="872">MB285+MA286</f>
        <v>#DIV/0!</v>
      </c>
      <c r="MC286" s="89" t="e">
        <f t="shared" ref="MC286" si="873">MC285+MB286</f>
        <v>#DIV/0!</v>
      </c>
      <c r="MD286" s="89" t="e">
        <f t="shared" ref="MD286" si="874">MD285+MC286</f>
        <v>#DIV/0!</v>
      </c>
      <c r="ME286" s="89" t="e">
        <f t="shared" ref="ME286" si="875">ME285+MD286</f>
        <v>#DIV/0!</v>
      </c>
      <c r="MF286" s="89" t="e">
        <f t="shared" ref="MF286" si="876">MF285+ME286</f>
        <v>#DIV/0!</v>
      </c>
      <c r="MG286" s="89" t="e">
        <f t="shared" ref="MG286" si="877">MG285+MF286</f>
        <v>#DIV/0!</v>
      </c>
      <c r="MH286" s="89" t="e">
        <f t="shared" ref="MH286" si="878">MH285+MG286</f>
        <v>#DIV/0!</v>
      </c>
      <c r="MI286" s="89" t="e">
        <f t="shared" ref="MI286" si="879">MI285+MH286</f>
        <v>#DIV/0!</v>
      </c>
      <c r="MJ286" s="89" t="e">
        <f t="shared" ref="MJ286" si="880">MJ285+MI286</f>
        <v>#DIV/0!</v>
      </c>
      <c r="MK286" s="89" t="e">
        <f t="shared" ref="MK286" si="881">MK285+MJ286</f>
        <v>#DIV/0!</v>
      </c>
      <c r="ML286" s="89" t="e">
        <f t="shared" ref="ML286" si="882">ML285+MK286</f>
        <v>#DIV/0!</v>
      </c>
      <c r="MM286" s="89" t="e">
        <f t="shared" ref="MM286" si="883">MM285+ML286</f>
        <v>#DIV/0!</v>
      </c>
      <c r="MN286" s="89" t="e">
        <f t="shared" ref="MN286" si="884">MN285+MM286</f>
        <v>#DIV/0!</v>
      </c>
      <c r="MO286" s="89" t="e">
        <f t="shared" ref="MO286" si="885">MO285+MN286</f>
        <v>#DIV/0!</v>
      </c>
      <c r="MP286" s="89" t="e">
        <f t="shared" ref="MP286" si="886">MP285+MO286</f>
        <v>#DIV/0!</v>
      </c>
      <c r="MQ286" s="89" t="e">
        <f t="shared" ref="MQ286" si="887">MQ285+MP286</f>
        <v>#DIV/0!</v>
      </c>
      <c r="MR286" s="89" t="e">
        <f t="shared" ref="MR286" si="888">MR285+MQ286</f>
        <v>#DIV/0!</v>
      </c>
      <c r="MS286" s="89" t="e">
        <f t="shared" ref="MS286" si="889">MS285+MR286</f>
        <v>#DIV/0!</v>
      </c>
      <c r="MT286" s="89" t="e">
        <f t="shared" ref="MT286" si="890">MT285+MS286</f>
        <v>#DIV/0!</v>
      </c>
      <c r="MU286" s="89" t="e">
        <f t="shared" ref="MU286" si="891">MU285+MT286</f>
        <v>#DIV/0!</v>
      </c>
      <c r="MV286" s="89" t="e">
        <f t="shared" ref="MV286" si="892">MV285+MU286</f>
        <v>#DIV/0!</v>
      </c>
      <c r="MW286" s="89" t="e">
        <f t="shared" ref="MW286" si="893">MW285+MV286</f>
        <v>#DIV/0!</v>
      </c>
      <c r="MX286" s="89" t="e">
        <f t="shared" ref="MX286" si="894">MX285+MW286</f>
        <v>#DIV/0!</v>
      </c>
      <c r="MY286" s="89" t="e">
        <f t="shared" ref="MY286" si="895">MY285+MX286</f>
        <v>#DIV/0!</v>
      </c>
      <c r="MZ286" s="89" t="e">
        <f t="shared" ref="MZ286" si="896">MZ285+MY286</f>
        <v>#DIV/0!</v>
      </c>
      <c r="NA286" s="89" t="e">
        <f t="shared" ref="NA286" si="897">NA285+MZ286</f>
        <v>#DIV/0!</v>
      </c>
      <c r="NB286" s="89" t="e">
        <f t="shared" ref="NB286" si="898">NB285+NA286</f>
        <v>#DIV/0!</v>
      </c>
      <c r="NC286" s="89" t="e">
        <f t="shared" ref="NC286" si="899">NC285+NB286</f>
        <v>#DIV/0!</v>
      </c>
      <c r="ND286" s="89" t="e">
        <f t="shared" ref="ND286" si="900">ND285+NC286</f>
        <v>#DIV/0!</v>
      </c>
      <c r="NE286" s="89" t="e">
        <f t="shared" ref="NE286" si="901">NE285+ND286</f>
        <v>#DIV/0!</v>
      </c>
      <c r="NF286" s="89" t="e">
        <f t="shared" ref="NF286" si="902">NF285+NE286</f>
        <v>#DIV/0!</v>
      </c>
      <c r="NG286" s="89" t="e">
        <f t="shared" ref="NG286" si="903">NG285+NF286</f>
        <v>#DIV/0!</v>
      </c>
      <c r="NH286" s="89" t="e">
        <f t="shared" ref="NH286" si="904">NH285+NG286</f>
        <v>#DIV/0!</v>
      </c>
      <c r="NI286" s="89" t="e">
        <f t="shared" ref="NI286" si="905">NI285+NH286</f>
        <v>#DIV/0!</v>
      </c>
      <c r="NJ286" s="89" t="e">
        <f t="shared" ref="NJ286" si="906">NJ285+NI286</f>
        <v>#DIV/0!</v>
      </c>
      <c r="NK286" s="89" t="e">
        <f t="shared" ref="NK286" si="907">NK285+NJ286</f>
        <v>#DIV/0!</v>
      </c>
      <c r="NL286" s="89" t="e">
        <f t="shared" ref="NL286" si="908">NL285+NK286</f>
        <v>#DIV/0!</v>
      </c>
      <c r="NM286" s="89" t="e">
        <f t="shared" ref="NM286" si="909">NM285+NL286</f>
        <v>#DIV/0!</v>
      </c>
      <c r="NN286" s="89" t="e">
        <f t="shared" ref="NN286" si="910">NN285+NM286</f>
        <v>#DIV/0!</v>
      </c>
      <c r="NO286" s="89" t="e">
        <f t="shared" ref="NO286" si="911">NO285+NN286</f>
        <v>#DIV/0!</v>
      </c>
      <c r="NP286" s="89" t="e">
        <f t="shared" ref="NP286" si="912">NP285+NO286</f>
        <v>#DIV/0!</v>
      </c>
      <c r="NQ286" s="89" t="e">
        <f t="shared" ref="NQ286" si="913">NQ285+NP286</f>
        <v>#DIV/0!</v>
      </c>
      <c r="NR286" s="89" t="e">
        <f t="shared" ref="NR286" si="914">NR285+NQ286</f>
        <v>#DIV/0!</v>
      </c>
      <c r="NS286" s="89" t="e">
        <f t="shared" ref="NS286" si="915">NS285+NR286</f>
        <v>#DIV/0!</v>
      </c>
      <c r="NT286" s="89" t="e">
        <f t="shared" ref="NT286" si="916">NT285+NS286</f>
        <v>#DIV/0!</v>
      </c>
      <c r="NU286" s="89" t="e">
        <f t="shared" ref="NU286" si="917">NU285+NT286</f>
        <v>#DIV/0!</v>
      </c>
      <c r="NV286" s="89" t="e">
        <f t="shared" ref="NV286" si="918">NV285+NU286</f>
        <v>#DIV/0!</v>
      </c>
      <c r="NW286" s="89" t="e">
        <f t="shared" ref="NW286" si="919">NW285+NV286</f>
        <v>#DIV/0!</v>
      </c>
      <c r="NX286" s="89" t="e">
        <f t="shared" ref="NX286" si="920">NX285+NW286</f>
        <v>#DIV/0!</v>
      </c>
      <c r="NY286" s="89" t="e">
        <f t="shared" ref="NY286" si="921">NY285+NX286</f>
        <v>#DIV/0!</v>
      </c>
      <c r="NZ286" s="89" t="e">
        <f t="shared" ref="NZ286" si="922">NZ285+NY286</f>
        <v>#DIV/0!</v>
      </c>
      <c r="OA286" s="89" t="e">
        <f t="shared" ref="OA286" si="923">OA285+NZ286</f>
        <v>#DIV/0!</v>
      </c>
      <c r="OB286" s="89" t="e">
        <f t="shared" ref="OB286" si="924">OB285+OA286</f>
        <v>#DIV/0!</v>
      </c>
      <c r="OC286" s="89" t="e">
        <f t="shared" ref="OC286" si="925">OC285+OB286</f>
        <v>#DIV/0!</v>
      </c>
      <c r="OD286" s="89" t="e">
        <f t="shared" ref="OD286" si="926">OD285+OC286</f>
        <v>#DIV/0!</v>
      </c>
      <c r="OE286" s="89" t="e">
        <f t="shared" ref="OE286" si="927">OE285+OD286</f>
        <v>#DIV/0!</v>
      </c>
      <c r="OF286" s="89" t="e">
        <f t="shared" ref="OF286" si="928">OF285+OE286</f>
        <v>#DIV/0!</v>
      </c>
      <c r="OG286" s="89" t="e">
        <f t="shared" ref="OG286" si="929">OG285+OF286</f>
        <v>#DIV/0!</v>
      </c>
      <c r="OH286" s="89" t="e">
        <f t="shared" ref="OH286" si="930">OH285+OG286</f>
        <v>#DIV/0!</v>
      </c>
      <c r="OI286" s="89" t="e">
        <f t="shared" ref="OI286" si="931">OI285+OH286</f>
        <v>#DIV/0!</v>
      </c>
      <c r="OJ286" s="89" t="e">
        <f t="shared" ref="OJ286" si="932">OJ285+OI286</f>
        <v>#DIV/0!</v>
      </c>
      <c r="OK286" s="89" t="e">
        <f t="shared" ref="OK286" si="933">OK285+OJ286</f>
        <v>#DIV/0!</v>
      </c>
      <c r="OL286" s="89" t="e">
        <f t="shared" ref="OL286" si="934">OL285+OK286</f>
        <v>#DIV/0!</v>
      </c>
      <c r="OM286" s="89" t="e">
        <f t="shared" ref="OM286" si="935">OM285+OL286</f>
        <v>#DIV/0!</v>
      </c>
      <c r="ON286" s="89" t="e">
        <f t="shared" ref="ON286" si="936">ON285+OM286</f>
        <v>#DIV/0!</v>
      </c>
      <c r="OO286" s="89" t="e">
        <f t="shared" ref="OO286" si="937">OO285+ON286</f>
        <v>#DIV/0!</v>
      </c>
      <c r="OP286" s="89" t="e">
        <f t="shared" ref="OP286" si="938">OP285+OO286</f>
        <v>#DIV/0!</v>
      </c>
      <c r="OQ286" s="89" t="e">
        <f t="shared" ref="OQ286" si="939">OQ285+OP286</f>
        <v>#DIV/0!</v>
      </c>
      <c r="OR286" s="89" t="e">
        <f t="shared" ref="OR286" si="940">OR285+OQ286</f>
        <v>#DIV/0!</v>
      </c>
      <c r="OS286" s="89" t="e">
        <f t="shared" ref="OS286" si="941">OS285+OR286</f>
        <v>#DIV/0!</v>
      </c>
      <c r="OT286" s="89" t="e">
        <f t="shared" ref="OT286" si="942">OT285+OS286</f>
        <v>#DIV/0!</v>
      </c>
      <c r="OU286" s="89" t="e">
        <f t="shared" ref="OU286" si="943">OU285+OT286</f>
        <v>#DIV/0!</v>
      </c>
      <c r="OV286" s="89" t="e">
        <f t="shared" ref="OV286" si="944">OV285+OU286</f>
        <v>#DIV/0!</v>
      </c>
      <c r="OW286" s="89" t="e">
        <f t="shared" ref="OW286" si="945">OW285+OV286</f>
        <v>#DIV/0!</v>
      </c>
      <c r="OX286" s="89" t="e">
        <f t="shared" ref="OX286" si="946">OX285+OW286</f>
        <v>#DIV/0!</v>
      </c>
      <c r="OY286" s="89" t="e">
        <f t="shared" ref="OY286" si="947">OY285+OX286</f>
        <v>#DIV/0!</v>
      </c>
      <c r="OZ286" s="89" t="e">
        <f t="shared" ref="OZ286" si="948">OZ285+OY286</f>
        <v>#DIV/0!</v>
      </c>
      <c r="PA286" s="89" t="e">
        <f t="shared" ref="PA286" si="949">PA285+OZ286</f>
        <v>#DIV/0!</v>
      </c>
      <c r="PB286" s="89" t="e">
        <f t="shared" ref="PB286" si="950">PB285+PA286</f>
        <v>#DIV/0!</v>
      </c>
      <c r="PC286" s="89" t="e">
        <f t="shared" ref="PC286" si="951">PC285+PB286</f>
        <v>#DIV/0!</v>
      </c>
      <c r="PD286" s="89" t="e">
        <f t="shared" ref="PD286" si="952">PD285+PC286</f>
        <v>#DIV/0!</v>
      </c>
      <c r="PE286" s="89" t="e">
        <f t="shared" ref="PE286" si="953">PE285+PD286</f>
        <v>#DIV/0!</v>
      </c>
      <c r="PF286" s="89" t="e">
        <f t="shared" ref="PF286" si="954">PF285+PE286</f>
        <v>#DIV/0!</v>
      </c>
      <c r="PG286" s="89" t="e">
        <f t="shared" ref="PG286" si="955">PG285+PF286</f>
        <v>#DIV/0!</v>
      </c>
      <c r="PH286" s="89" t="e">
        <f t="shared" ref="PH286" si="956">PH285+PG286</f>
        <v>#DIV/0!</v>
      </c>
      <c r="PI286" s="89" t="e">
        <f t="shared" ref="PI286" si="957">PI285+PH286</f>
        <v>#DIV/0!</v>
      </c>
      <c r="PJ286" s="89" t="e">
        <f t="shared" ref="PJ286" si="958">PJ285+PI286</f>
        <v>#DIV/0!</v>
      </c>
      <c r="PK286" s="89" t="e">
        <f t="shared" ref="PK286" si="959">PK285+PJ286</f>
        <v>#DIV/0!</v>
      </c>
      <c r="PL286" s="89" t="e">
        <f t="shared" ref="PL286" si="960">PL285+PK286</f>
        <v>#DIV/0!</v>
      </c>
      <c r="PM286" s="89" t="e">
        <f t="shared" ref="PM286" si="961">PM285+PL286</f>
        <v>#DIV/0!</v>
      </c>
      <c r="PN286" s="89" t="e">
        <f t="shared" ref="PN286" si="962">PN285+PM286</f>
        <v>#DIV/0!</v>
      </c>
      <c r="PO286" s="89" t="e">
        <f t="shared" ref="PO286" si="963">PO285+PN286</f>
        <v>#DIV/0!</v>
      </c>
      <c r="PP286" s="89" t="e">
        <f t="shared" ref="PP286" si="964">PP285+PO286</f>
        <v>#DIV/0!</v>
      </c>
      <c r="PQ286" s="89" t="e">
        <f t="shared" ref="PQ286" si="965">PQ285+PP286</f>
        <v>#DIV/0!</v>
      </c>
      <c r="PR286" s="89" t="e">
        <f t="shared" ref="PR286" si="966">PR285+PQ286</f>
        <v>#DIV/0!</v>
      </c>
      <c r="PS286" s="89" t="e">
        <f t="shared" ref="PS286" si="967">PS285+PR286</f>
        <v>#DIV/0!</v>
      </c>
      <c r="PT286" s="89" t="e">
        <f t="shared" ref="PT286" si="968">PT285+PS286</f>
        <v>#DIV/0!</v>
      </c>
      <c r="PU286" s="89" t="e">
        <f t="shared" ref="PU286" si="969">PU285+PT286</f>
        <v>#DIV/0!</v>
      </c>
      <c r="PV286" s="89" t="e">
        <f t="shared" ref="PV286" si="970">PV285+PU286</f>
        <v>#DIV/0!</v>
      </c>
      <c r="PW286" s="89" t="e">
        <f t="shared" ref="PW286" si="971">PW285+PV286</f>
        <v>#DIV/0!</v>
      </c>
      <c r="PX286" s="89" t="e">
        <f t="shared" ref="PX286" si="972">PX285+PW286</f>
        <v>#DIV/0!</v>
      </c>
      <c r="PY286" s="89" t="e">
        <f t="shared" ref="PY286" si="973">PY285+PX286</f>
        <v>#DIV/0!</v>
      </c>
      <c r="PZ286" s="89" t="e">
        <f t="shared" ref="PZ286" si="974">PZ285+PY286</f>
        <v>#DIV/0!</v>
      </c>
      <c r="QA286" s="89" t="e">
        <f t="shared" ref="QA286" si="975">QA285+PZ286</f>
        <v>#DIV/0!</v>
      </c>
      <c r="QB286" s="89" t="e">
        <f t="shared" ref="QB286" si="976">QB285+QA286</f>
        <v>#DIV/0!</v>
      </c>
      <c r="QC286" s="89" t="e">
        <f t="shared" ref="QC286" si="977">QC285+QB286</f>
        <v>#DIV/0!</v>
      </c>
      <c r="QD286" s="89" t="e">
        <f t="shared" ref="QD286" si="978">QD285+QC286</f>
        <v>#DIV/0!</v>
      </c>
      <c r="QE286" s="89" t="e">
        <f t="shared" ref="QE286" si="979">QE285+QD286</f>
        <v>#DIV/0!</v>
      </c>
      <c r="QF286" s="89" t="e">
        <f t="shared" ref="QF286" si="980">QF285+QE286</f>
        <v>#DIV/0!</v>
      </c>
      <c r="QG286" s="89" t="e">
        <f t="shared" ref="QG286" si="981">QG285+QF286</f>
        <v>#DIV/0!</v>
      </c>
      <c r="QH286" s="89" t="e">
        <f t="shared" ref="QH286" si="982">QH285+QG286</f>
        <v>#DIV/0!</v>
      </c>
      <c r="QI286" s="89" t="e">
        <f t="shared" ref="QI286" si="983">QI285+QH286</f>
        <v>#DIV/0!</v>
      </c>
      <c r="QJ286" s="89" t="e">
        <f t="shared" ref="QJ286" si="984">QJ285+QI286</f>
        <v>#DIV/0!</v>
      </c>
      <c r="QK286" s="89" t="e">
        <f t="shared" ref="QK286" si="985">QK285+QJ286</f>
        <v>#DIV/0!</v>
      </c>
      <c r="QL286" s="89" t="e">
        <f t="shared" ref="QL286" si="986">QL285+QK286</f>
        <v>#DIV/0!</v>
      </c>
      <c r="QM286" s="89" t="e">
        <f t="shared" ref="QM286" si="987">QM285+QL286</f>
        <v>#DIV/0!</v>
      </c>
      <c r="QN286" s="89" t="e">
        <f t="shared" ref="QN286" si="988">QN285+QM286</f>
        <v>#DIV/0!</v>
      </c>
      <c r="QO286" s="89" t="e">
        <f t="shared" ref="QO286" si="989">QO285+QN286</f>
        <v>#DIV/0!</v>
      </c>
      <c r="QP286" s="89" t="e">
        <f t="shared" ref="QP286" si="990">QP285+QO286</f>
        <v>#DIV/0!</v>
      </c>
      <c r="QQ286" s="89" t="e">
        <f t="shared" ref="QQ286" si="991">QQ285+QP286</f>
        <v>#DIV/0!</v>
      </c>
      <c r="QR286" s="89" t="e">
        <f t="shared" ref="QR286" si="992">QR285+QQ286</f>
        <v>#DIV/0!</v>
      </c>
      <c r="QS286" s="89" t="e">
        <f t="shared" ref="QS286" si="993">QS285+QR286</f>
        <v>#DIV/0!</v>
      </c>
      <c r="QT286" s="89" t="e">
        <f t="shared" ref="QT286" si="994">QT285+QS286</f>
        <v>#DIV/0!</v>
      </c>
      <c r="QU286" s="89" t="e">
        <f t="shared" ref="QU286" si="995">QU285+QT286</f>
        <v>#DIV/0!</v>
      </c>
      <c r="QV286" s="89" t="e">
        <f t="shared" ref="QV286" si="996">QV285+QU286</f>
        <v>#DIV/0!</v>
      </c>
      <c r="QW286" s="89" t="e">
        <f t="shared" ref="QW286" si="997">QW285+QV286</f>
        <v>#DIV/0!</v>
      </c>
      <c r="QX286" s="89" t="e">
        <f t="shared" ref="QX286" si="998">QX285+QW286</f>
        <v>#DIV/0!</v>
      </c>
      <c r="QY286" s="89" t="e">
        <f t="shared" ref="QY286" si="999">QY285+QX286</f>
        <v>#DIV/0!</v>
      </c>
      <c r="QZ286" s="89" t="e">
        <f t="shared" ref="QZ286" si="1000">QZ285+QY286</f>
        <v>#DIV/0!</v>
      </c>
      <c r="RA286" s="89" t="e">
        <f t="shared" ref="RA286" si="1001">RA285+QZ286</f>
        <v>#DIV/0!</v>
      </c>
      <c r="RB286" s="89" t="e">
        <f t="shared" ref="RB286" si="1002">RB285+RA286</f>
        <v>#DIV/0!</v>
      </c>
      <c r="RC286" s="89" t="e">
        <f t="shared" ref="RC286" si="1003">RC285+RB286</f>
        <v>#DIV/0!</v>
      </c>
      <c r="RD286" s="89" t="e">
        <f t="shared" ref="RD286" si="1004">RD285+RC286</f>
        <v>#DIV/0!</v>
      </c>
      <c r="RE286" s="89" t="e">
        <f t="shared" ref="RE286" si="1005">RE285+RD286</f>
        <v>#DIV/0!</v>
      </c>
      <c r="RF286" s="89" t="e">
        <f t="shared" ref="RF286" si="1006">RF285+RE286</f>
        <v>#DIV/0!</v>
      </c>
      <c r="RG286" s="89" t="e">
        <f t="shared" ref="RG286" si="1007">RG285+RF286</f>
        <v>#DIV/0!</v>
      </c>
      <c r="RH286" s="89" t="e">
        <f t="shared" ref="RH286" si="1008">RH285+RG286</f>
        <v>#DIV/0!</v>
      </c>
      <c r="RI286" s="89" t="e">
        <f t="shared" ref="RI286" si="1009">RI285+RH286</f>
        <v>#DIV/0!</v>
      </c>
      <c r="RJ286" s="89" t="e">
        <f t="shared" ref="RJ286" si="1010">RJ285+RI286</f>
        <v>#DIV/0!</v>
      </c>
      <c r="RK286" s="89" t="e">
        <f t="shared" ref="RK286" si="1011">RK285+RJ286</f>
        <v>#DIV/0!</v>
      </c>
      <c r="RL286" s="89" t="e">
        <f t="shared" ref="RL286" si="1012">RL285+RK286</f>
        <v>#DIV/0!</v>
      </c>
      <c r="RM286" s="89" t="e">
        <f t="shared" ref="RM286" si="1013">RM285+RL286</f>
        <v>#DIV/0!</v>
      </c>
      <c r="RN286" s="89" t="e">
        <f t="shared" ref="RN286" si="1014">RN285+RM286</f>
        <v>#DIV/0!</v>
      </c>
      <c r="RO286" s="89" t="e">
        <f t="shared" ref="RO286" si="1015">RO285+RN286</f>
        <v>#DIV/0!</v>
      </c>
      <c r="RP286" s="89" t="e">
        <f t="shared" ref="RP286" si="1016">RP285+RO286</f>
        <v>#DIV/0!</v>
      </c>
      <c r="RQ286" s="89" t="e">
        <f t="shared" ref="RQ286" si="1017">RQ285+RP286</f>
        <v>#DIV/0!</v>
      </c>
      <c r="RR286" s="89" t="e">
        <f t="shared" ref="RR286" si="1018">RR285+RQ286</f>
        <v>#DIV/0!</v>
      </c>
      <c r="RS286" s="89" t="e">
        <f t="shared" ref="RS286" si="1019">RS285+RR286</f>
        <v>#DIV/0!</v>
      </c>
      <c r="RT286" s="89" t="e">
        <f t="shared" ref="RT286" si="1020">RT285+RS286</f>
        <v>#DIV/0!</v>
      </c>
      <c r="RU286" s="89" t="e">
        <f t="shared" ref="RU286" si="1021">RU285+RT286</f>
        <v>#DIV/0!</v>
      </c>
      <c r="RV286" s="89" t="e">
        <f t="shared" ref="RV286" si="1022">RV285+RU286</f>
        <v>#DIV/0!</v>
      </c>
      <c r="RW286" s="89" t="e">
        <f t="shared" ref="RW286" si="1023">RW285+RV286</f>
        <v>#DIV/0!</v>
      </c>
      <c r="RX286" s="89" t="e">
        <f t="shared" ref="RX286" si="1024">RX285+RW286</f>
        <v>#DIV/0!</v>
      </c>
      <c r="RY286" s="89" t="e">
        <f t="shared" ref="RY286" si="1025">RY285+RX286</f>
        <v>#DIV/0!</v>
      </c>
      <c r="RZ286" s="89" t="e">
        <f t="shared" ref="RZ286" si="1026">RZ285+RY286</f>
        <v>#DIV/0!</v>
      </c>
      <c r="SA286" s="89" t="e">
        <f t="shared" ref="SA286" si="1027">SA285+RZ286</f>
        <v>#DIV/0!</v>
      </c>
      <c r="SB286" s="89" t="e">
        <f t="shared" ref="SB286" si="1028">SB285+SA286</f>
        <v>#DIV/0!</v>
      </c>
      <c r="SC286" s="89" t="e">
        <f t="shared" ref="SC286" si="1029">SC285+SB286</f>
        <v>#DIV/0!</v>
      </c>
      <c r="SD286" s="89" t="e">
        <f t="shared" ref="SD286" si="1030">SD285+SC286</f>
        <v>#DIV/0!</v>
      </c>
      <c r="SE286" s="89" t="e">
        <f t="shared" ref="SE286" si="1031">SE285+SD286</f>
        <v>#DIV/0!</v>
      </c>
      <c r="SF286" s="89" t="e">
        <f t="shared" ref="SF286" si="1032">SF285+SE286</f>
        <v>#DIV/0!</v>
      </c>
      <c r="SG286" s="89" t="e">
        <f t="shared" ref="SG286" si="1033">SG285+SF286</f>
        <v>#DIV/0!</v>
      </c>
      <c r="SH286" s="89" t="e">
        <f t="shared" ref="SH286" si="1034">SH285+SG286</f>
        <v>#DIV/0!</v>
      </c>
      <c r="SI286" s="89" t="e">
        <f t="shared" ref="SI286" si="1035">SI285+SH286</f>
        <v>#DIV/0!</v>
      </c>
      <c r="SJ286" s="89" t="e">
        <f t="shared" ref="SJ286" si="1036">SJ285+SI286</f>
        <v>#DIV/0!</v>
      </c>
      <c r="SK286" s="89" t="e">
        <f t="shared" ref="SK286" si="1037">SK285+SJ286</f>
        <v>#DIV/0!</v>
      </c>
      <c r="SL286" s="89" t="e">
        <f t="shared" ref="SL286" si="1038">SL285+SK286</f>
        <v>#DIV/0!</v>
      </c>
      <c r="SM286" s="89" t="e">
        <f t="shared" ref="SM286" si="1039">SM285+SL286</f>
        <v>#DIV/0!</v>
      </c>
      <c r="SN286" s="89" t="e">
        <f t="shared" ref="SN286" si="1040">SN285+SM286</f>
        <v>#DIV/0!</v>
      </c>
      <c r="SO286" s="89" t="e">
        <f t="shared" ref="SO286" si="1041">SO285+SN286</f>
        <v>#DIV/0!</v>
      </c>
      <c r="SP286" s="89" t="e">
        <f t="shared" ref="SP286" si="1042">SP285+SO286</f>
        <v>#DIV/0!</v>
      </c>
      <c r="SQ286" s="89" t="e">
        <f t="shared" ref="SQ286" si="1043">SQ285+SP286</f>
        <v>#DIV/0!</v>
      </c>
      <c r="SR286" s="89" t="e">
        <f t="shared" ref="SR286" si="1044">SR285+SQ286</f>
        <v>#DIV/0!</v>
      </c>
      <c r="SS286" s="89" t="e">
        <f t="shared" ref="SS286" si="1045">SS285+SR286</f>
        <v>#DIV/0!</v>
      </c>
      <c r="ST286" s="89" t="e">
        <f t="shared" ref="ST286" si="1046">ST285+SS286</f>
        <v>#DIV/0!</v>
      </c>
      <c r="SU286" s="89" t="e">
        <f t="shared" ref="SU286" si="1047">SU285+ST286</f>
        <v>#DIV/0!</v>
      </c>
      <c r="SV286" s="89" t="e">
        <f t="shared" ref="SV286" si="1048">SV285+SU286</f>
        <v>#DIV/0!</v>
      </c>
      <c r="SW286" s="89" t="e">
        <f t="shared" ref="SW286" si="1049">SW285+SV286</f>
        <v>#DIV/0!</v>
      </c>
      <c r="SX286" s="89" t="e">
        <f t="shared" ref="SX286" si="1050">SX285+SW286</f>
        <v>#DIV/0!</v>
      </c>
      <c r="SY286" s="89" t="e">
        <f t="shared" ref="SY286" si="1051">SY285+SX286</f>
        <v>#DIV/0!</v>
      </c>
      <c r="SZ286" s="89" t="e">
        <f t="shared" ref="SZ286" si="1052">SZ285+SY286</f>
        <v>#DIV/0!</v>
      </c>
      <c r="TA286" s="89" t="e">
        <f t="shared" ref="TA286" si="1053">TA285+SZ286</f>
        <v>#DIV/0!</v>
      </c>
      <c r="TB286" s="89" t="e">
        <f t="shared" ref="TB286" si="1054">TB285+TA286</f>
        <v>#DIV/0!</v>
      </c>
      <c r="TC286" s="89" t="e">
        <f t="shared" ref="TC286" si="1055">TC285+TB286</f>
        <v>#DIV/0!</v>
      </c>
      <c r="TD286" s="89" t="e">
        <f t="shared" ref="TD286" si="1056">TD285+TC286</f>
        <v>#DIV/0!</v>
      </c>
      <c r="TE286" s="89" t="e">
        <f t="shared" ref="TE286" si="1057">TE285+TD286</f>
        <v>#DIV/0!</v>
      </c>
      <c r="TF286" s="89" t="e">
        <f t="shared" ref="TF286" si="1058">TF285+TE286</f>
        <v>#DIV/0!</v>
      </c>
      <c r="TG286" s="89" t="e">
        <f t="shared" ref="TG286" si="1059">TG285+TF286</f>
        <v>#DIV/0!</v>
      </c>
      <c r="TH286" s="89" t="e">
        <f t="shared" ref="TH286" si="1060">TH285+TG286</f>
        <v>#DIV/0!</v>
      </c>
      <c r="TI286" s="89" t="e">
        <f t="shared" ref="TI286" si="1061">TI285+TH286</f>
        <v>#DIV/0!</v>
      </c>
      <c r="TJ286" s="89" t="e">
        <f t="shared" ref="TJ286" si="1062">TJ285+TI286</f>
        <v>#DIV/0!</v>
      </c>
      <c r="TK286" s="89" t="e">
        <f t="shared" ref="TK286" si="1063">TK285+TJ286</f>
        <v>#DIV/0!</v>
      </c>
      <c r="TL286" s="89" t="e">
        <f t="shared" ref="TL286" si="1064">TL285+TK286</f>
        <v>#DIV/0!</v>
      </c>
      <c r="TM286" s="89" t="e">
        <f t="shared" ref="TM286" si="1065">TM285+TL286</f>
        <v>#DIV/0!</v>
      </c>
      <c r="TN286" s="89" t="e">
        <f t="shared" ref="TN286" si="1066">TN285+TM286</f>
        <v>#DIV/0!</v>
      </c>
      <c r="TO286" s="89" t="e">
        <f t="shared" ref="TO286" si="1067">TO285+TN286</f>
        <v>#DIV/0!</v>
      </c>
      <c r="TP286" s="89" t="e">
        <f t="shared" ref="TP286" si="1068">TP285+TO286</f>
        <v>#DIV/0!</v>
      </c>
      <c r="TQ286" s="89" t="e">
        <f t="shared" ref="TQ286" si="1069">TQ285+TP286</f>
        <v>#DIV/0!</v>
      </c>
      <c r="TR286" s="89" t="e">
        <f t="shared" ref="TR286" si="1070">TR285+TQ286</f>
        <v>#DIV/0!</v>
      </c>
      <c r="TS286" s="89" t="e">
        <f t="shared" ref="TS286" si="1071">TS285+TR286</f>
        <v>#DIV/0!</v>
      </c>
      <c r="TT286" s="89" t="e">
        <f t="shared" ref="TT286" si="1072">TT285+TS286</f>
        <v>#DIV/0!</v>
      </c>
      <c r="TU286" s="89" t="e">
        <f t="shared" ref="TU286" si="1073">TU285+TT286</f>
        <v>#DIV/0!</v>
      </c>
      <c r="TV286" s="89" t="e">
        <f t="shared" ref="TV286" si="1074">TV285+TU286</f>
        <v>#DIV/0!</v>
      </c>
      <c r="TW286" s="89" t="e">
        <f t="shared" ref="TW286" si="1075">TW285+TV286</f>
        <v>#DIV/0!</v>
      </c>
      <c r="TX286" s="89" t="e">
        <f t="shared" ref="TX286" si="1076">TX285+TW286</f>
        <v>#DIV/0!</v>
      </c>
      <c r="TY286" s="89" t="e">
        <f t="shared" ref="TY286" si="1077">TY285+TX286</f>
        <v>#DIV/0!</v>
      </c>
      <c r="TZ286" s="89" t="e">
        <f t="shared" ref="TZ286" si="1078">TZ285+TY286</f>
        <v>#DIV/0!</v>
      </c>
      <c r="UA286" s="89" t="e">
        <f t="shared" ref="UA286" si="1079">UA285+TZ286</f>
        <v>#DIV/0!</v>
      </c>
      <c r="UB286" s="89" t="e">
        <f t="shared" ref="UB286" si="1080">UB285+UA286</f>
        <v>#DIV/0!</v>
      </c>
      <c r="UC286" s="89" t="e">
        <f t="shared" ref="UC286" si="1081">UC285+UB286</f>
        <v>#DIV/0!</v>
      </c>
      <c r="UD286" s="89" t="e">
        <f t="shared" ref="UD286" si="1082">UD285+UC286</f>
        <v>#DIV/0!</v>
      </c>
      <c r="UE286" s="89" t="e">
        <f t="shared" ref="UE286" si="1083">UE285+UD286</f>
        <v>#DIV/0!</v>
      </c>
      <c r="UF286" s="89" t="e">
        <f t="shared" ref="UF286" si="1084">UF285+UE286</f>
        <v>#DIV/0!</v>
      </c>
      <c r="UG286" s="89" t="e">
        <f t="shared" ref="UG286" si="1085">UG285+UF286</f>
        <v>#DIV/0!</v>
      </c>
      <c r="UH286" s="89" t="e">
        <f t="shared" ref="UH286" si="1086">UH285+UG286</f>
        <v>#DIV/0!</v>
      </c>
      <c r="UI286" s="89" t="e">
        <f t="shared" ref="UI286" si="1087">UI285+UH286</f>
        <v>#DIV/0!</v>
      </c>
      <c r="UJ286" s="89" t="e">
        <f t="shared" ref="UJ286" si="1088">UJ285+UI286</f>
        <v>#DIV/0!</v>
      </c>
      <c r="UK286" s="89" t="e">
        <f t="shared" ref="UK286" si="1089">UK285+UJ286</f>
        <v>#DIV/0!</v>
      </c>
      <c r="UL286" s="89" t="e">
        <f t="shared" ref="UL286" si="1090">UL285+UK286</f>
        <v>#DIV/0!</v>
      </c>
      <c r="UM286" s="89" t="e">
        <f t="shared" ref="UM286" si="1091">UM285+UL286</f>
        <v>#DIV/0!</v>
      </c>
      <c r="UN286" s="89" t="e">
        <f t="shared" ref="UN286" si="1092">UN285+UM286</f>
        <v>#DIV/0!</v>
      </c>
      <c r="UO286" s="89" t="e">
        <f t="shared" ref="UO286" si="1093">UO285+UN286</f>
        <v>#DIV/0!</v>
      </c>
      <c r="UP286" s="89" t="e">
        <f t="shared" ref="UP286" si="1094">UP285+UO286</f>
        <v>#DIV/0!</v>
      </c>
      <c r="UQ286" s="89" t="e">
        <f t="shared" ref="UQ286" si="1095">UQ285+UP286</f>
        <v>#DIV/0!</v>
      </c>
      <c r="UR286" s="89" t="e">
        <f t="shared" ref="UR286" si="1096">UR285+UQ286</f>
        <v>#DIV/0!</v>
      </c>
      <c r="US286" s="89" t="e">
        <f t="shared" ref="US286" si="1097">US285+UR286</f>
        <v>#DIV/0!</v>
      </c>
      <c r="UT286" s="89" t="e">
        <f t="shared" ref="UT286" si="1098">UT285+US286</f>
        <v>#DIV/0!</v>
      </c>
      <c r="UU286" s="89" t="e">
        <f t="shared" ref="UU286" si="1099">UU285+UT286</f>
        <v>#DIV/0!</v>
      </c>
      <c r="UV286" s="89" t="e">
        <f t="shared" ref="UV286" si="1100">UV285+UU286</f>
        <v>#DIV/0!</v>
      </c>
      <c r="UW286" s="89" t="e">
        <f t="shared" ref="UW286" si="1101">UW285+UV286</f>
        <v>#DIV/0!</v>
      </c>
      <c r="UX286" s="89" t="e">
        <f t="shared" ref="UX286" si="1102">UX285+UW286</f>
        <v>#DIV/0!</v>
      </c>
      <c r="UY286" s="89" t="e">
        <f t="shared" ref="UY286" si="1103">UY285+UX286</f>
        <v>#DIV/0!</v>
      </c>
      <c r="UZ286" s="89" t="e">
        <f t="shared" ref="UZ286" si="1104">UZ285+UY286</f>
        <v>#DIV/0!</v>
      </c>
      <c r="VA286" s="89" t="e">
        <f t="shared" ref="VA286" si="1105">VA285+UZ286</f>
        <v>#DIV/0!</v>
      </c>
      <c r="VB286" s="89" t="e">
        <f t="shared" ref="VB286" si="1106">VB285+VA286</f>
        <v>#DIV/0!</v>
      </c>
      <c r="VC286" s="89" t="e">
        <f t="shared" ref="VC286" si="1107">VC285+VB286</f>
        <v>#DIV/0!</v>
      </c>
      <c r="VD286" s="89" t="e">
        <f t="shared" ref="VD286" si="1108">VD285+VC286</f>
        <v>#DIV/0!</v>
      </c>
      <c r="VE286" s="89" t="e">
        <f t="shared" ref="VE286" si="1109">VE285+VD286</f>
        <v>#DIV/0!</v>
      </c>
      <c r="VF286" s="89" t="e">
        <f t="shared" ref="VF286" si="1110">VF285+VE286</f>
        <v>#DIV/0!</v>
      </c>
      <c r="VG286" s="89" t="e">
        <f t="shared" ref="VG286" si="1111">VG285+VF286</f>
        <v>#DIV/0!</v>
      </c>
      <c r="VH286" s="89" t="e">
        <f t="shared" ref="VH286" si="1112">VH285+VG286</f>
        <v>#DIV/0!</v>
      </c>
      <c r="VI286" s="89" t="e">
        <f t="shared" ref="VI286" si="1113">VI285+VH286</f>
        <v>#DIV/0!</v>
      </c>
      <c r="VJ286" s="89" t="e">
        <f t="shared" ref="VJ286" si="1114">VJ285+VI286</f>
        <v>#DIV/0!</v>
      </c>
      <c r="VK286" s="89" t="e">
        <f t="shared" ref="VK286" si="1115">VK285+VJ286</f>
        <v>#DIV/0!</v>
      </c>
      <c r="VL286" s="89" t="e">
        <f t="shared" ref="VL286" si="1116">VL285+VK286</f>
        <v>#DIV/0!</v>
      </c>
      <c r="VM286" s="89" t="e">
        <f t="shared" ref="VM286" si="1117">VM285+VL286</f>
        <v>#DIV/0!</v>
      </c>
      <c r="VN286" s="89" t="e">
        <f t="shared" ref="VN286" si="1118">VN285+VM286</f>
        <v>#DIV/0!</v>
      </c>
      <c r="VO286" s="89" t="e">
        <f t="shared" ref="VO286" si="1119">VO285+VN286</f>
        <v>#DIV/0!</v>
      </c>
      <c r="VP286" s="89" t="e">
        <f t="shared" ref="VP286" si="1120">VP285+VO286</f>
        <v>#DIV/0!</v>
      </c>
      <c r="VQ286" s="89" t="e">
        <f t="shared" ref="VQ286" si="1121">VQ285+VP286</f>
        <v>#DIV/0!</v>
      </c>
      <c r="VR286" s="89" t="e">
        <f t="shared" ref="VR286" si="1122">VR285+VQ286</f>
        <v>#DIV/0!</v>
      </c>
      <c r="VS286" s="89" t="e">
        <f t="shared" ref="VS286" si="1123">VS285+VR286</f>
        <v>#DIV/0!</v>
      </c>
      <c r="VT286" s="89" t="e">
        <f t="shared" ref="VT286" si="1124">VT285+VS286</f>
        <v>#DIV/0!</v>
      </c>
      <c r="VU286" s="89" t="e">
        <f t="shared" ref="VU286" si="1125">VU285+VT286</f>
        <v>#DIV/0!</v>
      </c>
      <c r="VV286" s="89" t="e">
        <f t="shared" ref="VV286" si="1126">VV285+VU286</f>
        <v>#DIV/0!</v>
      </c>
      <c r="VW286" s="89" t="e">
        <f t="shared" ref="VW286" si="1127">VW285+VV286</f>
        <v>#DIV/0!</v>
      </c>
      <c r="VX286" s="89" t="e">
        <f t="shared" ref="VX286" si="1128">VX285+VW286</f>
        <v>#DIV/0!</v>
      </c>
      <c r="VY286" s="89" t="e">
        <f t="shared" ref="VY286" si="1129">VY285+VX286</f>
        <v>#DIV/0!</v>
      </c>
      <c r="VZ286" s="89" t="e">
        <f t="shared" ref="VZ286" si="1130">VZ285+VY286</f>
        <v>#DIV/0!</v>
      </c>
      <c r="WA286" s="89" t="e">
        <f t="shared" ref="WA286" si="1131">WA285+VZ286</f>
        <v>#DIV/0!</v>
      </c>
      <c r="WB286" s="89" t="e">
        <f t="shared" ref="WB286" si="1132">WB285+WA286</f>
        <v>#DIV/0!</v>
      </c>
      <c r="WC286" s="89" t="e">
        <f t="shared" ref="WC286" si="1133">WC285+WB286</f>
        <v>#DIV/0!</v>
      </c>
      <c r="WD286" s="89" t="e">
        <f t="shared" ref="WD286" si="1134">WD285+WC286</f>
        <v>#DIV/0!</v>
      </c>
      <c r="WE286" s="89" t="e">
        <f t="shared" ref="WE286" si="1135">WE285+WD286</f>
        <v>#DIV/0!</v>
      </c>
      <c r="WF286" s="89" t="e">
        <f t="shared" ref="WF286" si="1136">WF285+WE286</f>
        <v>#DIV/0!</v>
      </c>
    </row>
    <row r="287" spans="1:604" x14ac:dyDescent="0.3">
      <c r="A287" s="159" t="s">
        <v>71</v>
      </c>
      <c r="B287" s="160"/>
      <c r="C287" s="160"/>
      <c r="D287" s="160"/>
      <c r="E287" s="160"/>
      <c r="F287" s="160"/>
      <c r="G287" s="160"/>
      <c r="H287" s="160"/>
      <c r="I287" s="161"/>
      <c r="J287" s="99" t="e">
        <f>ROUND($H$284/$F$284,5)</f>
        <v>#DIV/0!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2" t="s">
        <v>72</v>
      </c>
      <c r="B288" s="162"/>
      <c r="C288" s="162"/>
      <c r="D288" s="162"/>
      <c r="E288" s="162"/>
      <c r="F288" s="162"/>
      <c r="G288" s="162"/>
      <c r="H288" s="162"/>
      <c r="I288" s="162"/>
      <c r="J288" s="89">
        <f>J290</f>
        <v>0</v>
      </c>
      <c r="K288" s="89">
        <f>K289-J289</f>
        <v>0</v>
      </c>
      <c r="L288" s="89">
        <f t="shared" ref="L288:BW288" si="1137">L289-K289</f>
        <v>0</v>
      </c>
      <c r="M288" s="89">
        <f t="shared" si="1137"/>
        <v>0</v>
      </c>
      <c r="N288" s="89">
        <f t="shared" si="1137"/>
        <v>0</v>
      </c>
      <c r="O288" s="89">
        <f t="shared" si="1137"/>
        <v>0</v>
      </c>
      <c r="P288" s="89">
        <f t="shared" si="1137"/>
        <v>0</v>
      </c>
      <c r="Q288" s="89">
        <f t="shared" si="1137"/>
        <v>0</v>
      </c>
      <c r="R288" s="89">
        <f t="shared" si="1137"/>
        <v>0</v>
      </c>
      <c r="S288" s="89">
        <f t="shared" si="1137"/>
        <v>0</v>
      </c>
      <c r="T288" s="89">
        <f t="shared" si="1137"/>
        <v>0</v>
      </c>
      <c r="U288" s="89">
        <f t="shared" si="1137"/>
        <v>0</v>
      </c>
      <c r="V288" s="89">
        <f t="shared" si="1137"/>
        <v>0</v>
      </c>
      <c r="W288" s="89">
        <f t="shared" si="1137"/>
        <v>0</v>
      </c>
      <c r="X288" s="89">
        <f t="shared" si="1137"/>
        <v>0</v>
      </c>
      <c r="Y288" s="89">
        <f t="shared" si="1137"/>
        <v>0</v>
      </c>
      <c r="Z288" s="89">
        <f t="shared" si="1137"/>
        <v>0</v>
      </c>
      <c r="AA288" s="89">
        <f t="shared" si="1137"/>
        <v>0</v>
      </c>
      <c r="AB288" s="89">
        <f t="shared" si="1137"/>
        <v>0</v>
      </c>
      <c r="AC288" s="89">
        <f t="shared" si="1137"/>
        <v>0</v>
      </c>
      <c r="AD288" s="89">
        <f t="shared" si="1137"/>
        <v>0</v>
      </c>
      <c r="AE288" s="89">
        <f t="shared" si="1137"/>
        <v>0</v>
      </c>
      <c r="AF288" s="89">
        <f t="shared" si="1137"/>
        <v>0</v>
      </c>
      <c r="AG288" s="89">
        <f t="shared" si="1137"/>
        <v>0</v>
      </c>
      <c r="AH288" s="89">
        <f t="shared" si="1137"/>
        <v>0</v>
      </c>
      <c r="AI288" s="89">
        <f t="shared" si="1137"/>
        <v>0</v>
      </c>
      <c r="AJ288" s="89">
        <f t="shared" si="1137"/>
        <v>0</v>
      </c>
      <c r="AK288" s="89">
        <f t="shared" si="1137"/>
        <v>0</v>
      </c>
      <c r="AL288" s="89">
        <f t="shared" si="1137"/>
        <v>0</v>
      </c>
      <c r="AM288" s="89">
        <f t="shared" si="1137"/>
        <v>0</v>
      </c>
      <c r="AN288" s="89">
        <f t="shared" si="1137"/>
        <v>0</v>
      </c>
      <c r="AO288" s="89">
        <f t="shared" si="1137"/>
        <v>0</v>
      </c>
      <c r="AP288" s="89">
        <f t="shared" si="1137"/>
        <v>0</v>
      </c>
      <c r="AQ288" s="89">
        <f t="shared" si="1137"/>
        <v>0</v>
      </c>
      <c r="AR288" s="89">
        <f t="shared" si="1137"/>
        <v>0</v>
      </c>
      <c r="AS288" s="89">
        <f t="shared" si="1137"/>
        <v>0</v>
      </c>
      <c r="AT288" s="89">
        <f t="shared" si="1137"/>
        <v>0</v>
      </c>
      <c r="AU288" s="89">
        <f t="shared" si="1137"/>
        <v>0</v>
      </c>
      <c r="AV288" s="89">
        <f t="shared" si="1137"/>
        <v>0</v>
      </c>
      <c r="AW288" s="89">
        <f t="shared" si="1137"/>
        <v>0</v>
      </c>
      <c r="AX288" s="89">
        <f t="shared" si="1137"/>
        <v>0</v>
      </c>
      <c r="AY288" s="89">
        <f t="shared" si="1137"/>
        <v>0</v>
      </c>
      <c r="AZ288" s="89">
        <f t="shared" si="1137"/>
        <v>0</v>
      </c>
      <c r="BA288" s="89">
        <f t="shared" si="1137"/>
        <v>0</v>
      </c>
      <c r="BB288" s="89">
        <f t="shared" si="1137"/>
        <v>0</v>
      </c>
      <c r="BC288" s="89">
        <f t="shared" si="1137"/>
        <v>0</v>
      </c>
      <c r="BD288" s="89">
        <f t="shared" si="1137"/>
        <v>0</v>
      </c>
      <c r="BE288" s="89">
        <f t="shared" si="1137"/>
        <v>0</v>
      </c>
      <c r="BF288" s="89">
        <f t="shared" si="1137"/>
        <v>0</v>
      </c>
      <c r="BG288" s="89">
        <f t="shared" si="1137"/>
        <v>0</v>
      </c>
      <c r="BH288" s="89">
        <f t="shared" si="1137"/>
        <v>0</v>
      </c>
      <c r="BI288" s="89">
        <f t="shared" si="1137"/>
        <v>0</v>
      </c>
      <c r="BJ288" s="89">
        <f t="shared" si="1137"/>
        <v>0</v>
      </c>
      <c r="BK288" s="89">
        <f t="shared" si="1137"/>
        <v>0</v>
      </c>
      <c r="BL288" s="89">
        <f t="shared" si="1137"/>
        <v>0</v>
      </c>
      <c r="BM288" s="89">
        <f t="shared" si="1137"/>
        <v>0</v>
      </c>
      <c r="BN288" s="89">
        <f t="shared" si="1137"/>
        <v>0</v>
      </c>
      <c r="BO288" s="89">
        <f t="shared" si="1137"/>
        <v>0</v>
      </c>
      <c r="BP288" s="89">
        <f t="shared" si="1137"/>
        <v>0</v>
      </c>
      <c r="BQ288" s="89">
        <f t="shared" si="1137"/>
        <v>0</v>
      </c>
      <c r="BR288" s="89">
        <f t="shared" si="1137"/>
        <v>0</v>
      </c>
      <c r="BS288" s="89">
        <f t="shared" si="1137"/>
        <v>0</v>
      </c>
      <c r="BT288" s="89">
        <f t="shared" si="1137"/>
        <v>0</v>
      </c>
      <c r="BU288" s="89">
        <f t="shared" si="1137"/>
        <v>0</v>
      </c>
      <c r="BV288" s="89">
        <f t="shared" si="1137"/>
        <v>0</v>
      </c>
      <c r="BW288" s="89">
        <f t="shared" si="1137"/>
        <v>0</v>
      </c>
      <c r="BX288" s="89">
        <f t="shared" ref="BX288:EI288" si="1138">BX289-BW289</f>
        <v>0</v>
      </c>
      <c r="BY288" s="89">
        <f t="shared" si="1138"/>
        <v>0</v>
      </c>
      <c r="BZ288" s="89">
        <f t="shared" si="1138"/>
        <v>0</v>
      </c>
      <c r="CA288" s="89">
        <f t="shared" si="1138"/>
        <v>0</v>
      </c>
      <c r="CB288" s="89">
        <f t="shared" si="1138"/>
        <v>0</v>
      </c>
      <c r="CC288" s="89">
        <f t="shared" si="1138"/>
        <v>0</v>
      </c>
      <c r="CD288" s="89">
        <f t="shared" si="1138"/>
        <v>0</v>
      </c>
      <c r="CE288" s="89">
        <f t="shared" si="1138"/>
        <v>0</v>
      </c>
      <c r="CF288" s="89">
        <f t="shared" si="1138"/>
        <v>0</v>
      </c>
      <c r="CG288" s="89">
        <f t="shared" si="1138"/>
        <v>0</v>
      </c>
      <c r="CH288" s="89">
        <f t="shared" si="1138"/>
        <v>0</v>
      </c>
      <c r="CI288" s="89">
        <f t="shared" si="1138"/>
        <v>0</v>
      </c>
      <c r="CJ288" s="89">
        <f t="shared" si="1138"/>
        <v>0</v>
      </c>
      <c r="CK288" s="89">
        <f t="shared" si="1138"/>
        <v>0</v>
      </c>
      <c r="CL288" s="89">
        <f t="shared" si="1138"/>
        <v>0</v>
      </c>
      <c r="CM288" s="89">
        <f t="shared" si="1138"/>
        <v>0</v>
      </c>
      <c r="CN288" s="89">
        <f t="shared" si="1138"/>
        <v>0</v>
      </c>
      <c r="CO288" s="89">
        <f t="shared" si="1138"/>
        <v>0</v>
      </c>
      <c r="CP288" s="89">
        <f t="shared" si="1138"/>
        <v>0</v>
      </c>
      <c r="CQ288" s="89">
        <f t="shared" si="1138"/>
        <v>0</v>
      </c>
      <c r="CR288" s="89">
        <f t="shared" si="1138"/>
        <v>0</v>
      </c>
      <c r="CS288" s="89">
        <f t="shared" si="1138"/>
        <v>0</v>
      </c>
      <c r="CT288" s="89">
        <f t="shared" si="1138"/>
        <v>0</v>
      </c>
      <c r="CU288" s="89">
        <f t="shared" si="1138"/>
        <v>0</v>
      </c>
      <c r="CV288" s="89">
        <f t="shared" si="1138"/>
        <v>0</v>
      </c>
      <c r="CW288" s="89">
        <f t="shared" si="1138"/>
        <v>0</v>
      </c>
      <c r="CX288" s="89">
        <f t="shared" si="1138"/>
        <v>0</v>
      </c>
      <c r="CY288" s="89">
        <f t="shared" si="1138"/>
        <v>0</v>
      </c>
      <c r="CZ288" s="89">
        <f t="shared" si="1138"/>
        <v>0</v>
      </c>
      <c r="DA288" s="89">
        <f t="shared" si="1138"/>
        <v>0</v>
      </c>
      <c r="DB288" s="89">
        <f t="shared" si="1138"/>
        <v>0</v>
      </c>
      <c r="DC288" s="89">
        <f t="shared" si="1138"/>
        <v>0</v>
      </c>
      <c r="DD288" s="89">
        <f t="shared" si="1138"/>
        <v>0</v>
      </c>
      <c r="DE288" s="89">
        <f t="shared" si="1138"/>
        <v>0</v>
      </c>
      <c r="DF288" s="89">
        <f t="shared" si="1138"/>
        <v>0</v>
      </c>
      <c r="DG288" s="89">
        <f t="shared" si="1138"/>
        <v>0</v>
      </c>
      <c r="DH288" s="89">
        <f t="shared" si="1138"/>
        <v>0</v>
      </c>
      <c r="DI288" s="89">
        <f t="shared" si="1138"/>
        <v>0</v>
      </c>
      <c r="DJ288" s="89">
        <f t="shared" si="1138"/>
        <v>0</v>
      </c>
      <c r="DK288" s="89">
        <f t="shared" si="1138"/>
        <v>0</v>
      </c>
      <c r="DL288" s="89">
        <f t="shared" si="1138"/>
        <v>0</v>
      </c>
      <c r="DM288" s="89">
        <f t="shared" si="1138"/>
        <v>0</v>
      </c>
      <c r="DN288" s="89">
        <f t="shared" si="1138"/>
        <v>0</v>
      </c>
      <c r="DO288" s="89">
        <f t="shared" si="1138"/>
        <v>0</v>
      </c>
      <c r="DP288" s="89">
        <f t="shared" si="1138"/>
        <v>0</v>
      </c>
      <c r="DQ288" s="89">
        <f t="shared" si="1138"/>
        <v>0</v>
      </c>
      <c r="DR288" s="89">
        <f t="shared" si="1138"/>
        <v>0</v>
      </c>
      <c r="DS288" s="89">
        <f t="shared" si="1138"/>
        <v>0</v>
      </c>
      <c r="DT288" s="89">
        <f t="shared" si="1138"/>
        <v>0</v>
      </c>
      <c r="DU288" s="89">
        <f t="shared" si="1138"/>
        <v>0</v>
      </c>
      <c r="DV288" s="89">
        <f t="shared" si="1138"/>
        <v>0</v>
      </c>
      <c r="DW288" s="89">
        <f t="shared" si="1138"/>
        <v>0</v>
      </c>
      <c r="DX288" s="89">
        <f t="shared" si="1138"/>
        <v>0</v>
      </c>
      <c r="DY288" s="89">
        <f t="shared" si="1138"/>
        <v>0</v>
      </c>
      <c r="DZ288" s="89">
        <f t="shared" si="1138"/>
        <v>0</v>
      </c>
      <c r="EA288" s="89">
        <f t="shared" si="1138"/>
        <v>0</v>
      </c>
      <c r="EB288" s="89">
        <f t="shared" si="1138"/>
        <v>0</v>
      </c>
      <c r="EC288" s="89">
        <f t="shared" si="1138"/>
        <v>0</v>
      </c>
      <c r="ED288" s="89">
        <f t="shared" si="1138"/>
        <v>0</v>
      </c>
      <c r="EE288" s="89">
        <f t="shared" si="1138"/>
        <v>0</v>
      </c>
      <c r="EF288" s="89">
        <f t="shared" si="1138"/>
        <v>0</v>
      </c>
      <c r="EG288" s="89">
        <f t="shared" si="1138"/>
        <v>0</v>
      </c>
      <c r="EH288" s="89">
        <f t="shared" si="1138"/>
        <v>0</v>
      </c>
      <c r="EI288" s="89">
        <f t="shared" si="1138"/>
        <v>0</v>
      </c>
      <c r="EJ288" s="89">
        <f t="shared" ref="EJ288:GU288" si="1139">EJ289-EI289</f>
        <v>0</v>
      </c>
      <c r="EK288" s="89">
        <f t="shared" si="1139"/>
        <v>0</v>
      </c>
      <c r="EL288" s="89">
        <f t="shared" si="1139"/>
        <v>0</v>
      </c>
      <c r="EM288" s="89">
        <f t="shared" si="1139"/>
        <v>0</v>
      </c>
      <c r="EN288" s="89">
        <f t="shared" si="1139"/>
        <v>0</v>
      </c>
      <c r="EO288" s="89">
        <f t="shared" si="1139"/>
        <v>0</v>
      </c>
      <c r="EP288" s="89">
        <f t="shared" si="1139"/>
        <v>0</v>
      </c>
      <c r="EQ288" s="89">
        <f t="shared" si="1139"/>
        <v>0</v>
      </c>
      <c r="ER288" s="89">
        <f t="shared" si="1139"/>
        <v>0</v>
      </c>
      <c r="ES288" s="89">
        <f t="shared" si="1139"/>
        <v>0</v>
      </c>
      <c r="ET288" s="89">
        <f t="shared" si="1139"/>
        <v>0</v>
      </c>
      <c r="EU288" s="89">
        <f t="shared" si="1139"/>
        <v>0</v>
      </c>
      <c r="EV288" s="89">
        <f t="shared" si="1139"/>
        <v>0</v>
      </c>
      <c r="EW288" s="89">
        <f t="shared" si="1139"/>
        <v>0</v>
      </c>
      <c r="EX288" s="89">
        <f t="shared" si="1139"/>
        <v>0</v>
      </c>
      <c r="EY288" s="89">
        <f t="shared" si="1139"/>
        <v>0</v>
      </c>
      <c r="EZ288" s="89">
        <f t="shared" si="1139"/>
        <v>0</v>
      </c>
      <c r="FA288" s="89">
        <f t="shared" si="1139"/>
        <v>0</v>
      </c>
      <c r="FB288" s="89">
        <f t="shared" si="1139"/>
        <v>0</v>
      </c>
      <c r="FC288" s="89">
        <f t="shared" si="1139"/>
        <v>0</v>
      </c>
      <c r="FD288" s="89">
        <f t="shared" si="1139"/>
        <v>0</v>
      </c>
      <c r="FE288" s="89">
        <f t="shared" si="1139"/>
        <v>0</v>
      </c>
      <c r="FF288" s="89">
        <f t="shared" si="1139"/>
        <v>0</v>
      </c>
      <c r="FG288" s="89">
        <f t="shared" si="1139"/>
        <v>0</v>
      </c>
      <c r="FH288" s="89">
        <f t="shared" si="1139"/>
        <v>0</v>
      </c>
      <c r="FI288" s="89">
        <f t="shared" si="1139"/>
        <v>0</v>
      </c>
      <c r="FJ288" s="89">
        <f t="shared" si="1139"/>
        <v>0</v>
      </c>
      <c r="FK288" s="89">
        <f t="shared" si="1139"/>
        <v>0</v>
      </c>
      <c r="FL288" s="89">
        <f t="shared" si="1139"/>
        <v>0</v>
      </c>
      <c r="FM288" s="89">
        <f t="shared" si="1139"/>
        <v>0</v>
      </c>
      <c r="FN288" s="89">
        <f t="shared" si="1139"/>
        <v>0</v>
      </c>
      <c r="FO288" s="89">
        <f t="shared" si="1139"/>
        <v>0</v>
      </c>
      <c r="FP288" s="89">
        <f t="shared" si="1139"/>
        <v>0</v>
      </c>
      <c r="FQ288" s="89">
        <f t="shared" si="1139"/>
        <v>0</v>
      </c>
      <c r="FR288" s="89">
        <f t="shared" si="1139"/>
        <v>0</v>
      </c>
      <c r="FS288" s="89">
        <f t="shared" si="1139"/>
        <v>0</v>
      </c>
      <c r="FT288" s="89">
        <f t="shared" si="1139"/>
        <v>0</v>
      </c>
      <c r="FU288" s="89">
        <f t="shared" si="1139"/>
        <v>0</v>
      </c>
      <c r="FV288" s="89">
        <f t="shared" si="1139"/>
        <v>0</v>
      </c>
      <c r="FW288" s="89">
        <f t="shared" si="1139"/>
        <v>0</v>
      </c>
      <c r="FX288" s="89">
        <f t="shared" si="1139"/>
        <v>0</v>
      </c>
      <c r="FY288" s="89">
        <f t="shared" si="1139"/>
        <v>0</v>
      </c>
      <c r="FZ288" s="89">
        <f t="shared" si="1139"/>
        <v>0</v>
      </c>
      <c r="GA288" s="89">
        <f t="shared" si="1139"/>
        <v>0</v>
      </c>
      <c r="GB288" s="89">
        <f t="shared" si="1139"/>
        <v>0</v>
      </c>
      <c r="GC288" s="89">
        <f t="shared" si="1139"/>
        <v>0</v>
      </c>
      <c r="GD288" s="89">
        <f t="shared" si="1139"/>
        <v>0</v>
      </c>
      <c r="GE288" s="89">
        <f t="shared" si="1139"/>
        <v>0</v>
      </c>
      <c r="GF288" s="89">
        <f t="shared" si="1139"/>
        <v>0</v>
      </c>
      <c r="GG288" s="89">
        <f t="shared" si="1139"/>
        <v>0</v>
      </c>
      <c r="GH288" s="89">
        <f t="shared" si="1139"/>
        <v>0</v>
      </c>
      <c r="GI288" s="89">
        <f t="shared" si="1139"/>
        <v>0</v>
      </c>
      <c r="GJ288" s="89">
        <f t="shared" si="1139"/>
        <v>0</v>
      </c>
      <c r="GK288" s="89">
        <f t="shared" si="1139"/>
        <v>0</v>
      </c>
      <c r="GL288" s="89">
        <f t="shared" si="1139"/>
        <v>0</v>
      </c>
      <c r="GM288" s="89">
        <f t="shared" si="1139"/>
        <v>0</v>
      </c>
      <c r="GN288" s="89">
        <f t="shared" si="1139"/>
        <v>0</v>
      </c>
      <c r="GO288" s="89">
        <f t="shared" si="1139"/>
        <v>0</v>
      </c>
      <c r="GP288" s="89">
        <f t="shared" si="1139"/>
        <v>0</v>
      </c>
      <c r="GQ288" s="89">
        <f t="shared" si="1139"/>
        <v>0</v>
      </c>
      <c r="GR288" s="89">
        <f t="shared" si="1139"/>
        <v>0</v>
      </c>
      <c r="GS288" s="89">
        <f t="shared" si="1139"/>
        <v>0</v>
      </c>
      <c r="GT288" s="89">
        <f t="shared" si="1139"/>
        <v>0</v>
      </c>
      <c r="GU288" s="89">
        <f t="shared" si="1139"/>
        <v>0</v>
      </c>
      <c r="GV288" s="89">
        <f t="shared" ref="GV288:JG288" si="1140">GV289-GU289</f>
        <v>0</v>
      </c>
      <c r="GW288" s="89">
        <f t="shared" si="1140"/>
        <v>0</v>
      </c>
      <c r="GX288" s="89">
        <f t="shared" si="1140"/>
        <v>0</v>
      </c>
      <c r="GY288" s="89">
        <f t="shared" si="1140"/>
        <v>0</v>
      </c>
      <c r="GZ288" s="89">
        <f t="shared" si="1140"/>
        <v>0</v>
      </c>
      <c r="HA288" s="89">
        <f t="shared" si="1140"/>
        <v>0</v>
      </c>
      <c r="HB288" s="89">
        <f t="shared" si="1140"/>
        <v>0</v>
      </c>
      <c r="HC288" s="89">
        <f t="shared" si="1140"/>
        <v>0</v>
      </c>
      <c r="HD288" s="89">
        <f t="shared" si="1140"/>
        <v>0</v>
      </c>
      <c r="HE288" s="89">
        <f t="shared" si="1140"/>
        <v>0</v>
      </c>
      <c r="HF288" s="89">
        <f t="shared" si="1140"/>
        <v>0</v>
      </c>
      <c r="HG288" s="89">
        <f t="shared" si="1140"/>
        <v>0</v>
      </c>
      <c r="HH288" s="89">
        <f t="shared" si="1140"/>
        <v>0</v>
      </c>
      <c r="HI288" s="89">
        <f t="shared" si="1140"/>
        <v>0</v>
      </c>
      <c r="HJ288" s="89">
        <f t="shared" si="1140"/>
        <v>0</v>
      </c>
      <c r="HK288" s="89">
        <f t="shared" si="1140"/>
        <v>0</v>
      </c>
      <c r="HL288" s="89">
        <f t="shared" si="1140"/>
        <v>0</v>
      </c>
      <c r="HM288" s="89">
        <f t="shared" si="1140"/>
        <v>0</v>
      </c>
      <c r="HN288" s="89">
        <f t="shared" si="1140"/>
        <v>0</v>
      </c>
      <c r="HO288" s="89">
        <f t="shared" si="1140"/>
        <v>0</v>
      </c>
      <c r="HP288" s="89">
        <f t="shared" si="1140"/>
        <v>0</v>
      </c>
      <c r="HQ288" s="89">
        <f t="shared" si="1140"/>
        <v>0</v>
      </c>
      <c r="HR288" s="89">
        <f t="shared" si="1140"/>
        <v>0</v>
      </c>
      <c r="HS288" s="89">
        <f t="shared" si="1140"/>
        <v>0</v>
      </c>
      <c r="HT288" s="89">
        <f t="shared" si="1140"/>
        <v>0</v>
      </c>
      <c r="HU288" s="89">
        <f t="shared" si="1140"/>
        <v>0</v>
      </c>
      <c r="HV288" s="89">
        <f t="shared" si="1140"/>
        <v>0</v>
      </c>
      <c r="HW288" s="89">
        <f t="shared" si="1140"/>
        <v>0</v>
      </c>
      <c r="HX288" s="89">
        <f t="shared" si="1140"/>
        <v>0</v>
      </c>
      <c r="HY288" s="89">
        <f t="shared" si="1140"/>
        <v>0</v>
      </c>
      <c r="HZ288" s="89">
        <f t="shared" si="1140"/>
        <v>0</v>
      </c>
      <c r="IA288" s="89">
        <f t="shared" si="1140"/>
        <v>0</v>
      </c>
      <c r="IB288" s="89">
        <f t="shared" si="1140"/>
        <v>0</v>
      </c>
      <c r="IC288" s="89">
        <f t="shared" si="1140"/>
        <v>0</v>
      </c>
      <c r="ID288" s="89">
        <f t="shared" si="1140"/>
        <v>0</v>
      </c>
      <c r="IE288" s="89">
        <f t="shared" si="1140"/>
        <v>0</v>
      </c>
      <c r="IF288" s="89">
        <f t="shared" si="1140"/>
        <v>0</v>
      </c>
      <c r="IG288" s="89">
        <f t="shared" si="1140"/>
        <v>0</v>
      </c>
      <c r="IH288" s="89">
        <f t="shared" si="1140"/>
        <v>0</v>
      </c>
      <c r="II288" s="89">
        <f t="shared" si="1140"/>
        <v>0</v>
      </c>
      <c r="IJ288" s="89">
        <f t="shared" si="1140"/>
        <v>0</v>
      </c>
      <c r="IK288" s="89">
        <f t="shared" si="1140"/>
        <v>0</v>
      </c>
      <c r="IL288" s="89">
        <f t="shared" si="1140"/>
        <v>0</v>
      </c>
      <c r="IM288" s="89">
        <f t="shared" si="1140"/>
        <v>0</v>
      </c>
      <c r="IN288" s="89">
        <f t="shared" si="1140"/>
        <v>0</v>
      </c>
      <c r="IO288" s="89">
        <f t="shared" si="1140"/>
        <v>0</v>
      </c>
      <c r="IP288" s="89">
        <f t="shared" si="1140"/>
        <v>0</v>
      </c>
      <c r="IQ288" s="89">
        <f t="shared" si="1140"/>
        <v>0</v>
      </c>
      <c r="IR288" s="89">
        <f t="shared" si="1140"/>
        <v>0</v>
      </c>
      <c r="IS288" s="89">
        <f t="shared" si="1140"/>
        <v>0</v>
      </c>
      <c r="IT288" s="89">
        <f t="shared" si="1140"/>
        <v>0</v>
      </c>
      <c r="IU288" s="89">
        <f t="shared" si="1140"/>
        <v>0</v>
      </c>
      <c r="IV288" s="89">
        <f t="shared" si="1140"/>
        <v>0</v>
      </c>
      <c r="IW288" s="89">
        <f t="shared" si="1140"/>
        <v>0</v>
      </c>
      <c r="IX288" s="89">
        <f t="shared" si="1140"/>
        <v>0</v>
      </c>
      <c r="IY288" s="89">
        <f t="shared" si="1140"/>
        <v>0</v>
      </c>
      <c r="IZ288" s="89">
        <f t="shared" si="1140"/>
        <v>0</v>
      </c>
      <c r="JA288" s="89">
        <f t="shared" si="1140"/>
        <v>0</v>
      </c>
      <c r="JB288" s="89">
        <f t="shared" si="1140"/>
        <v>0</v>
      </c>
      <c r="JC288" s="89">
        <f t="shared" si="1140"/>
        <v>0</v>
      </c>
      <c r="JD288" s="89">
        <f t="shared" si="1140"/>
        <v>0</v>
      </c>
      <c r="JE288" s="89">
        <f t="shared" si="1140"/>
        <v>0</v>
      </c>
      <c r="JF288" s="89">
        <f t="shared" si="1140"/>
        <v>0</v>
      </c>
      <c r="JG288" s="89">
        <f t="shared" si="1140"/>
        <v>0</v>
      </c>
      <c r="JH288" s="89">
        <f t="shared" ref="JH288:JS288" si="1141">JH289-JG289</f>
        <v>0</v>
      </c>
      <c r="JI288" s="89">
        <f t="shared" si="1141"/>
        <v>0</v>
      </c>
      <c r="JJ288" s="89">
        <f t="shared" si="1141"/>
        <v>0</v>
      </c>
      <c r="JK288" s="89">
        <f t="shared" si="1141"/>
        <v>0</v>
      </c>
      <c r="JL288" s="89">
        <f t="shared" si="1141"/>
        <v>0</v>
      </c>
      <c r="JM288" s="89">
        <f t="shared" si="1141"/>
        <v>0</v>
      </c>
      <c r="JN288" s="89">
        <f t="shared" si="1141"/>
        <v>0</v>
      </c>
      <c r="JO288" s="89">
        <f t="shared" si="1141"/>
        <v>0</v>
      </c>
      <c r="JP288" s="89">
        <f t="shared" si="1141"/>
        <v>0</v>
      </c>
      <c r="JQ288" s="89">
        <f t="shared" si="1141"/>
        <v>0</v>
      </c>
      <c r="JR288" s="89">
        <f t="shared" si="1141"/>
        <v>0</v>
      </c>
      <c r="JS288" s="89">
        <f t="shared" si="1141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2" t="s">
        <v>73</v>
      </c>
      <c r="B289" s="162"/>
      <c r="C289" s="162"/>
      <c r="D289" s="162"/>
      <c r="E289" s="162"/>
      <c r="F289" s="162"/>
      <c r="G289" s="162"/>
      <c r="H289" s="162"/>
      <c r="I289" s="162"/>
      <c r="J289" s="89">
        <f>J288</f>
        <v>0</v>
      </c>
      <c r="K289" s="89">
        <f>K290</f>
        <v>0</v>
      </c>
      <c r="L289" s="89">
        <f t="shared" ref="L289:BW289" si="1142">L290</f>
        <v>0</v>
      </c>
      <c r="M289" s="89">
        <f t="shared" si="1142"/>
        <v>0</v>
      </c>
      <c r="N289" s="89">
        <f t="shared" si="1142"/>
        <v>0</v>
      </c>
      <c r="O289" s="89">
        <f t="shared" si="1142"/>
        <v>0</v>
      </c>
      <c r="P289" s="89">
        <f t="shared" si="1142"/>
        <v>0</v>
      </c>
      <c r="Q289" s="89">
        <f t="shared" si="1142"/>
        <v>0</v>
      </c>
      <c r="R289" s="89">
        <f t="shared" si="1142"/>
        <v>0</v>
      </c>
      <c r="S289" s="89">
        <f t="shared" si="1142"/>
        <v>0</v>
      </c>
      <c r="T289" s="89">
        <f t="shared" si="1142"/>
        <v>0</v>
      </c>
      <c r="U289" s="89">
        <f t="shared" si="1142"/>
        <v>0</v>
      </c>
      <c r="V289" s="89">
        <f t="shared" si="1142"/>
        <v>0</v>
      </c>
      <c r="W289" s="89">
        <f t="shared" si="1142"/>
        <v>0</v>
      </c>
      <c r="X289" s="89">
        <f t="shared" si="1142"/>
        <v>0</v>
      </c>
      <c r="Y289" s="89">
        <f t="shared" si="1142"/>
        <v>0</v>
      </c>
      <c r="Z289" s="89">
        <f t="shared" si="1142"/>
        <v>0</v>
      </c>
      <c r="AA289" s="89">
        <f t="shared" si="1142"/>
        <v>0</v>
      </c>
      <c r="AB289" s="89">
        <f t="shared" si="1142"/>
        <v>0</v>
      </c>
      <c r="AC289" s="89">
        <f t="shared" si="1142"/>
        <v>0</v>
      </c>
      <c r="AD289" s="89">
        <f t="shared" si="1142"/>
        <v>0</v>
      </c>
      <c r="AE289" s="89">
        <f t="shared" si="1142"/>
        <v>0</v>
      </c>
      <c r="AF289" s="89">
        <f t="shared" si="1142"/>
        <v>0</v>
      </c>
      <c r="AG289" s="89">
        <f t="shared" si="1142"/>
        <v>0</v>
      </c>
      <c r="AH289" s="89">
        <f t="shared" si="1142"/>
        <v>0</v>
      </c>
      <c r="AI289" s="89">
        <f t="shared" si="1142"/>
        <v>0</v>
      </c>
      <c r="AJ289" s="89">
        <f t="shared" si="1142"/>
        <v>0</v>
      </c>
      <c r="AK289" s="89">
        <f t="shared" si="1142"/>
        <v>0</v>
      </c>
      <c r="AL289" s="89">
        <f t="shared" si="1142"/>
        <v>0</v>
      </c>
      <c r="AM289" s="89">
        <f t="shared" si="1142"/>
        <v>0</v>
      </c>
      <c r="AN289" s="89">
        <f t="shared" si="1142"/>
        <v>0</v>
      </c>
      <c r="AO289" s="89">
        <f t="shared" si="1142"/>
        <v>0</v>
      </c>
      <c r="AP289" s="89">
        <f t="shared" si="1142"/>
        <v>0</v>
      </c>
      <c r="AQ289" s="89">
        <f t="shared" si="1142"/>
        <v>0</v>
      </c>
      <c r="AR289" s="89">
        <f t="shared" si="1142"/>
        <v>0</v>
      </c>
      <c r="AS289" s="89">
        <f t="shared" si="1142"/>
        <v>0</v>
      </c>
      <c r="AT289" s="89">
        <f t="shared" si="1142"/>
        <v>0</v>
      </c>
      <c r="AU289" s="89">
        <f t="shared" si="1142"/>
        <v>0</v>
      </c>
      <c r="AV289" s="89">
        <f t="shared" si="1142"/>
        <v>0</v>
      </c>
      <c r="AW289" s="89">
        <f t="shared" si="1142"/>
        <v>0</v>
      </c>
      <c r="AX289" s="89">
        <f t="shared" si="1142"/>
        <v>0</v>
      </c>
      <c r="AY289" s="89">
        <f t="shared" si="1142"/>
        <v>0</v>
      </c>
      <c r="AZ289" s="89">
        <f t="shared" si="1142"/>
        <v>0</v>
      </c>
      <c r="BA289" s="89">
        <f t="shared" si="1142"/>
        <v>0</v>
      </c>
      <c r="BB289" s="89">
        <f t="shared" si="1142"/>
        <v>0</v>
      </c>
      <c r="BC289" s="89">
        <f t="shared" si="1142"/>
        <v>0</v>
      </c>
      <c r="BD289" s="89">
        <f t="shared" si="1142"/>
        <v>0</v>
      </c>
      <c r="BE289" s="89">
        <f t="shared" si="1142"/>
        <v>0</v>
      </c>
      <c r="BF289" s="89">
        <f t="shared" si="1142"/>
        <v>0</v>
      </c>
      <c r="BG289" s="89">
        <f t="shared" si="1142"/>
        <v>0</v>
      </c>
      <c r="BH289" s="89">
        <f t="shared" si="1142"/>
        <v>0</v>
      </c>
      <c r="BI289" s="89">
        <f t="shared" si="1142"/>
        <v>0</v>
      </c>
      <c r="BJ289" s="89">
        <f t="shared" si="1142"/>
        <v>0</v>
      </c>
      <c r="BK289" s="89">
        <f t="shared" si="1142"/>
        <v>0</v>
      </c>
      <c r="BL289" s="89">
        <f t="shared" si="1142"/>
        <v>0</v>
      </c>
      <c r="BM289" s="89">
        <f t="shared" si="1142"/>
        <v>0</v>
      </c>
      <c r="BN289" s="89">
        <f t="shared" si="1142"/>
        <v>0</v>
      </c>
      <c r="BO289" s="89">
        <f t="shared" si="1142"/>
        <v>0</v>
      </c>
      <c r="BP289" s="89">
        <f t="shared" si="1142"/>
        <v>0</v>
      </c>
      <c r="BQ289" s="89">
        <f t="shared" si="1142"/>
        <v>0</v>
      </c>
      <c r="BR289" s="89">
        <f t="shared" si="1142"/>
        <v>0</v>
      </c>
      <c r="BS289" s="89">
        <f t="shared" si="1142"/>
        <v>0</v>
      </c>
      <c r="BT289" s="89">
        <f t="shared" si="1142"/>
        <v>0</v>
      </c>
      <c r="BU289" s="89">
        <f t="shared" si="1142"/>
        <v>0</v>
      </c>
      <c r="BV289" s="89">
        <f t="shared" si="1142"/>
        <v>0</v>
      </c>
      <c r="BW289" s="89">
        <f t="shared" si="1142"/>
        <v>0</v>
      </c>
      <c r="BX289" s="89">
        <f t="shared" ref="BX289:EI289" si="1143">BX290</f>
        <v>0</v>
      </c>
      <c r="BY289" s="89">
        <f t="shared" si="1143"/>
        <v>0</v>
      </c>
      <c r="BZ289" s="89">
        <f t="shared" si="1143"/>
        <v>0</v>
      </c>
      <c r="CA289" s="89">
        <f t="shared" si="1143"/>
        <v>0</v>
      </c>
      <c r="CB289" s="89">
        <f t="shared" si="1143"/>
        <v>0</v>
      </c>
      <c r="CC289" s="89">
        <f t="shared" si="1143"/>
        <v>0</v>
      </c>
      <c r="CD289" s="89">
        <f t="shared" si="1143"/>
        <v>0</v>
      </c>
      <c r="CE289" s="89">
        <f t="shared" si="1143"/>
        <v>0</v>
      </c>
      <c r="CF289" s="89">
        <f t="shared" si="1143"/>
        <v>0</v>
      </c>
      <c r="CG289" s="89">
        <f t="shared" si="1143"/>
        <v>0</v>
      </c>
      <c r="CH289" s="89">
        <f t="shared" si="1143"/>
        <v>0</v>
      </c>
      <c r="CI289" s="89">
        <f t="shared" si="1143"/>
        <v>0</v>
      </c>
      <c r="CJ289" s="89">
        <f t="shared" si="1143"/>
        <v>0</v>
      </c>
      <c r="CK289" s="89">
        <f t="shared" si="1143"/>
        <v>0</v>
      </c>
      <c r="CL289" s="89">
        <f t="shared" si="1143"/>
        <v>0</v>
      </c>
      <c r="CM289" s="89">
        <f t="shared" si="1143"/>
        <v>0</v>
      </c>
      <c r="CN289" s="89">
        <f t="shared" si="1143"/>
        <v>0</v>
      </c>
      <c r="CO289" s="89">
        <f t="shared" si="1143"/>
        <v>0</v>
      </c>
      <c r="CP289" s="89">
        <f t="shared" si="1143"/>
        <v>0</v>
      </c>
      <c r="CQ289" s="89">
        <f t="shared" si="1143"/>
        <v>0</v>
      </c>
      <c r="CR289" s="89">
        <f t="shared" si="1143"/>
        <v>0</v>
      </c>
      <c r="CS289" s="89">
        <f t="shared" si="1143"/>
        <v>0</v>
      </c>
      <c r="CT289" s="89">
        <f t="shared" si="1143"/>
        <v>0</v>
      </c>
      <c r="CU289" s="89">
        <f t="shared" si="1143"/>
        <v>0</v>
      </c>
      <c r="CV289" s="89">
        <f t="shared" si="1143"/>
        <v>0</v>
      </c>
      <c r="CW289" s="89">
        <f t="shared" si="1143"/>
        <v>0</v>
      </c>
      <c r="CX289" s="89">
        <f t="shared" si="1143"/>
        <v>0</v>
      </c>
      <c r="CY289" s="89">
        <f t="shared" si="1143"/>
        <v>0</v>
      </c>
      <c r="CZ289" s="89">
        <f t="shared" si="1143"/>
        <v>0</v>
      </c>
      <c r="DA289" s="89">
        <f t="shared" si="1143"/>
        <v>0</v>
      </c>
      <c r="DB289" s="89">
        <f t="shared" si="1143"/>
        <v>0</v>
      </c>
      <c r="DC289" s="89">
        <f t="shared" si="1143"/>
        <v>0</v>
      </c>
      <c r="DD289" s="89">
        <f t="shared" si="1143"/>
        <v>0</v>
      </c>
      <c r="DE289" s="89">
        <f t="shared" si="1143"/>
        <v>0</v>
      </c>
      <c r="DF289" s="89">
        <f t="shared" si="1143"/>
        <v>0</v>
      </c>
      <c r="DG289" s="89">
        <f t="shared" si="1143"/>
        <v>0</v>
      </c>
      <c r="DH289" s="89">
        <f t="shared" si="1143"/>
        <v>0</v>
      </c>
      <c r="DI289" s="89">
        <f t="shared" si="1143"/>
        <v>0</v>
      </c>
      <c r="DJ289" s="89">
        <f t="shared" si="1143"/>
        <v>0</v>
      </c>
      <c r="DK289" s="89">
        <f t="shared" si="1143"/>
        <v>0</v>
      </c>
      <c r="DL289" s="89">
        <f t="shared" si="1143"/>
        <v>0</v>
      </c>
      <c r="DM289" s="89">
        <f t="shared" si="1143"/>
        <v>0</v>
      </c>
      <c r="DN289" s="89">
        <f t="shared" si="1143"/>
        <v>0</v>
      </c>
      <c r="DO289" s="89">
        <f t="shared" si="1143"/>
        <v>0</v>
      </c>
      <c r="DP289" s="89">
        <f t="shared" si="1143"/>
        <v>0</v>
      </c>
      <c r="DQ289" s="89">
        <f t="shared" si="1143"/>
        <v>0</v>
      </c>
      <c r="DR289" s="89">
        <f t="shared" si="1143"/>
        <v>0</v>
      </c>
      <c r="DS289" s="89">
        <f t="shared" si="1143"/>
        <v>0</v>
      </c>
      <c r="DT289" s="89">
        <f t="shared" si="1143"/>
        <v>0</v>
      </c>
      <c r="DU289" s="89">
        <f t="shared" si="1143"/>
        <v>0</v>
      </c>
      <c r="DV289" s="89">
        <f t="shared" si="1143"/>
        <v>0</v>
      </c>
      <c r="DW289" s="89">
        <f t="shared" si="1143"/>
        <v>0</v>
      </c>
      <c r="DX289" s="89">
        <f t="shared" si="1143"/>
        <v>0</v>
      </c>
      <c r="DY289" s="89">
        <f t="shared" si="1143"/>
        <v>0</v>
      </c>
      <c r="DZ289" s="89">
        <f t="shared" si="1143"/>
        <v>0</v>
      </c>
      <c r="EA289" s="89">
        <f t="shared" si="1143"/>
        <v>0</v>
      </c>
      <c r="EB289" s="89">
        <f t="shared" si="1143"/>
        <v>0</v>
      </c>
      <c r="EC289" s="89">
        <f t="shared" si="1143"/>
        <v>0</v>
      </c>
      <c r="ED289" s="89">
        <f t="shared" si="1143"/>
        <v>0</v>
      </c>
      <c r="EE289" s="89">
        <f t="shared" si="1143"/>
        <v>0</v>
      </c>
      <c r="EF289" s="89">
        <f t="shared" si="1143"/>
        <v>0</v>
      </c>
      <c r="EG289" s="89">
        <f t="shared" si="1143"/>
        <v>0</v>
      </c>
      <c r="EH289" s="89">
        <f t="shared" si="1143"/>
        <v>0</v>
      </c>
      <c r="EI289" s="89">
        <f t="shared" si="1143"/>
        <v>0</v>
      </c>
      <c r="EJ289" s="89">
        <f t="shared" ref="EJ289:GU289" si="1144">EJ290</f>
        <v>0</v>
      </c>
      <c r="EK289" s="89">
        <f t="shared" si="1144"/>
        <v>0</v>
      </c>
      <c r="EL289" s="89">
        <f t="shared" si="1144"/>
        <v>0</v>
      </c>
      <c r="EM289" s="89">
        <f t="shared" si="1144"/>
        <v>0</v>
      </c>
      <c r="EN289" s="89">
        <f t="shared" si="1144"/>
        <v>0</v>
      </c>
      <c r="EO289" s="89">
        <f t="shared" si="1144"/>
        <v>0</v>
      </c>
      <c r="EP289" s="89">
        <f t="shared" si="1144"/>
        <v>0</v>
      </c>
      <c r="EQ289" s="89">
        <f t="shared" si="1144"/>
        <v>0</v>
      </c>
      <c r="ER289" s="89">
        <f t="shared" si="1144"/>
        <v>0</v>
      </c>
      <c r="ES289" s="89">
        <f t="shared" si="1144"/>
        <v>0</v>
      </c>
      <c r="ET289" s="89">
        <f t="shared" si="1144"/>
        <v>0</v>
      </c>
      <c r="EU289" s="89">
        <f t="shared" si="1144"/>
        <v>0</v>
      </c>
      <c r="EV289" s="89">
        <f t="shared" si="1144"/>
        <v>0</v>
      </c>
      <c r="EW289" s="89">
        <f t="shared" si="1144"/>
        <v>0</v>
      </c>
      <c r="EX289" s="89">
        <f t="shared" si="1144"/>
        <v>0</v>
      </c>
      <c r="EY289" s="89">
        <f t="shared" si="1144"/>
        <v>0</v>
      </c>
      <c r="EZ289" s="89">
        <f t="shared" si="1144"/>
        <v>0</v>
      </c>
      <c r="FA289" s="89">
        <f t="shared" si="1144"/>
        <v>0</v>
      </c>
      <c r="FB289" s="89">
        <f t="shared" si="1144"/>
        <v>0</v>
      </c>
      <c r="FC289" s="89">
        <f t="shared" si="1144"/>
        <v>0</v>
      </c>
      <c r="FD289" s="89">
        <f t="shared" si="1144"/>
        <v>0</v>
      </c>
      <c r="FE289" s="89">
        <f t="shared" si="1144"/>
        <v>0</v>
      </c>
      <c r="FF289" s="89">
        <f t="shared" si="1144"/>
        <v>0</v>
      </c>
      <c r="FG289" s="89">
        <f t="shared" si="1144"/>
        <v>0</v>
      </c>
      <c r="FH289" s="89">
        <f t="shared" si="1144"/>
        <v>0</v>
      </c>
      <c r="FI289" s="89">
        <f t="shared" si="1144"/>
        <v>0</v>
      </c>
      <c r="FJ289" s="89">
        <f t="shared" si="1144"/>
        <v>0</v>
      </c>
      <c r="FK289" s="89">
        <f t="shared" si="1144"/>
        <v>0</v>
      </c>
      <c r="FL289" s="89">
        <f t="shared" si="1144"/>
        <v>0</v>
      </c>
      <c r="FM289" s="89">
        <f t="shared" si="1144"/>
        <v>0</v>
      </c>
      <c r="FN289" s="89">
        <f t="shared" si="1144"/>
        <v>0</v>
      </c>
      <c r="FO289" s="89">
        <f t="shared" si="1144"/>
        <v>0</v>
      </c>
      <c r="FP289" s="89">
        <f t="shared" si="1144"/>
        <v>0</v>
      </c>
      <c r="FQ289" s="89">
        <f t="shared" si="1144"/>
        <v>0</v>
      </c>
      <c r="FR289" s="89">
        <f t="shared" si="1144"/>
        <v>0</v>
      </c>
      <c r="FS289" s="89">
        <f t="shared" si="1144"/>
        <v>0</v>
      </c>
      <c r="FT289" s="89">
        <f t="shared" si="1144"/>
        <v>0</v>
      </c>
      <c r="FU289" s="89">
        <f t="shared" si="1144"/>
        <v>0</v>
      </c>
      <c r="FV289" s="89">
        <f t="shared" si="1144"/>
        <v>0</v>
      </c>
      <c r="FW289" s="89">
        <f t="shared" si="1144"/>
        <v>0</v>
      </c>
      <c r="FX289" s="89">
        <f t="shared" si="1144"/>
        <v>0</v>
      </c>
      <c r="FY289" s="89">
        <f t="shared" si="1144"/>
        <v>0</v>
      </c>
      <c r="FZ289" s="89">
        <f t="shared" si="1144"/>
        <v>0</v>
      </c>
      <c r="GA289" s="89">
        <f t="shared" si="1144"/>
        <v>0</v>
      </c>
      <c r="GB289" s="89">
        <f t="shared" si="1144"/>
        <v>0</v>
      </c>
      <c r="GC289" s="89">
        <f t="shared" si="1144"/>
        <v>0</v>
      </c>
      <c r="GD289" s="89">
        <f t="shared" si="1144"/>
        <v>0</v>
      </c>
      <c r="GE289" s="89">
        <f t="shared" si="1144"/>
        <v>0</v>
      </c>
      <c r="GF289" s="89">
        <f t="shared" si="1144"/>
        <v>0</v>
      </c>
      <c r="GG289" s="89">
        <f t="shared" si="1144"/>
        <v>0</v>
      </c>
      <c r="GH289" s="89">
        <f t="shared" si="1144"/>
        <v>0</v>
      </c>
      <c r="GI289" s="89">
        <f t="shared" si="1144"/>
        <v>0</v>
      </c>
      <c r="GJ289" s="89">
        <f t="shared" si="1144"/>
        <v>0</v>
      </c>
      <c r="GK289" s="89">
        <f t="shared" si="1144"/>
        <v>0</v>
      </c>
      <c r="GL289" s="89">
        <f t="shared" si="1144"/>
        <v>0</v>
      </c>
      <c r="GM289" s="89">
        <f t="shared" si="1144"/>
        <v>0</v>
      </c>
      <c r="GN289" s="89">
        <f t="shared" si="1144"/>
        <v>0</v>
      </c>
      <c r="GO289" s="89">
        <f t="shared" si="1144"/>
        <v>0</v>
      </c>
      <c r="GP289" s="89">
        <f t="shared" si="1144"/>
        <v>0</v>
      </c>
      <c r="GQ289" s="89">
        <f t="shared" si="1144"/>
        <v>0</v>
      </c>
      <c r="GR289" s="89">
        <f t="shared" si="1144"/>
        <v>0</v>
      </c>
      <c r="GS289" s="89">
        <f t="shared" si="1144"/>
        <v>0</v>
      </c>
      <c r="GT289" s="89">
        <f t="shared" si="1144"/>
        <v>0</v>
      </c>
      <c r="GU289" s="89">
        <f t="shared" si="1144"/>
        <v>0</v>
      </c>
      <c r="GV289" s="89">
        <f t="shared" ref="GV289:JG289" si="1145">GV290</f>
        <v>0</v>
      </c>
      <c r="GW289" s="89">
        <f t="shared" si="1145"/>
        <v>0</v>
      </c>
      <c r="GX289" s="89">
        <f t="shared" si="1145"/>
        <v>0</v>
      </c>
      <c r="GY289" s="89">
        <f t="shared" si="1145"/>
        <v>0</v>
      </c>
      <c r="GZ289" s="89">
        <f t="shared" si="1145"/>
        <v>0</v>
      </c>
      <c r="HA289" s="89">
        <f t="shared" si="1145"/>
        <v>0</v>
      </c>
      <c r="HB289" s="89">
        <f t="shared" si="1145"/>
        <v>0</v>
      </c>
      <c r="HC289" s="89">
        <f t="shared" si="1145"/>
        <v>0</v>
      </c>
      <c r="HD289" s="89">
        <f t="shared" si="1145"/>
        <v>0</v>
      </c>
      <c r="HE289" s="89">
        <f t="shared" si="1145"/>
        <v>0</v>
      </c>
      <c r="HF289" s="89">
        <f t="shared" si="1145"/>
        <v>0</v>
      </c>
      <c r="HG289" s="89">
        <f t="shared" si="1145"/>
        <v>0</v>
      </c>
      <c r="HH289" s="89">
        <f t="shared" si="1145"/>
        <v>0</v>
      </c>
      <c r="HI289" s="89">
        <f t="shared" si="1145"/>
        <v>0</v>
      </c>
      <c r="HJ289" s="89">
        <f t="shared" si="1145"/>
        <v>0</v>
      </c>
      <c r="HK289" s="89">
        <f t="shared" si="1145"/>
        <v>0</v>
      </c>
      <c r="HL289" s="89">
        <f t="shared" si="1145"/>
        <v>0</v>
      </c>
      <c r="HM289" s="89">
        <f t="shared" si="1145"/>
        <v>0</v>
      </c>
      <c r="HN289" s="89">
        <f t="shared" si="1145"/>
        <v>0</v>
      </c>
      <c r="HO289" s="89">
        <f t="shared" si="1145"/>
        <v>0</v>
      </c>
      <c r="HP289" s="89">
        <f t="shared" si="1145"/>
        <v>0</v>
      </c>
      <c r="HQ289" s="89">
        <f t="shared" si="1145"/>
        <v>0</v>
      </c>
      <c r="HR289" s="89">
        <f t="shared" si="1145"/>
        <v>0</v>
      </c>
      <c r="HS289" s="89">
        <f t="shared" si="1145"/>
        <v>0</v>
      </c>
      <c r="HT289" s="89">
        <f t="shared" si="1145"/>
        <v>0</v>
      </c>
      <c r="HU289" s="89">
        <f t="shared" si="1145"/>
        <v>0</v>
      </c>
      <c r="HV289" s="89">
        <f t="shared" si="1145"/>
        <v>0</v>
      </c>
      <c r="HW289" s="89">
        <f t="shared" si="1145"/>
        <v>0</v>
      </c>
      <c r="HX289" s="89">
        <f t="shared" si="1145"/>
        <v>0</v>
      </c>
      <c r="HY289" s="89">
        <f t="shared" si="1145"/>
        <v>0</v>
      </c>
      <c r="HZ289" s="89">
        <f t="shared" si="1145"/>
        <v>0</v>
      </c>
      <c r="IA289" s="89">
        <f t="shared" si="1145"/>
        <v>0</v>
      </c>
      <c r="IB289" s="89">
        <f t="shared" si="1145"/>
        <v>0</v>
      </c>
      <c r="IC289" s="89">
        <f t="shared" si="1145"/>
        <v>0</v>
      </c>
      <c r="ID289" s="89">
        <f t="shared" si="1145"/>
        <v>0</v>
      </c>
      <c r="IE289" s="89">
        <f t="shared" si="1145"/>
        <v>0</v>
      </c>
      <c r="IF289" s="89">
        <f t="shared" si="1145"/>
        <v>0</v>
      </c>
      <c r="IG289" s="89">
        <f t="shared" si="1145"/>
        <v>0</v>
      </c>
      <c r="IH289" s="89">
        <f t="shared" si="1145"/>
        <v>0</v>
      </c>
      <c r="II289" s="89">
        <f t="shared" si="1145"/>
        <v>0</v>
      </c>
      <c r="IJ289" s="89">
        <f t="shared" si="1145"/>
        <v>0</v>
      </c>
      <c r="IK289" s="89">
        <f t="shared" si="1145"/>
        <v>0</v>
      </c>
      <c r="IL289" s="89">
        <f t="shared" si="1145"/>
        <v>0</v>
      </c>
      <c r="IM289" s="89">
        <f t="shared" si="1145"/>
        <v>0</v>
      </c>
      <c r="IN289" s="89">
        <f t="shared" si="1145"/>
        <v>0</v>
      </c>
      <c r="IO289" s="89">
        <f t="shared" si="1145"/>
        <v>0</v>
      </c>
      <c r="IP289" s="89">
        <f t="shared" si="1145"/>
        <v>0</v>
      </c>
      <c r="IQ289" s="89">
        <f t="shared" si="1145"/>
        <v>0</v>
      </c>
      <c r="IR289" s="89">
        <f t="shared" si="1145"/>
        <v>0</v>
      </c>
      <c r="IS289" s="89">
        <f t="shared" si="1145"/>
        <v>0</v>
      </c>
      <c r="IT289" s="89">
        <f t="shared" si="1145"/>
        <v>0</v>
      </c>
      <c r="IU289" s="89">
        <f t="shared" si="1145"/>
        <v>0</v>
      </c>
      <c r="IV289" s="89">
        <f t="shared" si="1145"/>
        <v>0</v>
      </c>
      <c r="IW289" s="89">
        <f t="shared" si="1145"/>
        <v>0</v>
      </c>
      <c r="IX289" s="89">
        <f t="shared" si="1145"/>
        <v>0</v>
      </c>
      <c r="IY289" s="89">
        <f t="shared" si="1145"/>
        <v>0</v>
      </c>
      <c r="IZ289" s="89">
        <f t="shared" si="1145"/>
        <v>0</v>
      </c>
      <c r="JA289" s="89">
        <f t="shared" si="1145"/>
        <v>0</v>
      </c>
      <c r="JB289" s="89">
        <f t="shared" si="1145"/>
        <v>0</v>
      </c>
      <c r="JC289" s="89">
        <f t="shared" si="1145"/>
        <v>0</v>
      </c>
      <c r="JD289" s="89">
        <f t="shared" si="1145"/>
        <v>0</v>
      </c>
      <c r="JE289" s="89">
        <f t="shared" si="1145"/>
        <v>0</v>
      </c>
      <c r="JF289" s="89">
        <f t="shared" si="1145"/>
        <v>0</v>
      </c>
      <c r="JG289" s="89">
        <f t="shared" si="1145"/>
        <v>0</v>
      </c>
      <c r="JH289" s="89">
        <f t="shared" ref="JH289:KH289" si="1146">JH290</f>
        <v>0</v>
      </c>
      <c r="JI289" s="89">
        <f t="shared" si="1146"/>
        <v>0</v>
      </c>
      <c r="JJ289" s="89">
        <f t="shared" si="1146"/>
        <v>0</v>
      </c>
      <c r="JK289" s="89">
        <f t="shared" si="1146"/>
        <v>0</v>
      </c>
      <c r="JL289" s="89">
        <f t="shared" si="1146"/>
        <v>0</v>
      </c>
      <c r="JM289" s="89">
        <f t="shared" si="1146"/>
        <v>0</v>
      </c>
      <c r="JN289" s="89">
        <f t="shared" si="1146"/>
        <v>0</v>
      </c>
      <c r="JO289" s="89">
        <f t="shared" si="1146"/>
        <v>0</v>
      </c>
      <c r="JP289" s="89">
        <f t="shared" si="1146"/>
        <v>0</v>
      </c>
      <c r="JQ289" s="89">
        <f t="shared" si="1146"/>
        <v>0</v>
      </c>
      <c r="JR289" s="89">
        <f t="shared" si="1146"/>
        <v>0</v>
      </c>
      <c r="JS289" s="89">
        <f t="shared" si="1146"/>
        <v>0</v>
      </c>
      <c r="JT289" s="89">
        <f t="shared" si="1146"/>
        <v>0</v>
      </c>
      <c r="JU289" s="89">
        <f t="shared" si="1146"/>
        <v>0</v>
      </c>
      <c r="JV289" s="89">
        <f t="shared" si="1146"/>
        <v>0</v>
      </c>
      <c r="JW289" s="89">
        <f t="shared" si="1146"/>
        <v>0</v>
      </c>
      <c r="JX289" s="89">
        <f t="shared" si="1146"/>
        <v>0</v>
      </c>
      <c r="JY289" s="89">
        <f t="shared" si="1146"/>
        <v>0</v>
      </c>
      <c r="JZ289" s="89">
        <f t="shared" si="1146"/>
        <v>0</v>
      </c>
      <c r="KA289" s="89">
        <f t="shared" si="1146"/>
        <v>0</v>
      </c>
      <c r="KB289" s="89">
        <f t="shared" si="1146"/>
        <v>0</v>
      </c>
      <c r="KC289" s="89">
        <f t="shared" si="1146"/>
        <v>0</v>
      </c>
      <c r="KD289" s="89">
        <f t="shared" si="1146"/>
        <v>0</v>
      </c>
      <c r="KE289" s="89">
        <f t="shared" si="1146"/>
        <v>0</v>
      </c>
      <c r="KF289" s="89">
        <f t="shared" si="1146"/>
        <v>0</v>
      </c>
      <c r="KG289" s="89">
        <f t="shared" si="1146"/>
        <v>0</v>
      </c>
      <c r="KH289" s="89">
        <f t="shared" si="1146"/>
        <v>0</v>
      </c>
      <c r="KI289" s="89">
        <f t="shared" ref="KI289:LS289" si="1147">KI288+KH289</f>
        <v>0</v>
      </c>
      <c r="KJ289" s="89">
        <f t="shared" si="1147"/>
        <v>0</v>
      </c>
      <c r="KK289" s="89">
        <f t="shared" si="1147"/>
        <v>0</v>
      </c>
      <c r="KL289" s="89">
        <f t="shared" si="1147"/>
        <v>0</v>
      </c>
      <c r="KM289" s="89">
        <f t="shared" si="1147"/>
        <v>0</v>
      </c>
      <c r="KN289" s="89">
        <f t="shared" si="1147"/>
        <v>0</v>
      </c>
      <c r="KO289" s="89">
        <f t="shared" si="1147"/>
        <v>0</v>
      </c>
      <c r="KP289" s="89">
        <f t="shared" si="1147"/>
        <v>0</v>
      </c>
      <c r="KQ289" s="89">
        <f t="shared" si="1147"/>
        <v>0</v>
      </c>
      <c r="KR289" s="89">
        <f t="shared" si="1147"/>
        <v>0</v>
      </c>
      <c r="KS289" s="89">
        <f t="shared" si="1147"/>
        <v>0</v>
      </c>
      <c r="KT289" s="89">
        <f t="shared" si="1147"/>
        <v>0</v>
      </c>
      <c r="KU289" s="89">
        <f t="shared" si="1147"/>
        <v>0</v>
      </c>
      <c r="KV289" s="89">
        <f t="shared" si="1147"/>
        <v>0</v>
      </c>
      <c r="KW289" s="89">
        <f t="shared" si="1147"/>
        <v>0</v>
      </c>
      <c r="KX289" s="89">
        <f t="shared" si="1147"/>
        <v>0</v>
      </c>
      <c r="KY289" s="89">
        <f t="shared" si="1147"/>
        <v>0</v>
      </c>
      <c r="KZ289" s="89">
        <f t="shared" si="1147"/>
        <v>0</v>
      </c>
      <c r="LA289" s="89">
        <f t="shared" si="1147"/>
        <v>0</v>
      </c>
      <c r="LB289" s="89">
        <f t="shared" si="1147"/>
        <v>0</v>
      </c>
      <c r="LC289" s="89">
        <f t="shared" si="1147"/>
        <v>0</v>
      </c>
      <c r="LD289" s="89">
        <f t="shared" si="1147"/>
        <v>0</v>
      </c>
      <c r="LE289" s="89">
        <f t="shared" si="1147"/>
        <v>0</v>
      </c>
      <c r="LF289" s="89">
        <f t="shared" si="1147"/>
        <v>0</v>
      </c>
      <c r="LG289" s="89">
        <f t="shared" si="1147"/>
        <v>0</v>
      </c>
      <c r="LH289" s="89">
        <f t="shared" si="1147"/>
        <v>0</v>
      </c>
      <c r="LI289" s="89">
        <f t="shared" si="1147"/>
        <v>0</v>
      </c>
      <c r="LJ289" s="89">
        <f t="shared" si="1147"/>
        <v>0</v>
      </c>
      <c r="LK289" s="89">
        <f t="shared" si="1147"/>
        <v>0</v>
      </c>
      <c r="LL289" s="89">
        <f t="shared" si="1147"/>
        <v>0</v>
      </c>
      <c r="LM289" s="89">
        <f t="shared" si="1147"/>
        <v>0</v>
      </c>
      <c r="LN289" s="89">
        <f t="shared" si="1147"/>
        <v>0</v>
      </c>
      <c r="LO289" s="89">
        <f t="shared" si="1147"/>
        <v>0</v>
      </c>
      <c r="LP289" s="89">
        <f t="shared" si="1147"/>
        <v>0</v>
      </c>
      <c r="LQ289" s="89">
        <f t="shared" si="1147"/>
        <v>0</v>
      </c>
      <c r="LR289" s="89">
        <f t="shared" si="1147"/>
        <v>0</v>
      </c>
      <c r="LS289" s="89">
        <f t="shared" si="1147"/>
        <v>0</v>
      </c>
      <c r="LT289" s="89">
        <f t="shared" ref="LT289:OE289" si="1148">LT288+LS289</f>
        <v>0</v>
      </c>
      <c r="LU289" s="89">
        <f t="shared" si="1148"/>
        <v>0</v>
      </c>
      <c r="LV289" s="89">
        <f t="shared" si="1148"/>
        <v>0</v>
      </c>
      <c r="LW289" s="89">
        <f t="shared" si="1148"/>
        <v>0</v>
      </c>
      <c r="LX289" s="89">
        <f t="shared" si="1148"/>
        <v>0</v>
      </c>
      <c r="LY289" s="89">
        <f t="shared" si="1148"/>
        <v>0</v>
      </c>
      <c r="LZ289" s="89">
        <f t="shared" si="1148"/>
        <v>0</v>
      </c>
      <c r="MA289" s="89">
        <f t="shared" si="1148"/>
        <v>0</v>
      </c>
      <c r="MB289" s="89">
        <f t="shared" si="1148"/>
        <v>0</v>
      </c>
      <c r="MC289" s="89">
        <f t="shared" si="1148"/>
        <v>0</v>
      </c>
      <c r="MD289" s="89">
        <f t="shared" si="1148"/>
        <v>0</v>
      </c>
      <c r="ME289" s="89">
        <f t="shared" si="1148"/>
        <v>0</v>
      </c>
      <c r="MF289" s="89">
        <f t="shared" si="1148"/>
        <v>0</v>
      </c>
      <c r="MG289" s="89">
        <f t="shared" si="1148"/>
        <v>0</v>
      </c>
      <c r="MH289" s="89">
        <f t="shared" si="1148"/>
        <v>0</v>
      </c>
      <c r="MI289" s="89">
        <f t="shared" si="1148"/>
        <v>0</v>
      </c>
      <c r="MJ289" s="89">
        <f t="shared" si="1148"/>
        <v>0</v>
      </c>
      <c r="MK289" s="89">
        <f t="shared" si="1148"/>
        <v>0</v>
      </c>
      <c r="ML289" s="89">
        <f t="shared" si="1148"/>
        <v>0</v>
      </c>
      <c r="MM289" s="89">
        <f t="shared" si="1148"/>
        <v>0</v>
      </c>
      <c r="MN289" s="89">
        <f t="shared" si="1148"/>
        <v>0</v>
      </c>
      <c r="MO289" s="89">
        <f t="shared" si="1148"/>
        <v>0</v>
      </c>
      <c r="MP289" s="89">
        <f t="shared" si="1148"/>
        <v>0</v>
      </c>
      <c r="MQ289" s="89">
        <f t="shared" si="1148"/>
        <v>0</v>
      </c>
      <c r="MR289" s="89">
        <f t="shared" si="1148"/>
        <v>0</v>
      </c>
      <c r="MS289" s="89">
        <f t="shared" si="1148"/>
        <v>0</v>
      </c>
      <c r="MT289" s="89">
        <f t="shared" si="1148"/>
        <v>0</v>
      </c>
      <c r="MU289" s="89">
        <f t="shared" si="1148"/>
        <v>0</v>
      </c>
      <c r="MV289" s="89">
        <f t="shared" si="1148"/>
        <v>0</v>
      </c>
      <c r="MW289" s="89">
        <f t="shared" si="1148"/>
        <v>0</v>
      </c>
      <c r="MX289" s="89">
        <f t="shared" si="1148"/>
        <v>0</v>
      </c>
      <c r="MY289" s="89">
        <f t="shared" si="1148"/>
        <v>0</v>
      </c>
      <c r="MZ289" s="89">
        <f t="shared" si="1148"/>
        <v>0</v>
      </c>
      <c r="NA289" s="89">
        <f t="shared" si="1148"/>
        <v>0</v>
      </c>
      <c r="NB289" s="89">
        <f t="shared" si="1148"/>
        <v>0</v>
      </c>
      <c r="NC289" s="89">
        <f t="shared" si="1148"/>
        <v>0</v>
      </c>
      <c r="ND289" s="89">
        <f t="shared" si="1148"/>
        <v>0</v>
      </c>
      <c r="NE289" s="89">
        <f t="shared" si="1148"/>
        <v>0</v>
      </c>
      <c r="NF289" s="89">
        <f t="shared" si="1148"/>
        <v>0</v>
      </c>
      <c r="NG289" s="89">
        <f t="shared" si="1148"/>
        <v>0</v>
      </c>
      <c r="NH289" s="89">
        <f t="shared" si="1148"/>
        <v>0</v>
      </c>
      <c r="NI289" s="89">
        <f t="shared" si="1148"/>
        <v>0</v>
      </c>
      <c r="NJ289" s="89">
        <f t="shared" si="1148"/>
        <v>0</v>
      </c>
      <c r="NK289" s="89">
        <f t="shared" si="1148"/>
        <v>0</v>
      </c>
      <c r="NL289" s="89">
        <f t="shared" si="1148"/>
        <v>0</v>
      </c>
      <c r="NM289" s="89">
        <f t="shared" si="1148"/>
        <v>0</v>
      </c>
      <c r="NN289" s="89">
        <f t="shared" si="1148"/>
        <v>0</v>
      </c>
      <c r="NO289" s="89">
        <f t="shared" si="1148"/>
        <v>0</v>
      </c>
      <c r="NP289" s="89">
        <f t="shared" si="1148"/>
        <v>0</v>
      </c>
      <c r="NQ289" s="89">
        <f t="shared" si="1148"/>
        <v>0</v>
      </c>
      <c r="NR289" s="89">
        <f t="shared" si="1148"/>
        <v>0</v>
      </c>
      <c r="NS289" s="89">
        <f t="shared" si="1148"/>
        <v>0</v>
      </c>
      <c r="NT289" s="89">
        <f t="shared" si="1148"/>
        <v>0</v>
      </c>
      <c r="NU289" s="89">
        <f t="shared" si="1148"/>
        <v>0</v>
      </c>
      <c r="NV289" s="89">
        <f t="shared" si="1148"/>
        <v>0</v>
      </c>
      <c r="NW289" s="89">
        <f t="shared" si="1148"/>
        <v>0</v>
      </c>
      <c r="NX289" s="89">
        <f t="shared" si="1148"/>
        <v>0</v>
      </c>
      <c r="NY289" s="89">
        <f t="shared" si="1148"/>
        <v>0</v>
      </c>
      <c r="NZ289" s="89">
        <f t="shared" si="1148"/>
        <v>0</v>
      </c>
      <c r="OA289" s="89">
        <f t="shared" si="1148"/>
        <v>0</v>
      </c>
      <c r="OB289" s="89">
        <f t="shared" si="1148"/>
        <v>0</v>
      </c>
      <c r="OC289" s="89">
        <f t="shared" si="1148"/>
        <v>0</v>
      </c>
      <c r="OD289" s="89">
        <f t="shared" si="1148"/>
        <v>0</v>
      </c>
      <c r="OE289" s="89">
        <f t="shared" si="1148"/>
        <v>0</v>
      </c>
      <c r="OF289" s="89">
        <f t="shared" ref="OF289:QQ289" si="1149">OF288+OE289</f>
        <v>0</v>
      </c>
      <c r="OG289" s="89">
        <f t="shared" si="1149"/>
        <v>0</v>
      </c>
      <c r="OH289" s="89">
        <f t="shared" si="1149"/>
        <v>0</v>
      </c>
      <c r="OI289" s="89">
        <f t="shared" si="1149"/>
        <v>0</v>
      </c>
      <c r="OJ289" s="89">
        <f t="shared" si="1149"/>
        <v>0</v>
      </c>
      <c r="OK289" s="89">
        <f t="shared" si="1149"/>
        <v>0</v>
      </c>
      <c r="OL289" s="89">
        <f t="shared" si="1149"/>
        <v>0</v>
      </c>
      <c r="OM289" s="89">
        <f t="shared" si="1149"/>
        <v>0</v>
      </c>
      <c r="ON289" s="89">
        <f t="shared" si="1149"/>
        <v>0</v>
      </c>
      <c r="OO289" s="89">
        <f t="shared" si="1149"/>
        <v>0</v>
      </c>
      <c r="OP289" s="89">
        <f t="shared" si="1149"/>
        <v>0</v>
      </c>
      <c r="OQ289" s="89">
        <f t="shared" si="1149"/>
        <v>0</v>
      </c>
      <c r="OR289" s="89">
        <f t="shared" si="1149"/>
        <v>0</v>
      </c>
      <c r="OS289" s="89">
        <f t="shared" si="1149"/>
        <v>0</v>
      </c>
      <c r="OT289" s="89">
        <f t="shared" si="1149"/>
        <v>0</v>
      </c>
      <c r="OU289" s="89">
        <f t="shared" si="1149"/>
        <v>0</v>
      </c>
      <c r="OV289" s="89">
        <f t="shared" si="1149"/>
        <v>0</v>
      </c>
      <c r="OW289" s="89">
        <f t="shared" si="1149"/>
        <v>0</v>
      </c>
      <c r="OX289" s="89">
        <f t="shared" si="1149"/>
        <v>0</v>
      </c>
      <c r="OY289" s="89">
        <f t="shared" si="1149"/>
        <v>0</v>
      </c>
      <c r="OZ289" s="89">
        <f t="shared" si="1149"/>
        <v>0</v>
      </c>
      <c r="PA289" s="89">
        <f t="shared" si="1149"/>
        <v>0</v>
      </c>
      <c r="PB289" s="89">
        <f t="shared" si="1149"/>
        <v>0</v>
      </c>
      <c r="PC289" s="89">
        <f t="shared" si="1149"/>
        <v>0</v>
      </c>
      <c r="PD289" s="89">
        <f t="shared" si="1149"/>
        <v>0</v>
      </c>
      <c r="PE289" s="89">
        <f t="shared" si="1149"/>
        <v>0</v>
      </c>
      <c r="PF289" s="89">
        <f t="shared" si="1149"/>
        <v>0</v>
      </c>
      <c r="PG289" s="89">
        <f t="shared" si="1149"/>
        <v>0</v>
      </c>
      <c r="PH289" s="89">
        <f t="shared" si="1149"/>
        <v>0</v>
      </c>
      <c r="PI289" s="89">
        <f t="shared" si="1149"/>
        <v>0</v>
      </c>
      <c r="PJ289" s="89">
        <f t="shared" si="1149"/>
        <v>0</v>
      </c>
      <c r="PK289" s="89">
        <f t="shared" si="1149"/>
        <v>0</v>
      </c>
      <c r="PL289" s="89">
        <f t="shared" si="1149"/>
        <v>0</v>
      </c>
      <c r="PM289" s="89">
        <f t="shared" si="1149"/>
        <v>0</v>
      </c>
      <c r="PN289" s="89">
        <f t="shared" si="1149"/>
        <v>0</v>
      </c>
      <c r="PO289" s="89">
        <f t="shared" si="1149"/>
        <v>0</v>
      </c>
      <c r="PP289" s="89">
        <f t="shared" si="1149"/>
        <v>0</v>
      </c>
      <c r="PQ289" s="89">
        <f t="shared" si="1149"/>
        <v>0</v>
      </c>
      <c r="PR289" s="89">
        <f t="shared" si="1149"/>
        <v>0</v>
      </c>
      <c r="PS289" s="89">
        <f t="shared" si="1149"/>
        <v>0</v>
      </c>
      <c r="PT289" s="89">
        <f t="shared" si="1149"/>
        <v>0</v>
      </c>
      <c r="PU289" s="89">
        <f t="shared" si="1149"/>
        <v>0</v>
      </c>
      <c r="PV289" s="89">
        <f t="shared" si="1149"/>
        <v>0</v>
      </c>
      <c r="PW289" s="89">
        <f t="shared" si="1149"/>
        <v>0</v>
      </c>
      <c r="PX289" s="89">
        <f t="shared" si="1149"/>
        <v>0</v>
      </c>
      <c r="PY289" s="89">
        <f t="shared" si="1149"/>
        <v>0</v>
      </c>
      <c r="PZ289" s="89">
        <f t="shared" si="1149"/>
        <v>0</v>
      </c>
      <c r="QA289" s="89">
        <f t="shared" si="1149"/>
        <v>0</v>
      </c>
      <c r="QB289" s="89">
        <f t="shared" si="1149"/>
        <v>0</v>
      </c>
      <c r="QC289" s="89">
        <f t="shared" si="1149"/>
        <v>0</v>
      </c>
      <c r="QD289" s="89">
        <f t="shared" si="1149"/>
        <v>0</v>
      </c>
      <c r="QE289" s="89">
        <f t="shared" si="1149"/>
        <v>0</v>
      </c>
      <c r="QF289" s="89">
        <f t="shared" si="1149"/>
        <v>0</v>
      </c>
      <c r="QG289" s="89">
        <f t="shared" si="1149"/>
        <v>0</v>
      </c>
      <c r="QH289" s="89">
        <f t="shared" si="1149"/>
        <v>0</v>
      </c>
      <c r="QI289" s="89">
        <f t="shared" si="1149"/>
        <v>0</v>
      </c>
      <c r="QJ289" s="89">
        <f t="shared" si="1149"/>
        <v>0</v>
      </c>
      <c r="QK289" s="89">
        <f t="shared" si="1149"/>
        <v>0</v>
      </c>
      <c r="QL289" s="89">
        <f t="shared" si="1149"/>
        <v>0</v>
      </c>
      <c r="QM289" s="89">
        <f t="shared" si="1149"/>
        <v>0</v>
      </c>
      <c r="QN289" s="89">
        <f t="shared" si="1149"/>
        <v>0</v>
      </c>
      <c r="QO289" s="89">
        <f t="shared" si="1149"/>
        <v>0</v>
      </c>
      <c r="QP289" s="89">
        <f t="shared" si="1149"/>
        <v>0</v>
      </c>
      <c r="QQ289" s="89">
        <f t="shared" si="1149"/>
        <v>0</v>
      </c>
      <c r="QR289" s="89">
        <f t="shared" ref="QR289:TC289" si="1150">QR288+QQ289</f>
        <v>0</v>
      </c>
      <c r="QS289" s="89">
        <f t="shared" si="1150"/>
        <v>0</v>
      </c>
      <c r="QT289" s="89">
        <f t="shared" si="1150"/>
        <v>0</v>
      </c>
      <c r="QU289" s="89">
        <f t="shared" si="1150"/>
        <v>0</v>
      </c>
      <c r="QV289" s="89">
        <f t="shared" si="1150"/>
        <v>0</v>
      </c>
      <c r="QW289" s="89">
        <f t="shared" si="1150"/>
        <v>0</v>
      </c>
      <c r="QX289" s="89">
        <f t="shared" si="1150"/>
        <v>0</v>
      </c>
      <c r="QY289" s="89">
        <f t="shared" si="1150"/>
        <v>0</v>
      </c>
      <c r="QZ289" s="89">
        <f t="shared" si="1150"/>
        <v>0</v>
      </c>
      <c r="RA289" s="89">
        <f t="shared" si="1150"/>
        <v>0</v>
      </c>
      <c r="RB289" s="89">
        <f t="shared" si="1150"/>
        <v>0</v>
      </c>
      <c r="RC289" s="89">
        <f t="shared" si="1150"/>
        <v>0</v>
      </c>
      <c r="RD289" s="89">
        <f t="shared" si="1150"/>
        <v>0</v>
      </c>
      <c r="RE289" s="89">
        <f t="shared" si="1150"/>
        <v>0</v>
      </c>
      <c r="RF289" s="89">
        <f t="shared" si="1150"/>
        <v>0</v>
      </c>
      <c r="RG289" s="89">
        <f t="shared" si="1150"/>
        <v>0</v>
      </c>
      <c r="RH289" s="89">
        <f t="shared" si="1150"/>
        <v>0</v>
      </c>
      <c r="RI289" s="89">
        <f t="shared" si="1150"/>
        <v>0</v>
      </c>
      <c r="RJ289" s="89">
        <f t="shared" si="1150"/>
        <v>0</v>
      </c>
      <c r="RK289" s="89">
        <f t="shared" si="1150"/>
        <v>0</v>
      </c>
      <c r="RL289" s="89">
        <f t="shared" si="1150"/>
        <v>0</v>
      </c>
      <c r="RM289" s="89">
        <f t="shared" si="1150"/>
        <v>0</v>
      </c>
      <c r="RN289" s="89">
        <f t="shared" si="1150"/>
        <v>0</v>
      </c>
      <c r="RO289" s="89">
        <f t="shared" si="1150"/>
        <v>0</v>
      </c>
      <c r="RP289" s="89">
        <f t="shared" si="1150"/>
        <v>0</v>
      </c>
      <c r="RQ289" s="89">
        <f t="shared" si="1150"/>
        <v>0</v>
      </c>
      <c r="RR289" s="89">
        <f t="shared" si="1150"/>
        <v>0</v>
      </c>
      <c r="RS289" s="89">
        <f t="shared" si="1150"/>
        <v>0</v>
      </c>
      <c r="RT289" s="89">
        <f t="shared" si="1150"/>
        <v>0</v>
      </c>
      <c r="RU289" s="89">
        <f t="shared" si="1150"/>
        <v>0</v>
      </c>
      <c r="RV289" s="89">
        <f t="shared" si="1150"/>
        <v>0</v>
      </c>
      <c r="RW289" s="89">
        <f t="shared" si="1150"/>
        <v>0</v>
      </c>
      <c r="RX289" s="89">
        <f t="shared" si="1150"/>
        <v>0</v>
      </c>
      <c r="RY289" s="89">
        <f t="shared" si="1150"/>
        <v>0</v>
      </c>
      <c r="RZ289" s="89">
        <f t="shared" si="1150"/>
        <v>0</v>
      </c>
      <c r="SA289" s="89">
        <f t="shared" si="1150"/>
        <v>0</v>
      </c>
      <c r="SB289" s="89">
        <f t="shared" si="1150"/>
        <v>0</v>
      </c>
      <c r="SC289" s="89">
        <f t="shared" si="1150"/>
        <v>0</v>
      </c>
      <c r="SD289" s="89">
        <f t="shared" si="1150"/>
        <v>0</v>
      </c>
      <c r="SE289" s="89">
        <f t="shared" si="1150"/>
        <v>0</v>
      </c>
      <c r="SF289" s="89">
        <f t="shared" si="1150"/>
        <v>0</v>
      </c>
      <c r="SG289" s="89">
        <f t="shared" si="1150"/>
        <v>0</v>
      </c>
      <c r="SH289" s="89">
        <f t="shared" si="1150"/>
        <v>0</v>
      </c>
      <c r="SI289" s="89">
        <f t="shared" si="1150"/>
        <v>0</v>
      </c>
      <c r="SJ289" s="89">
        <f t="shared" si="1150"/>
        <v>0</v>
      </c>
      <c r="SK289" s="89">
        <f t="shared" si="1150"/>
        <v>0</v>
      </c>
      <c r="SL289" s="89">
        <f t="shared" si="1150"/>
        <v>0</v>
      </c>
      <c r="SM289" s="89">
        <f t="shared" si="1150"/>
        <v>0</v>
      </c>
      <c r="SN289" s="89">
        <f t="shared" si="1150"/>
        <v>0</v>
      </c>
      <c r="SO289" s="89">
        <f t="shared" si="1150"/>
        <v>0</v>
      </c>
      <c r="SP289" s="89">
        <f t="shared" si="1150"/>
        <v>0</v>
      </c>
      <c r="SQ289" s="89">
        <f t="shared" si="1150"/>
        <v>0</v>
      </c>
      <c r="SR289" s="89">
        <f t="shared" si="1150"/>
        <v>0</v>
      </c>
      <c r="SS289" s="89">
        <f t="shared" si="1150"/>
        <v>0</v>
      </c>
      <c r="ST289" s="89">
        <f t="shared" si="1150"/>
        <v>0</v>
      </c>
      <c r="SU289" s="89">
        <f t="shared" si="1150"/>
        <v>0</v>
      </c>
      <c r="SV289" s="89">
        <f t="shared" si="1150"/>
        <v>0</v>
      </c>
      <c r="SW289" s="89">
        <f t="shared" si="1150"/>
        <v>0</v>
      </c>
      <c r="SX289" s="89">
        <f t="shared" si="1150"/>
        <v>0</v>
      </c>
      <c r="SY289" s="89">
        <f t="shared" si="1150"/>
        <v>0</v>
      </c>
      <c r="SZ289" s="89">
        <f t="shared" si="1150"/>
        <v>0</v>
      </c>
      <c r="TA289" s="89">
        <f t="shared" si="1150"/>
        <v>0</v>
      </c>
      <c r="TB289" s="89">
        <f t="shared" si="1150"/>
        <v>0</v>
      </c>
      <c r="TC289" s="89">
        <f t="shared" si="1150"/>
        <v>0</v>
      </c>
      <c r="TD289" s="89">
        <f t="shared" ref="TD289:VO289" si="1151">TD288+TC289</f>
        <v>0</v>
      </c>
      <c r="TE289" s="89">
        <f t="shared" si="1151"/>
        <v>0</v>
      </c>
      <c r="TF289" s="89">
        <f t="shared" si="1151"/>
        <v>0</v>
      </c>
      <c r="TG289" s="89">
        <f t="shared" si="1151"/>
        <v>0</v>
      </c>
      <c r="TH289" s="89">
        <f t="shared" si="1151"/>
        <v>0</v>
      </c>
      <c r="TI289" s="89">
        <f t="shared" si="1151"/>
        <v>0</v>
      </c>
      <c r="TJ289" s="89">
        <f t="shared" si="1151"/>
        <v>0</v>
      </c>
      <c r="TK289" s="89">
        <f t="shared" si="1151"/>
        <v>0</v>
      </c>
      <c r="TL289" s="89">
        <f t="shared" si="1151"/>
        <v>0</v>
      </c>
      <c r="TM289" s="89">
        <f t="shared" si="1151"/>
        <v>0</v>
      </c>
      <c r="TN289" s="89">
        <f t="shared" si="1151"/>
        <v>0</v>
      </c>
      <c r="TO289" s="89">
        <f t="shared" si="1151"/>
        <v>0</v>
      </c>
      <c r="TP289" s="89">
        <f t="shared" si="1151"/>
        <v>0</v>
      </c>
      <c r="TQ289" s="89">
        <f t="shared" si="1151"/>
        <v>0</v>
      </c>
      <c r="TR289" s="89">
        <f t="shared" si="1151"/>
        <v>0</v>
      </c>
      <c r="TS289" s="89">
        <f t="shared" si="1151"/>
        <v>0</v>
      </c>
      <c r="TT289" s="89">
        <f t="shared" si="1151"/>
        <v>0</v>
      </c>
      <c r="TU289" s="89">
        <f t="shared" si="1151"/>
        <v>0</v>
      </c>
      <c r="TV289" s="89">
        <f t="shared" si="1151"/>
        <v>0</v>
      </c>
      <c r="TW289" s="89">
        <f t="shared" si="1151"/>
        <v>0</v>
      </c>
      <c r="TX289" s="89">
        <f t="shared" si="1151"/>
        <v>0</v>
      </c>
      <c r="TY289" s="89">
        <f t="shared" si="1151"/>
        <v>0</v>
      </c>
      <c r="TZ289" s="89">
        <f t="shared" si="1151"/>
        <v>0</v>
      </c>
      <c r="UA289" s="89">
        <f t="shared" si="1151"/>
        <v>0</v>
      </c>
      <c r="UB289" s="89">
        <f t="shared" si="1151"/>
        <v>0</v>
      </c>
      <c r="UC289" s="89">
        <f t="shared" si="1151"/>
        <v>0</v>
      </c>
      <c r="UD289" s="89">
        <f t="shared" si="1151"/>
        <v>0</v>
      </c>
      <c r="UE289" s="89">
        <f t="shared" si="1151"/>
        <v>0</v>
      </c>
      <c r="UF289" s="89">
        <f t="shared" si="1151"/>
        <v>0</v>
      </c>
      <c r="UG289" s="89">
        <f t="shared" si="1151"/>
        <v>0</v>
      </c>
      <c r="UH289" s="89">
        <f t="shared" si="1151"/>
        <v>0</v>
      </c>
      <c r="UI289" s="89">
        <f t="shared" si="1151"/>
        <v>0</v>
      </c>
      <c r="UJ289" s="89">
        <f t="shared" si="1151"/>
        <v>0</v>
      </c>
      <c r="UK289" s="89">
        <f t="shared" si="1151"/>
        <v>0</v>
      </c>
      <c r="UL289" s="89">
        <f t="shared" si="1151"/>
        <v>0</v>
      </c>
      <c r="UM289" s="89">
        <f t="shared" si="1151"/>
        <v>0</v>
      </c>
      <c r="UN289" s="89">
        <f t="shared" si="1151"/>
        <v>0</v>
      </c>
      <c r="UO289" s="89">
        <f t="shared" si="1151"/>
        <v>0</v>
      </c>
      <c r="UP289" s="89">
        <f t="shared" si="1151"/>
        <v>0</v>
      </c>
      <c r="UQ289" s="89">
        <f t="shared" si="1151"/>
        <v>0</v>
      </c>
      <c r="UR289" s="89">
        <f t="shared" si="1151"/>
        <v>0</v>
      </c>
      <c r="US289" s="89">
        <f t="shared" si="1151"/>
        <v>0</v>
      </c>
      <c r="UT289" s="89">
        <f t="shared" si="1151"/>
        <v>0</v>
      </c>
      <c r="UU289" s="89">
        <f t="shared" si="1151"/>
        <v>0</v>
      </c>
      <c r="UV289" s="89">
        <f t="shared" si="1151"/>
        <v>0</v>
      </c>
      <c r="UW289" s="89">
        <f t="shared" si="1151"/>
        <v>0</v>
      </c>
      <c r="UX289" s="89">
        <f t="shared" si="1151"/>
        <v>0</v>
      </c>
      <c r="UY289" s="89">
        <f t="shared" si="1151"/>
        <v>0</v>
      </c>
      <c r="UZ289" s="89">
        <f t="shared" si="1151"/>
        <v>0</v>
      </c>
      <c r="VA289" s="89">
        <f t="shared" si="1151"/>
        <v>0</v>
      </c>
      <c r="VB289" s="89">
        <f t="shared" si="1151"/>
        <v>0</v>
      </c>
      <c r="VC289" s="89">
        <f t="shared" si="1151"/>
        <v>0</v>
      </c>
      <c r="VD289" s="89">
        <f t="shared" si="1151"/>
        <v>0</v>
      </c>
      <c r="VE289" s="89">
        <f t="shared" si="1151"/>
        <v>0</v>
      </c>
      <c r="VF289" s="89">
        <f t="shared" si="1151"/>
        <v>0</v>
      </c>
      <c r="VG289" s="89">
        <f t="shared" si="1151"/>
        <v>0</v>
      </c>
      <c r="VH289" s="89">
        <f t="shared" si="1151"/>
        <v>0</v>
      </c>
      <c r="VI289" s="89">
        <f t="shared" si="1151"/>
        <v>0</v>
      </c>
      <c r="VJ289" s="89">
        <f t="shared" si="1151"/>
        <v>0</v>
      </c>
      <c r="VK289" s="89">
        <f t="shared" si="1151"/>
        <v>0</v>
      </c>
      <c r="VL289" s="89">
        <f t="shared" si="1151"/>
        <v>0</v>
      </c>
      <c r="VM289" s="89">
        <f t="shared" si="1151"/>
        <v>0</v>
      </c>
      <c r="VN289" s="89">
        <f t="shared" si="1151"/>
        <v>0</v>
      </c>
      <c r="VO289" s="89">
        <f t="shared" si="1151"/>
        <v>0</v>
      </c>
      <c r="VP289" s="89">
        <f t="shared" ref="VP289:WF289" si="1152">VP288+VO289</f>
        <v>0</v>
      </c>
      <c r="VQ289" s="89">
        <f t="shared" si="1152"/>
        <v>0</v>
      </c>
      <c r="VR289" s="89">
        <f t="shared" si="1152"/>
        <v>0</v>
      </c>
      <c r="VS289" s="89">
        <f t="shared" si="1152"/>
        <v>0</v>
      </c>
      <c r="VT289" s="89">
        <f t="shared" si="1152"/>
        <v>0</v>
      </c>
      <c r="VU289" s="89">
        <f t="shared" si="1152"/>
        <v>0</v>
      </c>
      <c r="VV289" s="89">
        <f t="shared" si="1152"/>
        <v>0</v>
      </c>
      <c r="VW289" s="89">
        <f t="shared" si="1152"/>
        <v>0</v>
      </c>
      <c r="VX289" s="89">
        <f t="shared" si="1152"/>
        <v>0</v>
      </c>
      <c r="VY289" s="89">
        <f t="shared" si="1152"/>
        <v>0</v>
      </c>
      <c r="VZ289" s="89">
        <f t="shared" si="1152"/>
        <v>0</v>
      </c>
      <c r="WA289" s="89">
        <f t="shared" si="1152"/>
        <v>0</v>
      </c>
      <c r="WB289" s="89">
        <f t="shared" si="1152"/>
        <v>0</v>
      </c>
      <c r="WC289" s="89">
        <f t="shared" si="1152"/>
        <v>0</v>
      </c>
      <c r="WD289" s="89">
        <f t="shared" si="1152"/>
        <v>0</v>
      </c>
      <c r="WE289" s="89">
        <f t="shared" si="1152"/>
        <v>0</v>
      </c>
      <c r="WF289" s="89">
        <f t="shared" si="1152"/>
        <v>0</v>
      </c>
    </row>
    <row r="290" spans="1:604" x14ac:dyDescent="0.3">
      <c r="J290" s="90">
        <f>IF(OR(工程基本資料!$B$7="",工程基本資料!$B$7=0,工程基本資料!$B$8=""),0,MIN(1,MAX(0,(J$1-工程基本資料!$B$8+1)/工程基本資料!$B$7)))</f>
        <v>0</v>
      </c>
      <c r="K290" s="90">
        <f>IF(OR(工程基本資料!$B$7="",工程基本資料!$B$7=0,工程基本資料!$B$8=""),0,MIN(1,MAX(0,(K$1-工程基本資料!$B$8+1)/工程基本資料!$B$7)))</f>
        <v>0</v>
      </c>
      <c r="L290" s="90">
        <f>IF(OR(工程基本資料!$B$7="",工程基本資料!$B$7=0,工程基本資料!$B$8=""),0,MIN(1,MAX(0,(L$1-工程基本資料!$B$8+1)/工程基本資料!$B$7)))</f>
        <v>0</v>
      </c>
      <c r="M290" s="90">
        <f>IF(OR(工程基本資料!$B$7="",工程基本資料!$B$7=0,工程基本資料!$B$8=""),0,MIN(1,MAX(0,(M$1-工程基本資料!$B$8+1)/工程基本資料!$B$7)))</f>
        <v>0</v>
      </c>
      <c r="N290" s="90">
        <f>IF(OR(工程基本資料!$B$7="",工程基本資料!$B$7=0,工程基本資料!$B$8=""),0,MIN(1,MAX(0,(N$1-工程基本資料!$B$8+1)/工程基本資料!$B$7)))</f>
        <v>0</v>
      </c>
      <c r="O290" s="90">
        <f>IF(OR(工程基本資料!$B$7="",工程基本資料!$B$7=0,工程基本資料!$B$8=""),0,MIN(1,MAX(0,(O$1-工程基本資料!$B$8+1)/工程基本資料!$B$7)))</f>
        <v>0</v>
      </c>
      <c r="P290" s="90">
        <f>IF(OR(工程基本資料!$B$7="",工程基本資料!$B$7=0,工程基本資料!$B$8=""),0,MIN(1,MAX(0,(P$1-工程基本資料!$B$8+1)/工程基本資料!$B$7)))</f>
        <v>0</v>
      </c>
      <c r="Q290" s="90">
        <f>IF(OR(工程基本資料!$B$7="",工程基本資料!$B$7=0,工程基本資料!$B$8=""),0,MIN(1,MAX(0,(Q$1-工程基本資料!$B$8+1)/工程基本資料!$B$7)))</f>
        <v>0</v>
      </c>
      <c r="R290" s="90">
        <f>IF(OR(工程基本資料!$B$7="",工程基本資料!$B$7=0,工程基本資料!$B$8=""),0,MIN(1,MAX(0,(R$1-工程基本資料!$B$8+1)/工程基本資料!$B$7)))</f>
        <v>0</v>
      </c>
      <c r="S290" s="90">
        <f>IF(OR(工程基本資料!$B$7="",工程基本資料!$B$7=0,工程基本資料!$B$8=""),0,MIN(1,MAX(0,(S$1-工程基本資料!$B$8+1)/工程基本資料!$B$7)))</f>
        <v>0</v>
      </c>
      <c r="T290" s="90">
        <f>IF(OR(工程基本資料!$B$7="",工程基本資料!$B$7=0,工程基本資料!$B$8=""),0,MIN(1,MAX(0,(T$1-工程基本資料!$B$8+1)/工程基本資料!$B$7)))</f>
        <v>0</v>
      </c>
      <c r="U290" s="90">
        <f>IF(OR(工程基本資料!$B$7="",工程基本資料!$B$7=0,工程基本資料!$B$8=""),0,MIN(1,MAX(0,(U$1-工程基本資料!$B$8+1)/工程基本資料!$B$7)))</f>
        <v>0</v>
      </c>
      <c r="V290" s="90">
        <f>IF(OR(工程基本資料!$B$7="",工程基本資料!$B$7=0,工程基本資料!$B$8=""),0,MIN(1,MAX(0,(V$1-工程基本資料!$B$8+1)/工程基本資料!$B$7)))</f>
        <v>0</v>
      </c>
      <c r="W290" s="90">
        <f>IF(OR(工程基本資料!$B$7="",工程基本資料!$B$7=0,工程基本資料!$B$8=""),0,MIN(1,MAX(0,(W$1-工程基本資料!$B$8+1)/工程基本資料!$B$7)))</f>
        <v>0</v>
      </c>
      <c r="X290" s="90">
        <f>IF(OR(工程基本資料!$B$7="",工程基本資料!$B$7=0,工程基本資料!$B$8=""),0,MIN(1,MAX(0,(X$1-工程基本資料!$B$8+1)/工程基本資料!$B$7)))</f>
        <v>0</v>
      </c>
      <c r="Y290" s="90">
        <f>IF(OR(工程基本資料!$B$7="",工程基本資料!$B$7=0,工程基本資料!$B$8=""),0,MIN(1,MAX(0,(Y$1-工程基本資料!$B$8+1)/工程基本資料!$B$7)))</f>
        <v>0</v>
      </c>
      <c r="Z290" s="90">
        <f>IF(OR(工程基本資料!$B$7="",工程基本資料!$B$7=0,工程基本資料!$B$8=""),0,MIN(1,MAX(0,(Z$1-工程基本資料!$B$8+1)/工程基本資料!$B$7)))</f>
        <v>0</v>
      </c>
      <c r="AA290" s="90">
        <f>IF(OR(工程基本資料!$B$7="",工程基本資料!$B$7=0,工程基本資料!$B$8=""),0,MIN(1,MAX(0,(AA$1-工程基本資料!$B$8+1)/工程基本資料!$B$7)))</f>
        <v>0</v>
      </c>
      <c r="AB290" s="90">
        <f>IF(OR(工程基本資料!$B$7="",工程基本資料!$B$7=0,工程基本資料!$B$8=""),0,MIN(1,MAX(0,(AB$1-工程基本資料!$B$8+1)/工程基本資料!$B$7)))</f>
        <v>0</v>
      </c>
      <c r="AC290" s="90">
        <f>IF(OR(工程基本資料!$B$7="",工程基本資料!$B$7=0,工程基本資料!$B$8=""),0,MIN(1,MAX(0,(AC$1-工程基本資料!$B$8+1)/工程基本資料!$B$7)))</f>
        <v>0</v>
      </c>
      <c r="AD290" s="90">
        <f>IF(OR(工程基本資料!$B$7="",工程基本資料!$B$7=0,工程基本資料!$B$8=""),0,MIN(1,MAX(0,(AD$1-工程基本資料!$B$8+1)/工程基本資料!$B$7)))</f>
        <v>0</v>
      </c>
      <c r="AE290" s="90">
        <f>IF(OR(工程基本資料!$B$7="",工程基本資料!$B$7=0,工程基本資料!$B$8=""),0,MIN(1,MAX(0,(AE$1-工程基本資料!$B$8+1)/工程基本資料!$B$7)))</f>
        <v>0</v>
      </c>
      <c r="AF290" s="90">
        <f>IF(OR(工程基本資料!$B$7="",工程基本資料!$B$7=0,工程基本資料!$B$8=""),0,MIN(1,MAX(0,(AF$1-工程基本資料!$B$8+1)/工程基本資料!$B$7)))</f>
        <v>0</v>
      </c>
      <c r="AG290" s="90">
        <f>IF(OR(工程基本資料!$B$7="",工程基本資料!$B$7=0,工程基本資料!$B$8=""),0,MIN(1,MAX(0,(AG$1-工程基本資料!$B$8+1)/工程基本資料!$B$7)))</f>
        <v>0</v>
      </c>
      <c r="AH290" s="90">
        <f>IF(OR(工程基本資料!$B$7="",工程基本資料!$B$7=0,工程基本資料!$B$8=""),0,MIN(1,MAX(0,(AH$1-工程基本資料!$B$8+1)/工程基本資料!$B$7)))</f>
        <v>0</v>
      </c>
      <c r="AI290" s="90">
        <f>IF(OR(工程基本資料!$B$7="",工程基本資料!$B$7=0,工程基本資料!$B$8=""),0,MIN(1,MAX(0,(AI$1-工程基本資料!$B$8+1)/工程基本資料!$B$7)))</f>
        <v>0</v>
      </c>
      <c r="AJ290" s="90">
        <f>IF(OR(工程基本資料!$B$7="",工程基本資料!$B$7=0,工程基本資料!$B$8=""),0,MIN(1,MAX(0,(AJ$1-工程基本資料!$B$8+1)/工程基本資料!$B$7)))</f>
        <v>0</v>
      </c>
      <c r="AK290" s="90">
        <f>IF(OR(工程基本資料!$B$7="",工程基本資料!$B$7=0,工程基本資料!$B$8=""),0,MIN(1,MAX(0,(AK$1-工程基本資料!$B$8+1)/工程基本資料!$B$7)))</f>
        <v>0</v>
      </c>
      <c r="AL290" s="90">
        <f>IF(OR(工程基本資料!$B$7="",工程基本資料!$B$7=0,工程基本資料!$B$8=""),0,MIN(1,MAX(0,(AL$1-工程基本資料!$B$8+1)/工程基本資料!$B$7)))</f>
        <v>0</v>
      </c>
      <c r="AM290" s="90">
        <f>IF(OR(工程基本資料!$B$7="",工程基本資料!$B$7=0,工程基本資料!$B$8=""),0,MIN(1,MAX(0,(AM$1-工程基本資料!$B$8+1)/工程基本資料!$B$7)))</f>
        <v>0</v>
      </c>
      <c r="AN290" s="90">
        <f>IF(OR(工程基本資料!$B$7="",工程基本資料!$B$7=0,工程基本資料!$B$8=""),0,MIN(1,MAX(0,(AN$1-工程基本資料!$B$8+1)/工程基本資料!$B$7)))</f>
        <v>0</v>
      </c>
      <c r="AO290" s="90">
        <f>IF(OR(工程基本資料!$B$7="",工程基本資料!$B$7=0,工程基本資料!$B$8=""),0,MIN(1,MAX(0,(AO$1-工程基本資料!$B$8+1)/工程基本資料!$B$7)))</f>
        <v>0</v>
      </c>
      <c r="AP290" s="90">
        <f>IF(OR(工程基本資料!$B$7="",工程基本資料!$B$7=0,工程基本資料!$B$8=""),0,MIN(1,MAX(0,(AP$1-工程基本資料!$B$8+1)/工程基本資料!$B$7)))</f>
        <v>0</v>
      </c>
      <c r="AQ290" s="90">
        <f>IF(OR(工程基本資料!$B$7="",工程基本資料!$B$7=0,工程基本資料!$B$8=""),0,MIN(1,MAX(0,(AQ$1-工程基本資料!$B$8+1)/工程基本資料!$B$7)))</f>
        <v>0</v>
      </c>
      <c r="AR290" s="90">
        <f>IF(OR(工程基本資料!$B$7="",工程基本資料!$B$7=0,工程基本資料!$B$8=""),0,MIN(1,MAX(0,(AR$1-工程基本資料!$B$8+1)/工程基本資料!$B$7)))</f>
        <v>0</v>
      </c>
      <c r="AS290" s="90">
        <f>IF(OR(工程基本資料!$B$7="",工程基本資料!$B$7=0,工程基本資料!$B$8=""),0,MIN(1,MAX(0,(AS$1-工程基本資料!$B$8+1)/工程基本資料!$B$7)))</f>
        <v>0</v>
      </c>
      <c r="AT290" s="90">
        <f>IF(OR(工程基本資料!$B$7="",工程基本資料!$B$7=0,工程基本資料!$B$8=""),0,MIN(1,MAX(0,(AT$1-工程基本資料!$B$8+1)/工程基本資料!$B$7)))</f>
        <v>0</v>
      </c>
      <c r="AU290" s="90">
        <f>IF(OR(工程基本資料!$B$7="",工程基本資料!$B$7=0,工程基本資料!$B$8=""),0,MIN(1,MAX(0,(AU$1-工程基本資料!$B$8+1)/工程基本資料!$B$7)))</f>
        <v>0</v>
      </c>
      <c r="AV290" s="90">
        <f>IF(OR(工程基本資料!$B$7="",工程基本資料!$B$7=0,工程基本資料!$B$8=""),0,MIN(1,MAX(0,(AV$1-工程基本資料!$B$8+1)/工程基本資料!$B$7)))</f>
        <v>0</v>
      </c>
      <c r="AW290" s="90">
        <f>IF(OR(工程基本資料!$B$7="",工程基本資料!$B$7=0,工程基本資料!$B$8=""),0,MIN(1,MAX(0,(AW$1-工程基本資料!$B$8+1)/工程基本資料!$B$7)))</f>
        <v>0</v>
      </c>
      <c r="AX290" s="90">
        <f>IF(OR(工程基本資料!$B$7="",工程基本資料!$B$7=0,工程基本資料!$B$8=""),0,MIN(1,MAX(0,(AX$1-工程基本資料!$B$8+1)/工程基本資料!$B$7)))</f>
        <v>0</v>
      </c>
      <c r="AY290" s="90">
        <f>IF(OR(工程基本資料!$B$7="",工程基本資料!$B$7=0,工程基本資料!$B$8=""),0,MIN(1,MAX(0,(AY$1-工程基本資料!$B$8+1)/工程基本資料!$B$7)))</f>
        <v>0</v>
      </c>
      <c r="AZ290" s="90">
        <f>IF(OR(工程基本資料!$B$7="",工程基本資料!$B$7=0,工程基本資料!$B$8=""),0,MIN(1,MAX(0,(AZ$1-工程基本資料!$B$8+1)/工程基本資料!$B$7)))</f>
        <v>0</v>
      </c>
      <c r="BA290" s="90">
        <f>IF(OR(工程基本資料!$B$7="",工程基本資料!$B$7=0,工程基本資料!$B$8=""),0,MIN(1,MAX(0,(BA$1-工程基本資料!$B$8+1)/工程基本資料!$B$7)))</f>
        <v>0</v>
      </c>
      <c r="BB290" s="90">
        <f>IF(OR(工程基本資料!$B$7="",工程基本資料!$B$7=0,工程基本資料!$B$8=""),0,MIN(1,MAX(0,(BB$1-工程基本資料!$B$8+1)/工程基本資料!$B$7)))</f>
        <v>0</v>
      </c>
      <c r="BC290" s="90">
        <f>IF(OR(工程基本資料!$B$7="",工程基本資料!$B$7=0,工程基本資料!$B$8=""),0,MIN(1,MAX(0,(BC$1-工程基本資料!$B$8+1)/工程基本資料!$B$7)))</f>
        <v>0</v>
      </c>
      <c r="BD290" s="90">
        <f>IF(OR(工程基本資料!$B$7="",工程基本資料!$B$7=0,工程基本資料!$B$8=""),0,MIN(1,MAX(0,(BD$1-工程基本資料!$B$8+1)/工程基本資料!$B$7)))</f>
        <v>0</v>
      </c>
      <c r="BE290" s="90">
        <f>IF(OR(工程基本資料!$B$7="",工程基本資料!$B$7=0,工程基本資料!$B$8=""),0,MIN(1,MAX(0,(BE$1-工程基本資料!$B$8+1)/工程基本資料!$B$7)))</f>
        <v>0</v>
      </c>
      <c r="BF290" s="90">
        <f>IF(OR(工程基本資料!$B$7="",工程基本資料!$B$7=0,工程基本資料!$B$8=""),0,MIN(1,MAX(0,(BF$1-工程基本資料!$B$8+1)/工程基本資料!$B$7)))</f>
        <v>0</v>
      </c>
      <c r="BG290" s="90">
        <f>IF(OR(工程基本資料!$B$7="",工程基本資料!$B$7=0,工程基本資料!$B$8=""),0,MIN(1,MAX(0,(BG$1-工程基本資料!$B$8+1)/工程基本資料!$B$7)))</f>
        <v>0</v>
      </c>
      <c r="BH290" s="90">
        <f>IF(OR(工程基本資料!$B$7="",工程基本資料!$B$7=0,工程基本資料!$B$8=""),0,MIN(1,MAX(0,(BH$1-工程基本資料!$B$8+1)/工程基本資料!$B$7)))</f>
        <v>0</v>
      </c>
      <c r="BI290" s="90">
        <f>IF(OR(工程基本資料!$B$7="",工程基本資料!$B$7=0,工程基本資料!$B$8=""),0,MIN(1,MAX(0,(BI$1-工程基本資料!$B$8+1)/工程基本資料!$B$7)))</f>
        <v>0</v>
      </c>
      <c r="BJ290" s="90">
        <f>IF(OR(工程基本資料!$B$7="",工程基本資料!$B$7=0,工程基本資料!$B$8=""),0,MIN(1,MAX(0,(BJ$1-工程基本資料!$B$8+1)/工程基本資料!$B$7)))</f>
        <v>0</v>
      </c>
      <c r="BK290" s="90">
        <f>IF(OR(工程基本資料!$B$7="",工程基本資料!$B$7=0,工程基本資料!$B$8=""),0,MIN(1,MAX(0,(BK$1-工程基本資料!$B$8+1)/工程基本資料!$B$7)))</f>
        <v>0</v>
      </c>
      <c r="BL290" s="90">
        <f>IF(OR(工程基本資料!$B$7="",工程基本資料!$B$7=0,工程基本資料!$B$8=""),0,MIN(1,MAX(0,(BL$1-工程基本資料!$B$8+1)/工程基本資料!$B$7)))</f>
        <v>0</v>
      </c>
      <c r="BM290" s="90">
        <f>IF(OR(工程基本資料!$B$7="",工程基本資料!$B$7=0,工程基本資料!$B$8=""),0,MIN(1,MAX(0,(BM$1-工程基本資料!$B$8+1)/工程基本資料!$B$7)))</f>
        <v>0</v>
      </c>
      <c r="BN290" s="90">
        <f>IF(OR(工程基本資料!$B$7="",工程基本資料!$B$7=0,工程基本資料!$B$8=""),0,MIN(1,MAX(0,(BN$1-工程基本資料!$B$8+1)/工程基本資料!$B$7)))</f>
        <v>0</v>
      </c>
      <c r="BO290" s="90">
        <f>IF(OR(工程基本資料!$B$7="",工程基本資料!$B$7=0,工程基本資料!$B$8=""),0,MIN(1,MAX(0,(BO$1-工程基本資料!$B$8+1)/工程基本資料!$B$7)))</f>
        <v>0</v>
      </c>
      <c r="BP290" s="90">
        <f>IF(OR(工程基本資料!$B$7="",工程基本資料!$B$7=0,工程基本資料!$B$8=""),0,MIN(1,MAX(0,(BP$1-工程基本資料!$B$8+1)/工程基本資料!$B$7)))</f>
        <v>0</v>
      </c>
      <c r="BQ290" s="90">
        <f>IF(OR(工程基本資料!$B$7="",工程基本資料!$B$7=0,工程基本資料!$B$8=""),0,MIN(1,MAX(0,(BQ$1-工程基本資料!$B$8+1)/工程基本資料!$B$7)))</f>
        <v>0</v>
      </c>
      <c r="BR290" s="90">
        <f>IF(OR(工程基本資料!$B$7="",工程基本資料!$B$7=0,工程基本資料!$B$8=""),0,MIN(1,MAX(0,(BR$1-工程基本資料!$B$8+1)/工程基本資料!$B$7)))</f>
        <v>0</v>
      </c>
      <c r="BS290" s="90">
        <f>IF(OR(工程基本資料!$B$7="",工程基本資料!$B$7=0,工程基本資料!$B$8=""),0,MIN(1,MAX(0,(BS$1-工程基本資料!$B$8+1)/工程基本資料!$B$7)))</f>
        <v>0</v>
      </c>
      <c r="BT290" s="90">
        <f>IF(OR(工程基本資料!$B$7="",工程基本資料!$B$7=0,工程基本資料!$B$8=""),0,MIN(1,MAX(0,(BT$1-工程基本資料!$B$8+1)/工程基本資料!$B$7)))</f>
        <v>0</v>
      </c>
      <c r="BU290" s="90">
        <f>IF(OR(工程基本資料!$B$7="",工程基本資料!$B$7=0,工程基本資料!$B$8=""),0,MIN(1,MAX(0,(BU$1-工程基本資料!$B$8+1)/工程基本資料!$B$7)))</f>
        <v>0</v>
      </c>
      <c r="BV290" s="90">
        <f>IF(OR(工程基本資料!$B$7="",工程基本資料!$B$7=0,工程基本資料!$B$8=""),0,MIN(1,MAX(0,(BV$1-工程基本資料!$B$8+1)/工程基本資料!$B$7)))</f>
        <v>0</v>
      </c>
      <c r="BW290" s="90">
        <f>IF(OR(工程基本資料!$B$7="",工程基本資料!$B$7=0,工程基本資料!$B$8=""),0,MIN(1,MAX(0,(BW$1-工程基本資料!$B$8+1)/工程基本資料!$B$7)))</f>
        <v>0</v>
      </c>
      <c r="BX290" s="90">
        <f>IF(OR(工程基本資料!$B$7="",工程基本資料!$B$7=0,工程基本資料!$B$8=""),0,MIN(1,MAX(0,(BX$1-工程基本資料!$B$8+1)/工程基本資料!$B$7)))</f>
        <v>0</v>
      </c>
      <c r="BY290" s="90">
        <f>IF(OR(工程基本資料!$B$7="",工程基本資料!$B$7=0,工程基本資料!$B$8=""),0,MIN(1,MAX(0,(BY$1-工程基本資料!$B$8+1)/工程基本資料!$B$7)))</f>
        <v>0</v>
      </c>
      <c r="BZ290" s="90">
        <f>IF(OR(工程基本資料!$B$7="",工程基本資料!$B$7=0,工程基本資料!$B$8=""),0,MIN(1,MAX(0,(BZ$1-工程基本資料!$B$8+1)/工程基本資料!$B$7)))</f>
        <v>0</v>
      </c>
      <c r="CA290" s="90">
        <f>IF(OR(工程基本資料!$B$7="",工程基本資料!$B$7=0,工程基本資料!$B$8=""),0,MIN(1,MAX(0,(CA$1-工程基本資料!$B$8+1)/工程基本資料!$B$7)))</f>
        <v>0</v>
      </c>
      <c r="CB290" s="90">
        <f>IF(OR(工程基本資料!$B$7="",工程基本資料!$B$7=0,工程基本資料!$B$8=""),0,MIN(1,MAX(0,(CB$1-工程基本資料!$B$8+1)/工程基本資料!$B$7)))</f>
        <v>0</v>
      </c>
      <c r="CC290" s="90">
        <f>IF(OR(工程基本資料!$B$7="",工程基本資料!$B$7=0,工程基本資料!$B$8=""),0,MIN(1,MAX(0,(CC$1-工程基本資料!$B$8+1)/工程基本資料!$B$7)))</f>
        <v>0</v>
      </c>
      <c r="CD290" s="90">
        <f>IF(OR(工程基本資料!$B$7="",工程基本資料!$B$7=0,工程基本資料!$B$8=""),0,MIN(1,MAX(0,(CD$1-工程基本資料!$B$8+1)/工程基本資料!$B$7)))</f>
        <v>0</v>
      </c>
      <c r="CE290" s="90">
        <f>IF(OR(工程基本資料!$B$7="",工程基本資料!$B$7=0,工程基本資料!$B$8=""),0,MIN(1,MAX(0,(CE$1-工程基本資料!$B$8+1)/工程基本資料!$B$7)))</f>
        <v>0</v>
      </c>
      <c r="CF290" s="90">
        <f>IF(OR(工程基本資料!$B$7="",工程基本資料!$B$7=0,工程基本資料!$B$8=""),0,MIN(1,MAX(0,(CF$1-工程基本資料!$B$8+1)/工程基本資料!$B$7)))</f>
        <v>0</v>
      </c>
      <c r="CG290" s="90">
        <f>IF(OR(工程基本資料!$B$7="",工程基本資料!$B$7=0,工程基本資料!$B$8=""),0,MIN(1,MAX(0,(CG$1-工程基本資料!$B$8+1)/工程基本資料!$B$7)))</f>
        <v>0</v>
      </c>
      <c r="CH290" s="90">
        <f>IF(OR(工程基本資料!$B$7="",工程基本資料!$B$7=0,工程基本資料!$B$8=""),0,MIN(1,MAX(0,(CH$1-工程基本資料!$B$8+1)/工程基本資料!$B$7)))</f>
        <v>0</v>
      </c>
      <c r="CI290" s="90">
        <f>IF(OR(工程基本資料!$B$7="",工程基本資料!$B$7=0,工程基本資料!$B$8=""),0,MIN(1,MAX(0,(CI$1-工程基本資料!$B$8+1)/工程基本資料!$B$7)))</f>
        <v>0</v>
      </c>
      <c r="CJ290" s="90">
        <f>IF(OR(工程基本資料!$B$7="",工程基本資料!$B$7=0,工程基本資料!$B$8=""),0,MIN(1,MAX(0,(CJ$1-工程基本資料!$B$8+1)/工程基本資料!$B$7)))</f>
        <v>0</v>
      </c>
      <c r="CK290" s="90">
        <f>IF(OR(工程基本資料!$B$7="",工程基本資料!$B$7=0,工程基本資料!$B$8=""),0,MIN(1,MAX(0,(CK$1-工程基本資料!$B$8+1)/工程基本資料!$B$7)))</f>
        <v>0</v>
      </c>
      <c r="CL290" s="90">
        <f>IF(OR(工程基本資料!$B$7="",工程基本資料!$B$7=0,工程基本資料!$B$8=""),0,MIN(1,MAX(0,(CL$1-工程基本資料!$B$8+1)/工程基本資料!$B$7)))</f>
        <v>0</v>
      </c>
      <c r="CM290" s="90">
        <f>IF(OR(工程基本資料!$B$7="",工程基本資料!$B$7=0,工程基本資料!$B$8=""),0,MIN(1,MAX(0,(CM$1-工程基本資料!$B$8+1)/工程基本資料!$B$7)))</f>
        <v>0</v>
      </c>
      <c r="CN290" s="90">
        <f>IF(OR(工程基本資料!$B$7="",工程基本資料!$B$7=0,工程基本資料!$B$8=""),0,MIN(1,MAX(0,(CN$1-工程基本資料!$B$8+1)/工程基本資料!$B$7)))</f>
        <v>0</v>
      </c>
      <c r="CO290" s="90">
        <f>IF(OR(工程基本資料!$B$7="",工程基本資料!$B$7=0,工程基本資料!$B$8=""),0,MIN(1,MAX(0,(CO$1-工程基本資料!$B$8+1)/工程基本資料!$B$7)))</f>
        <v>0</v>
      </c>
      <c r="CP290" s="90">
        <f>IF(OR(工程基本資料!$B$7="",工程基本資料!$B$7=0,工程基本資料!$B$8=""),0,MIN(1,MAX(0,(CP$1-工程基本資料!$B$8+1)/工程基本資料!$B$7)))</f>
        <v>0</v>
      </c>
      <c r="CQ290" s="90">
        <f>IF(OR(工程基本資料!$B$7="",工程基本資料!$B$7=0,工程基本資料!$B$8=""),0,MIN(1,MAX(0,(CQ$1-工程基本資料!$B$8+1)/工程基本資料!$B$7)))</f>
        <v>0</v>
      </c>
      <c r="CR290" s="90">
        <f>IF(OR(工程基本資料!$B$7="",工程基本資料!$B$7=0,工程基本資料!$B$8=""),0,MIN(1,MAX(0,(CR$1-工程基本資料!$B$8+1)/工程基本資料!$B$7)))</f>
        <v>0</v>
      </c>
      <c r="CS290" s="90">
        <f>IF(OR(工程基本資料!$B$7="",工程基本資料!$B$7=0,工程基本資料!$B$8=""),0,MIN(1,MAX(0,(CS$1-工程基本資料!$B$8+1)/工程基本資料!$B$7)))</f>
        <v>0</v>
      </c>
      <c r="CT290" s="90">
        <f>IF(OR(工程基本資料!$B$7="",工程基本資料!$B$7=0,工程基本資料!$B$8=""),0,MIN(1,MAX(0,(CT$1-工程基本資料!$B$8+1)/工程基本資料!$B$7)))</f>
        <v>0</v>
      </c>
      <c r="CU290" s="90">
        <f>IF(OR(工程基本資料!$B$7="",工程基本資料!$B$7=0,工程基本資料!$B$8=""),0,MIN(1,MAX(0,(CU$1-工程基本資料!$B$8+1)/工程基本資料!$B$7)))</f>
        <v>0</v>
      </c>
      <c r="CV290" s="90">
        <f>IF(OR(工程基本資料!$B$7="",工程基本資料!$B$7=0,工程基本資料!$B$8=""),0,MIN(1,MAX(0,(CV$1-工程基本資料!$B$8+1)/工程基本資料!$B$7)))</f>
        <v>0</v>
      </c>
      <c r="CW290" s="90">
        <f>IF(OR(工程基本資料!$B$7="",工程基本資料!$B$7=0,工程基本資料!$B$8=""),0,MIN(1,MAX(0,(CW$1-工程基本資料!$B$8+1)/工程基本資料!$B$7)))</f>
        <v>0</v>
      </c>
      <c r="CX290" s="90">
        <f>IF(OR(工程基本資料!$B$7="",工程基本資料!$B$7=0,工程基本資料!$B$8=""),0,MIN(1,MAX(0,(CX$1-工程基本資料!$B$8+1)/工程基本資料!$B$7)))</f>
        <v>0</v>
      </c>
      <c r="CY290" s="90">
        <f>IF(OR(工程基本資料!$B$7="",工程基本資料!$B$7=0,工程基本資料!$B$8=""),0,MIN(1,MAX(0,(CY$1-工程基本資料!$B$8+1)/工程基本資料!$B$7)))</f>
        <v>0</v>
      </c>
      <c r="CZ290" s="90">
        <f>IF(OR(工程基本資料!$B$7="",工程基本資料!$B$7=0,工程基本資料!$B$8=""),0,MIN(1,MAX(0,(CZ$1-工程基本資料!$B$8+1)/工程基本資料!$B$7)))</f>
        <v>0</v>
      </c>
      <c r="DA290" s="90">
        <f>IF(OR(工程基本資料!$B$7="",工程基本資料!$B$7=0,工程基本資料!$B$8=""),0,MIN(1,MAX(0,(DA$1-工程基本資料!$B$8+1)/工程基本資料!$B$7)))</f>
        <v>0</v>
      </c>
      <c r="DB290" s="90">
        <f>IF(OR(工程基本資料!$B$7="",工程基本資料!$B$7=0,工程基本資料!$B$8=""),0,MIN(1,MAX(0,(DB$1-工程基本資料!$B$8+1)/工程基本資料!$B$7)))</f>
        <v>0</v>
      </c>
      <c r="DC290" s="90">
        <f>IF(OR(工程基本資料!$B$7="",工程基本資料!$B$7=0,工程基本資料!$B$8=""),0,MIN(1,MAX(0,(DC$1-工程基本資料!$B$8+1)/工程基本資料!$B$7)))</f>
        <v>0</v>
      </c>
      <c r="DD290" s="90">
        <f>IF(OR(工程基本資料!$B$7="",工程基本資料!$B$7=0,工程基本資料!$B$8=""),0,MIN(1,MAX(0,(DD$1-工程基本資料!$B$8+1)/工程基本資料!$B$7)))</f>
        <v>0</v>
      </c>
      <c r="DE290" s="90">
        <f>IF(OR(工程基本資料!$B$7="",工程基本資料!$B$7=0,工程基本資料!$B$8=""),0,MIN(1,MAX(0,(DE$1-工程基本資料!$B$8+1)/工程基本資料!$B$7)))</f>
        <v>0</v>
      </c>
      <c r="DF290" s="90">
        <f>IF(OR(工程基本資料!$B$7="",工程基本資料!$B$7=0,工程基本資料!$B$8=""),0,MIN(1,MAX(0,(DF$1-工程基本資料!$B$8+1)/工程基本資料!$B$7)))</f>
        <v>0</v>
      </c>
      <c r="DG290" s="90">
        <f>IF(OR(工程基本資料!$B$7="",工程基本資料!$B$7=0,工程基本資料!$B$8=""),0,MIN(1,MAX(0,(DG$1-工程基本資料!$B$8+1)/工程基本資料!$B$7)))</f>
        <v>0</v>
      </c>
      <c r="DH290" s="90">
        <f>IF(OR(工程基本資料!$B$7="",工程基本資料!$B$7=0,工程基本資料!$B$8=""),0,MIN(1,MAX(0,(DH$1-工程基本資料!$B$8+1)/工程基本資料!$B$7)))</f>
        <v>0</v>
      </c>
      <c r="DI290" s="90">
        <f>IF(OR(工程基本資料!$B$7="",工程基本資料!$B$7=0,工程基本資料!$B$8=""),0,MIN(1,MAX(0,(DI$1-工程基本資料!$B$8+1)/工程基本資料!$B$7)))</f>
        <v>0</v>
      </c>
      <c r="DJ290" s="90">
        <f>IF(OR(工程基本資料!$B$7="",工程基本資料!$B$7=0,工程基本資料!$B$8=""),0,MIN(1,MAX(0,(DJ$1-工程基本資料!$B$8+1)/工程基本資料!$B$7)))</f>
        <v>0</v>
      </c>
      <c r="DK290" s="90">
        <f>IF(OR(工程基本資料!$B$7="",工程基本資料!$B$7=0,工程基本資料!$B$8=""),0,MIN(1,MAX(0,(DK$1-工程基本資料!$B$8+1)/工程基本資料!$B$7)))</f>
        <v>0</v>
      </c>
      <c r="DL290" s="90">
        <f>IF(OR(工程基本資料!$B$7="",工程基本資料!$B$7=0,工程基本資料!$B$8=""),0,MIN(1,MAX(0,(DL$1-工程基本資料!$B$8+1)/工程基本資料!$B$7)))</f>
        <v>0</v>
      </c>
      <c r="DM290" s="90">
        <f>IF(OR(工程基本資料!$B$7="",工程基本資料!$B$7=0,工程基本資料!$B$8=""),0,MIN(1,MAX(0,(DM$1-工程基本資料!$B$8+1)/工程基本資料!$B$7)))</f>
        <v>0</v>
      </c>
      <c r="DN290" s="90">
        <f>IF(OR(工程基本資料!$B$7="",工程基本資料!$B$7=0,工程基本資料!$B$8=""),0,MIN(1,MAX(0,(DN$1-工程基本資料!$B$8+1)/工程基本資料!$B$7)))</f>
        <v>0</v>
      </c>
      <c r="DO290" s="90">
        <f>IF(OR(工程基本資料!$B$7="",工程基本資料!$B$7=0,工程基本資料!$B$8=""),0,MIN(1,MAX(0,(DO$1-工程基本資料!$B$8+1)/工程基本資料!$B$7)))</f>
        <v>0</v>
      </c>
      <c r="DP290" s="90">
        <f>IF(OR(工程基本資料!$B$7="",工程基本資料!$B$7=0,工程基本資料!$B$8=""),0,MIN(1,MAX(0,(DP$1-工程基本資料!$B$8+1)/工程基本資料!$B$7)))</f>
        <v>0</v>
      </c>
      <c r="DQ290" s="90">
        <f>IF(OR(工程基本資料!$B$7="",工程基本資料!$B$7=0,工程基本資料!$B$8=""),0,MIN(1,MAX(0,(DQ$1-工程基本資料!$B$8+1)/工程基本資料!$B$7)))</f>
        <v>0</v>
      </c>
      <c r="DR290" s="90">
        <f>IF(OR(工程基本資料!$B$7="",工程基本資料!$B$7=0,工程基本資料!$B$8=""),0,MIN(1,MAX(0,(DR$1-工程基本資料!$B$8+1)/工程基本資料!$B$7)))</f>
        <v>0</v>
      </c>
      <c r="DS290" s="90">
        <f>IF(OR(工程基本資料!$B$7="",工程基本資料!$B$7=0,工程基本資料!$B$8=""),0,MIN(1,MAX(0,(DS$1-工程基本資料!$B$8+1)/工程基本資料!$B$7)))</f>
        <v>0</v>
      </c>
      <c r="DT290" s="90">
        <f>IF(OR(工程基本資料!$B$7="",工程基本資料!$B$7=0,工程基本資料!$B$8=""),0,MIN(1,MAX(0,(DT$1-工程基本資料!$B$8+1)/工程基本資料!$B$7)))</f>
        <v>0</v>
      </c>
      <c r="DU290" s="90">
        <f>IF(OR(工程基本資料!$B$7="",工程基本資料!$B$7=0,工程基本資料!$B$8=""),0,MIN(1,MAX(0,(DU$1-工程基本資料!$B$8+1)/工程基本資料!$B$7)))</f>
        <v>0</v>
      </c>
      <c r="DV290" s="90">
        <f>IF(OR(工程基本資料!$B$7="",工程基本資料!$B$7=0,工程基本資料!$B$8=""),0,MIN(1,MAX(0,(DV$1-工程基本資料!$B$8+1)/工程基本資料!$B$7)))</f>
        <v>0</v>
      </c>
      <c r="DW290" s="90">
        <f>IF(OR(工程基本資料!$B$7="",工程基本資料!$B$7=0,工程基本資料!$B$8=""),0,MIN(1,MAX(0,(DW$1-工程基本資料!$B$8+1)/工程基本資料!$B$7)))</f>
        <v>0</v>
      </c>
      <c r="DX290" s="90">
        <f>IF(OR(工程基本資料!$B$7="",工程基本資料!$B$7=0,工程基本資料!$B$8=""),0,MIN(1,MAX(0,(DX$1-工程基本資料!$B$8+1)/工程基本資料!$B$7)))</f>
        <v>0</v>
      </c>
      <c r="DY290" s="90">
        <f>IF(OR(工程基本資料!$B$7="",工程基本資料!$B$7=0,工程基本資料!$B$8=""),0,MIN(1,MAX(0,(DY$1-工程基本資料!$B$8+1)/工程基本資料!$B$7)))</f>
        <v>0</v>
      </c>
      <c r="DZ290" s="90">
        <f>IF(OR(工程基本資料!$B$7="",工程基本資料!$B$7=0,工程基本資料!$B$8=""),0,MIN(1,MAX(0,(DZ$1-工程基本資料!$B$8+1)/工程基本資料!$B$7)))</f>
        <v>0</v>
      </c>
      <c r="EA290" s="90">
        <f>IF(OR(工程基本資料!$B$7="",工程基本資料!$B$7=0,工程基本資料!$B$8=""),0,MIN(1,MAX(0,(EA$1-工程基本資料!$B$8+1)/工程基本資料!$B$7)))</f>
        <v>0</v>
      </c>
      <c r="EB290" s="90">
        <f>IF(OR(工程基本資料!$B$7="",工程基本資料!$B$7=0,工程基本資料!$B$8=""),0,MIN(1,MAX(0,(EB$1-工程基本資料!$B$8+1)/工程基本資料!$B$7)))</f>
        <v>0</v>
      </c>
      <c r="EC290" s="90">
        <f>IF(OR(工程基本資料!$B$7="",工程基本資料!$B$7=0,工程基本資料!$B$8=""),0,MIN(1,MAX(0,(EC$1-工程基本資料!$B$8+1)/工程基本資料!$B$7)))</f>
        <v>0</v>
      </c>
      <c r="ED290" s="90">
        <f>IF(OR(工程基本資料!$B$7="",工程基本資料!$B$7=0,工程基本資料!$B$8=""),0,MIN(1,MAX(0,(ED$1-工程基本資料!$B$8+1)/工程基本資料!$B$7)))</f>
        <v>0</v>
      </c>
      <c r="EE290" s="90">
        <f>IF(OR(工程基本資料!$B$7="",工程基本資料!$B$7=0,工程基本資料!$B$8=""),0,MIN(1,MAX(0,(EE$1-工程基本資料!$B$8+1)/工程基本資料!$B$7)))</f>
        <v>0</v>
      </c>
      <c r="EF290" s="90">
        <f>IF(OR(工程基本資料!$B$7="",工程基本資料!$B$7=0,工程基本資料!$B$8=""),0,MIN(1,MAX(0,(EF$1-工程基本資料!$B$8+1)/工程基本資料!$B$7)))</f>
        <v>0</v>
      </c>
      <c r="EG290" s="90">
        <f>IF(OR(工程基本資料!$B$7="",工程基本資料!$B$7=0,工程基本資料!$B$8=""),0,MIN(1,MAX(0,(EG$1-工程基本資料!$B$8+1)/工程基本資料!$B$7)))</f>
        <v>0</v>
      </c>
      <c r="EH290" s="90">
        <f>IF(OR(工程基本資料!$B$7="",工程基本資料!$B$7=0,工程基本資料!$B$8=""),0,MIN(1,MAX(0,(EH$1-工程基本資料!$B$8+1)/工程基本資料!$B$7)))</f>
        <v>0</v>
      </c>
      <c r="EI290" s="90">
        <f>IF(OR(工程基本資料!$B$7="",工程基本資料!$B$7=0,工程基本資料!$B$8=""),0,MIN(1,MAX(0,(EI$1-工程基本資料!$B$8+1)/工程基本資料!$B$7)))</f>
        <v>0</v>
      </c>
      <c r="EJ290" s="90">
        <f>IF(OR(工程基本資料!$B$7="",工程基本資料!$B$7=0,工程基本資料!$B$8=""),0,MIN(1,MAX(0,(EJ$1-工程基本資料!$B$8+1)/工程基本資料!$B$7)))</f>
        <v>0</v>
      </c>
      <c r="EK290" s="90">
        <f>IF(OR(工程基本資料!$B$7="",工程基本資料!$B$7=0,工程基本資料!$B$8=""),0,MIN(1,MAX(0,(EK$1-工程基本資料!$B$8+1)/工程基本資料!$B$7)))</f>
        <v>0</v>
      </c>
      <c r="EL290" s="90">
        <f>IF(OR(工程基本資料!$B$7="",工程基本資料!$B$7=0,工程基本資料!$B$8=""),0,MIN(1,MAX(0,(EL$1-工程基本資料!$B$8+1)/工程基本資料!$B$7)))</f>
        <v>0</v>
      </c>
      <c r="EM290" s="90">
        <f>IF(OR(工程基本資料!$B$7="",工程基本資料!$B$7=0,工程基本資料!$B$8=""),0,MIN(1,MAX(0,(EM$1-工程基本資料!$B$8+1)/工程基本資料!$B$7)))</f>
        <v>0</v>
      </c>
      <c r="EN290" s="90">
        <f>IF(OR(工程基本資料!$B$7="",工程基本資料!$B$7=0,工程基本資料!$B$8=""),0,MIN(1,MAX(0,(EN$1-工程基本資料!$B$8+1)/工程基本資料!$B$7)))</f>
        <v>0</v>
      </c>
      <c r="EO290" s="90">
        <f>IF(OR(工程基本資料!$B$7="",工程基本資料!$B$7=0,工程基本資料!$B$8=""),0,MIN(1,MAX(0,(EO$1-工程基本資料!$B$8+1)/工程基本資料!$B$7)))</f>
        <v>0</v>
      </c>
      <c r="EP290" s="90">
        <f>IF(OR(工程基本資料!$B$7="",工程基本資料!$B$7=0,工程基本資料!$B$8=""),0,MIN(1,MAX(0,(EP$1-工程基本資料!$B$8+1)/工程基本資料!$B$7)))</f>
        <v>0</v>
      </c>
      <c r="EQ290" s="90">
        <f>IF(OR(工程基本資料!$B$7="",工程基本資料!$B$7=0,工程基本資料!$B$8=""),0,MIN(1,MAX(0,(EQ$1-工程基本資料!$B$8+1)/工程基本資料!$B$7)))</f>
        <v>0</v>
      </c>
      <c r="ER290">
        <f>IF(OR(工程基本資料!$B$7="",工程基本資料!$B$7=0,工程基本資料!$B$8=""),0,MIN(1,MAX(0,(ER$1-工程基本資料!$B$8+1)/工程基本資料!$B$7)))</f>
        <v>0</v>
      </c>
      <c r="ES290">
        <f>IF(OR(工程基本資料!$B$7="",工程基本資料!$B$7=0,工程基本資料!$B$8=""),0,MIN(1,MAX(0,(ES$1-工程基本資料!$B$8+1)/工程基本資料!$B$7)))</f>
        <v>0</v>
      </c>
      <c r="ET290">
        <f>IF(OR(工程基本資料!$B$7="",工程基本資料!$B$7=0,工程基本資料!$B$8=""),0,MIN(1,MAX(0,(ET$1-工程基本資料!$B$8+1)/工程基本資料!$B$7)))</f>
        <v>0</v>
      </c>
      <c r="EU290">
        <f>IF(OR(工程基本資料!$B$7="",工程基本資料!$B$7=0,工程基本資料!$B$8=""),0,MIN(1,MAX(0,(EU$1-工程基本資料!$B$8+1)/工程基本資料!$B$7)))</f>
        <v>0</v>
      </c>
      <c r="EV290">
        <f>IF(OR(工程基本資料!$B$7="",工程基本資料!$B$7=0,工程基本資料!$B$8=""),0,MIN(1,MAX(0,(EV$1-工程基本資料!$B$8+1)/工程基本資料!$B$7)))</f>
        <v>0</v>
      </c>
      <c r="EW290">
        <f>IF(OR(工程基本資料!$B$7="",工程基本資料!$B$7=0,工程基本資料!$B$8=""),0,MIN(1,MAX(0,(EW$1-工程基本資料!$B$8+1)/工程基本資料!$B$7)))</f>
        <v>0</v>
      </c>
      <c r="EX290">
        <f>IF(OR(工程基本資料!$B$7="",工程基本資料!$B$7=0,工程基本資料!$B$8=""),0,MIN(1,MAX(0,(EX$1-工程基本資料!$B$8+1)/工程基本資料!$B$7)))</f>
        <v>0</v>
      </c>
      <c r="EY290">
        <f>IF(OR(工程基本資料!$B$7="",工程基本資料!$B$7=0,工程基本資料!$B$8=""),0,MIN(1,MAX(0,(EY$1-工程基本資料!$B$8+1)/工程基本資料!$B$7)))</f>
        <v>0</v>
      </c>
      <c r="EZ290">
        <f>IF(OR(工程基本資料!$B$7="",工程基本資料!$B$7=0,工程基本資料!$B$8=""),0,MIN(1,MAX(0,(EZ$1-工程基本資料!$B$8+1)/工程基本資料!$B$7)))</f>
        <v>0</v>
      </c>
      <c r="FA290">
        <f>IF(OR(工程基本資料!$B$7="",工程基本資料!$B$7=0,工程基本資料!$B$8=""),0,MIN(1,MAX(0,(FA$1-工程基本資料!$B$8+1)/工程基本資料!$B$7)))</f>
        <v>0</v>
      </c>
      <c r="FB290">
        <f>IF(OR(工程基本資料!$B$7="",工程基本資料!$B$7=0,工程基本資料!$B$8=""),0,MIN(1,MAX(0,(FB$1-工程基本資料!$B$8+1)/工程基本資料!$B$7)))</f>
        <v>0</v>
      </c>
      <c r="FC290">
        <f>IF(OR(工程基本資料!$B$7="",工程基本資料!$B$7=0,工程基本資料!$B$8=""),0,MIN(1,MAX(0,(FC$1-工程基本資料!$B$8+1)/工程基本資料!$B$7)))</f>
        <v>0</v>
      </c>
      <c r="FD290">
        <f>IF(OR(工程基本資料!$B$7="",工程基本資料!$B$7=0,工程基本資料!$B$8=""),0,MIN(1,MAX(0,(FD$1-工程基本資料!$B$8+1)/工程基本資料!$B$7)))</f>
        <v>0</v>
      </c>
      <c r="FE290">
        <f>IF(OR(工程基本資料!$B$7="",工程基本資料!$B$7=0,工程基本資料!$B$8=""),0,MIN(1,MAX(0,(FE$1-工程基本資料!$B$8+1)/工程基本資料!$B$7)))</f>
        <v>0</v>
      </c>
      <c r="FF290">
        <f>IF(OR(工程基本資料!$B$7="",工程基本資料!$B$7=0,工程基本資料!$B$8=""),0,MIN(1,MAX(0,(FF$1-工程基本資料!$B$8+1)/工程基本資料!$B$7)))</f>
        <v>0</v>
      </c>
      <c r="FG290">
        <f>IF(OR(工程基本資料!$B$7="",工程基本資料!$B$7=0,工程基本資料!$B$8=""),0,MIN(1,MAX(0,(FG$1-工程基本資料!$B$8+1)/工程基本資料!$B$7)))</f>
        <v>0</v>
      </c>
      <c r="FH290">
        <f>IF(OR(工程基本資料!$B$7="",工程基本資料!$B$7=0,工程基本資料!$B$8=""),0,MIN(1,MAX(0,(FH$1-工程基本資料!$B$8+1)/工程基本資料!$B$7)))</f>
        <v>0</v>
      </c>
      <c r="FI290">
        <f>IF(OR(工程基本資料!$B$7="",工程基本資料!$B$7=0,工程基本資料!$B$8=""),0,MIN(1,MAX(0,(FI$1-工程基本資料!$B$8+1)/工程基本資料!$B$7)))</f>
        <v>0</v>
      </c>
      <c r="FJ290">
        <f>IF(OR(工程基本資料!$B$7="",工程基本資料!$B$7=0,工程基本資料!$B$8=""),0,MIN(1,MAX(0,(FJ$1-工程基本資料!$B$8+1)/工程基本資料!$B$7)))</f>
        <v>0</v>
      </c>
      <c r="FK290">
        <f>IF(OR(工程基本資料!$B$7="",工程基本資料!$B$7=0,工程基本資料!$B$8=""),0,MIN(1,MAX(0,(FK$1-工程基本資料!$B$8+1)/工程基本資料!$B$7)))</f>
        <v>0</v>
      </c>
      <c r="FL290">
        <f>IF(OR(工程基本資料!$B$7="",工程基本資料!$B$7=0,工程基本資料!$B$8=""),0,MIN(1,MAX(0,(FL$1-工程基本資料!$B$8+1)/工程基本資料!$B$7)))</f>
        <v>0</v>
      </c>
      <c r="FM290">
        <f>IF(OR(工程基本資料!$B$7="",工程基本資料!$B$7=0,工程基本資料!$B$8=""),0,MIN(1,MAX(0,(FM$1-工程基本資料!$B$8+1)/工程基本資料!$B$7)))</f>
        <v>0</v>
      </c>
      <c r="FN290">
        <f>IF(OR(工程基本資料!$B$7="",工程基本資料!$B$7=0,工程基本資料!$B$8=""),0,MIN(1,MAX(0,(FN$1-工程基本資料!$B$8+1)/工程基本資料!$B$7)))</f>
        <v>0</v>
      </c>
      <c r="FO290">
        <f>IF(OR(工程基本資料!$B$7="",工程基本資料!$B$7=0,工程基本資料!$B$8=""),0,MIN(1,MAX(0,(FO$1-工程基本資料!$B$8+1)/工程基本資料!$B$7)))</f>
        <v>0</v>
      </c>
      <c r="FP290">
        <f>IF(OR(工程基本資料!$B$7="",工程基本資料!$B$7=0,工程基本資料!$B$8=""),0,MIN(1,MAX(0,(FP$1-工程基本資料!$B$8+1)/工程基本資料!$B$7)))</f>
        <v>0</v>
      </c>
      <c r="FQ290">
        <f>IF(OR(工程基本資料!$B$7="",工程基本資料!$B$7=0,工程基本資料!$B$8=""),0,MIN(1,MAX(0,(FQ$1-工程基本資料!$B$8+1)/工程基本資料!$B$7)))</f>
        <v>0</v>
      </c>
      <c r="FR290">
        <f>IF(OR(工程基本資料!$B$7="",工程基本資料!$B$7=0,工程基本資料!$B$8=""),0,MIN(1,MAX(0,(FR$1-工程基本資料!$B$8+1)/工程基本資料!$B$7)))</f>
        <v>0</v>
      </c>
      <c r="FS290">
        <f>IF(OR(工程基本資料!$B$7="",工程基本資料!$B$7=0,工程基本資料!$B$8=""),0,MIN(1,MAX(0,(FS$1-工程基本資料!$B$8+1)/工程基本資料!$B$7)))</f>
        <v>0</v>
      </c>
      <c r="FT290">
        <f>IF(OR(工程基本資料!$B$7="",工程基本資料!$B$7=0,工程基本資料!$B$8=""),0,MIN(1,MAX(0,(FT$1-工程基本資料!$B$8+1)/工程基本資料!$B$7)))</f>
        <v>0</v>
      </c>
      <c r="FU290">
        <f>IF(OR(工程基本資料!$B$7="",工程基本資料!$B$7=0,工程基本資料!$B$8=""),0,MIN(1,MAX(0,(FU$1-工程基本資料!$B$8+1)/工程基本資料!$B$7)))</f>
        <v>0</v>
      </c>
      <c r="FV290">
        <f>IF(OR(工程基本資料!$B$7="",工程基本資料!$B$7=0,工程基本資料!$B$8=""),0,MIN(1,MAX(0,(FV$1-工程基本資料!$B$8+1)/工程基本資料!$B$7)))</f>
        <v>0</v>
      </c>
      <c r="FW290">
        <f>IF(OR(工程基本資料!$B$7="",工程基本資料!$B$7=0,工程基本資料!$B$8=""),0,MIN(1,MAX(0,(FW$1-工程基本資料!$B$8+1)/工程基本資料!$B$7)))</f>
        <v>0</v>
      </c>
      <c r="FX290">
        <f>IF(OR(工程基本資料!$B$7="",工程基本資料!$B$7=0,工程基本資料!$B$8=""),0,MIN(1,MAX(0,(FX$1-工程基本資料!$B$8+1)/工程基本資料!$B$7)))</f>
        <v>0</v>
      </c>
      <c r="FY290">
        <f>IF(OR(工程基本資料!$B$7="",工程基本資料!$B$7=0,工程基本資料!$B$8=""),0,MIN(1,MAX(0,(FY$1-工程基本資料!$B$8+1)/工程基本資料!$B$7)))</f>
        <v>0</v>
      </c>
      <c r="FZ290">
        <f>IF(OR(工程基本資料!$B$7="",工程基本資料!$B$7=0,工程基本資料!$B$8=""),0,MIN(1,MAX(0,(FZ$1-工程基本資料!$B$8+1)/工程基本資料!$B$7)))</f>
        <v>0</v>
      </c>
      <c r="GA290">
        <f>IF(OR(工程基本資料!$B$7="",工程基本資料!$B$7=0,工程基本資料!$B$8=""),0,MIN(1,MAX(0,(GA$1-工程基本資料!$B$8+1)/工程基本資料!$B$7)))</f>
        <v>0</v>
      </c>
      <c r="GB290">
        <f>IF(OR(工程基本資料!$B$7="",工程基本資料!$B$7=0,工程基本資料!$B$8=""),0,MIN(1,MAX(0,(GB$1-工程基本資料!$B$8+1)/工程基本資料!$B$7)))</f>
        <v>0</v>
      </c>
      <c r="GC290">
        <f>IF(OR(工程基本資料!$B$7="",工程基本資料!$B$7=0,工程基本資料!$B$8=""),0,MIN(1,MAX(0,(GC$1-工程基本資料!$B$8+1)/工程基本資料!$B$7)))</f>
        <v>0</v>
      </c>
      <c r="GD290">
        <f>IF(OR(工程基本資料!$B$7="",工程基本資料!$B$7=0,工程基本資料!$B$8=""),0,MIN(1,MAX(0,(GD$1-工程基本資料!$B$8+1)/工程基本資料!$B$7)))</f>
        <v>0</v>
      </c>
      <c r="GE290">
        <f>IF(OR(工程基本資料!$B$7="",工程基本資料!$B$7=0,工程基本資料!$B$8=""),0,MIN(1,MAX(0,(GE$1-工程基本資料!$B$8+1)/工程基本資料!$B$7)))</f>
        <v>0</v>
      </c>
      <c r="GF290">
        <f>IF(OR(工程基本資料!$B$7="",工程基本資料!$B$7=0,工程基本資料!$B$8=""),0,MIN(1,MAX(0,(GF$1-工程基本資料!$B$8+1)/工程基本資料!$B$7)))</f>
        <v>0</v>
      </c>
      <c r="GG290">
        <f>IF(OR(工程基本資料!$B$7="",工程基本資料!$B$7=0,工程基本資料!$B$8=""),0,MIN(1,MAX(0,(GG$1-工程基本資料!$B$8+1)/工程基本資料!$B$7)))</f>
        <v>0</v>
      </c>
      <c r="GH290">
        <f>IF(OR(工程基本資料!$B$7="",工程基本資料!$B$7=0,工程基本資料!$B$8=""),0,MIN(1,MAX(0,(GH$1-工程基本資料!$B$8+1)/工程基本資料!$B$7)))</f>
        <v>0</v>
      </c>
      <c r="GI290">
        <f>IF(OR(工程基本資料!$B$7="",工程基本資料!$B$7=0,工程基本資料!$B$8=""),0,MIN(1,MAX(0,(GI$1-工程基本資料!$B$8+1)/工程基本資料!$B$7)))</f>
        <v>0</v>
      </c>
      <c r="GJ290">
        <f>IF(OR(工程基本資料!$B$7="",工程基本資料!$B$7=0,工程基本資料!$B$8=""),0,MIN(1,MAX(0,(GJ$1-工程基本資料!$B$8+1)/工程基本資料!$B$7)))</f>
        <v>0</v>
      </c>
      <c r="GK290">
        <f>IF(OR(工程基本資料!$B$7="",工程基本資料!$B$7=0,工程基本資料!$B$8=""),0,MIN(1,MAX(0,(GK$1-工程基本資料!$B$8+1)/工程基本資料!$B$7)))</f>
        <v>0</v>
      </c>
      <c r="GL290">
        <f>IF(OR(工程基本資料!$B$7="",工程基本資料!$B$7=0,工程基本資料!$B$8=""),0,MIN(1,MAX(0,(GL$1-工程基本資料!$B$8+1)/工程基本資料!$B$7)))</f>
        <v>0</v>
      </c>
      <c r="GM290">
        <f>IF(OR(工程基本資料!$B$7="",工程基本資料!$B$7=0,工程基本資料!$B$8=""),0,MIN(1,MAX(0,(GM$1-工程基本資料!$B$8+1)/工程基本資料!$B$7)))</f>
        <v>0</v>
      </c>
      <c r="GN290">
        <f>IF(OR(工程基本資料!$B$7="",工程基本資料!$B$7=0,工程基本資料!$B$8=""),0,MIN(1,MAX(0,(GN$1-工程基本資料!$B$8+1)/工程基本資料!$B$7)))</f>
        <v>0</v>
      </c>
      <c r="GO290">
        <f>IF(OR(工程基本資料!$B$7="",工程基本資料!$B$7=0,工程基本資料!$B$8=""),0,MIN(1,MAX(0,(GO$1-工程基本資料!$B$8+1)/工程基本資料!$B$7)))</f>
        <v>0</v>
      </c>
      <c r="GP290">
        <f>IF(OR(工程基本資料!$B$7="",工程基本資料!$B$7=0,工程基本資料!$B$8=""),0,MIN(1,MAX(0,(GP$1-工程基本資料!$B$8+1)/工程基本資料!$B$7)))</f>
        <v>0</v>
      </c>
      <c r="GQ290">
        <f>IF(OR(工程基本資料!$B$7="",工程基本資料!$B$7=0,工程基本資料!$B$8=""),0,MIN(1,MAX(0,(GQ$1-工程基本資料!$B$8+1)/工程基本資料!$B$7)))</f>
        <v>0</v>
      </c>
      <c r="GR290">
        <f>IF(OR(工程基本資料!$B$7="",工程基本資料!$B$7=0,工程基本資料!$B$8=""),0,MIN(1,MAX(0,(GR$1-工程基本資料!$B$8+1)/工程基本資料!$B$7)))</f>
        <v>0</v>
      </c>
      <c r="GS290">
        <f>IF(OR(工程基本資料!$B$7="",工程基本資料!$B$7=0,工程基本資料!$B$8=""),0,MIN(1,MAX(0,(GS$1-工程基本資料!$B$8+1)/工程基本資料!$B$7)))</f>
        <v>0</v>
      </c>
      <c r="GT290">
        <f>IF(OR(工程基本資料!$B$7="",工程基本資料!$B$7=0,工程基本資料!$B$8=""),0,MIN(1,MAX(0,(GT$1-工程基本資料!$B$8+1)/工程基本資料!$B$7)))</f>
        <v>0</v>
      </c>
      <c r="GU290">
        <f>IF(OR(工程基本資料!$B$7="",工程基本資料!$B$7=0,工程基本資料!$B$8=""),0,MIN(1,MAX(0,(GU$1-工程基本資料!$B$8+1)/工程基本資料!$B$7)))</f>
        <v>0</v>
      </c>
      <c r="GV290">
        <f>IF(OR(工程基本資料!$B$7="",工程基本資料!$B$7=0,工程基本資料!$B$8=""),0,MIN(1,MAX(0,(GV$1-工程基本資料!$B$8+1)/工程基本資料!$B$7)))</f>
        <v>0</v>
      </c>
      <c r="GW290">
        <f>IF(OR(工程基本資料!$B$7="",工程基本資料!$B$7=0,工程基本資料!$B$8=""),0,MIN(1,MAX(0,(GW$1-工程基本資料!$B$8+1)/工程基本資料!$B$7)))</f>
        <v>0</v>
      </c>
      <c r="GX290">
        <f>IF(OR(工程基本資料!$B$7="",工程基本資料!$B$7=0,工程基本資料!$B$8=""),0,MIN(1,MAX(0,(GX$1-工程基本資料!$B$8+1)/工程基本資料!$B$7)))</f>
        <v>0</v>
      </c>
      <c r="GY290">
        <f>IF(OR(工程基本資料!$B$7="",工程基本資料!$B$7=0,工程基本資料!$B$8=""),0,MIN(1,MAX(0,(GY$1-工程基本資料!$B$8+1)/工程基本資料!$B$7)))</f>
        <v>0</v>
      </c>
      <c r="GZ290">
        <f>IF(OR(工程基本資料!$B$7="",工程基本資料!$B$7=0,工程基本資料!$B$8=""),0,MIN(1,MAX(0,(GZ$1-工程基本資料!$B$8+1)/工程基本資料!$B$7)))</f>
        <v>0</v>
      </c>
      <c r="HA290">
        <f>IF(OR(工程基本資料!$B$7="",工程基本資料!$B$7=0,工程基本資料!$B$8=""),0,MIN(1,MAX(0,(HA$1-工程基本資料!$B$8+1)/工程基本資料!$B$7)))</f>
        <v>0</v>
      </c>
      <c r="HB290">
        <f>IF(OR(工程基本資料!$B$7="",工程基本資料!$B$7=0,工程基本資料!$B$8=""),0,MIN(1,MAX(0,(HB$1-工程基本資料!$B$8+1)/工程基本資料!$B$7)))</f>
        <v>0</v>
      </c>
      <c r="HC290">
        <f>IF(OR(工程基本資料!$B$7="",工程基本資料!$B$7=0,工程基本資料!$B$8=""),0,MIN(1,MAX(0,(HC$1-工程基本資料!$B$8+1)/工程基本資料!$B$7)))</f>
        <v>0</v>
      </c>
      <c r="HD290">
        <f>IF(OR(工程基本資料!$B$7="",工程基本資料!$B$7=0,工程基本資料!$B$8=""),0,MIN(1,MAX(0,(HD$1-工程基本資料!$B$8+1)/工程基本資料!$B$7)))</f>
        <v>0</v>
      </c>
      <c r="HE290">
        <f>IF(OR(工程基本資料!$B$7="",工程基本資料!$B$7=0,工程基本資料!$B$8=""),0,MIN(1,MAX(0,(HE$1-工程基本資料!$B$8+1)/工程基本資料!$B$7)))</f>
        <v>0</v>
      </c>
      <c r="HF290">
        <f>IF(OR(工程基本資料!$B$7="",工程基本資料!$B$7=0,工程基本資料!$B$8=""),0,MIN(1,MAX(0,(HF$1-工程基本資料!$B$8+1)/工程基本資料!$B$7)))</f>
        <v>0</v>
      </c>
      <c r="HG290">
        <f>IF(OR(工程基本資料!$B$7="",工程基本資料!$B$7=0,工程基本資料!$B$8=""),0,MIN(1,MAX(0,(HG$1-工程基本資料!$B$8+1)/工程基本資料!$B$7)))</f>
        <v>0</v>
      </c>
      <c r="HH290">
        <f>IF(OR(工程基本資料!$B$7="",工程基本資料!$B$7=0,工程基本資料!$B$8=""),0,MIN(1,MAX(0,(HH$1-工程基本資料!$B$8+1)/工程基本資料!$B$7)))</f>
        <v>0</v>
      </c>
      <c r="HI290">
        <f>IF(OR(工程基本資料!$B$7="",工程基本資料!$B$7=0,工程基本資料!$B$8=""),0,MIN(1,MAX(0,(HI$1-工程基本資料!$B$8+1)/工程基本資料!$B$7)))</f>
        <v>0</v>
      </c>
      <c r="HJ290">
        <f>IF(OR(工程基本資料!$B$7="",工程基本資料!$B$7=0,工程基本資料!$B$8=""),0,MIN(1,MAX(0,(HJ$1-工程基本資料!$B$8+1)/工程基本資料!$B$7)))</f>
        <v>0</v>
      </c>
      <c r="HK290">
        <f>IF(OR(工程基本資料!$B$7="",工程基本資料!$B$7=0,工程基本資料!$B$8=""),0,MIN(1,MAX(0,(HK$1-工程基本資料!$B$8+1)/工程基本資料!$B$7)))</f>
        <v>0</v>
      </c>
      <c r="HL290">
        <f>IF(OR(工程基本資料!$B$7="",工程基本資料!$B$7=0,工程基本資料!$B$8=""),0,MIN(1,MAX(0,(HL$1-工程基本資料!$B$8+1)/工程基本資料!$B$7)))</f>
        <v>0</v>
      </c>
      <c r="HM290">
        <f>IF(OR(工程基本資料!$B$7="",工程基本資料!$B$7=0,工程基本資料!$B$8=""),0,MIN(1,MAX(0,(HM$1-工程基本資料!$B$8+1)/工程基本資料!$B$7)))</f>
        <v>0</v>
      </c>
      <c r="HN290">
        <f>IF(OR(工程基本資料!$B$7="",工程基本資料!$B$7=0,工程基本資料!$B$8=""),0,MIN(1,MAX(0,(HN$1-工程基本資料!$B$8+1)/工程基本資料!$B$7)))</f>
        <v>0</v>
      </c>
      <c r="HO290">
        <f>IF(OR(工程基本資料!$B$7="",工程基本資料!$B$7=0,工程基本資料!$B$8=""),0,MIN(1,MAX(0,(HO$1-工程基本資料!$B$8+1)/工程基本資料!$B$7)))</f>
        <v>0</v>
      </c>
      <c r="HP290">
        <f>IF(OR(工程基本資料!$B$7="",工程基本資料!$B$7=0,工程基本資料!$B$8=""),0,MIN(1,MAX(0,(HP$1-工程基本資料!$B$8+1)/工程基本資料!$B$7)))</f>
        <v>0</v>
      </c>
      <c r="HQ290">
        <f>IF(OR(工程基本資料!$B$7="",工程基本資料!$B$7=0,工程基本資料!$B$8=""),0,MIN(1,MAX(0,(HQ$1-工程基本資料!$B$8+1)/工程基本資料!$B$7)))</f>
        <v>0</v>
      </c>
      <c r="HR290">
        <f>IF(OR(工程基本資料!$B$7="",工程基本資料!$B$7=0,工程基本資料!$B$8=""),0,MIN(1,MAX(0,(HR$1-工程基本資料!$B$8+1)/工程基本資料!$B$7)))</f>
        <v>0</v>
      </c>
      <c r="HS290">
        <f>IF(OR(工程基本資料!$B$7="",工程基本資料!$B$7=0,工程基本資料!$B$8=""),0,MIN(1,MAX(0,(HS$1-工程基本資料!$B$8+1)/工程基本資料!$B$7)))</f>
        <v>0</v>
      </c>
      <c r="HT290">
        <f>IF(OR(工程基本資料!$B$7="",工程基本資料!$B$7=0,工程基本資料!$B$8=""),0,MIN(1,MAX(0,(HT$1-工程基本資料!$B$8+1)/工程基本資料!$B$7)))</f>
        <v>0</v>
      </c>
      <c r="HU290">
        <f>IF(OR(工程基本資料!$B$7="",工程基本資料!$B$7=0,工程基本資料!$B$8=""),0,MIN(1,MAX(0,(HU$1-工程基本資料!$B$8+1)/工程基本資料!$B$7)))</f>
        <v>0</v>
      </c>
      <c r="HV290">
        <f>IF(OR(工程基本資料!$B$7="",工程基本資料!$B$7=0,工程基本資料!$B$8=""),0,MIN(1,MAX(0,(HV$1-工程基本資料!$B$8+1)/工程基本資料!$B$7)))</f>
        <v>0</v>
      </c>
      <c r="HW290">
        <f>IF(OR(工程基本資料!$B$7="",工程基本資料!$B$7=0,工程基本資料!$B$8=""),0,MIN(1,MAX(0,(HW$1-工程基本資料!$B$8+1)/工程基本資料!$B$7)))</f>
        <v>0</v>
      </c>
      <c r="HX290">
        <f>IF(OR(工程基本資料!$B$7="",工程基本資料!$B$7=0,工程基本資料!$B$8=""),0,MIN(1,MAX(0,(HX$1-工程基本資料!$B$8+1)/工程基本資料!$B$7)))</f>
        <v>0</v>
      </c>
      <c r="HY290">
        <f>IF(OR(工程基本資料!$B$7="",工程基本資料!$B$7=0,工程基本資料!$B$8=""),0,MIN(1,MAX(0,(HY$1-工程基本資料!$B$8+1)/工程基本資料!$B$7)))</f>
        <v>0</v>
      </c>
      <c r="HZ290">
        <f>IF(OR(工程基本資料!$B$7="",工程基本資料!$B$7=0,工程基本資料!$B$8=""),0,MIN(1,MAX(0,(HZ$1-工程基本資料!$B$8+1)/工程基本資料!$B$7)))</f>
        <v>0</v>
      </c>
      <c r="IA290">
        <f>IF(OR(工程基本資料!$B$7="",工程基本資料!$B$7=0,工程基本資料!$B$8=""),0,MIN(1,MAX(0,(IA$1-工程基本資料!$B$8+1)/工程基本資料!$B$7)))</f>
        <v>0</v>
      </c>
      <c r="IB290">
        <f>IF(OR(工程基本資料!$B$7="",工程基本資料!$B$7=0,工程基本資料!$B$8=""),0,MIN(1,MAX(0,(IB$1-工程基本資料!$B$8+1)/工程基本資料!$B$7)))</f>
        <v>0</v>
      </c>
      <c r="IC290">
        <f>IF(OR(工程基本資料!$B$7="",工程基本資料!$B$7=0,工程基本資料!$B$8=""),0,MIN(1,MAX(0,(IC$1-工程基本資料!$B$8+1)/工程基本資料!$B$7)))</f>
        <v>0</v>
      </c>
      <c r="ID290">
        <f>IF(OR(工程基本資料!$B$7="",工程基本資料!$B$7=0,工程基本資料!$B$8=""),0,MIN(1,MAX(0,(ID$1-工程基本資料!$B$8+1)/工程基本資料!$B$7)))</f>
        <v>0</v>
      </c>
      <c r="IE290">
        <f>IF(OR(工程基本資料!$B$7="",工程基本資料!$B$7=0,工程基本資料!$B$8=""),0,MIN(1,MAX(0,(IE$1-工程基本資料!$B$8+1)/工程基本資料!$B$7)))</f>
        <v>0</v>
      </c>
      <c r="IF290">
        <f>IF(OR(工程基本資料!$B$7="",工程基本資料!$B$7=0,工程基本資料!$B$8=""),0,MIN(1,MAX(0,(IF$1-工程基本資料!$B$8+1)/工程基本資料!$B$7)))</f>
        <v>0</v>
      </c>
      <c r="IG290">
        <f>IF(OR(工程基本資料!$B$7="",工程基本資料!$B$7=0,工程基本資料!$B$8=""),0,MIN(1,MAX(0,(IG$1-工程基本資料!$B$8+1)/工程基本資料!$B$7)))</f>
        <v>0</v>
      </c>
      <c r="IH290">
        <f>IF(OR(工程基本資料!$B$7="",工程基本資料!$B$7=0,工程基本資料!$B$8=""),0,MIN(1,MAX(0,(IH$1-工程基本資料!$B$8+1)/工程基本資料!$B$7)))</f>
        <v>0</v>
      </c>
      <c r="II290">
        <f>IF(OR(工程基本資料!$B$7="",工程基本資料!$B$7=0,工程基本資料!$B$8=""),0,MIN(1,MAX(0,(II$1-工程基本資料!$B$8+1)/工程基本資料!$B$7)))</f>
        <v>0</v>
      </c>
      <c r="IJ290">
        <f>IF(OR(工程基本資料!$B$7="",工程基本資料!$B$7=0,工程基本資料!$B$8=""),0,MIN(1,MAX(0,(IJ$1-工程基本資料!$B$8+1)/工程基本資料!$B$7)))</f>
        <v>0</v>
      </c>
      <c r="IK290">
        <f>IF(OR(工程基本資料!$B$7="",工程基本資料!$B$7=0,工程基本資料!$B$8=""),0,MIN(1,MAX(0,(IK$1-工程基本資料!$B$8+1)/工程基本資料!$B$7)))</f>
        <v>0</v>
      </c>
      <c r="IL290">
        <f>IF(OR(工程基本資料!$B$7="",工程基本資料!$B$7=0,工程基本資料!$B$8=""),0,MIN(1,MAX(0,(IL$1-工程基本資料!$B$8+1)/工程基本資料!$B$7)))</f>
        <v>0</v>
      </c>
      <c r="IM290">
        <f>IF(OR(工程基本資料!$B$7="",工程基本資料!$B$7=0,工程基本資料!$B$8=""),0,MIN(1,MAX(0,(IM$1-工程基本資料!$B$8+1)/工程基本資料!$B$7)))</f>
        <v>0</v>
      </c>
      <c r="IN290">
        <f>IF(OR(工程基本資料!$B$7="",工程基本資料!$B$7=0,工程基本資料!$B$8=""),0,MIN(1,MAX(0,(IN$1-工程基本資料!$B$8+1)/工程基本資料!$B$7)))</f>
        <v>0</v>
      </c>
      <c r="IO290">
        <f>IF(OR(工程基本資料!$B$7="",工程基本資料!$B$7=0,工程基本資料!$B$8=""),0,MIN(1,MAX(0,(IO$1-工程基本資料!$B$8+1)/工程基本資料!$B$7)))</f>
        <v>0</v>
      </c>
      <c r="IP290">
        <f>IF(OR(工程基本資料!$B$7="",工程基本資料!$B$7=0,工程基本資料!$B$8=""),0,MIN(1,MAX(0,(IP$1-工程基本資料!$B$8+1)/工程基本資料!$B$7)))</f>
        <v>0</v>
      </c>
      <c r="IQ290">
        <f>IF(OR(工程基本資料!$B$7="",工程基本資料!$B$7=0,工程基本資料!$B$8=""),0,MIN(1,MAX(0,(IQ$1-工程基本資料!$B$8+1)/工程基本資料!$B$7)))</f>
        <v>0</v>
      </c>
      <c r="IR290">
        <f>IF(OR(工程基本資料!$B$7="",工程基本資料!$B$7=0,工程基本資料!$B$8=""),0,MIN(1,MAX(0,(IR$1-工程基本資料!$B$8+1)/工程基本資料!$B$7)))</f>
        <v>0</v>
      </c>
      <c r="IS290">
        <f>IF(OR(工程基本資料!$B$7="",工程基本資料!$B$7=0,工程基本資料!$B$8=""),0,MIN(1,MAX(0,(IS$1-工程基本資料!$B$8+1)/工程基本資料!$B$7)))</f>
        <v>0</v>
      </c>
      <c r="IT290">
        <f>IF(OR(工程基本資料!$B$7="",工程基本資料!$B$7=0,工程基本資料!$B$8=""),0,MIN(1,MAX(0,(IT$1-工程基本資料!$B$8+1)/工程基本資料!$B$7)))</f>
        <v>0</v>
      </c>
      <c r="IU290">
        <f>IF(OR(工程基本資料!$B$7="",工程基本資料!$B$7=0,工程基本資料!$B$8=""),0,MIN(1,MAX(0,(IU$1-工程基本資料!$B$8+1)/工程基本資料!$B$7)))</f>
        <v>0</v>
      </c>
      <c r="IV290">
        <f>IF(OR(工程基本資料!$B$7="",工程基本資料!$B$7=0,工程基本資料!$B$8=""),0,MIN(1,MAX(0,(IV$1-工程基本資料!$B$8+1)/工程基本資料!$B$7)))</f>
        <v>0</v>
      </c>
      <c r="IW290">
        <f>IF(OR(工程基本資料!$B$7="",工程基本資料!$B$7=0,工程基本資料!$B$8=""),0,MIN(1,MAX(0,(IW$1-工程基本資料!$B$8+1)/工程基本資料!$B$7)))</f>
        <v>0</v>
      </c>
      <c r="IX290">
        <f>IF(OR(工程基本資料!$B$7="",工程基本資料!$B$7=0,工程基本資料!$B$8=""),0,MIN(1,MAX(0,(IX$1-工程基本資料!$B$8+1)/工程基本資料!$B$7)))</f>
        <v>0</v>
      </c>
      <c r="IY290">
        <f>IF(OR(工程基本資料!$B$7="",工程基本資料!$B$7=0,工程基本資料!$B$8=""),0,MIN(1,MAX(0,(IY$1-工程基本資料!$B$8+1)/工程基本資料!$B$7)))</f>
        <v>0</v>
      </c>
      <c r="IZ290">
        <f>IF(OR(工程基本資料!$B$7="",工程基本資料!$B$7=0,工程基本資料!$B$8=""),0,MIN(1,MAX(0,(IZ$1-工程基本資料!$B$8+1)/工程基本資料!$B$7)))</f>
        <v>0</v>
      </c>
      <c r="JA290">
        <f>IF(OR(工程基本資料!$B$7="",工程基本資料!$B$7=0,工程基本資料!$B$8=""),0,MIN(1,MAX(0,(JA$1-工程基本資料!$B$8+1)/工程基本資料!$B$7)))</f>
        <v>0</v>
      </c>
      <c r="JB290">
        <f>IF(OR(工程基本資料!$B$7="",工程基本資料!$B$7=0,工程基本資料!$B$8=""),0,MIN(1,MAX(0,(JB$1-工程基本資料!$B$8+1)/工程基本資料!$B$7)))</f>
        <v>0</v>
      </c>
      <c r="JC290">
        <f>IF(OR(工程基本資料!$B$7="",工程基本資料!$B$7=0,工程基本資料!$B$8=""),0,MIN(1,MAX(0,(JC$1-工程基本資料!$B$8+1)/工程基本資料!$B$7)))</f>
        <v>0</v>
      </c>
      <c r="JD290">
        <f>IF(OR(工程基本資料!$B$7="",工程基本資料!$B$7=0,工程基本資料!$B$8=""),0,MIN(1,MAX(0,(JD$1-工程基本資料!$B$8+1)/工程基本資料!$B$7)))</f>
        <v>0</v>
      </c>
      <c r="JE290">
        <f>IF(OR(工程基本資料!$B$7="",工程基本資料!$B$7=0,工程基本資料!$B$8=""),0,MIN(1,MAX(0,(JE$1-工程基本資料!$B$8+1)/工程基本資料!$B$7)))</f>
        <v>0</v>
      </c>
      <c r="JF290">
        <f>IF(OR(工程基本資料!$B$7="",工程基本資料!$B$7=0,工程基本資料!$B$8=""),0,MIN(1,MAX(0,(JF$1-工程基本資料!$B$8+1)/工程基本資料!$B$7)))</f>
        <v>0</v>
      </c>
      <c r="JG290">
        <f>IF(OR(工程基本資料!$B$7="",工程基本資料!$B$7=0,工程基本資料!$B$8=""),0,MIN(1,MAX(0,(JG$1-工程基本資料!$B$8+1)/工程基本資料!$B$7)))</f>
        <v>0</v>
      </c>
      <c r="JH290">
        <f>IF(OR(工程基本資料!$B$7="",工程基本資料!$B$7=0,工程基本資料!$B$8=""),0,MIN(1,MAX(0,(JH$1-工程基本資料!$B$8+1)/工程基本資料!$B$7)))</f>
        <v>0</v>
      </c>
      <c r="JI290">
        <f>IF(OR(工程基本資料!$B$7="",工程基本資料!$B$7=0,工程基本資料!$B$8=""),0,MIN(1,MAX(0,(JI$1-工程基本資料!$B$8+1)/工程基本資料!$B$7)))</f>
        <v>0</v>
      </c>
      <c r="JJ290">
        <f>IF(OR(工程基本資料!$B$7="",工程基本資料!$B$7=0,工程基本資料!$B$8=""),0,MIN(1,MAX(0,(JJ$1-工程基本資料!$B$8+1)/工程基本資料!$B$7)))</f>
        <v>0</v>
      </c>
      <c r="JK290">
        <f>IF(OR(工程基本資料!$B$7="",工程基本資料!$B$7=0,工程基本資料!$B$8=""),0,MIN(1,MAX(0,(JK$1-工程基本資料!$B$8+1)/工程基本資料!$B$7)))</f>
        <v>0</v>
      </c>
      <c r="JL290">
        <f>IF(OR(工程基本資料!$B$7="",工程基本資料!$B$7=0,工程基本資料!$B$8=""),0,MIN(1,MAX(0,(JL$1-工程基本資料!$B$8+1)/工程基本資料!$B$7)))</f>
        <v>0</v>
      </c>
      <c r="JM290">
        <f>IF(OR(工程基本資料!$B$7="",工程基本資料!$B$7=0,工程基本資料!$B$8=""),0,MIN(1,MAX(0,(JM$1-工程基本資料!$B$8+1)/工程基本資料!$B$7)))</f>
        <v>0</v>
      </c>
      <c r="JN290">
        <f>IF(OR(工程基本資料!$B$7="",工程基本資料!$B$7=0,工程基本資料!$B$8=""),0,MIN(1,MAX(0,(JN$1-工程基本資料!$B$8+1)/工程基本資料!$B$7)))</f>
        <v>0</v>
      </c>
      <c r="JO290">
        <f>IF(OR(工程基本資料!$B$7="",工程基本資料!$B$7=0,工程基本資料!$B$8=""),0,MIN(1,MAX(0,(JO$1-工程基本資料!$B$8+1)/工程基本資料!$B$7)))</f>
        <v>0</v>
      </c>
      <c r="JP290">
        <f>IF(OR(工程基本資料!$B$7="",工程基本資料!$B$7=0,工程基本資料!$B$8=""),0,MIN(1,MAX(0,(JP$1-工程基本資料!$B$8+1)/工程基本資料!$B$7)))</f>
        <v>0</v>
      </c>
      <c r="JQ290">
        <f>IF(OR(工程基本資料!$B$7="",工程基本資料!$B$7=0,工程基本資料!$B$8=""),0,MIN(1,MAX(0,(JQ$1-工程基本資料!$B$8+1)/工程基本資料!$B$7)))</f>
        <v>0</v>
      </c>
      <c r="JR290">
        <f>IF(OR(工程基本資料!$B$7="",工程基本資料!$B$7=0,工程基本資料!$B$8=""),0,MIN(1,MAX(0,(JR$1-工程基本資料!$B$8+1)/工程基本資料!$B$7)))</f>
        <v>0</v>
      </c>
      <c r="JS290">
        <f>IF(OR(工程基本資料!$B$7="",工程基本資料!$B$7=0,工程基本資料!$B$8=""),0,MIN(1,MAX(0,(JS$1-工程基本資料!$B$8+1)/工程基本資料!$B$7)))</f>
        <v>0</v>
      </c>
      <c r="JT290">
        <f>IF(OR(工程基本資料!$B$7="",工程基本資料!$B$7=0,工程基本資料!$B$8=""),0,MIN(1,MAX(0,(JT$1-工程基本資料!$B$8+1)/工程基本資料!$B$7)))</f>
        <v>0</v>
      </c>
      <c r="JU290">
        <f>IF(OR(工程基本資料!$B$7="",工程基本資料!$B$7=0,工程基本資料!$B$8=""),0,MIN(1,MAX(0,(JU$1-工程基本資料!$B$8+1)/工程基本資料!$B$7)))</f>
        <v>0</v>
      </c>
      <c r="JV290">
        <f>IF(OR(工程基本資料!$B$7="",工程基本資料!$B$7=0,工程基本資料!$B$8=""),0,MIN(1,MAX(0,(JV$1-工程基本資料!$B$8+1)/工程基本資料!$B$7)))</f>
        <v>0</v>
      </c>
      <c r="JW290">
        <f>IF(OR(工程基本資料!$B$7="",工程基本資料!$B$7=0,工程基本資料!$B$8=""),0,MIN(1,MAX(0,(JW$1-工程基本資料!$B$8+1)/工程基本資料!$B$7)))</f>
        <v>0</v>
      </c>
      <c r="JX290">
        <f>IF(OR(工程基本資料!$B$7="",工程基本資料!$B$7=0,工程基本資料!$B$8=""),0,MIN(1,MAX(0,(JX$1-工程基本資料!$B$8+1)/工程基本資料!$B$7)))</f>
        <v>0</v>
      </c>
      <c r="JY290">
        <f>IF(OR(工程基本資料!$B$7="",工程基本資料!$B$7=0,工程基本資料!$B$8=""),0,MIN(1,MAX(0,(JY$1-工程基本資料!$B$8+1)/工程基本資料!$B$7)))</f>
        <v>0</v>
      </c>
      <c r="JZ290">
        <f>IF(OR(工程基本資料!$B$7="",工程基本資料!$B$7=0,工程基本資料!$B$8=""),0,MIN(1,MAX(0,(JZ$1-工程基本資料!$B$8+1)/工程基本資料!$B$7)))</f>
        <v>0</v>
      </c>
      <c r="KA290">
        <f>IF(OR(工程基本資料!$B$7="",工程基本資料!$B$7=0,工程基本資料!$B$8=""),0,MIN(1,MAX(0,(KA$1-工程基本資料!$B$8+1)/工程基本資料!$B$7)))</f>
        <v>0</v>
      </c>
      <c r="KB290">
        <f>IF(OR(工程基本資料!$B$7="",工程基本資料!$B$7=0,工程基本資料!$B$8=""),0,MIN(1,MAX(0,(KB$1-工程基本資料!$B$8+1)/工程基本資料!$B$7)))</f>
        <v>0</v>
      </c>
      <c r="KC290">
        <f>IF(OR(工程基本資料!$B$7="",工程基本資料!$B$7=0,工程基本資料!$B$8=""),0,MIN(1,MAX(0,(KC$1-工程基本資料!$B$8+1)/工程基本資料!$B$7)))</f>
        <v>0</v>
      </c>
      <c r="KD290">
        <f>IF(OR(工程基本資料!$B$7="",工程基本資料!$B$7=0,工程基本資料!$B$8=""),0,MIN(1,MAX(0,(KD$1-工程基本資料!$B$8+1)/工程基本資料!$B$7)))</f>
        <v>0</v>
      </c>
      <c r="KE290">
        <f>IF(OR(工程基本資料!$B$7="",工程基本資料!$B$7=0,工程基本資料!$B$8=""),0,MIN(1,MAX(0,(KE$1-工程基本資料!$B$8+1)/工程基本資料!$B$7)))</f>
        <v>0</v>
      </c>
      <c r="KF290">
        <f>IF(OR(工程基本資料!$B$7="",工程基本資料!$B$7=0,工程基本資料!$B$8=""),0,MIN(1,MAX(0,(KF$1-工程基本資料!$B$8+1)/工程基本資料!$B$7)))</f>
        <v>0</v>
      </c>
      <c r="KG290">
        <f>IF(OR(工程基本資料!$B$7="",工程基本資料!$B$7=0,工程基本資料!$B$8=""),0,MIN(1,MAX(0,(KG$1-工程基本資料!$B$8+1)/工程基本資料!$B$7)))</f>
        <v>0</v>
      </c>
      <c r="KH290">
        <f>IF(OR(工程基本資料!$B$7="",工程基本資料!$B$7=0,工程基本資料!$B$8=""),0,MIN(1,MAX(0,(KH$1-工程基本資料!$B$8+1)/工程基本資料!$B$7)))</f>
        <v>0</v>
      </c>
      <c r="KI290">
        <f>IF(OR(工程基本資料!$B$7="",工程基本資料!$B$7=0,工程基本資料!$B$8=""),0,MIN(1,MAX(0,(KI$1-工程基本資料!$B$8+1)/工程基本資料!$B$7)))</f>
        <v>0</v>
      </c>
      <c r="KJ290">
        <f>IF(OR(工程基本資料!$B$7="",工程基本資料!$B$7=0,工程基本資料!$B$8=""),0,MIN(1,MAX(0,(KJ$1-工程基本資料!$B$8+1)/工程基本資料!$B$7)))</f>
        <v>0</v>
      </c>
      <c r="KK290">
        <f>IF(OR(工程基本資料!$B$7="",工程基本資料!$B$7=0,工程基本資料!$B$8=""),0,MIN(1,MAX(0,(KK$1-工程基本資料!$B$8+1)/工程基本資料!$B$7)))</f>
        <v>0</v>
      </c>
      <c r="KL290">
        <f>IF(OR(工程基本資料!$B$7="",工程基本資料!$B$7=0,工程基本資料!$B$8=""),0,MIN(1,MAX(0,(KL$1-工程基本資料!$B$8+1)/工程基本資料!$B$7)))</f>
        <v>0</v>
      </c>
      <c r="KM290">
        <f>IF(OR(工程基本資料!$B$7="",工程基本資料!$B$7=0,工程基本資料!$B$8=""),0,MIN(1,MAX(0,(KM$1-工程基本資料!$B$8+1)/工程基本資料!$B$7)))</f>
        <v>0</v>
      </c>
      <c r="KN290">
        <f>IF(OR(工程基本資料!$B$7="",工程基本資料!$B$7=0,工程基本資料!$B$8=""),0,MIN(1,MAX(0,(KN$1-工程基本資料!$B$8+1)/工程基本資料!$B$7)))</f>
        <v>0</v>
      </c>
      <c r="KO290">
        <f>IF(OR(工程基本資料!$B$7="",工程基本資料!$B$7=0,工程基本資料!$B$8=""),0,MIN(1,MAX(0,(KO$1-工程基本資料!$B$8+1)/工程基本資料!$B$7)))</f>
        <v>0</v>
      </c>
      <c r="KP290">
        <f>IF(OR(工程基本資料!$B$7="",工程基本資料!$B$7=0,工程基本資料!$B$8=""),0,MIN(1,MAX(0,(KP$1-工程基本資料!$B$8+1)/工程基本資料!$B$7)))</f>
        <v>0</v>
      </c>
      <c r="KQ290">
        <f>IF(OR(工程基本資料!$B$7="",工程基本資料!$B$7=0,工程基本資料!$B$8=""),0,MIN(1,MAX(0,(KQ$1-工程基本資料!$B$8+1)/工程基本資料!$B$7)))</f>
        <v>0</v>
      </c>
      <c r="KR290">
        <f>IF(OR(工程基本資料!$B$7="",工程基本資料!$B$7=0,工程基本資料!$B$8=""),0,MIN(1,MAX(0,(KR$1-工程基本資料!$B$8+1)/工程基本資料!$B$7)))</f>
        <v>0</v>
      </c>
      <c r="KS290">
        <f>IF(OR(工程基本資料!$B$7="",工程基本資料!$B$7=0,工程基本資料!$B$8=""),0,MIN(1,MAX(0,(KS$1-工程基本資料!$B$8+1)/工程基本資料!$B$7)))</f>
        <v>0</v>
      </c>
      <c r="KT290">
        <f>IF(OR(工程基本資料!$B$7="",工程基本資料!$B$7=0,工程基本資料!$B$8=""),0,MIN(1,MAX(0,(KT$1-工程基本資料!$B$8+1)/工程基本資料!$B$7)))</f>
        <v>0</v>
      </c>
      <c r="KU290">
        <f>IF(OR(工程基本資料!$B$7="",工程基本資料!$B$7=0,工程基本資料!$B$8=""),0,MIN(1,MAX(0,(KU$1-工程基本資料!$B$8+1)/工程基本資料!$B$7)))</f>
        <v>0</v>
      </c>
      <c r="KV290">
        <f>IF(OR(工程基本資料!$B$7="",工程基本資料!$B$7=0,工程基本資料!$B$8=""),0,MIN(1,MAX(0,(KV$1-工程基本資料!$B$8+1)/工程基本資料!$B$7)))</f>
        <v>0</v>
      </c>
      <c r="KW290">
        <f>IF(OR(工程基本資料!$B$7="",工程基本資料!$B$7=0,工程基本資料!$B$8=""),0,MIN(1,MAX(0,(KW$1-工程基本資料!$B$8+1)/工程基本資料!$B$7)))</f>
        <v>0</v>
      </c>
      <c r="KX290">
        <f>IF(OR(工程基本資料!$B$7="",工程基本資料!$B$7=0,工程基本資料!$B$8=""),0,MIN(1,MAX(0,(KX$1-工程基本資料!$B$8+1)/工程基本資料!$B$7)))</f>
        <v>0</v>
      </c>
      <c r="KY290">
        <f>IF(OR(工程基本資料!$B$7="",工程基本資料!$B$7=0,工程基本資料!$B$8=""),0,MIN(1,MAX(0,(KY$1-工程基本資料!$B$8+1)/工程基本資料!$B$7)))</f>
        <v>0</v>
      </c>
      <c r="KZ290">
        <f>IF(OR(工程基本資料!$B$7="",工程基本資料!$B$7=0,工程基本資料!$B$8=""),0,MIN(1,MAX(0,(KZ$1-工程基本資料!$B$8+1)/工程基本資料!$B$7)))</f>
        <v>0</v>
      </c>
      <c r="LA290">
        <f>IF(OR(工程基本資料!$B$7="",工程基本資料!$B$7=0,工程基本資料!$B$8=""),0,MIN(1,MAX(0,(LA$1-工程基本資料!$B$8+1)/工程基本資料!$B$7)))</f>
        <v>0</v>
      </c>
      <c r="LB290">
        <f>IF(OR(工程基本資料!$B$7="",工程基本資料!$B$7=0,工程基本資料!$B$8=""),0,MIN(1,MAX(0,(LB$1-工程基本資料!$B$8+1)/工程基本資料!$B$7)))</f>
        <v>0</v>
      </c>
      <c r="LC290">
        <f>IF(OR(工程基本資料!$B$7="",工程基本資料!$B$7=0,工程基本資料!$B$8=""),0,MIN(1,MAX(0,(LC$1-工程基本資料!$B$8+1)/工程基本資料!$B$7)))</f>
        <v>0</v>
      </c>
      <c r="LD290">
        <f>IF(OR(工程基本資料!$B$7="",工程基本資料!$B$7=0,工程基本資料!$B$8=""),0,MIN(1,MAX(0,(LD$1-工程基本資料!$B$8+1)/工程基本資料!$B$7)))</f>
        <v>0</v>
      </c>
      <c r="LE290">
        <f>IF(OR(工程基本資料!$B$7="",工程基本資料!$B$7=0,工程基本資料!$B$8=""),0,MIN(1,MAX(0,(LE$1-工程基本資料!$B$8+1)/工程基本資料!$B$7)))</f>
        <v>0</v>
      </c>
      <c r="LF290">
        <f>IF(OR(工程基本資料!$B$7="",工程基本資料!$B$7=0,工程基本資料!$B$8=""),0,MIN(1,MAX(0,(LF$1-工程基本資料!$B$8+1)/工程基本資料!$B$7)))</f>
        <v>0</v>
      </c>
      <c r="LG290">
        <f>IF(OR(工程基本資料!$B$7="",工程基本資料!$B$7=0,工程基本資料!$B$8=""),0,MIN(1,MAX(0,(LG$1-工程基本資料!$B$8+1)/工程基本資料!$B$7)))</f>
        <v>0</v>
      </c>
      <c r="LH290">
        <f>IF(OR(工程基本資料!$B$7="",工程基本資料!$B$7=0,工程基本資料!$B$8=""),0,MIN(1,MAX(0,(LH$1-工程基本資料!$B$8+1)/工程基本資料!$B$7)))</f>
        <v>0</v>
      </c>
      <c r="LI290">
        <f>IF(OR(工程基本資料!$B$7="",工程基本資料!$B$7=0,工程基本資料!$B$8=""),0,MIN(1,MAX(0,(LI$1-工程基本資料!$B$8+1)/工程基本資料!$B$7)))</f>
        <v>0</v>
      </c>
      <c r="LJ290">
        <f>IF(OR(工程基本資料!$B$7="",工程基本資料!$B$7=0,工程基本資料!$B$8=""),0,MIN(1,MAX(0,(LJ$1-工程基本資料!$B$8+1)/工程基本資料!$B$7)))</f>
        <v>0</v>
      </c>
      <c r="LK290">
        <f>IF(OR(工程基本資料!$B$7="",工程基本資料!$B$7=0,工程基本資料!$B$8=""),0,MIN(1,MAX(0,(LK$1-工程基本資料!$B$8+1)/工程基本資料!$B$7)))</f>
        <v>0</v>
      </c>
      <c r="LL290">
        <f>IF(OR(工程基本資料!$B$7="",工程基本資料!$B$7=0,工程基本資料!$B$8=""),0,MIN(1,MAX(0,(LL$1-工程基本資料!$B$8+1)/工程基本資料!$B$7)))</f>
        <v>0</v>
      </c>
      <c r="LM290">
        <f>IF(OR(工程基本資料!$B$7="",工程基本資料!$B$7=0,工程基本資料!$B$8=""),0,MIN(1,MAX(0,(LM$1-工程基本資料!$B$8+1)/工程基本資料!$B$7)))</f>
        <v>0</v>
      </c>
      <c r="LN290">
        <f>IF(OR(工程基本資料!$B$7="",工程基本資料!$B$7=0,工程基本資料!$B$8=""),0,MIN(1,MAX(0,(LN$1-工程基本資料!$B$8+1)/工程基本資料!$B$7)))</f>
        <v>0</v>
      </c>
      <c r="LO290">
        <f>IF(OR(工程基本資料!$B$7="",工程基本資料!$B$7=0,工程基本資料!$B$8=""),0,MIN(1,MAX(0,(LO$1-工程基本資料!$B$8+1)/工程基本資料!$B$7)))</f>
        <v>0</v>
      </c>
      <c r="LP290">
        <f>IF(OR(工程基本資料!$B$7="",工程基本資料!$B$7=0,工程基本資料!$B$8=""),0,MIN(1,MAX(0,(LP$1-工程基本資料!$B$8+1)/工程基本資料!$B$7)))</f>
        <v>0</v>
      </c>
      <c r="LQ290">
        <f>IF(OR(工程基本資料!$B$7="",工程基本資料!$B$7=0,工程基本資料!$B$8=""),0,MIN(1,MAX(0,(LQ$1-工程基本資料!$B$8+1)/工程基本資料!$B$7)))</f>
        <v>0</v>
      </c>
      <c r="LR290">
        <f>IF(OR(工程基本資料!$B$7="",工程基本資料!$B$7=0,工程基本資料!$B$8=""),0,MIN(1,MAX(0,(LR$1-工程基本資料!$B$8+1)/工程基本資料!$B$7)))</f>
        <v>0</v>
      </c>
      <c r="LS290">
        <f>IF(OR(工程基本資料!$B$7="",工程基本資料!$B$7=0,工程基本資料!$B$8=""),0,MIN(1,MAX(0,(LS$1-工程基本資料!$B$8+1)/工程基本資料!$B$7)))</f>
        <v>0</v>
      </c>
      <c r="LT290">
        <f>IF(OR(工程基本資料!$B$7="",工程基本資料!$B$7=0,工程基本資料!$B$8=""),0,MIN(1,MAX(0,(LT$1-工程基本資料!$B$8+1)/工程基本資料!$B$7)))</f>
        <v>0</v>
      </c>
      <c r="LU290">
        <f>IF(OR(工程基本資料!$B$7="",工程基本資料!$B$7=0,工程基本資料!$B$8=""),0,MIN(1,MAX(0,(LU$1-工程基本資料!$B$8+1)/工程基本資料!$B$7)))</f>
        <v>0</v>
      </c>
      <c r="LV290">
        <f>IF(OR(工程基本資料!$B$7="",工程基本資料!$B$7=0,工程基本資料!$B$8=""),0,MIN(1,MAX(0,(LV$1-工程基本資料!$B$8+1)/工程基本資料!$B$7)))</f>
        <v>0</v>
      </c>
      <c r="LW290">
        <f>IF(OR(工程基本資料!$B$7="",工程基本資料!$B$7=0,工程基本資料!$B$8=""),0,MIN(1,MAX(0,(LW$1-工程基本資料!$B$8+1)/工程基本資料!$B$7)))</f>
        <v>0</v>
      </c>
      <c r="LX290">
        <f>IF(OR(工程基本資料!$B$7="",工程基本資料!$B$7=0,工程基本資料!$B$8=""),0,MIN(1,MAX(0,(LX$1-工程基本資料!$B$8+1)/工程基本資料!$B$7)))</f>
        <v>0</v>
      </c>
      <c r="LY290">
        <f>IF(OR(工程基本資料!$B$7="",工程基本資料!$B$7=0,工程基本資料!$B$8=""),0,MIN(1,MAX(0,(LY$1-工程基本資料!$B$8+1)/工程基本資料!$B$7)))</f>
        <v>0</v>
      </c>
      <c r="LZ290">
        <f>IF(OR(工程基本資料!$B$7="",工程基本資料!$B$7=0,工程基本資料!$B$8=""),0,MIN(1,MAX(0,(LZ$1-工程基本資料!$B$8+1)/工程基本資料!$B$7)))</f>
        <v>0</v>
      </c>
      <c r="MA290">
        <f>IF(OR(工程基本資料!$B$7="",工程基本資料!$B$7=0,工程基本資料!$B$8=""),0,MIN(1,MAX(0,(MA$1-工程基本資料!$B$8+1)/工程基本資料!$B$7)))</f>
        <v>0</v>
      </c>
      <c r="MB290">
        <f>IF(OR(工程基本資料!$B$7="",工程基本資料!$B$7=0,工程基本資料!$B$8=""),0,MIN(1,MAX(0,(MB$1-工程基本資料!$B$8+1)/工程基本資料!$B$7)))</f>
        <v>0</v>
      </c>
      <c r="MC290">
        <f>IF(OR(工程基本資料!$B$7="",工程基本資料!$B$7=0,工程基本資料!$B$8=""),0,MIN(1,MAX(0,(MC$1-工程基本資料!$B$8+1)/工程基本資料!$B$7)))</f>
        <v>0</v>
      </c>
      <c r="MD290">
        <f>IF(OR(工程基本資料!$B$7="",工程基本資料!$B$7=0,工程基本資料!$B$8=""),0,MIN(1,MAX(0,(MD$1-工程基本資料!$B$8+1)/工程基本資料!$B$7)))</f>
        <v>0</v>
      </c>
      <c r="ME290">
        <f>IF(OR(工程基本資料!$B$7="",工程基本資料!$B$7=0,工程基本資料!$B$8=""),0,MIN(1,MAX(0,(ME$1-工程基本資料!$B$8+1)/工程基本資料!$B$7)))</f>
        <v>0</v>
      </c>
      <c r="MF290">
        <f>IF(OR(工程基本資料!$B$7="",工程基本資料!$B$7=0,工程基本資料!$B$8=""),0,MIN(1,MAX(0,(MF$1-工程基本資料!$B$8+1)/工程基本資料!$B$7)))</f>
        <v>0</v>
      </c>
      <c r="MG290">
        <f>IF(OR(工程基本資料!$B$7="",工程基本資料!$B$7=0,工程基本資料!$B$8=""),0,MIN(1,MAX(0,(MG$1-工程基本資料!$B$8+1)/工程基本資料!$B$7)))</f>
        <v>0</v>
      </c>
      <c r="MH290">
        <f>IF(OR(工程基本資料!$B$7="",工程基本資料!$B$7=0,工程基本資料!$B$8=""),0,MIN(1,MAX(0,(MH$1-工程基本資料!$B$8+1)/工程基本資料!$B$7)))</f>
        <v>0</v>
      </c>
      <c r="MI290">
        <f>IF(OR(工程基本資料!$B$7="",工程基本資料!$B$7=0,工程基本資料!$B$8=""),0,MIN(1,MAX(0,(MI$1-工程基本資料!$B$8+1)/工程基本資料!$B$7)))</f>
        <v>0</v>
      </c>
      <c r="MJ290">
        <f>IF(OR(工程基本資料!$B$7="",工程基本資料!$B$7=0,工程基本資料!$B$8=""),0,MIN(1,MAX(0,(MJ$1-工程基本資料!$B$8+1)/工程基本資料!$B$7)))</f>
        <v>0</v>
      </c>
      <c r="MK290">
        <f>IF(OR(工程基本資料!$B$7="",工程基本資料!$B$7=0,工程基本資料!$B$8=""),0,MIN(1,MAX(0,(MK$1-工程基本資料!$B$8+1)/工程基本資料!$B$7)))</f>
        <v>0</v>
      </c>
      <c r="ML290">
        <f>IF(OR(工程基本資料!$B$7="",工程基本資料!$B$7=0,工程基本資料!$B$8=""),0,MIN(1,MAX(0,(ML$1-工程基本資料!$B$8+1)/工程基本資料!$B$7)))</f>
        <v>0</v>
      </c>
      <c r="MM290">
        <f>IF(OR(工程基本資料!$B$7="",工程基本資料!$B$7=0,工程基本資料!$B$8=""),0,MIN(1,MAX(0,(MM$1-工程基本資料!$B$8+1)/工程基本資料!$B$7)))</f>
        <v>0</v>
      </c>
      <c r="MN290">
        <f>IF(OR(工程基本資料!$B$7="",工程基本資料!$B$7=0,工程基本資料!$B$8=""),0,MIN(1,MAX(0,(MN$1-工程基本資料!$B$8+1)/工程基本資料!$B$7)))</f>
        <v>0</v>
      </c>
      <c r="MO290">
        <f>IF(OR(工程基本資料!$B$7="",工程基本資料!$B$7=0,工程基本資料!$B$8=""),0,MIN(1,MAX(0,(MO$1-工程基本資料!$B$8+1)/工程基本資料!$B$7)))</f>
        <v>0</v>
      </c>
      <c r="MP290">
        <f>IF(OR(工程基本資料!$B$7="",工程基本資料!$B$7=0,工程基本資料!$B$8=""),0,MIN(1,MAX(0,(MP$1-工程基本資料!$B$8+1)/工程基本資料!$B$7)))</f>
        <v>0</v>
      </c>
      <c r="MQ290">
        <f>IF(OR(工程基本資料!$B$7="",工程基本資料!$B$7=0,工程基本資料!$B$8=""),0,MIN(1,MAX(0,(MQ$1-工程基本資料!$B$8+1)/工程基本資料!$B$7)))</f>
        <v>0</v>
      </c>
      <c r="MR290">
        <f>IF(OR(工程基本資料!$B$7="",工程基本資料!$B$7=0,工程基本資料!$B$8=""),0,MIN(1,MAX(0,(MR$1-工程基本資料!$B$8+1)/工程基本資料!$B$7)))</f>
        <v>0</v>
      </c>
      <c r="MS290">
        <f>IF(OR(工程基本資料!$B$7="",工程基本資料!$B$7=0,工程基本資料!$B$8=""),0,MIN(1,MAX(0,(MS$1-工程基本資料!$B$8+1)/工程基本資料!$B$7)))</f>
        <v>0</v>
      </c>
      <c r="MT290">
        <f>IF(OR(工程基本資料!$B$7="",工程基本資料!$B$7=0,工程基本資料!$B$8=""),0,MIN(1,MAX(0,(MT$1-工程基本資料!$B$8+1)/工程基本資料!$B$7)))</f>
        <v>0</v>
      </c>
      <c r="MU290">
        <f>IF(OR(工程基本資料!$B$7="",工程基本資料!$B$7=0,工程基本資料!$B$8=""),0,MIN(1,MAX(0,(MU$1-工程基本資料!$B$8+1)/工程基本資料!$B$7)))</f>
        <v>0</v>
      </c>
      <c r="MV290">
        <f>IF(OR(工程基本資料!$B$7="",工程基本資料!$B$7=0,工程基本資料!$B$8=""),0,MIN(1,MAX(0,(MV$1-工程基本資料!$B$8+1)/工程基本資料!$B$7)))</f>
        <v>0</v>
      </c>
      <c r="MW290">
        <f>IF(OR(工程基本資料!$B$7="",工程基本資料!$B$7=0,工程基本資料!$B$8=""),0,MIN(1,MAX(0,(MW$1-工程基本資料!$B$8+1)/工程基本資料!$B$7)))</f>
        <v>0</v>
      </c>
      <c r="MX290">
        <f>IF(OR(工程基本資料!$B$7="",工程基本資料!$B$7=0,工程基本資料!$B$8=""),0,MIN(1,MAX(0,(MX$1-工程基本資料!$B$8+1)/工程基本資料!$B$7)))</f>
        <v>0</v>
      </c>
      <c r="MY290">
        <f>IF(OR(工程基本資料!$B$7="",工程基本資料!$B$7=0,工程基本資料!$B$8=""),0,MIN(1,MAX(0,(MY$1-工程基本資料!$B$8+1)/工程基本資料!$B$7)))</f>
        <v>0</v>
      </c>
      <c r="MZ290">
        <f>IF(OR(工程基本資料!$B$7="",工程基本資料!$B$7=0,工程基本資料!$B$8=""),0,MIN(1,MAX(0,(MZ$1-工程基本資料!$B$8+1)/工程基本資料!$B$7)))</f>
        <v>0</v>
      </c>
      <c r="NA290">
        <f>IF(OR(工程基本資料!$B$7="",工程基本資料!$B$7=0,工程基本資料!$B$8=""),0,MIN(1,MAX(0,(NA$1-工程基本資料!$B$8+1)/工程基本資料!$B$7)))</f>
        <v>0</v>
      </c>
      <c r="NB290">
        <f>IF(OR(工程基本資料!$B$7="",工程基本資料!$B$7=0,工程基本資料!$B$8=""),0,MIN(1,MAX(0,(NB$1-工程基本資料!$B$8+1)/工程基本資料!$B$7)))</f>
        <v>0</v>
      </c>
      <c r="NC290">
        <f>IF(OR(工程基本資料!$B$7="",工程基本資料!$B$7=0,工程基本資料!$B$8=""),0,MIN(1,MAX(0,(NC$1-工程基本資料!$B$8+1)/工程基本資料!$B$7)))</f>
        <v>0</v>
      </c>
      <c r="ND290">
        <f>IF(OR(工程基本資料!$B$7="",工程基本資料!$B$7=0,工程基本資料!$B$8=""),0,MIN(1,MAX(0,(ND$1-工程基本資料!$B$8+1)/工程基本資料!$B$7)))</f>
        <v>0</v>
      </c>
      <c r="NE290">
        <f>IF(OR(工程基本資料!$B$7="",工程基本資料!$B$7=0,工程基本資料!$B$8=""),0,MIN(1,MAX(0,(NE$1-工程基本資料!$B$8+1)/工程基本資料!$B$7)))</f>
        <v>0</v>
      </c>
      <c r="NF290">
        <f>IF(OR(工程基本資料!$B$7="",工程基本資料!$B$7=0,工程基本資料!$B$8=""),0,MIN(1,MAX(0,(NF$1-工程基本資料!$B$8+1)/工程基本資料!$B$7)))</f>
        <v>0</v>
      </c>
      <c r="NG290">
        <f>IF(OR(工程基本資料!$B$7="",工程基本資料!$B$7=0,工程基本資料!$B$8=""),0,MIN(1,MAX(0,(NG$1-工程基本資料!$B$8+1)/工程基本資料!$B$7)))</f>
        <v>0</v>
      </c>
      <c r="NH290">
        <f>IF(OR(工程基本資料!$B$7="",工程基本資料!$B$7=0,工程基本資料!$B$8=""),0,MIN(1,MAX(0,(NH$1-工程基本資料!$B$8+1)/工程基本資料!$B$7)))</f>
        <v>0</v>
      </c>
      <c r="NI290">
        <f>IF(OR(工程基本資料!$B$7="",工程基本資料!$B$7=0,工程基本資料!$B$8=""),0,MIN(1,MAX(0,(NI$1-工程基本資料!$B$8+1)/工程基本資料!$B$7)))</f>
        <v>0</v>
      </c>
      <c r="NJ290">
        <f>IF(OR(工程基本資料!$B$7="",工程基本資料!$B$7=0,工程基本資料!$B$8=""),0,MIN(1,MAX(0,(NJ$1-工程基本資料!$B$8+1)/工程基本資料!$B$7)))</f>
        <v>0</v>
      </c>
      <c r="NK290">
        <f>IF(OR(工程基本資料!$B$7="",工程基本資料!$B$7=0,工程基本資料!$B$8=""),0,MIN(1,MAX(0,(NK$1-工程基本資料!$B$8+1)/工程基本資料!$B$7)))</f>
        <v>0</v>
      </c>
      <c r="NL290">
        <f>IF(OR(工程基本資料!$B$7="",工程基本資料!$B$7=0,工程基本資料!$B$8=""),0,MIN(1,MAX(0,(NL$1-工程基本資料!$B$8+1)/工程基本資料!$B$7)))</f>
        <v>0</v>
      </c>
      <c r="NM290">
        <f>IF(OR(工程基本資料!$B$7="",工程基本資料!$B$7=0,工程基本資料!$B$8=""),0,MIN(1,MAX(0,(NM$1-工程基本資料!$B$8+1)/工程基本資料!$B$7)))</f>
        <v>0</v>
      </c>
      <c r="NN290">
        <f>IF(OR(工程基本資料!$B$7="",工程基本資料!$B$7=0,工程基本資料!$B$8=""),0,MIN(1,MAX(0,(NN$1-工程基本資料!$B$8+1)/工程基本資料!$B$7)))</f>
        <v>0</v>
      </c>
      <c r="NO290">
        <f>IF(OR(工程基本資料!$B$7="",工程基本資料!$B$7=0,工程基本資料!$B$8=""),0,MIN(1,MAX(0,(NO$1-工程基本資料!$B$8+1)/工程基本資料!$B$7)))</f>
        <v>0</v>
      </c>
      <c r="NP290">
        <f>IF(OR(工程基本資料!$B$7="",工程基本資料!$B$7=0,工程基本資料!$B$8=""),0,MIN(1,MAX(0,(NP$1-工程基本資料!$B$8+1)/工程基本資料!$B$7)))</f>
        <v>0</v>
      </c>
      <c r="NQ290">
        <f>IF(OR(工程基本資料!$B$7="",工程基本資料!$B$7=0,工程基本資料!$B$8=""),0,MIN(1,MAX(0,(NQ$1-工程基本資料!$B$8+1)/工程基本資料!$B$7)))</f>
        <v>0</v>
      </c>
      <c r="NR290">
        <f>IF(OR(工程基本資料!$B$7="",工程基本資料!$B$7=0,工程基本資料!$B$8=""),0,MIN(1,MAX(0,(NR$1-工程基本資料!$B$8+1)/工程基本資料!$B$7)))</f>
        <v>0</v>
      </c>
      <c r="NS290">
        <f>IF(OR(工程基本資料!$B$7="",工程基本資料!$B$7=0,工程基本資料!$B$8=""),0,MIN(1,MAX(0,(NS$1-工程基本資料!$B$8+1)/工程基本資料!$B$7)))</f>
        <v>0</v>
      </c>
      <c r="NT290">
        <f>IF(OR(工程基本資料!$B$7="",工程基本資料!$B$7=0,工程基本資料!$B$8=""),0,MIN(1,MAX(0,(NT$1-工程基本資料!$B$8+1)/工程基本資料!$B$7)))</f>
        <v>0</v>
      </c>
      <c r="NU290">
        <f>IF(OR(工程基本資料!$B$7="",工程基本資料!$B$7=0,工程基本資料!$B$8=""),0,MIN(1,MAX(0,(NU$1-工程基本資料!$B$8+1)/工程基本資料!$B$7)))</f>
        <v>0</v>
      </c>
      <c r="NV290">
        <f>IF(OR(工程基本資料!$B$7="",工程基本資料!$B$7=0,工程基本資料!$B$8=""),0,MIN(1,MAX(0,(NV$1-工程基本資料!$B$8+1)/工程基本資料!$B$7)))</f>
        <v>0</v>
      </c>
      <c r="NW290">
        <f>IF(OR(工程基本資料!$B$7="",工程基本資料!$B$7=0,工程基本資料!$B$8=""),0,MIN(1,MAX(0,(NW$1-工程基本資料!$B$8+1)/工程基本資料!$B$7)))</f>
        <v>0</v>
      </c>
      <c r="NX290">
        <f>IF(OR(工程基本資料!$B$7="",工程基本資料!$B$7=0,工程基本資料!$B$8=""),0,MIN(1,MAX(0,(NX$1-工程基本資料!$B$8+1)/工程基本資料!$B$7)))</f>
        <v>0</v>
      </c>
      <c r="NY290">
        <f>IF(OR(工程基本資料!$B$7="",工程基本資料!$B$7=0,工程基本資料!$B$8=""),0,MIN(1,MAX(0,(NY$1-工程基本資料!$B$8+1)/工程基本資料!$B$7)))</f>
        <v>0</v>
      </c>
      <c r="NZ290">
        <f>IF(OR(工程基本資料!$B$7="",工程基本資料!$B$7=0,工程基本資料!$B$8=""),0,MIN(1,MAX(0,(NZ$1-工程基本資料!$B$8+1)/工程基本資料!$B$7)))</f>
        <v>0</v>
      </c>
      <c r="OA290">
        <f>IF(OR(工程基本資料!$B$7="",工程基本資料!$B$7=0,工程基本資料!$B$8=""),0,MIN(1,MAX(0,(OA$1-工程基本資料!$B$8+1)/工程基本資料!$B$7)))</f>
        <v>0</v>
      </c>
      <c r="OB290">
        <f>IF(OR(工程基本資料!$B$7="",工程基本資料!$B$7=0,工程基本資料!$B$8=""),0,MIN(1,MAX(0,(OB$1-工程基本資料!$B$8+1)/工程基本資料!$B$7)))</f>
        <v>0</v>
      </c>
      <c r="OC290">
        <f>IF(OR(工程基本資料!$B$7="",工程基本資料!$B$7=0,工程基本資料!$B$8=""),0,MIN(1,MAX(0,(OC$1-工程基本資料!$B$8+1)/工程基本資料!$B$7)))</f>
        <v>0</v>
      </c>
      <c r="OD290">
        <f>IF(OR(工程基本資料!$B$7="",工程基本資料!$B$7=0,工程基本資料!$B$8=""),0,MIN(1,MAX(0,(OD$1-工程基本資料!$B$8+1)/工程基本資料!$B$7)))</f>
        <v>0</v>
      </c>
      <c r="OE290">
        <f>IF(OR(工程基本資料!$B$7="",工程基本資料!$B$7=0,工程基本資料!$B$8=""),0,MIN(1,MAX(0,(OE$1-工程基本資料!$B$8+1)/工程基本資料!$B$7)))</f>
        <v>0</v>
      </c>
      <c r="OF290">
        <f>IF(OR(工程基本資料!$B$7="",工程基本資料!$B$7=0,工程基本資料!$B$8=""),0,MIN(1,MAX(0,(OF$1-工程基本資料!$B$8+1)/工程基本資料!$B$7)))</f>
        <v>0</v>
      </c>
      <c r="OG290">
        <f>IF(OR(工程基本資料!$B$7="",工程基本資料!$B$7=0,工程基本資料!$B$8=""),0,MIN(1,MAX(0,(OG$1-工程基本資料!$B$8+1)/工程基本資料!$B$7)))</f>
        <v>0</v>
      </c>
      <c r="OH290">
        <f>IF(OR(工程基本資料!$B$7="",工程基本資料!$B$7=0,工程基本資料!$B$8=""),0,MIN(1,MAX(0,(OH$1-工程基本資料!$B$8+1)/工程基本資料!$B$7)))</f>
        <v>0</v>
      </c>
      <c r="OI290">
        <f>IF(OR(工程基本資料!$B$7="",工程基本資料!$B$7=0,工程基本資料!$B$8=""),0,MIN(1,MAX(0,(OI$1-工程基本資料!$B$8+1)/工程基本資料!$B$7)))</f>
        <v>0</v>
      </c>
      <c r="OJ290">
        <f>IF(OR(工程基本資料!$B$7="",工程基本資料!$B$7=0,工程基本資料!$B$8=""),0,MIN(1,MAX(0,(OJ$1-工程基本資料!$B$8+1)/工程基本資料!$B$7)))</f>
        <v>0</v>
      </c>
      <c r="OK290">
        <f>IF(OR(工程基本資料!$B$7="",工程基本資料!$B$7=0,工程基本資料!$B$8=""),0,MIN(1,MAX(0,(OK$1-工程基本資料!$B$8+1)/工程基本資料!$B$7)))</f>
        <v>0</v>
      </c>
      <c r="OL290">
        <f>IF(OR(工程基本資料!$B$7="",工程基本資料!$B$7=0,工程基本資料!$B$8=""),0,MIN(1,MAX(0,(OL$1-工程基本資料!$B$8+1)/工程基本資料!$B$7)))</f>
        <v>0</v>
      </c>
      <c r="OM290">
        <f>IF(OR(工程基本資料!$B$7="",工程基本資料!$B$7=0,工程基本資料!$B$8=""),0,MIN(1,MAX(0,(OM$1-工程基本資料!$B$8+1)/工程基本資料!$B$7)))</f>
        <v>0</v>
      </c>
      <c r="ON290">
        <f>IF(OR(工程基本資料!$B$7="",工程基本資料!$B$7=0,工程基本資料!$B$8=""),0,MIN(1,MAX(0,(ON$1-工程基本資料!$B$8+1)/工程基本資料!$B$7)))</f>
        <v>0</v>
      </c>
      <c r="OO290">
        <f>IF(OR(工程基本資料!$B$7="",工程基本資料!$B$7=0,工程基本資料!$B$8=""),0,MIN(1,MAX(0,(OO$1-工程基本資料!$B$8+1)/工程基本資料!$B$7)))</f>
        <v>0</v>
      </c>
      <c r="OP290">
        <f>IF(OR(工程基本資料!$B$7="",工程基本資料!$B$7=0,工程基本資料!$B$8=""),0,MIN(1,MAX(0,(OP$1-工程基本資料!$B$8+1)/工程基本資料!$B$7)))</f>
        <v>0</v>
      </c>
      <c r="OQ290">
        <f>IF(OR(工程基本資料!$B$7="",工程基本資料!$B$7=0,工程基本資料!$B$8=""),0,MIN(1,MAX(0,(OQ$1-工程基本資料!$B$8+1)/工程基本資料!$B$7)))</f>
        <v>0</v>
      </c>
      <c r="OR290">
        <f>IF(OR(工程基本資料!$B$7="",工程基本資料!$B$7=0,工程基本資料!$B$8=""),0,MIN(1,MAX(0,(OR$1-工程基本資料!$B$8+1)/工程基本資料!$B$7)))</f>
        <v>0</v>
      </c>
      <c r="OS290">
        <f>IF(OR(工程基本資料!$B$7="",工程基本資料!$B$7=0,工程基本資料!$B$8=""),0,MIN(1,MAX(0,(OS$1-工程基本資料!$B$8+1)/工程基本資料!$B$7)))</f>
        <v>0</v>
      </c>
      <c r="OT290">
        <f>IF(OR(工程基本資料!$B$7="",工程基本資料!$B$7=0,工程基本資料!$B$8=""),0,MIN(1,MAX(0,(OT$1-工程基本資料!$B$8+1)/工程基本資料!$B$7)))</f>
        <v>0</v>
      </c>
      <c r="OU290">
        <f>IF(OR(工程基本資料!$B$7="",工程基本資料!$B$7=0,工程基本資料!$B$8=""),0,MIN(1,MAX(0,(OU$1-工程基本資料!$B$8+1)/工程基本資料!$B$7)))</f>
        <v>0</v>
      </c>
      <c r="OV290">
        <f>IF(OR(工程基本資料!$B$7="",工程基本資料!$B$7=0,工程基本資料!$B$8=""),0,MIN(1,MAX(0,(OV$1-工程基本資料!$B$8+1)/工程基本資料!$B$7)))</f>
        <v>0</v>
      </c>
      <c r="OW290">
        <f>IF(OR(工程基本資料!$B$7="",工程基本資料!$B$7=0,工程基本資料!$B$8=""),0,MIN(1,MAX(0,(OW$1-工程基本資料!$B$8+1)/工程基本資料!$B$7)))</f>
        <v>0</v>
      </c>
      <c r="OX290">
        <f>IF(OR(工程基本資料!$B$7="",工程基本資料!$B$7=0,工程基本資料!$B$8=""),0,MIN(1,MAX(0,(OX$1-工程基本資料!$B$8+1)/工程基本資料!$B$7)))</f>
        <v>0</v>
      </c>
      <c r="OY290">
        <f>IF(OR(工程基本資料!$B$7="",工程基本資料!$B$7=0,工程基本資料!$B$8=""),0,MIN(1,MAX(0,(OY$1-工程基本資料!$B$8+1)/工程基本資料!$B$7)))</f>
        <v>0</v>
      </c>
      <c r="OZ290">
        <f>IF(OR(工程基本資料!$B$7="",工程基本資料!$B$7=0,工程基本資料!$B$8=""),0,MIN(1,MAX(0,(OZ$1-工程基本資料!$B$8+1)/工程基本資料!$B$7)))</f>
        <v>0</v>
      </c>
      <c r="PA290">
        <f>IF(OR(工程基本資料!$B$7="",工程基本資料!$B$7=0,工程基本資料!$B$8=""),0,MIN(1,MAX(0,(PA$1-工程基本資料!$B$8+1)/工程基本資料!$B$7)))</f>
        <v>0</v>
      </c>
      <c r="PB290">
        <f>IF(OR(工程基本資料!$B$7="",工程基本資料!$B$7=0,工程基本資料!$B$8=""),0,MIN(1,MAX(0,(PB$1-工程基本資料!$B$8+1)/工程基本資料!$B$7)))</f>
        <v>0</v>
      </c>
      <c r="PC290">
        <f>IF(OR(工程基本資料!$B$7="",工程基本資料!$B$7=0,工程基本資料!$B$8=""),0,MIN(1,MAX(0,(PC$1-工程基本資料!$B$8+1)/工程基本資料!$B$7)))</f>
        <v>0</v>
      </c>
      <c r="PD290">
        <f>IF(OR(工程基本資料!$B$7="",工程基本資料!$B$7=0,工程基本資料!$B$8=""),0,MIN(1,MAX(0,(PD$1-工程基本資料!$B$8+1)/工程基本資料!$B$7)))</f>
        <v>0</v>
      </c>
      <c r="PE290">
        <f>IF(OR(工程基本資料!$B$7="",工程基本資料!$B$7=0,工程基本資料!$B$8=""),0,MIN(1,MAX(0,(PE$1-工程基本資料!$B$8+1)/工程基本資料!$B$7)))</f>
        <v>0</v>
      </c>
      <c r="PF290">
        <f>IF(OR(工程基本資料!$B$7="",工程基本資料!$B$7=0,工程基本資料!$B$8=""),0,MIN(1,MAX(0,(PF$1-工程基本資料!$B$8+1)/工程基本資料!$B$7)))</f>
        <v>0</v>
      </c>
      <c r="PG290">
        <f>IF(OR(工程基本資料!$B$7="",工程基本資料!$B$7=0,工程基本資料!$B$8=""),0,MIN(1,MAX(0,(PG$1-工程基本資料!$B$8+1)/工程基本資料!$B$7)))</f>
        <v>0</v>
      </c>
      <c r="PH290">
        <f>IF(OR(工程基本資料!$B$7="",工程基本資料!$B$7=0,工程基本資料!$B$8=""),0,MIN(1,MAX(0,(PH$1-工程基本資料!$B$8+1)/工程基本資料!$B$7)))</f>
        <v>0</v>
      </c>
      <c r="PI290">
        <f>IF(OR(工程基本資料!$B$7="",工程基本資料!$B$7=0,工程基本資料!$B$8=""),0,MIN(1,MAX(0,(PI$1-工程基本資料!$B$8+1)/工程基本資料!$B$7)))</f>
        <v>0</v>
      </c>
      <c r="PJ290">
        <f>IF(OR(工程基本資料!$B$7="",工程基本資料!$B$7=0,工程基本資料!$B$8=""),0,MIN(1,MAX(0,(PJ$1-工程基本資料!$B$8+1)/工程基本資料!$B$7)))</f>
        <v>0</v>
      </c>
      <c r="PK290">
        <f>IF(OR(工程基本資料!$B$7="",工程基本資料!$B$7=0,工程基本資料!$B$8=""),0,MIN(1,MAX(0,(PK$1-工程基本資料!$B$8+1)/工程基本資料!$B$7)))</f>
        <v>0</v>
      </c>
      <c r="PL290">
        <f>IF(OR(工程基本資料!$B$7="",工程基本資料!$B$7=0,工程基本資料!$B$8=""),0,MIN(1,MAX(0,(PL$1-工程基本資料!$B$8+1)/工程基本資料!$B$7)))</f>
        <v>0</v>
      </c>
      <c r="PM290">
        <f>IF(OR(工程基本資料!$B$7="",工程基本資料!$B$7=0,工程基本資料!$B$8=""),0,MIN(1,MAX(0,(PM$1-工程基本資料!$B$8+1)/工程基本資料!$B$7)))</f>
        <v>0</v>
      </c>
      <c r="PN290">
        <f>IF(OR(工程基本資料!$B$7="",工程基本資料!$B$7=0,工程基本資料!$B$8=""),0,MIN(1,MAX(0,(PN$1-工程基本資料!$B$8+1)/工程基本資料!$B$7)))</f>
        <v>0</v>
      </c>
      <c r="PO290">
        <f>IF(OR(工程基本資料!$B$7="",工程基本資料!$B$7=0,工程基本資料!$B$8=""),0,MIN(1,MAX(0,(PO$1-工程基本資料!$B$8+1)/工程基本資料!$B$7)))</f>
        <v>0</v>
      </c>
      <c r="PP290">
        <f>IF(OR(工程基本資料!$B$7="",工程基本資料!$B$7=0,工程基本資料!$B$8=""),0,MIN(1,MAX(0,(PP$1-工程基本資料!$B$8+1)/工程基本資料!$B$7)))</f>
        <v>0</v>
      </c>
      <c r="PQ290">
        <f>IF(OR(工程基本資料!$B$7="",工程基本資料!$B$7=0,工程基本資料!$B$8=""),0,MIN(1,MAX(0,(PQ$1-工程基本資料!$B$8+1)/工程基本資料!$B$7)))</f>
        <v>0</v>
      </c>
      <c r="PR290">
        <f>IF(OR(工程基本資料!$B$7="",工程基本資料!$B$7=0,工程基本資料!$B$8=""),0,MIN(1,MAX(0,(PR$1-工程基本資料!$B$8+1)/工程基本資料!$B$7)))</f>
        <v>0</v>
      </c>
      <c r="PS290">
        <f>IF(OR(工程基本資料!$B$7="",工程基本資料!$B$7=0,工程基本資料!$B$8=""),0,MIN(1,MAX(0,(PS$1-工程基本資料!$B$8+1)/工程基本資料!$B$7)))</f>
        <v>0</v>
      </c>
      <c r="PT290">
        <f>IF(OR(工程基本資料!$B$7="",工程基本資料!$B$7=0,工程基本資料!$B$8=""),0,MIN(1,MAX(0,(PT$1-工程基本資料!$B$8+1)/工程基本資料!$B$7)))</f>
        <v>0</v>
      </c>
      <c r="PU290">
        <f>IF(OR(工程基本資料!$B$7="",工程基本資料!$B$7=0,工程基本資料!$B$8=""),0,MIN(1,MAX(0,(PU$1-工程基本資料!$B$8+1)/工程基本資料!$B$7)))</f>
        <v>0</v>
      </c>
      <c r="PV290">
        <f>IF(OR(工程基本資料!$B$7="",工程基本資料!$B$7=0,工程基本資料!$B$8=""),0,MIN(1,MAX(0,(PV$1-工程基本資料!$B$8+1)/工程基本資料!$B$7)))</f>
        <v>0</v>
      </c>
      <c r="PW290">
        <f>IF(OR(工程基本資料!$B$7="",工程基本資料!$B$7=0,工程基本資料!$B$8=""),0,MIN(1,MAX(0,(PW$1-工程基本資料!$B$8+1)/工程基本資料!$B$7)))</f>
        <v>0</v>
      </c>
      <c r="PX290">
        <f>IF(OR(工程基本資料!$B$7="",工程基本資料!$B$7=0,工程基本資料!$B$8=""),0,MIN(1,MAX(0,(PX$1-工程基本資料!$B$8+1)/工程基本資料!$B$7)))</f>
        <v>0</v>
      </c>
      <c r="PY290">
        <f>IF(OR(工程基本資料!$B$7="",工程基本資料!$B$7=0,工程基本資料!$B$8=""),0,MIN(1,MAX(0,(PY$1-工程基本資料!$B$8+1)/工程基本資料!$B$7)))</f>
        <v>0</v>
      </c>
      <c r="PZ290">
        <f>IF(OR(工程基本資料!$B$7="",工程基本資料!$B$7=0,工程基本資料!$B$8=""),0,MIN(1,MAX(0,(PZ$1-工程基本資料!$B$8+1)/工程基本資料!$B$7)))</f>
        <v>0</v>
      </c>
      <c r="QA290">
        <f>IF(OR(工程基本資料!$B$7="",工程基本資料!$B$7=0,工程基本資料!$B$8=""),0,MIN(1,MAX(0,(QA$1-工程基本資料!$B$8+1)/工程基本資料!$B$7)))</f>
        <v>0</v>
      </c>
      <c r="QB290">
        <f>IF(OR(工程基本資料!$B$7="",工程基本資料!$B$7=0,工程基本資料!$B$8=""),0,MIN(1,MAX(0,(QB$1-工程基本資料!$B$8+1)/工程基本資料!$B$7)))</f>
        <v>0</v>
      </c>
      <c r="QC290">
        <f>IF(OR(工程基本資料!$B$7="",工程基本資料!$B$7=0,工程基本資料!$B$8=""),0,MIN(1,MAX(0,(QC$1-工程基本資料!$B$8+1)/工程基本資料!$B$7)))</f>
        <v>0</v>
      </c>
      <c r="QD290">
        <f>IF(OR(工程基本資料!$B$7="",工程基本資料!$B$7=0,工程基本資料!$B$8=""),0,MIN(1,MAX(0,(QD$1-工程基本資料!$B$8+1)/工程基本資料!$B$7)))</f>
        <v>0</v>
      </c>
      <c r="QE290">
        <f>IF(OR(工程基本資料!$B$7="",工程基本資料!$B$7=0,工程基本資料!$B$8=""),0,MIN(1,MAX(0,(QE$1-工程基本資料!$B$8+1)/工程基本資料!$B$7)))</f>
        <v>0</v>
      </c>
      <c r="QF290">
        <f>IF(OR(工程基本資料!$B$7="",工程基本資料!$B$7=0,工程基本資料!$B$8=""),0,MIN(1,MAX(0,(QF$1-工程基本資料!$B$8+1)/工程基本資料!$B$7)))</f>
        <v>0</v>
      </c>
      <c r="QG290">
        <f>IF(OR(工程基本資料!$B$7="",工程基本資料!$B$7=0,工程基本資料!$B$8=""),0,MIN(1,MAX(0,(QG$1-工程基本資料!$B$8+1)/工程基本資料!$B$7)))</f>
        <v>0</v>
      </c>
      <c r="QH290">
        <f>IF(OR(工程基本資料!$B$7="",工程基本資料!$B$7=0,工程基本資料!$B$8=""),0,MIN(1,MAX(0,(QH$1-工程基本資料!$B$8+1)/工程基本資料!$B$7)))</f>
        <v>0</v>
      </c>
      <c r="QI290">
        <f>IF(OR(工程基本資料!$B$7="",工程基本資料!$B$7=0,工程基本資料!$B$8=""),0,MIN(1,MAX(0,(QI$1-工程基本資料!$B$8+1)/工程基本資料!$B$7)))</f>
        <v>0</v>
      </c>
      <c r="QJ290">
        <f>IF(OR(工程基本資料!$B$7="",工程基本資料!$B$7=0,工程基本資料!$B$8=""),0,MIN(1,MAX(0,(QJ$1-工程基本資料!$B$8+1)/工程基本資料!$B$7)))</f>
        <v>0</v>
      </c>
      <c r="QK290">
        <f>IF(OR(工程基本資料!$B$7="",工程基本資料!$B$7=0,工程基本資料!$B$8=""),0,MIN(1,MAX(0,(QK$1-工程基本資料!$B$8+1)/工程基本資料!$B$7)))</f>
        <v>0</v>
      </c>
      <c r="QL290">
        <f>IF(OR(工程基本資料!$B$7="",工程基本資料!$B$7=0,工程基本資料!$B$8=""),0,MIN(1,MAX(0,(QL$1-工程基本資料!$B$8+1)/工程基本資料!$B$7)))</f>
        <v>0</v>
      </c>
      <c r="QM290">
        <f>IF(OR(工程基本資料!$B$7="",工程基本資料!$B$7=0,工程基本資料!$B$8=""),0,MIN(1,MAX(0,(QM$1-工程基本資料!$B$8+1)/工程基本資料!$B$7)))</f>
        <v>0</v>
      </c>
      <c r="QN290">
        <f>IF(OR(工程基本資料!$B$7="",工程基本資料!$B$7=0,工程基本資料!$B$8=""),0,MIN(1,MAX(0,(QN$1-工程基本資料!$B$8+1)/工程基本資料!$B$7)))</f>
        <v>0</v>
      </c>
      <c r="QO290">
        <f>IF(OR(工程基本資料!$B$7="",工程基本資料!$B$7=0,工程基本資料!$B$8=""),0,MIN(1,MAX(0,(QO$1-工程基本資料!$B$8+1)/工程基本資料!$B$7)))</f>
        <v>0</v>
      </c>
      <c r="QP290">
        <f>IF(OR(工程基本資料!$B$7="",工程基本資料!$B$7=0,工程基本資料!$B$8=""),0,MIN(1,MAX(0,(QP$1-工程基本資料!$B$8+1)/工程基本資料!$B$7)))</f>
        <v>0</v>
      </c>
      <c r="QQ290">
        <f>IF(OR(工程基本資料!$B$7="",工程基本資料!$B$7=0,工程基本資料!$B$8=""),0,MIN(1,MAX(0,(QQ$1-工程基本資料!$B$8+1)/工程基本資料!$B$7)))</f>
        <v>0</v>
      </c>
      <c r="QR290">
        <f>IF(OR(工程基本資料!$B$7="",工程基本資料!$B$7=0,工程基本資料!$B$8=""),0,MIN(1,MAX(0,(QR$1-工程基本資料!$B$8+1)/工程基本資料!$B$7)))</f>
        <v>0</v>
      </c>
      <c r="QS290">
        <f>IF(OR(工程基本資料!$B$7="",工程基本資料!$B$7=0,工程基本資料!$B$8=""),0,MIN(1,MAX(0,(QS$1-工程基本資料!$B$8+1)/工程基本資料!$B$7)))</f>
        <v>0</v>
      </c>
      <c r="QT290">
        <f>IF(OR(工程基本資料!$B$7="",工程基本資料!$B$7=0,工程基本資料!$B$8=""),0,MIN(1,MAX(0,(QT$1-工程基本資料!$B$8+1)/工程基本資料!$B$7)))</f>
        <v>0</v>
      </c>
      <c r="QU290">
        <f>IF(OR(工程基本資料!$B$7="",工程基本資料!$B$7=0,工程基本資料!$B$8=""),0,MIN(1,MAX(0,(QU$1-工程基本資料!$B$8+1)/工程基本資料!$B$7)))</f>
        <v>0</v>
      </c>
      <c r="QV290">
        <f>IF(OR(工程基本資料!$B$7="",工程基本資料!$B$7=0,工程基本資料!$B$8=""),0,MIN(1,MAX(0,(QV$1-工程基本資料!$B$8+1)/工程基本資料!$B$7)))</f>
        <v>0</v>
      </c>
      <c r="QW290">
        <f>IF(OR(工程基本資料!$B$7="",工程基本資料!$B$7=0,工程基本資料!$B$8=""),0,MIN(1,MAX(0,(QW$1-工程基本資料!$B$8+1)/工程基本資料!$B$7)))</f>
        <v>0</v>
      </c>
      <c r="QX290">
        <f>IF(OR(工程基本資料!$B$7="",工程基本資料!$B$7=0,工程基本資料!$B$8=""),0,MIN(1,MAX(0,(QX$1-工程基本資料!$B$8+1)/工程基本資料!$B$7)))</f>
        <v>0</v>
      </c>
      <c r="QY290">
        <f>IF(OR(工程基本資料!$B$7="",工程基本資料!$B$7=0,工程基本資料!$B$8=""),0,MIN(1,MAX(0,(QY$1-工程基本資料!$B$8+1)/工程基本資料!$B$7)))</f>
        <v>0</v>
      </c>
      <c r="QZ290">
        <f>IF(OR(工程基本資料!$B$7="",工程基本資料!$B$7=0,工程基本資料!$B$8=""),0,MIN(1,MAX(0,(QZ$1-工程基本資料!$B$8+1)/工程基本資料!$B$7)))</f>
        <v>0</v>
      </c>
      <c r="RA290">
        <f>IF(OR(工程基本資料!$B$7="",工程基本資料!$B$7=0,工程基本資料!$B$8=""),0,MIN(1,MAX(0,(RA$1-工程基本資料!$B$8+1)/工程基本資料!$B$7)))</f>
        <v>0</v>
      </c>
      <c r="RB290">
        <f>IF(OR(工程基本資料!$B$7="",工程基本資料!$B$7=0,工程基本資料!$B$8=""),0,MIN(1,MAX(0,(RB$1-工程基本資料!$B$8+1)/工程基本資料!$B$7)))</f>
        <v>0</v>
      </c>
      <c r="RC290">
        <f>IF(OR(工程基本資料!$B$7="",工程基本資料!$B$7=0,工程基本資料!$B$8=""),0,MIN(1,MAX(0,(RC$1-工程基本資料!$B$8+1)/工程基本資料!$B$7)))</f>
        <v>0</v>
      </c>
      <c r="RD290">
        <f>IF(OR(工程基本資料!$B$7="",工程基本資料!$B$7=0,工程基本資料!$B$8=""),0,MIN(1,MAX(0,(RD$1-工程基本資料!$B$8+1)/工程基本資料!$B$7)))</f>
        <v>0</v>
      </c>
      <c r="RE290">
        <f>IF(OR(工程基本資料!$B$7="",工程基本資料!$B$7=0,工程基本資料!$B$8=""),0,MIN(1,MAX(0,(RE$1-工程基本資料!$B$8+1)/工程基本資料!$B$7)))</f>
        <v>0</v>
      </c>
      <c r="RF290">
        <f>IF(OR(工程基本資料!$B$7="",工程基本資料!$B$7=0,工程基本資料!$B$8=""),0,MIN(1,MAX(0,(RF$1-工程基本資料!$B$8+1)/工程基本資料!$B$7)))</f>
        <v>0</v>
      </c>
      <c r="RG290">
        <f>IF(OR(工程基本資料!$B$7="",工程基本資料!$B$7=0,工程基本資料!$B$8=""),0,MIN(1,MAX(0,(RG$1-工程基本資料!$B$8+1)/工程基本資料!$B$7)))</f>
        <v>0</v>
      </c>
      <c r="RH290">
        <f>IF(OR(工程基本資料!$B$7="",工程基本資料!$B$7=0,工程基本資料!$B$8=""),0,MIN(1,MAX(0,(RH$1-工程基本資料!$B$8+1)/工程基本資料!$B$7)))</f>
        <v>0</v>
      </c>
      <c r="RI290">
        <f>IF(OR(工程基本資料!$B$7="",工程基本資料!$B$7=0,工程基本資料!$B$8=""),0,MIN(1,MAX(0,(RI$1-工程基本資料!$B$8+1)/工程基本資料!$B$7)))</f>
        <v>0</v>
      </c>
      <c r="RJ290">
        <f>IF(OR(工程基本資料!$B$7="",工程基本資料!$B$7=0,工程基本資料!$B$8=""),0,MIN(1,MAX(0,(RJ$1-工程基本資料!$B$8+1)/工程基本資料!$B$7)))</f>
        <v>0</v>
      </c>
      <c r="RK290">
        <f>IF(OR(工程基本資料!$B$7="",工程基本資料!$B$7=0,工程基本資料!$B$8=""),0,MIN(1,MAX(0,(RK$1-工程基本資料!$B$8+1)/工程基本資料!$B$7)))</f>
        <v>0</v>
      </c>
      <c r="RL290">
        <f>IF(OR(工程基本資料!$B$7="",工程基本資料!$B$7=0,工程基本資料!$B$8=""),0,MIN(1,MAX(0,(RL$1-工程基本資料!$B$8+1)/工程基本資料!$B$7)))</f>
        <v>0</v>
      </c>
      <c r="RM290">
        <f>IF(OR(工程基本資料!$B$7="",工程基本資料!$B$7=0,工程基本資料!$B$8=""),0,MIN(1,MAX(0,(RM$1-工程基本資料!$B$8+1)/工程基本資料!$B$7)))</f>
        <v>0</v>
      </c>
      <c r="RN290">
        <f>IF(OR(工程基本資料!$B$7="",工程基本資料!$B$7=0,工程基本資料!$B$8=""),0,MIN(1,MAX(0,(RN$1-工程基本資料!$B$8+1)/工程基本資料!$B$7)))</f>
        <v>0</v>
      </c>
      <c r="RO290">
        <f>IF(OR(工程基本資料!$B$7="",工程基本資料!$B$7=0,工程基本資料!$B$8=""),0,MIN(1,MAX(0,(RO$1-工程基本資料!$B$8+1)/工程基本資料!$B$7)))</f>
        <v>0</v>
      </c>
      <c r="RP290">
        <f>IF(OR(工程基本資料!$B$7="",工程基本資料!$B$7=0,工程基本資料!$B$8=""),0,MIN(1,MAX(0,(RP$1-工程基本資料!$B$8+1)/工程基本資料!$B$7)))</f>
        <v>0</v>
      </c>
      <c r="RQ290">
        <f>IF(OR(工程基本資料!$B$7="",工程基本資料!$B$7=0,工程基本資料!$B$8=""),0,MIN(1,MAX(0,(RQ$1-工程基本資料!$B$8+1)/工程基本資料!$B$7)))</f>
        <v>0</v>
      </c>
      <c r="RR290">
        <f>IF(OR(工程基本資料!$B$7="",工程基本資料!$B$7=0,工程基本資料!$B$8=""),0,MIN(1,MAX(0,(RR$1-工程基本資料!$B$8+1)/工程基本資料!$B$7)))</f>
        <v>0</v>
      </c>
      <c r="RS290">
        <f>IF(OR(工程基本資料!$B$7="",工程基本資料!$B$7=0,工程基本資料!$B$8=""),0,MIN(1,MAX(0,(RS$1-工程基本資料!$B$8+1)/工程基本資料!$B$7)))</f>
        <v>0</v>
      </c>
      <c r="RT290">
        <f>IF(OR(工程基本資料!$B$7="",工程基本資料!$B$7=0,工程基本資料!$B$8=""),0,MIN(1,MAX(0,(RT$1-工程基本資料!$B$8+1)/工程基本資料!$B$7)))</f>
        <v>0</v>
      </c>
      <c r="RU290">
        <f>IF(OR(工程基本資料!$B$7="",工程基本資料!$B$7=0,工程基本資料!$B$8=""),0,MIN(1,MAX(0,(RU$1-工程基本資料!$B$8+1)/工程基本資料!$B$7)))</f>
        <v>0</v>
      </c>
      <c r="RV290">
        <f>IF(OR(工程基本資料!$B$7="",工程基本資料!$B$7=0,工程基本資料!$B$8=""),0,MIN(1,MAX(0,(RV$1-工程基本資料!$B$8+1)/工程基本資料!$B$7)))</f>
        <v>0</v>
      </c>
      <c r="RW290">
        <f>IF(OR(工程基本資料!$B$7="",工程基本資料!$B$7=0,工程基本資料!$B$8=""),0,MIN(1,MAX(0,(RW$1-工程基本資料!$B$8+1)/工程基本資料!$B$7)))</f>
        <v>0</v>
      </c>
      <c r="RX290">
        <f>IF(OR(工程基本資料!$B$7="",工程基本資料!$B$7=0,工程基本資料!$B$8=""),0,MIN(1,MAX(0,(RX$1-工程基本資料!$B$8+1)/工程基本資料!$B$7)))</f>
        <v>0</v>
      </c>
      <c r="RY290">
        <f>IF(OR(工程基本資料!$B$7="",工程基本資料!$B$7=0,工程基本資料!$B$8=""),0,MIN(1,MAX(0,(RY$1-工程基本資料!$B$8+1)/工程基本資料!$B$7)))</f>
        <v>0</v>
      </c>
      <c r="RZ290">
        <f>IF(OR(工程基本資料!$B$7="",工程基本資料!$B$7=0,工程基本資料!$B$8=""),0,MIN(1,MAX(0,(RZ$1-工程基本資料!$B$8+1)/工程基本資料!$B$7)))</f>
        <v>0</v>
      </c>
      <c r="SA290">
        <f>IF(OR(工程基本資料!$B$7="",工程基本資料!$B$7=0,工程基本資料!$B$8=""),0,MIN(1,MAX(0,(SA$1-工程基本資料!$B$8+1)/工程基本資料!$B$7)))</f>
        <v>0</v>
      </c>
      <c r="SB290">
        <f>IF(OR(工程基本資料!$B$7="",工程基本資料!$B$7=0,工程基本資料!$B$8=""),0,MIN(1,MAX(0,(SB$1-工程基本資料!$B$8+1)/工程基本資料!$B$7)))</f>
        <v>0</v>
      </c>
      <c r="SC290">
        <f>IF(OR(工程基本資料!$B$7="",工程基本資料!$B$7=0,工程基本資料!$B$8=""),0,MIN(1,MAX(0,(SC$1-工程基本資料!$B$8+1)/工程基本資料!$B$7)))</f>
        <v>0</v>
      </c>
      <c r="SD290">
        <f>IF(OR(工程基本資料!$B$7="",工程基本資料!$B$7=0,工程基本資料!$B$8=""),0,MIN(1,MAX(0,(SD$1-工程基本資料!$B$8+1)/工程基本資料!$B$7)))</f>
        <v>0</v>
      </c>
      <c r="SE290">
        <f>IF(OR(工程基本資料!$B$7="",工程基本資料!$B$7=0,工程基本資料!$B$8=""),0,MIN(1,MAX(0,(SE$1-工程基本資料!$B$8+1)/工程基本資料!$B$7)))</f>
        <v>0</v>
      </c>
      <c r="SF290">
        <f>IF(OR(工程基本資料!$B$7="",工程基本資料!$B$7=0,工程基本資料!$B$8=""),0,MIN(1,MAX(0,(SF$1-工程基本資料!$B$8+1)/工程基本資料!$B$7)))</f>
        <v>0</v>
      </c>
      <c r="SG290">
        <f>IF(OR(工程基本資料!$B$7="",工程基本資料!$B$7=0,工程基本資料!$B$8=""),0,MIN(1,MAX(0,(SG$1-工程基本資料!$B$8+1)/工程基本資料!$B$7)))</f>
        <v>0</v>
      </c>
      <c r="SH290">
        <f>IF(OR(工程基本資料!$B$7="",工程基本資料!$B$7=0,工程基本資料!$B$8=""),0,MIN(1,MAX(0,(SH$1-工程基本資料!$B$8+1)/工程基本資料!$B$7)))</f>
        <v>0</v>
      </c>
      <c r="SI290">
        <f>IF(OR(工程基本資料!$B$7="",工程基本資料!$B$7=0,工程基本資料!$B$8=""),0,MIN(1,MAX(0,(SI$1-工程基本資料!$B$8+1)/工程基本資料!$B$7)))</f>
        <v>0</v>
      </c>
      <c r="SJ290">
        <f>IF(OR(工程基本資料!$B$7="",工程基本資料!$B$7=0,工程基本資料!$B$8=""),0,MIN(1,MAX(0,(SJ$1-工程基本資料!$B$8+1)/工程基本資料!$B$7)))</f>
        <v>0</v>
      </c>
      <c r="SK290">
        <f>IF(OR(工程基本資料!$B$7="",工程基本資料!$B$7=0,工程基本資料!$B$8=""),0,MIN(1,MAX(0,(SK$1-工程基本資料!$B$8+1)/工程基本資料!$B$7)))</f>
        <v>0</v>
      </c>
      <c r="SL290">
        <f>IF(OR(工程基本資料!$B$7="",工程基本資料!$B$7=0,工程基本資料!$B$8=""),0,MIN(1,MAX(0,(SL$1-工程基本資料!$B$8+1)/工程基本資料!$B$7)))</f>
        <v>0</v>
      </c>
      <c r="SM290">
        <f>IF(OR(工程基本資料!$B$7="",工程基本資料!$B$7=0,工程基本資料!$B$8=""),0,MIN(1,MAX(0,(SM$1-工程基本資料!$B$8+1)/工程基本資料!$B$7)))</f>
        <v>0</v>
      </c>
      <c r="SN290">
        <f>IF(OR(工程基本資料!$B$7="",工程基本資料!$B$7=0,工程基本資料!$B$8=""),0,MIN(1,MAX(0,(SN$1-工程基本資料!$B$8+1)/工程基本資料!$B$7)))</f>
        <v>0</v>
      </c>
      <c r="SO290">
        <f>IF(OR(工程基本資料!$B$7="",工程基本資料!$B$7=0,工程基本資料!$B$8=""),0,MIN(1,MAX(0,(SO$1-工程基本資料!$B$8+1)/工程基本資料!$B$7)))</f>
        <v>0</v>
      </c>
      <c r="SP290">
        <f>IF(OR(工程基本資料!$B$7="",工程基本資料!$B$7=0,工程基本資料!$B$8=""),0,MIN(1,MAX(0,(SP$1-工程基本資料!$B$8+1)/工程基本資料!$B$7)))</f>
        <v>0</v>
      </c>
      <c r="SQ290">
        <f>IF(OR(工程基本資料!$B$7="",工程基本資料!$B$7=0,工程基本資料!$B$8=""),0,MIN(1,MAX(0,(SQ$1-工程基本資料!$B$8+1)/工程基本資料!$B$7)))</f>
        <v>0</v>
      </c>
      <c r="SR290">
        <f>IF(OR(工程基本資料!$B$7="",工程基本資料!$B$7=0,工程基本資料!$B$8=""),0,MIN(1,MAX(0,(SR$1-工程基本資料!$B$8+1)/工程基本資料!$B$7)))</f>
        <v>0</v>
      </c>
      <c r="SS290">
        <f>IF(OR(工程基本資料!$B$7="",工程基本資料!$B$7=0,工程基本資料!$B$8=""),0,MIN(1,MAX(0,(SS$1-工程基本資料!$B$8+1)/工程基本資料!$B$7)))</f>
        <v>0</v>
      </c>
      <c r="ST290">
        <f>IF(OR(工程基本資料!$B$7="",工程基本資料!$B$7=0,工程基本資料!$B$8=""),0,MIN(1,MAX(0,(ST$1-工程基本資料!$B$8+1)/工程基本資料!$B$7)))</f>
        <v>0</v>
      </c>
      <c r="SU290">
        <f>IF(OR(工程基本資料!$B$7="",工程基本資料!$B$7=0,工程基本資料!$B$8=""),0,MIN(1,MAX(0,(SU$1-工程基本資料!$B$8+1)/工程基本資料!$B$7)))</f>
        <v>0</v>
      </c>
      <c r="SV290">
        <f>IF(OR(工程基本資料!$B$7="",工程基本資料!$B$7=0,工程基本資料!$B$8=""),0,MIN(1,MAX(0,(SV$1-工程基本資料!$B$8+1)/工程基本資料!$B$7)))</f>
        <v>0</v>
      </c>
      <c r="SW290">
        <f>IF(OR(工程基本資料!$B$7="",工程基本資料!$B$7=0,工程基本資料!$B$8=""),0,MIN(1,MAX(0,(SW$1-工程基本資料!$B$8+1)/工程基本資料!$B$7)))</f>
        <v>0</v>
      </c>
      <c r="SX290">
        <f>IF(OR(工程基本資料!$B$7="",工程基本資料!$B$7=0,工程基本資料!$B$8=""),0,MIN(1,MAX(0,(SX$1-工程基本資料!$B$8+1)/工程基本資料!$B$7)))</f>
        <v>0</v>
      </c>
      <c r="SY290">
        <f>IF(OR(工程基本資料!$B$7="",工程基本資料!$B$7=0,工程基本資料!$B$8=""),0,MIN(1,MAX(0,(SY$1-工程基本資料!$B$8+1)/工程基本資料!$B$7)))</f>
        <v>0</v>
      </c>
      <c r="SZ290">
        <f>IF(OR(工程基本資料!$B$7="",工程基本資料!$B$7=0,工程基本資料!$B$8=""),0,MIN(1,MAX(0,(SZ$1-工程基本資料!$B$8+1)/工程基本資料!$B$7)))</f>
        <v>0</v>
      </c>
      <c r="TA290">
        <f>IF(OR(工程基本資料!$B$7="",工程基本資料!$B$7=0,工程基本資料!$B$8=""),0,MIN(1,MAX(0,(TA$1-工程基本資料!$B$8+1)/工程基本資料!$B$7)))</f>
        <v>0</v>
      </c>
      <c r="TB290">
        <f>IF(OR(工程基本資料!$B$7="",工程基本資料!$B$7=0,工程基本資料!$B$8=""),0,MIN(1,MAX(0,(TB$1-工程基本資料!$B$8+1)/工程基本資料!$B$7)))</f>
        <v>0</v>
      </c>
      <c r="TC290">
        <f>IF(OR(工程基本資料!$B$7="",工程基本資料!$B$7=0,工程基本資料!$B$8=""),0,MIN(1,MAX(0,(TC$1-工程基本資料!$B$8+1)/工程基本資料!$B$7)))</f>
        <v>0</v>
      </c>
      <c r="TD290">
        <f>IF(OR(工程基本資料!$B$7="",工程基本資料!$B$7=0,工程基本資料!$B$8=""),0,MIN(1,MAX(0,(TD$1-工程基本資料!$B$8+1)/工程基本資料!$B$7)))</f>
        <v>0</v>
      </c>
      <c r="TE290">
        <f>IF(OR(工程基本資料!$B$7="",工程基本資料!$B$7=0,工程基本資料!$B$8=""),0,MIN(1,MAX(0,(TE$1-工程基本資料!$B$8+1)/工程基本資料!$B$7)))</f>
        <v>0</v>
      </c>
      <c r="TF290">
        <f>IF(OR(工程基本資料!$B$7="",工程基本資料!$B$7=0,工程基本資料!$B$8=""),0,MIN(1,MAX(0,(TF$1-工程基本資料!$B$8+1)/工程基本資料!$B$7)))</f>
        <v>0</v>
      </c>
      <c r="TG290">
        <f>IF(OR(工程基本資料!$B$7="",工程基本資料!$B$7=0,工程基本資料!$B$8=""),0,MIN(1,MAX(0,(TG$1-工程基本資料!$B$8+1)/工程基本資料!$B$7)))</f>
        <v>0</v>
      </c>
      <c r="TH290">
        <f>IF(OR(工程基本資料!$B$7="",工程基本資料!$B$7=0,工程基本資料!$B$8=""),0,MIN(1,MAX(0,(TH$1-工程基本資料!$B$8+1)/工程基本資料!$B$7)))</f>
        <v>0</v>
      </c>
      <c r="TI290">
        <f>IF(OR(工程基本資料!$B$7="",工程基本資料!$B$7=0,工程基本資料!$B$8=""),0,MIN(1,MAX(0,(TI$1-工程基本資料!$B$8+1)/工程基本資料!$B$7)))</f>
        <v>0</v>
      </c>
      <c r="TJ290">
        <f>IF(OR(工程基本資料!$B$7="",工程基本資料!$B$7=0,工程基本資料!$B$8=""),0,MIN(1,MAX(0,(TJ$1-工程基本資料!$B$8+1)/工程基本資料!$B$7)))</f>
        <v>0</v>
      </c>
      <c r="TK290">
        <f>IF(OR(工程基本資料!$B$7="",工程基本資料!$B$7=0,工程基本資料!$B$8=""),0,MIN(1,MAX(0,(TK$1-工程基本資料!$B$8+1)/工程基本資料!$B$7)))</f>
        <v>0</v>
      </c>
      <c r="TL290">
        <f>IF(OR(工程基本資料!$B$7="",工程基本資料!$B$7=0,工程基本資料!$B$8=""),0,MIN(1,MAX(0,(TL$1-工程基本資料!$B$8+1)/工程基本資料!$B$7)))</f>
        <v>0</v>
      </c>
      <c r="TM290">
        <f>IF(OR(工程基本資料!$B$7="",工程基本資料!$B$7=0,工程基本資料!$B$8=""),0,MIN(1,MAX(0,(TM$1-工程基本資料!$B$8+1)/工程基本資料!$B$7)))</f>
        <v>0</v>
      </c>
      <c r="TN290">
        <f>IF(OR(工程基本資料!$B$7="",工程基本資料!$B$7=0,工程基本資料!$B$8=""),0,MIN(1,MAX(0,(TN$1-工程基本資料!$B$8+1)/工程基本資料!$B$7)))</f>
        <v>0</v>
      </c>
      <c r="TO290">
        <f>IF(OR(工程基本資料!$B$7="",工程基本資料!$B$7=0,工程基本資料!$B$8=""),0,MIN(1,MAX(0,(TO$1-工程基本資料!$B$8+1)/工程基本資料!$B$7)))</f>
        <v>0</v>
      </c>
      <c r="TP290">
        <f>IF(OR(工程基本資料!$B$7="",工程基本資料!$B$7=0,工程基本資料!$B$8=""),0,MIN(1,MAX(0,(TP$1-工程基本資料!$B$8+1)/工程基本資料!$B$7)))</f>
        <v>0</v>
      </c>
      <c r="TQ290">
        <f>IF(OR(工程基本資料!$B$7="",工程基本資料!$B$7=0,工程基本資料!$B$8=""),0,MIN(1,MAX(0,(TQ$1-工程基本資料!$B$8+1)/工程基本資料!$B$7)))</f>
        <v>0</v>
      </c>
      <c r="TR290">
        <f>IF(OR(工程基本資料!$B$7="",工程基本資料!$B$7=0,工程基本資料!$B$8=""),0,MIN(1,MAX(0,(TR$1-工程基本資料!$B$8+1)/工程基本資料!$B$7)))</f>
        <v>0</v>
      </c>
      <c r="TS290">
        <f>IF(OR(工程基本資料!$B$7="",工程基本資料!$B$7=0,工程基本資料!$B$8=""),0,MIN(1,MAX(0,(TS$1-工程基本資料!$B$8+1)/工程基本資料!$B$7)))</f>
        <v>0</v>
      </c>
      <c r="TT290">
        <f>IF(OR(工程基本資料!$B$7="",工程基本資料!$B$7=0,工程基本資料!$B$8=""),0,MIN(1,MAX(0,(TT$1-工程基本資料!$B$8+1)/工程基本資料!$B$7)))</f>
        <v>0</v>
      </c>
      <c r="TU290">
        <f>IF(OR(工程基本資料!$B$7="",工程基本資料!$B$7=0,工程基本資料!$B$8=""),0,MIN(1,MAX(0,(TU$1-工程基本資料!$B$8+1)/工程基本資料!$B$7)))</f>
        <v>0</v>
      </c>
      <c r="TV290">
        <f>IF(OR(工程基本資料!$B$7="",工程基本資料!$B$7=0,工程基本資料!$B$8=""),0,MIN(1,MAX(0,(TV$1-工程基本資料!$B$8+1)/工程基本資料!$B$7)))</f>
        <v>0</v>
      </c>
      <c r="TW290">
        <f>IF(OR(工程基本資料!$B$7="",工程基本資料!$B$7=0,工程基本資料!$B$8=""),0,MIN(1,MAX(0,(TW$1-工程基本資料!$B$8+1)/工程基本資料!$B$7)))</f>
        <v>0</v>
      </c>
      <c r="TX290">
        <f>IF(OR(工程基本資料!$B$7="",工程基本資料!$B$7=0,工程基本資料!$B$8=""),0,MIN(1,MAX(0,(TX$1-工程基本資料!$B$8+1)/工程基本資料!$B$7)))</f>
        <v>0</v>
      </c>
      <c r="TY290">
        <f>IF(OR(工程基本資料!$B$7="",工程基本資料!$B$7=0,工程基本資料!$B$8=""),0,MIN(1,MAX(0,(TY$1-工程基本資料!$B$8+1)/工程基本資料!$B$7)))</f>
        <v>0</v>
      </c>
      <c r="TZ290">
        <f>IF(OR(工程基本資料!$B$7="",工程基本資料!$B$7=0,工程基本資料!$B$8=""),0,MIN(1,MAX(0,(TZ$1-工程基本資料!$B$8+1)/工程基本資料!$B$7)))</f>
        <v>0</v>
      </c>
      <c r="UA290">
        <f>IF(OR(工程基本資料!$B$7="",工程基本資料!$B$7=0,工程基本資料!$B$8=""),0,MIN(1,MAX(0,(UA$1-工程基本資料!$B$8+1)/工程基本資料!$B$7)))</f>
        <v>0</v>
      </c>
      <c r="UB290">
        <f>IF(OR(工程基本資料!$B$7="",工程基本資料!$B$7=0,工程基本資料!$B$8=""),0,MIN(1,MAX(0,(UB$1-工程基本資料!$B$8+1)/工程基本資料!$B$7)))</f>
        <v>0</v>
      </c>
      <c r="UC290">
        <f>IF(OR(工程基本資料!$B$7="",工程基本資料!$B$7=0,工程基本資料!$B$8=""),0,MIN(1,MAX(0,(UC$1-工程基本資料!$B$8+1)/工程基本資料!$B$7)))</f>
        <v>0</v>
      </c>
      <c r="UD290">
        <f>IF(OR(工程基本資料!$B$7="",工程基本資料!$B$7=0,工程基本資料!$B$8=""),0,MIN(1,MAX(0,(UD$1-工程基本資料!$B$8+1)/工程基本資料!$B$7)))</f>
        <v>0</v>
      </c>
      <c r="UE290">
        <f>IF(OR(工程基本資料!$B$7="",工程基本資料!$B$7=0,工程基本資料!$B$8=""),0,MIN(1,MAX(0,(UE$1-工程基本資料!$B$8+1)/工程基本資料!$B$7)))</f>
        <v>0</v>
      </c>
      <c r="UF290">
        <f>IF(OR(工程基本資料!$B$7="",工程基本資料!$B$7=0,工程基本資料!$B$8=""),0,MIN(1,MAX(0,(UF$1-工程基本資料!$B$8+1)/工程基本資料!$B$7)))</f>
        <v>0</v>
      </c>
      <c r="UG290">
        <f>IF(OR(工程基本資料!$B$7="",工程基本資料!$B$7=0,工程基本資料!$B$8=""),0,MIN(1,MAX(0,(UG$1-工程基本資料!$B$8+1)/工程基本資料!$B$7)))</f>
        <v>0</v>
      </c>
      <c r="UH290">
        <f>IF(OR(工程基本資料!$B$7="",工程基本資料!$B$7=0,工程基本資料!$B$8=""),0,MIN(1,MAX(0,(UH$1-工程基本資料!$B$8+1)/工程基本資料!$B$7)))</f>
        <v>0</v>
      </c>
      <c r="UI290">
        <f>IF(OR(工程基本資料!$B$7="",工程基本資料!$B$7=0,工程基本資料!$B$8=""),0,MIN(1,MAX(0,(UI$1-工程基本資料!$B$8+1)/工程基本資料!$B$7)))</f>
        <v>0</v>
      </c>
      <c r="UJ290">
        <f>IF(OR(工程基本資料!$B$7="",工程基本資料!$B$7=0,工程基本資料!$B$8=""),0,MIN(1,MAX(0,(UJ$1-工程基本資料!$B$8+1)/工程基本資料!$B$7)))</f>
        <v>0</v>
      </c>
      <c r="UK290">
        <f>IF(OR(工程基本資料!$B$7="",工程基本資料!$B$7=0,工程基本資料!$B$8=""),0,MIN(1,MAX(0,(UK$1-工程基本資料!$B$8+1)/工程基本資料!$B$7)))</f>
        <v>0</v>
      </c>
      <c r="UL290">
        <f>IF(OR(工程基本資料!$B$7="",工程基本資料!$B$7=0,工程基本資料!$B$8=""),0,MIN(1,MAX(0,(UL$1-工程基本資料!$B$8+1)/工程基本資料!$B$7)))</f>
        <v>0</v>
      </c>
      <c r="UM290">
        <f>IF(OR(工程基本資料!$B$7="",工程基本資料!$B$7=0,工程基本資料!$B$8=""),0,MIN(1,MAX(0,(UM$1-工程基本資料!$B$8+1)/工程基本資料!$B$7)))</f>
        <v>0</v>
      </c>
      <c r="UN290">
        <f>IF(OR(工程基本資料!$B$7="",工程基本資料!$B$7=0,工程基本資料!$B$8=""),0,MIN(1,MAX(0,(UN$1-工程基本資料!$B$8+1)/工程基本資料!$B$7)))</f>
        <v>0</v>
      </c>
      <c r="UO290">
        <f>IF(OR(工程基本資料!$B$7="",工程基本資料!$B$7=0,工程基本資料!$B$8=""),0,MIN(1,MAX(0,(UO$1-工程基本資料!$B$8+1)/工程基本資料!$B$7)))</f>
        <v>0</v>
      </c>
      <c r="UP290">
        <f>IF(OR(工程基本資料!$B$7="",工程基本資料!$B$7=0,工程基本資料!$B$8=""),0,MIN(1,MAX(0,(UP$1-工程基本資料!$B$8+1)/工程基本資料!$B$7)))</f>
        <v>0</v>
      </c>
      <c r="UQ290">
        <f>IF(OR(工程基本資料!$B$7="",工程基本資料!$B$7=0,工程基本資料!$B$8=""),0,MIN(1,MAX(0,(UQ$1-工程基本資料!$B$8+1)/工程基本資料!$B$7)))</f>
        <v>0</v>
      </c>
      <c r="UR290">
        <f>IF(OR(工程基本資料!$B$7="",工程基本資料!$B$7=0,工程基本資料!$B$8=""),0,MIN(1,MAX(0,(UR$1-工程基本資料!$B$8+1)/工程基本資料!$B$7)))</f>
        <v>0</v>
      </c>
      <c r="US290">
        <f>IF(OR(工程基本資料!$B$7="",工程基本資料!$B$7=0,工程基本資料!$B$8=""),0,MIN(1,MAX(0,(US$1-工程基本資料!$B$8+1)/工程基本資料!$B$7)))</f>
        <v>0</v>
      </c>
      <c r="UT290">
        <f>IF(OR(工程基本資料!$B$7="",工程基本資料!$B$7=0,工程基本資料!$B$8=""),0,MIN(1,MAX(0,(UT$1-工程基本資料!$B$8+1)/工程基本資料!$B$7)))</f>
        <v>0</v>
      </c>
      <c r="UU290">
        <f>IF(OR(工程基本資料!$B$7="",工程基本資料!$B$7=0,工程基本資料!$B$8=""),0,MIN(1,MAX(0,(UU$1-工程基本資料!$B$8+1)/工程基本資料!$B$7)))</f>
        <v>0</v>
      </c>
      <c r="UV290">
        <f>IF(OR(工程基本資料!$B$7="",工程基本資料!$B$7=0,工程基本資料!$B$8=""),0,MIN(1,MAX(0,(UV$1-工程基本資料!$B$8+1)/工程基本資料!$B$7)))</f>
        <v>0</v>
      </c>
      <c r="UW290">
        <f>IF(OR(工程基本資料!$B$7="",工程基本資料!$B$7=0,工程基本資料!$B$8=""),0,MIN(1,MAX(0,(UW$1-工程基本資料!$B$8+1)/工程基本資料!$B$7)))</f>
        <v>0</v>
      </c>
      <c r="UX290">
        <f>IF(OR(工程基本資料!$B$7="",工程基本資料!$B$7=0,工程基本資料!$B$8=""),0,MIN(1,MAX(0,(UX$1-工程基本資料!$B$8+1)/工程基本資料!$B$7)))</f>
        <v>0</v>
      </c>
      <c r="UY290">
        <f>IF(OR(工程基本資料!$B$7="",工程基本資料!$B$7=0,工程基本資料!$B$8=""),0,MIN(1,MAX(0,(UY$1-工程基本資料!$B$8+1)/工程基本資料!$B$7)))</f>
        <v>0</v>
      </c>
      <c r="UZ290">
        <f>IF(OR(工程基本資料!$B$7="",工程基本資料!$B$7=0,工程基本資料!$B$8=""),0,MIN(1,MAX(0,(UZ$1-工程基本資料!$B$8+1)/工程基本資料!$B$7)))</f>
        <v>0</v>
      </c>
      <c r="VA290">
        <f>IF(OR(工程基本資料!$B$7="",工程基本資料!$B$7=0,工程基本資料!$B$8=""),0,MIN(1,MAX(0,(VA$1-工程基本資料!$B$8+1)/工程基本資料!$B$7)))</f>
        <v>0</v>
      </c>
      <c r="VB290">
        <f>IF(OR(工程基本資料!$B$7="",工程基本資料!$B$7=0,工程基本資料!$B$8=""),0,MIN(1,MAX(0,(VB$1-工程基本資料!$B$8+1)/工程基本資料!$B$7)))</f>
        <v>0</v>
      </c>
      <c r="VC290">
        <f>IF(OR(工程基本資料!$B$7="",工程基本資料!$B$7=0,工程基本資料!$B$8=""),0,MIN(1,MAX(0,(VC$1-工程基本資料!$B$8+1)/工程基本資料!$B$7)))</f>
        <v>0</v>
      </c>
      <c r="VD290">
        <f>IF(OR(工程基本資料!$B$7="",工程基本資料!$B$7=0,工程基本資料!$B$8=""),0,MIN(1,MAX(0,(VD$1-工程基本資料!$B$8+1)/工程基本資料!$B$7)))</f>
        <v>0</v>
      </c>
      <c r="VE290">
        <f>IF(OR(工程基本資料!$B$7="",工程基本資料!$B$7=0,工程基本資料!$B$8=""),0,MIN(1,MAX(0,(VE$1-工程基本資料!$B$8+1)/工程基本資料!$B$7)))</f>
        <v>0</v>
      </c>
      <c r="VF290">
        <f>IF(OR(工程基本資料!$B$7="",工程基本資料!$B$7=0,工程基本資料!$B$8=""),0,MIN(1,MAX(0,(VF$1-工程基本資料!$B$8+1)/工程基本資料!$B$7)))</f>
        <v>0</v>
      </c>
      <c r="VG290">
        <f>IF(OR(工程基本資料!$B$7="",工程基本資料!$B$7=0,工程基本資料!$B$8=""),0,MIN(1,MAX(0,(VG$1-工程基本資料!$B$8+1)/工程基本資料!$B$7)))</f>
        <v>0</v>
      </c>
      <c r="VH290">
        <f>IF(OR(工程基本資料!$B$7="",工程基本資料!$B$7=0,工程基本資料!$B$8=""),0,MIN(1,MAX(0,(VH$1-工程基本資料!$B$8+1)/工程基本資料!$B$7)))</f>
        <v>0</v>
      </c>
      <c r="VI290">
        <f>IF(OR(工程基本資料!$B$7="",工程基本資料!$B$7=0,工程基本資料!$B$8=""),0,MIN(1,MAX(0,(VI$1-工程基本資料!$B$8+1)/工程基本資料!$B$7)))</f>
        <v>0</v>
      </c>
      <c r="VJ290">
        <f>IF(OR(工程基本資料!$B$7="",工程基本資料!$B$7=0,工程基本資料!$B$8=""),0,MIN(1,MAX(0,(VJ$1-工程基本資料!$B$8+1)/工程基本資料!$B$7)))</f>
        <v>0</v>
      </c>
      <c r="VK290">
        <f>IF(OR(工程基本資料!$B$7="",工程基本資料!$B$7=0,工程基本資料!$B$8=""),0,MIN(1,MAX(0,(VK$1-工程基本資料!$B$8+1)/工程基本資料!$B$7)))</f>
        <v>0</v>
      </c>
      <c r="VL290">
        <f>IF(OR(工程基本資料!$B$7="",工程基本資料!$B$7=0,工程基本資料!$B$8=""),0,MIN(1,MAX(0,(VL$1-工程基本資料!$B$8+1)/工程基本資料!$B$7)))</f>
        <v>0</v>
      </c>
      <c r="VM290">
        <f>IF(OR(工程基本資料!$B$7="",工程基本資料!$B$7=0,工程基本資料!$B$8=""),0,MIN(1,MAX(0,(VM$1-工程基本資料!$B$8+1)/工程基本資料!$B$7)))</f>
        <v>0</v>
      </c>
      <c r="VN290">
        <f>IF(OR(工程基本資料!$B$7="",工程基本資料!$B$7=0,工程基本資料!$B$8=""),0,MIN(1,MAX(0,(VN$1-工程基本資料!$B$8+1)/工程基本資料!$B$7)))</f>
        <v>0</v>
      </c>
      <c r="VO290">
        <f>IF(OR(工程基本資料!$B$7="",工程基本資料!$B$7=0,工程基本資料!$B$8=""),0,MIN(1,MAX(0,(VO$1-工程基本資料!$B$8+1)/工程基本資料!$B$7)))</f>
        <v>0</v>
      </c>
      <c r="VP290">
        <f>IF(OR(工程基本資料!$B$7="",工程基本資料!$B$7=0,工程基本資料!$B$8=""),0,MIN(1,MAX(0,(VP$1-工程基本資料!$B$8+1)/工程基本資料!$B$7)))</f>
        <v>0</v>
      </c>
      <c r="VQ290">
        <f>IF(OR(工程基本資料!$B$7="",工程基本資料!$B$7=0,工程基本資料!$B$8=""),0,MIN(1,MAX(0,(VQ$1-工程基本資料!$B$8+1)/工程基本資料!$B$7)))</f>
        <v>0</v>
      </c>
      <c r="VR290">
        <f>IF(OR(工程基本資料!$B$7="",工程基本資料!$B$7=0,工程基本資料!$B$8=""),0,MIN(1,MAX(0,(VR$1-工程基本資料!$B$8+1)/工程基本資料!$B$7)))</f>
        <v>0</v>
      </c>
      <c r="VS290">
        <f>IF(OR(工程基本資料!$B$7="",工程基本資料!$B$7=0,工程基本資料!$B$8=""),0,MIN(1,MAX(0,(VS$1-工程基本資料!$B$8+1)/工程基本資料!$B$7)))</f>
        <v>0</v>
      </c>
      <c r="VT290">
        <f>IF(OR(工程基本資料!$B$7="",工程基本資料!$B$7=0,工程基本資料!$B$8=""),0,MIN(1,MAX(0,(VT$1-工程基本資料!$B$8+1)/工程基本資料!$B$7)))</f>
        <v>0</v>
      </c>
      <c r="VU290">
        <f>IF(OR(工程基本資料!$B$7="",工程基本資料!$B$7=0,工程基本資料!$B$8=""),0,MIN(1,MAX(0,(VU$1-工程基本資料!$B$8+1)/工程基本資料!$B$7)))</f>
        <v>0</v>
      </c>
      <c r="VV290">
        <f>IF(OR(工程基本資料!$B$7="",工程基本資料!$B$7=0,工程基本資料!$B$8=""),0,MIN(1,MAX(0,(VV$1-工程基本資料!$B$8+1)/工程基本資料!$B$7)))</f>
        <v>0</v>
      </c>
      <c r="VW290">
        <f>IF(OR(工程基本資料!$B$7="",工程基本資料!$B$7=0,工程基本資料!$B$8=""),0,MIN(1,MAX(0,(VW$1-工程基本資料!$B$8+1)/工程基本資料!$B$7)))</f>
        <v>0</v>
      </c>
      <c r="VX290">
        <f>IF(OR(工程基本資料!$B$7="",工程基本資料!$B$7=0,工程基本資料!$B$8=""),0,MIN(1,MAX(0,(VX$1-工程基本資料!$B$8+1)/工程基本資料!$B$7)))</f>
        <v>0</v>
      </c>
      <c r="VY290">
        <f>IF(OR(工程基本資料!$B$7="",工程基本資料!$B$7=0,工程基本資料!$B$8=""),0,MIN(1,MAX(0,(VY$1-工程基本資料!$B$8+1)/工程基本資料!$B$7)))</f>
        <v>0</v>
      </c>
      <c r="VZ290">
        <f>IF(OR(工程基本資料!$B$7="",工程基本資料!$B$7=0,工程基本資料!$B$8=""),0,MIN(1,MAX(0,(VZ$1-工程基本資料!$B$8+1)/工程基本資料!$B$7)))</f>
        <v>0</v>
      </c>
      <c r="WA290">
        <f>IF(OR(工程基本資料!$B$7="",工程基本資料!$B$7=0,工程基本資料!$B$8=""),0,MIN(1,MAX(0,(WA$1-工程基本資料!$B$8+1)/工程基本資料!$B$7)))</f>
        <v>0</v>
      </c>
      <c r="WB290">
        <f>IF(OR(工程基本資料!$B$7="",工程基本資料!$B$7=0,工程基本資料!$B$8=""),0,MIN(1,MAX(0,(WB$1-工程基本資料!$B$8+1)/工程基本資料!$B$7)))</f>
        <v>0</v>
      </c>
      <c r="WC290">
        <f>IF(OR(工程基本資料!$B$7="",工程基本資料!$B$7=0,工程基本資料!$B$8=""),0,MIN(1,MAX(0,(WC$1-工程基本資料!$B$8+1)/工程基本資料!$B$7)))</f>
        <v>0</v>
      </c>
      <c r="WD290">
        <f>IF(OR(工程基本資料!$B$7="",工程基本資料!$B$7=0,工程基本資料!$B$8=""),0,MIN(1,MAX(0,(WD$1-工程基本資料!$B$8+1)/工程基本資料!$B$7)))</f>
        <v>0</v>
      </c>
      <c r="WE290">
        <f>IF(OR(工程基本資料!$B$7="",工程基本資料!$B$7=0,工程基本資料!$B$8=""),0,MIN(1,MAX(0,(WE$1-工程基本資料!$B$8+1)/工程基本資料!$B$7)))</f>
        <v>0</v>
      </c>
      <c r="WF290">
        <f>IF(OR(工程基本資料!$B$7="",工程基本資料!$B$7=0,工程基本資料!$B$8=""),0,MIN(1,MAX(0,(WF$1-工程基本資料!$B$8+1)/工程基本資料!$B$7)))</f>
        <v>0</v>
      </c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2026-08-11T01:03:53Z</dcterms:modified>
</cp:coreProperties>
</file>