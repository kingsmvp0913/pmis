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gs\AppData\Local\Temp\"/>
    </mc:Choice>
  </mc:AlternateContent>
  <xr:revisionPtr revIDLastSave="0" documentId="8_{0460E6EF-504D-4E43-B141-F0B7D1AA1E0A}" xr6:coauthVersionLast="47" xr6:coauthVersionMax="47" xr10:uidLastSave="{00000000-0000-0000-0000-000000000000}"/>
  <bookViews>
    <workbookView xWindow="-108" yWindow="-108" windowWidth="23256" windowHeight="12456" tabRatio="652" firstSheet="2" activeTab="5" xr2:uid="{00000000-000D-0000-FFFF-FFFF00000000}"/>
  </bookViews>
  <sheets>
    <sheet name="封面" sheetId="7" r:id="rId1"/>
    <sheet name="封面 (2)" sheetId="25" r:id="rId2"/>
    <sheet name="監造報表" sheetId="24" r:id="rId3"/>
    <sheet name="工程基本資料" sheetId="10" r:id="rId4"/>
    <sheet name="契約詳細價目表" sheetId="12" r:id="rId5"/>
    <sheet name="監造內容" sheetId="13" r:id="rId6"/>
    <sheet name="每日施工紀錄" sheetId="14" r:id="rId7"/>
  </sheets>
  <externalReferences>
    <externalReference r:id="rId8"/>
  </externalReferences>
  <definedNames>
    <definedName name="_xlnm.Print_Area" localSheetId="3">工程基本資料!$A$1:$C$10</definedName>
    <definedName name="_xlnm.Print_Area" localSheetId="6">每日施工紀錄!$A$1:$WF$289</definedName>
    <definedName name="_xlnm.Print_Area" localSheetId="4">契約詳細價目表!$A$1:$F$283</definedName>
    <definedName name="_xlnm.Print_Area" localSheetId="0">封面!$A$1:$I$28</definedName>
    <definedName name="_xlnm.Print_Area" localSheetId="1">'封面 (2)'!$A$1:$I$28</definedName>
    <definedName name="_xlnm.Print_Area" localSheetId="5">監造內容!$A$1:$P$763</definedName>
    <definedName name="_xlnm.Print_Area" localSheetId="2">監造報表!$A$1:$J$49</definedName>
    <definedName name="_xlnm.Print_Titles" localSheetId="2">監造報表!$1:$7</definedName>
    <definedName name="Quantity">'[1]Project detail table'!$4:$32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4" l="1"/>
  <c r="G40" i="24"/>
  <c r="B40" i="24"/>
  <c r="A40" i="24"/>
  <c r="H39" i="24"/>
  <c r="G39" i="24"/>
  <c r="B39" i="24"/>
  <c r="A39" i="24"/>
  <c r="H38" i="24"/>
  <c r="G38" i="24"/>
  <c r="B38" i="24"/>
  <c r="A38" i="24"/>
  <c r="H37" i="24"/>
  <c r="G37" i="24"/>
  <c r="B37" i="24"/>
  <c r="A37" i="24"/>
  <c r="H36" i="24"/>
  <c r="G36" i="24"/>
  <c r="B36" i="24"/>
  <c r="A36" i="24"/>
  <c r="H35" i="24"/>
  <c r="G35" i="24"/>
  <c r="B35" i="24"/>
  <c r="A35" i="24"/>
  <c r="H34" i="24"/>
  <c r="G34" i="24"/>
  <c r="B34" i="24"/>
  <c r="A34" i="24"/>
  <c r="H33" i="24"/>
  <c r="G33" i="24"/>
  <c r="B33" i="24"/>
  <c r="A33" i="24"/>
  <c r="H32" i="24"/>
  <c r="G32" i="24"/>
  <c r="B32" i="24"/>
  <c r="A32" i="24"/>
  <c r="H31" i="24"/>
  <c r="G31" i="24"/>
  <c r="B31" i="24"/>
  <c r="A31" i="24"/>
  <c r="H30" i="24"/>
  <c r="G30" i="24"/>
  <c r="B30" i="24"/>
  <c r="A30" i="24"/>
  <c r="H29" i="24"/>
  <c r="G29" i="24"/>
  <c r="B29" i="24"/>
  <c r="A29" i="24"/>
  <c r="H28" i="24"/>
  <c r="G28" i="24"/>
  <c r="B28" i="24"/>
  <c r="A28" i="24"/>
  <c r="H27" i="24"/>
  <c r="G27" i="24"/>
  <c r="B27" i="24"/>
  <c r="A27" i="24"/>
  <c r="H26" i="24"/>
  <c r="G26" i="24"/>
  <c r="B26" i="24"/>
  <c r="A26" i="24"/>
  <c r="H25" i="24"/>
  <c r="G25" i="24"/>
  <c r="B25" i="24"/>
  <c r="A25" i="24"/>
  <c r="H24" i="24"/>
  <c r="G24" i="24"/>
  <c r="B24" i="24"/>
  <c r="A24" i="24"/>
  <c r="H23" i="24"/>
  <c r="G23" i="24"/>
  <c r="B23" i="24"/>
  <c r="A23" i="24"/>
  <c r="H22" i="24"/>
  <c r="G22" i="24"/>
  <c r="B22" i="24"/>
  <c r="A22" i="24"/>
  <c r="H21" i="24"/>
  <c r="G21" i="24"/>
  <c r="B21" i="24"/>
  <c r="A21" i="24"/>
  <c r="H20" i="24"/>
  <c r="G20" i="24"/>
  <c r="B20" i="24"/>
  <c r="A20" i="24"/>
  <c r="H19" i="24"/>
  <c r="G19" i="24"/>
  <c r="B19" i="24"/>
  <c r="A19" i="24"/>
  <c r="H18" i="24"/>
  <c r="G18" i="24"/>
  <c r="B18" i="24"/>
  <c r="A18" i="24"/>
  <c r="H17" i="24"/>
  <c r="G17" i="24"/>
  <c r="B17" i="24"/>
  <c r="A17" i="24"/>
  <c r="H16" i="24"/>
  <c r="G16" i="24"/>
  <c r="B16" i="24"/>
  <c r="A16" i="24"/>
  <c r="H15" i="24"/>
  <c r="G15" i="24"/>
  <c r="B15" i="24"/>
  <c r="A15" i="24"/>
  <c r="H14" i="24"/>
  <c r="G14" i="24"/>
  <c r="B14" i="24"/>
  <c r="A14" i="24"/>
  <c r="H13" i="24"/>
  <c r="G13" i="24"/>
  <c r="B13" i="24"/>
  <c r="A13" i="24"/>
  <c r="H12" i="24"/>
  <c r="G12" i="24"/>
  <c r="B12" i="24"/>
  <c r="A12" i="24"/>
  <c r="H11" i="24"/>
  <c r="G11" i="24"/>
  <c r="B11" i="24"/>
  <c r="A11" i="24"/>
  <c r="H10" i="24"/>
  <c r="G10" i="24"/>
  <c r="B10" i="24"/>
  <c r="A10" i="24"/>
  <c r="D37" i="14"/>
  <c r="C37" i="14"/>
  <c r="B37" i="14"/>
  <c r="A37" i="14"/>
  <c r="D36" i="14"/>
  <c r="C36" i="14"/>
  <c r="B36" i="14"/>
  <c r="A36" i="14"/>
  <c r="D35" i="14"/>
  <c r="C35" i="14"/>
  <c r="B35" i="14"/>
  <c r="A35" i="14"/>
  <c r="D34" i="14"/>
  <c r="C34" i="14"/>
  <c r="B34" i="14"/>
  <c r="A34" i="14"/>
  <c r="D33" i="14"/>
  <c r="C33" i="14"/>
  <c r="B33" i="14"/>
  <c r="A33" i="14"/>
  <c r="F32" i="14"/>
  <c r="E32" i="14"/>
  <c r="D32" i="14"/>
  <c r="C32" i="14"/>
  <c r="B32" i="14"/>
  <c r="A32" i="14"/>
  <c r="F31" i="14"/>
  <c r="E31" i="14"/>
  <c r="D31" i="14"/>
  <c r="C31" i="14"/>
  <c r="B31" i="14"/>
  <c r="A31" i="14"/>
  <c r="F30" i="14"/>
  <c r="E30" i="14"/>
  <c r="D30" i="14"/>
  <c r="C30" i="14"/>
  <c r="B30" i="14"/>
  <c r="A30" i="14"/>
  <c r="F29" i="14"/>
  <c r="E29" i="14"/>
  <c r="D29" i="14"/>
  <c r="C29" i="14"/>
  <c r="B29" i="14"/>
  <c r="A29" i="14"/>
  <c r="F28" i="14"/>
  <c r="E28" i="14"/>
  <c r="D28" i="14"/>
  <c r="C28" i="14"/>
  <c r="B28" i="14"/>
  <c r="A28" i="14"/>
  <c r="F27" i="14"/>
  <c r="E27" i="14"/>
  <c r="D27" i="14"/>
  <c r="C27" i="14"/>
  <c r="B27" i="14"/>
  <c r="A27" i="14"/>
  <c r="F26" i="14"/>
  <c r="E26" i="14"/>
  <c r="D26" i="14"/>
  <c r="C26" i="14"/>
  <c r="B26" i="14"/>
  <c r="A26" i="14"/>
  <c r="F25" i="14"/>
  <c r="E25" i="14"/>
  <c r="D25" i="14"/>
  <c r="C25" i="14"/>
  <c r="B25" i="14"/>
  <c r="A25" i="14"/>
  <c r="F24" i="14"/>
  <c r="E24" i="14"/>
  <c r="D24" i="14"/>
  <c r="C24" i="14"/>
  <c r="B24" i="14"/>
  <c r="A24" i="14"/>
  <c r="F23" i="14"/>
  <c r="E23" i="14"/>
  <c r="D23" i="14"/>
  <c r="C23" i="14"/>
  <c r="B23" i="14"/>
  <c r="A23" i="14"/>
  <c r="F22" i="14"/>
  <c r="E22" i="14"/>
  <c r="D22" i="14"/>
  <c r="C22" i="14"/>
  <c r="B22" i="14"/>
  <c r="A22" i="14"/>
  <c r="E21" i="14"/>
  <c r="D21" i="14"/>
  <c r="C21" i="14"/>
  <c r="B21" i="14"/>
  <c r="A21" i="14"/>
  <c r="E20" i="14"/>
  <c r="D20" i="14"/>
  <c r="C20" i="14"/>
  <c r="B20" i="14"/>
  <c r="A20" i="14"/>
  <c r="E19" i="14"/>
  <c r="D19" i="14"/>
  <c r="C19" i="14"/>
  <c r="B19" i="14"/>
  <c r="A19" i="14"/>
  <c r="E18" i="14"/>
  <c r="D18" i="14"/>
  <c r="C18" i="14"/>
  <c r="B18" i="14"/>
  <c r="A18" i="14"/>
  <c r="E17" i="14"/>
  <c r="D17" i="14"/>
  <c r="C17" i="14"/>
  <c r="B17" i="14"/>
  <c r="A17" i="14"/>
  <c r="E16" i="14"/>
  <c r="D16" i="14"/>
  <c r="C16" i="14"/>
  <c r="B16" i="14"/>
  <c r="A16" i="14"/>
  <c r="E15" i="14"/>
  <c r="D15" i="14"/>
  <c r="C15" i="14"/>
  <c r="B15" i="14"/>
  <c r="A15" i="14"/>
  <c r="E14" i="14"/>
  <c r="D14" i="14"/>
  <c r="C14" i="14"/>
  <c r="B14" i="14"/>
  <c r="A14" i="14"/>
  <c r="E13" i="14"/>
  <c r="D13" i="14"/>
  <c r="C13" i="14"/>
  <c r="B13" i="14"/>
  <c r="A13" i="14"/>
  <c r="E12" i="14"/>
  <c r="D12" i="14"/>
  <c r="C12" i="14"/>
  <c r="B12" i="14"/>
  <c r="A12" i="14"/>
  <c r="E11" i="14"/>
  <c r="D11" i="14"/>
  <c r="C11" i="14"/>
  <c r="B11" i="14"/>
  <c r="A11" i="14"/>
  <c r="E10" i="14"/>
  <c r="D10" i="14"/>
  <c r="C10" i="14"/>
  <c r="B10" i="14"/>
  <c r="A10" i="14"/>
  <c r="E9" i="14"/>
  <c r="D9" i="14"/>
  <c r="C9" i="14"/>
  <c r="B9" i="14"/>
  <c r="A9" i="14"/>
  <c r="E8" i="14"/>
  <c r="D8" i="14"/>
  <c r="C8" i="14"/>
  <c r="B8" i="14"/>
  <c r="A8" i="14"/>
  <c r="E7" i="14"/>
  <c r="D7" i="14"/>
  <c r="C7" i="14"/>
  <c r="B7" i="14"/>
  <c r="A7" i="14"/>
  <c r="E6" i="14"/>
  <c r="D6" i="14"/>
  <c r="C6" i="14"/>
  <c r="B6" i="14"/>
  <c r="A6" i="14"/>
  <c r="E5" i="14"/>
  <c r="D5" i="14"/>
  <c r="C5" i="14"/>
  <c r="B5" i="14"/>
  <c r="A5" i="14"/>
  <c r="E4" i="14"/>
  <c r="D4" i="14"/>
  <c r="C4" i="14"/>
  <c r="B4" i="14"/>
  <c r="A4" i="14"/>
  <c r="E3" i="14"/>
  <c r="D3" i="14"/>
  <c r="C3" i="14"/>
  <c r="B3" i="14"/>
  <c r="A3" i="14"/>
  <c r="E2" i="14"/>
  <c r="D2" i="14"/>
  <c r="C2" i="14"/>
  <c r="B2" i="14"/>
  <c r="A2" i="14"/>
  <c r="A28" i="7"/>
  <c r="DC291" i="14"/>
  <c r="DB291" i="14"/>
  <c r="CX291" i="14"/>
  <c r="CP291" i="14"/>
  <c r="CU291" i="14"/>
  <c r="CO291" i="14"/>
  <c r="CJ291" i="14"/>
  <c r="CG291" i="14"/>
  <c r="CB291" i="14"/>
  <c r="CA291" i="14"/>
  <c r="BZ291" i="14"/>
  <c r="BY291" i="14"/>
  <c r="BU291" i="14"/>
  <c r="AW291" i="14"/>
  <c r="AT291" i="14"/>
  <c r="AP291" i="14"/>
  <c r="O291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F19" i="12"/>
  <c r="F19" i="14" s="1"/>
  <c r="F20" i="12"/>
  <c r="F20" i="14" s="1"/>
  <c r="F21" i="12"/>
  <c r="F21" i="14" s="1"/>
  <c r="F22" i="12"/>
  <c r="F23" i="12"/>
  <c r="F24" i="12"/>
  <c r="F25" i="12"/>
  <c r="F26" i="12"/>
  <c r="F27" i="12"/>
  <c r="F28" i="12"/>
  <c r="F29" i="12"/>
  <c r="F30" i="12"/>
  <c r="F31" i="12"/>
  <c r="F32" i="12"/>
  <c r="J36" i="12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L289" i="14" l="1"/>
  <c r="M289" i="14"/>
  <c r="N289" i="14"/>
  <c r="O289" i="14"/>
  <c r="P289" i="14"/>
  <c r="Q289" i="14"/>
  <c r="R289" i="14"/>
  <c r="S289" i="14"/>
  <c r="T289" i="14"/>
  <c r="U289" i="14"/>
  <c r="V289" i="14"/>
  <c r="W289" i="14"/>
  <c r="X289" i="14"/>
  <c r="Y289" i="14"/>
  <c r="Z289" i="14"/>
  <c r="AA289" i="14"/>
  <c r="AB289" i="14"/>
  <c r="AC289" i="14"/>
  <c r="AD289" i="14"/>
  <c r="AE289" i="14"/>
  <c r="AF289" i="14"/>
  <c r="AG289" i="14"/>
  <c r="AH289" i="14"/>
  <c r="AI289" i="14"/>
  <c r="AJ289" i="14"/>
  <c r="AK289" i="14"/>
  <c r="AL289" i="14"/>
  <c r="AM289" i="14"/>
  <c r="AN289" i="14"/>
  <c r="AO289" i="14"/>
  <c r="AP289" i="14"/>
  <c r="AQ289" i="14"/>
  <c r="AR289" i="14"/>
  <c r="AS289" i="14"/>
  <c r="AT289" i="14"/>
  <c r="AU289" i="14"/>
  <c r="AV289" i="14"/>
  <c r="AW289" i="14"/>
  <c r="AX289" i="14"/>
  <c r="AY289" i="14"/>
  <c r="AZ289" i="14"/>
  <c r="BA289" i="14"/>
  <c r="BB289" i="14"/>
  <c r="BC289" i="14"/>
  <c r="BD289" i="14"/>
  <c r="BE289" i="14"/>
  <c r="BF289" i="14"/>
  <c r="BG289" i="14"/>
  <c r="BH289" i="14"/>
  <c r="BI289" i="14"/>
  <c r="BJ289" i="14"/>
  <c r="BK289" i="14"/>
  <c r="BL289" i="14"/>
  <c r="BM289" i="14"/>
  <c r="BN289" i="14"/>
  <c r="BO289" i="14"/>
  <c r="BP289" i="14"/>
  <c r="BQ289" i="14"/>
  <c r="BR289" i="14"/>
  <c r="BS289" i="14"/>
  <c r="BT289" i="14"/>
  <c r="BU289" i="14"/>
  <c r="BV289" i="14"/>
  <c r="BW289" i="14"/>
  <c r="BX289" i="14"/>
  <c r="BY289" i="14"/>
  <c r="BZ289" i="14"/>
  <c r="CA289" i="14"/>
  <c r="CB289" i="14"/>
  <c r="CC289" i="14"/>
  <c r="CD289" i="14"/>
  <c r="CE289" i="14"/>
  <c r="CF289" i="14"/>
  <c r="CG289" i="14"/>
  <c r="CH289" i="14"/>
  <c r="CI289" i="14"/>
  <c r="CJ289" i="14"/>
  <c r="CK289" i="14"/>
  <c r="CL289" i="14"/>
  <c r="CM289" i="14"/>
  <c r="CN289" i="14"/>
  <c r="CO289" i="14"/>
  <c r="CP289" i="14"/>
  <c r="CQ289" i="14"/>
  <c r="CR289" i="14"/>
  <c r="CS289" i="14"/>
  <c r="CT289" i="14"/>
  <c r="CU289" i="14"/>
  <c r="CV289" i="14"/>
  <c r="CW289" i="14"/>
  <c r="CX289" i="14"/>
  <c r="CY289" i="14"/>
  <c r="CZ289" i="14"/>
  <c r="DA289" i="14"/>
  <c r="DB289" i="14"/>
  <c r="DC289" i="14"/>
  <c r="DD289" i="14"/>
  <c r="DE289" i="14"/>
  <c r="DF289" i="14"/>
  <c r="DG289" i="14"/>
  <c r="DH289" i="14"/>
  <c r="DI289" i="14"/>
  <c r="DJ289" i="14"/>
  <c r="DK289" i="14"/>
  <c r="DL289" i="14"/>
  <c r="DM289" i="14"/>
  <c r="DN289" i="14"/>
  <c r="DO289" i="14"/>
  <c r="DP289" i="14"/>
  <c r="DQ289" i="14"/>
  <c r="DR289" i="14"/>
  <c r="DS289" i="14"/>
  <c r="DT289" i="14"/>
  <c r="DU289" i="14"/>
  <c r="DV289" i="14"/>
  <c r="DW289" i="14"/>
  <c r="DX289" i="14"/>
  <c r="DY289" i="14"/>
  <c r="DZ289" i="14"/>
  <c r="EA289" i="14"/>
  <c r="EB289" i="14"/>
  <c r="EC289" i="14"/>
  <c r="ED289" i="14"/>
  <c r="EE289" i="14"/>
  <c r="EF289" i="14"/>
  <c r="EG289" i="14"/>
  <c r="EH289" i="14"/>
  <c r="EI289" i="14"/>
  <c r="EJ289" i="14"/>
  <c r="EK289" i="14"/>
  <c r="EL289" i="14"/>
  <c r="EM289" i="14"/>
  <c r="EN289" i="14"/>
  <c r="EO289" i="14"/>
  <c r="EP289" i="14"/>
  <c r="EQ289" i="14"/>
  <c r="ER289" i="14"/>
  <c r="ES289" i="14"/>
  <c r="ET289" i="14"/>
  <c r="EU289" i="14"/>
  <c r="EV289" i="14"/>
  <c r="EW289" i="14"/>
  <c r="EX289" i="14"/>
  <c r="EY289" i="14"/>
  <c r="EZ289" i="14"/>
  <c r="FA289" i="14"/>
  <c r="FB289" i="14"/>
  <c r="FC289" i="14"/>
  <c r="FD289" i="14"/>
  <c r="FE289" i="14"/>
  <c r="FF289" i="14"/>
  <c r="FG289" i="14"/>
  <c r="FH289" i="14"/>
  <c r="FI289" i="14"/>
  <c r="FJ289" i="14"/>
  <c r="FK289" i="14"/>
  <c r="FL289" i="14"/>
  <c r="FM289" i="14"/>
  <c r="FN289" i="14"/>
  <c r="FO289" i="14"/>
  <c r="FP289" i="14"/>
  <c r="FQ289" i="14"/>
  <c r="FR289" i="14"/>
  <c r="FS289" i="14"/>
  <c r="FT289" i="14"/>
  <c r="FU289" i="14"/>
  <c r="FV289" i="14"/>
  <c r="FW289" i="14"/>
  <c r="FX289" i="14"/>
  <c r="FY289" i="14"/>
  <c r="FZ289" i="14"/>
  <c r="GA289" i="14"/>
  <c r="GB289" i="14"/>
  <c r="GC289" i="14"/>
  <c r="GD289" i="14"/>
  <c r="GE289" i="14"/>
  <c r="GF289" i="14"/>
  <c r="GG289" i="14"/>
  <c r="GH289" i="14"/>
  <c r="GI289" i="14"/>
  <c r="GJ289" i="14"/>
  <c r="GK289" i="14"/>
  <c r="GL289" i="14"/>
  <c r="GM289" i="14"/>
  <c r="GN289" i="14"/>
  <c r="GO289" i="14"/>
  <c r="GP289" i="14"/>
  <c r="GQ289" i="14"/>
  <c r="GR289" i="14"/>
  <c r="GS289" i="14"/>
  <c r="GT289" i="14"/>
  <c r="GU289" i="14"/>
  <c r="GV289" i="14"/>
  <c r="GW289" i="14"/>
  <c r="GX289" i="14"/>
  <c r="GY289" i="14"/>
  <c r="GZ289" i="14"/>
  <c r="HA289" i="14"/>
  <c r="HB289" i="14"/>
  <c r="HC289" i="14"/>
  <c r="HD289" i="14"/>
  <c r="HE289" i="14"/>
  <c r="HF289" i="14"/>
  <c r="HG289" i="14"/>
  <c r="HH289" i="14"/>
  <c r="HI289" i="14"/>
  <c r="HJ289" i="14"/>
  <c r="HK289" i="14"/>
  <c r="HL289" i="14"/>
  <c r="HM289" i="14"/>
  <c r="HN289" i="14"/>
  <c r="HO289" i="14"/>
  <c r="HP289" i="14"/>
  <c r="HQ289" i="14"/>
  <c r="HR289" i="14"/>
  <c r="HS289" i="14"/>
  <c r="HT289" i="14"/>
  <c r="HU289" i="14"/>
  <c r="HV289" i="14"/>
  <c r="HW289" i="14"/>
  <c r="HX289" i="14"/>
  <c r="HY289" i="14"/>
  <c r="HZ289" i="14"/>
  <c r="IA289" i="14"/>
  <c r="IB289" i="14"/>
  <c r="IC289" i="14"/>
  <c r="ID289" i="14"/>
  <c r="IE289" i="14"/>
  <c r="IF289" i="14"/>
  <c r="IG289" i="14"/>
  <c r="IH289" i="14"/>
  <c r="II289" i="14"/>
  <c r="IJ289" i="14"/>
  <c r="IK289" i="14"/>
  <c r="IL289" i="14"/>
  <c r="IM289" i="14"/>
  <c r="IN289" i="14"/>
  <c r="IO289" i="14"/>
  <c r="IP289" i="14"/>
  <c r="IQ289" i="14"/>
  <c r="IR289" i="14"/>
  <c r="IS289" i="14"/>
  <c r="IT289" i="14"/>
  <c r="IU289" i="14"/>
  <c r="IV289" i="14"/>
  <c r="IW289" i="14"/>
  <c r="IX289" i="14"/>
  <c r="IY289" i="14"/>
  <c r="IZ289" i="14"/>
  <c r="JA289" i="14"/>
  <c r="JB289" i="14"/>
  <c r="JC289" i="14"/>
  <c r="JD289" i="14"/>
  <c r="JE289" i="14"/>
  <c r="JF289" i="14"/>
  <c r="JG289" i="14"/>
  <c r="JH289" i="14"/>
  <c r="JI289" i="14"/>
  <c r="JJ289" i="14"/>
  <c r="JK289" i="14"/>
  <c r="JL289" i="14"/>
  <c r="JM289" i="14"/>
  <c r="JN289" i="14"/>
  <c r="JO289" i="14"/>
  <c r="JP289" i="14"/>
  <c r="JQ289" i="14"/>
  <c r="JR289" i="14"/>
  <c r="JS289" i="14"/>
  <c r="JT289" i="14"/>
  <c r="JU289" i="14"/>
  <c r="JV289" i="14"/>
  <c r="JW289" i="14"/>
  <c r="JX289" i="14"/>
  <c r="JY289" i="14"/>
  <c r="JZ289" i="14"/>
  <c r="KA289" i="14"/>
  <c r="KB289" i="14"/>
  <c r="KC289" i="14"/>
  <c r="KD289" i="14"/>
  <c r="KE289" i="14"/>
  <c r="KF289" i="14"/>
  <c r="KG289" i="14"/>
  <c r="KH289" i="14"/>
  <c r="K289" i="14"/>
  <c r="J288" i="14"/>
  <c r="J289" i="14" s="1"/>
  <c r="J15" i="7"/>
  <c r="J16" i="7"/>
  <c r="K288" i="14" l="1"/>
  <c r="A4" i="25"/>
  <c r="L36" i="12" l="1"/>
  <c r="J34" i="12"/>
  <c r="L34" i="12" s="1"/>
  <c r="F3" i="12"/>
  <c r="F3" i="14" s="1"/>
  <c r="F4" i="12"/>
  <c r="F4" i="14" s="1"/>
  <c r="F5" i="12"/>
  <c r="F5" i="14" s="1"/>
  <c r="F6" i="12"/>
  <c r="F6" i="14" s="1"/>
  <c r="F7" i="12"/>
  <c r="F7" i="14" s="1"/>
  <c r="F8" i="12"/>
  <c r="F8" i="14" s="1"/>
  <c r="F9" i="12"/>
  <c r="F9" i="14" s="1"/>
  <c r="F10" i="12"/>
  <c r="F10" i="14" s="1"/>
  <c r="F11" i="12"/>
  <c r="F11" i="14" s="1"/>
  <c r="F12" i="12"/>
  <c r="F12" i="14" s="1"/>
  <c r="F13" i="12"/>
  <c r="F13" i="14" s="1"/>
  <c r="F14" i="12"/>
  <c r="F14" i="14" s="1"/>
  <c r="F15" i="12"/>
  <c r="F15" i="14" s="1"/>
  <c r="F16" i="12"/>
  <c r="F16" i="14" s="1"/>
  <c r="F17" i="12"/>
  <c r="F17" i="14" s="1"/>
  <c r="F18" i="12"/>
  <c r="F18" i="14" s="1"/>
  <c r="A27" i="25" l="1"/>
  <c r="A26" i="25"/>
  <c r="A25" i="25"/>
  <c r="P4" i="13" l="1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66" i="13"/>
  <c r="P67" i="13"/>
  <c r="P68" i="13"/>
  <c r="P69" i="13"/>
  <c r="P70" i="13"/>
  <c r="P71" i="13"/>
  <c r="P72" i="13"/>
  <c r="P73" i="13"/>
  <c r="P74" i="13"/>
  <c r="P75" i="13"/>
  <c r="P76" i="13"/>
  <c r="P77" i="13"/>
  <c r="P78" i="13"/>
  <c r="P79" i="13"/>
  <c r="P80" i="13"/>
  <c r="P81" i="13"/>
  <c r="P82" i="13"/>
  <c r="P83" i="13"/>
  <c r="P84" i="13"/>
  <c r="P85" i="13"/>
  <c r="P86" i="13"/>
  <c r="P87" i="13"/>
  <c r="P88" i="13"/>
  <c r="P89" i="13"/>
  <c r="P90" i="13"/>
  <c r="P91" i="13"/>
  <c r="P92" i="13"/>
  <c r="P93" i="13"/>
  <c r="P94" i="13"/>
  <c r="P95" i="13"/>
  <c r="P96" i="13"/>
  <c r="P97" i="13"/>
  <c r="P98" i="13"/>
  <c r="P99" i="13"/>
  <c r="P100" i="13"/>
  <c r="P101" i="13"/>
  <c r="P102" i="13"/>
  <c r="P103" i="13"/>
  <c r="P104" i="13"/>
  <c r="P105" i="13"/>
  <c r="P106" i="13"/>
  <c r="P107" i="13"/>
  <c r="P108" i="13"/>
  <c r="P109" i="13"/>
  <c r="P110" i="13"/>
  <c r="P111" i="13"/>
  <c r="P112" i="13"/>
  <c r="P113" i="13"/>
  <c r="P114" i="13"/>
  <c r="P115" i="13"/>
  <c r="P116" i="13"/>
  <c r="P117" i="13"/>
  <c r="P118" i="13"/>
  <c r="P119" i="13"/>
  <c r="P120" i="13"/>
  <c r="P121" i="13"/>
  <c r="P122" i="13"/>
  <c r="P123" i="13"/>
  <c r="P124" i="13"/>
  <c r="P125" i="13"/>
  <c r="P126" i="13"/>
  <c r="P127" i="13"/>
  <c r="P128" i="13"/>
  <c r="P129" i="13"/>
  <c r="P130" i="13"/>
  <c r="P131" i="13"/>
  <c r="P132" i="13"/>
  <c r="P133" i="13"/>
  <c r="P134" i="13"/>
  <c r="P135" i="13"/>
  <c r="P136" i="13"/>
  <c r="P137" i="13"/>
  <c r="P138" i="13"/>
  <c r="P139" i="13"/>
  <c r="P140" i="13"/>
  <c r="P141" i="13"/>
  <c r="P142" i="13"/>
  <c r="P143" i="13"/>
  <c r="P144" i="13"/>
  <c r="P145" i="13"/>
  <c r="P146" i="13"/>
  <c r="P147" i="13"/>
  <c r="P148" i="13"/>
  <c r="P149" i="13"/>
  <c r="P150" i="13"/>
  <c r="P151" i="13"/>
  <c r="P152" i="13"/>
  <c r="P153" i="13"/>
  <c r="P154" i="13"/>
  <c r="P155" i="13"/>
  <c r="P156" i="13"/>
  <c r="P157" i="13"/>
  <c r="P158" i="13"/>
  <c r="P159" i="13"/>
  <c r="P160" i="13"/>
  <c r="P161" i="13"/>
  <c r="P162" i="13"/>
  <c r="P163" i="13"/>
  <c r="P164" i="13"/>
  <c r="P165" i="13"/>
  <c r="P166" i="13"/>
  <c r="P167" i="13"/>
  <c r="P168" i="13"/>
  <c r="P169" i="13"/>
  <c r="P170" i="13"/>
  <c r="P171" i="13"/>
  <c r="P172" i="13"/>
  <c r="P173" i="13"/>
  <c r="P174" i="13"/>
  <c r="P175" i="13"/>
  <c r="P176" i="13"/>
  <c r="P177" i="13"/>
  <c r="P178" i="13"/>
  <c r="P179" i="13"/>
  <c r="P180" i="13"/>
  <c r="P181" i="13"/>
  <c r="P182" i="13"/>
  <c r="P183" i="13"/>
  <c r="P184" i="13"/>
  <c r="P185" i="13"/>
  <c r="P186" i="13"/>
  <c r="P187" i="13"/>
  <c r="P188" i="13"/>
  <c r="P189" i="13"/>
  <c r="P190" i="13"/>
  <c r="P191" i="13"/>
  <c r="P192" i="13"/>
  <c r="P193" i="13"/>
  <c r="P194" i="13"/>
  <c r="P195" i="13"/>
  <c r="P196" i="13"/>
  <c r="P197" i="13"/>
  <c r="P198" i="13"/>
  <c r="P199" i="13"/>
  <c r="P200" i="13"/>
  <c r="P201" i="13"/>
  <c r="P202" i="13"/>
  <c r="P203" i="13"/>
  <c r="P204" i="13"/>
  <c r="P205" i="13"/>
  <c r="P206" i="13"/>
  <c r="P207" i="13"/>
  <c r="P208" i="13"/>
  <c r="P209" i="13"/>
  <c r="P210" i="13"/>
  <c r="P211" i="13"/>
  <c r="P212" i="13"/>
  <c r="P213" i="13"/>
  <c r="P214" i="13"/>
  <c r="P215" i="13"/>
  <c r="P216" i="13"/>
  <c r="P217" i="13"/>
  <c r="P218" i="13"/>
  <c r="P219" i="13"/>
  <c r="P220" i="13"/>
  <c r="P221" i="13"/>
  <c r="P222" i="13"/>
  <c r="P223" i="13"/>
  <c r="P224" i="13"/>
  <c r="P225" i="13"/>
  <c r="P226" i="13"/>
  <c r="P227" i="13"/>
  <c r="P228" i="13"/>
  <c r="P229" i="13"/>
  <c r="P230" i="13"/>
  <c r="P231" i="13"/>
  <c r="P232" i="13"/>
  <c r="P233" i="13"/>
  <c r="P234" i="13"/>
  <c r="P235" i="13"/>
  <c r="P236" i="13"/>
  <c r="P237" i="13"/>
  <c r="P238" i="13"/>
  <c r="P239" i="13"/>
  <c r="P240" i="13"/>
  <c r="P241" i="13"/>
  <c r="P242" i="13"/>
  <c r="P243" i="13"/>
  <c r="P244" i="13"/>
  <c r="P245" i="13"/>
  <c r="P246" i="13"/>
  <c r="P247" i="13"/>
  <c r="P248" i="13"/>
  <c r="P249" i="13"/>
  <c r="P250" i="13"/>
  <c r="P251" i="13"/>
  <c r="P252" i="13"/>
  <c r="P253" i="13"/>
  <c r="P254" i="13"/>
  <c r="P255" i="13"/>
  <c r="P256" i="13"/>
  <c r="P257" i="13"/>
  <c r="P258" i="13"/>
  <c r="P259" i="13"/>
  <c r="P260" i="13"/>
  <c r="P261" i="13"/>
  <c r="P262" i="13"/>
  <c r="P263" i="13"/>
  <c r="P264" i="13"/>
  <c r="P265" i="13"/>
  <c r="P266" i="13"/>
  <c r="P267" i="13"/>
  <c r="P268" i="13"/>
  <c r="P269" i="13"/>
  <c r="P270" i="13"/>
  <c r="P271" i="13"/>
  <c r="P272" i="13"/>
  <c r="P273" i="13"/>
  <c r="P274" i="13"/>
  <c r="P275" i="13"/>
  <c r="P276" i="13"/>
  <c r="P277" i="13"/>
  <c r="P278" i="13"/>
  <c r="P279" i="13"/>
  <c r="P280" i="13"/>
  <c r="P281" i="13"/>
  <c r="P282" i="13"/>
  <c r="P283" i="13"/>
  <c r="P284" i="13"/>
  <c r="P285" i="13"/>
  <c r="P286" i="13"/>
  <c r="P287" i="13"/>
  <c r="P288" i="13"/>
  <c r="P289" i="13"/>
  <c r="P290" i="13"/>
  <c r="P291" i="13"/>
  <c r="P292" i="13"/>
  <c r="P293" i="13"/>
  <c r="P294" i="13"/>
  <c r="P295" i="13"/>
  <c r="P296" i="13"/>
  <c r="P297" i="13"/>
  <c r="P298" i="13"/>
  <c r="P299" i="13"/>
  <c r="P300" i="13"/>
  <c r="P301" i="13"/>
  <c r="P302" i="13"/>
  <c r="P303" i="13"/>
  <c r="P304" i="13"/>
  <c r="P305" i="13"/>
  <c r="P306" i="13"/>
  <c r="P307" i="13"/>
  <c r="P308" i="13"/>
  <c r="P309" i="13"/>
  <c r="P310" i="13"/>
  <c r="P311" i="13"/>
  <c r="P312" i="13"/>
  <c r="P313" i="13"/>
  <c r="P314" i="13"/>
  <c r="P315" i="13"/>
  <c r="P316" i="13"/>
  <c r="P317" i="13"/>
  <c r="P318" i="13"/>
  <c r="P319" i="13"/>
  <c r="P320" i="13"/>
  <c r="P321" i="13"/>
  <c r="P322" i="13"/>
  <c r="P323" i="13"/>
  <c r="P324" i="13"/>
  <c r="P325" i="13"/>
  <c r="P326" i="13"/>
  <c r="P327" i="13"/>
  <c r="P328" i="13"/>
  <c r="P329" i="13"/>
  <c r="P330" i="13"/>
  <c r="P331" i="13"/>
  <c r="P332" i="13"/>
  <c r="P333" i="13"/>
  <c r="P334" i="13"/>
  <c r="P335" i="13"/>
  <c r="P336" i="13"/>
  <c r="P337" i="13"/>
  <c r="P338" i="13"/>
  <c r="P339" i="13"/>
  <c r="P340" i="13"/>
  <c r="P341" i="13"/>
  <c r="P342" i="13"/>
  <c r="P343" i="13"/>
  <c r="P344" i="13"/>
  <c r="P345" i="13"/>
  <c r="P346" i="13"/>
  <c r="P347" i="13"/>
  <c r="P348" i="13"/>
  <c r="P349" i="13"/>
  <c r="P350" i="13"/>
  <c r="P351" i="13"/>
  <c r="P352" i="13"/>
  <c r="P353" i="13"/>
  <c r="P354" i="13"/>
  <c r="P355" i="13"/>
  <c r="P356" i="13"/>
  <c r="P357" i="13"/>
  <c r="P358" i="13"/>
  <c r="P359" i="13"/>
  <c r="P360" i="13"/>
  <c r="P361" i="13"/>
  <c r="P362" i="13"/>
  <c r="P363" i="13"/>
  <c r="P364" i="13"/>
  <c r="P365" i="13"/>
  <c r="P366" i="13"/>
  <c r="P367" i="13"/>
  <c r="P368" i="13"/>
  <c r="P369" i="13"/>
  <c r="P370" i="13"/>
  <c r="P371" i="13"/>
  <c r="P372" i="13"/>
  <c r="P373" i="13"/>
  <c r="P374" i="13"/>
  <c r="P375" i="13"/>
  <c r="P376" i="13"/>
  <c r="P377" i="13"/>
  <c r="P378" i="13"/>
  <c r="P379" i="13"/>
  <c r="P380" i="13"/>
  <c r="P381" i="13"/>
  <c r="P382" i="13"/>
  <c r="P383" i="13"/>
  <c r="P384" i="13"/>
  <c r="P385" i="13"/>
  <c r="P386" i="13"/>
  <c r="P387" i="13"/>
  <c r="P388" i="13"/>
  <c r="P389" i="13"/>
  <c r="P390" i="13"/>
  <c r="P391" i="13"/>
  <c r="P392" i="13"/>
  <c r="P393" i="13"/>
  <c r="P394" i="13"/>
  <c r="P395" i="13"/>
  <c r="P396" i="13"/>
  <c r="P397" i="13"/>
  <c r="P398" i="13"/>
  <c r="P399" i="13"/>
  <c r="P400" i="13"/>
  <c r="P401" i="13"/>
  <c r="P402" i="13"/>
  <c r="P403" i="13"/>
  <c r="P404" i="13"/>
  <c r="P405" i="13"/>
  <c r="P406" i="13"/>
  <c r="P407" i="13"/>
  <c r="P408" i="13"/>
  <c r="P409" i="13"/>
  <c r="P410" i="13"/>
  <c r="P411" i="13"/>
  <c r="P412" i="13"/>
  <c r="P413" i="13"/>
  <c r="P414" i="13"/>
  <c r="P415" i="13"/>
  <c r="P416" i="13"/>
  <c r="P417" i="13"/>
  <c r="P418" i="13"/>
  <c r="P419" i="13"/>
  <c r="P420" i="13"/>
  <c r="P421" i="13"/>
  <c r="P422" i="13"/>
  <c r="P423" i="13"/>
  <c r="P424" i="13"/>
  <c r="P425" i="13"/>
  <c r="P426" i="13"/>
  <c r="P427" i="13"/>
  <c r="P428" i="13"/>
  <c r="P429" i="13"/>
  <c r="P430" i="13"/>
  <c r="P431" i="13"/>
  <c r="P432" i="13"/>
  <c r="P433" i="13"/>
  <c r="P434" i="13"/>
  <c r="P435" i="13"/>
  <c r="P436" i="13"/>
  <c r="P437" i="13"/>
  <c r="P438" i="13"/>
  <c r="P439" i="13"/>
  <c r="P440" i="13"/>
  <c r="P441" i="13"/>
  <c r="P442" i="13"/>
  <c r="P443" i="13"/>
  <c r="P444" i="13"/>
  <c r="P445" i="13"/>
  <c r="P446" i="13"/>
  <c r="P447" i="13"/>
  <c r="P448" i="13"/>
  <c r="P449" i="13"/>
  <c r="P450" i="13"/>
  <c r="P451" i="13"/>
  <c r="P452" i="13"/>
  <c r="P453" i="13"/>
  <c r="P454" i="13"/>
  <c r="P455" i="13"/>
  <c r="P456" i="13"/>
  <c r="P457" i="13"/>
  <c r="P458" i="13"/>
  <c r="P459" i="13"/>
  <c r="P460" i="13"/>
  <c r="P461" i="13"/>
  <c r="P462" i="13"/>
  <c r="P463" i="13"/>
  <c r="P464" i="13"/>
  <c r="P465" i="13"/>
  <c r="P466" i="13"/>
  <c r="P467" i="13"/>
  <c r="P468" i="13"/>
  <c r="P469" i="13"/>
  <c r="P470" i="13"/>
  <c r="P471" i="13"/>
  <c r="P472" i="13"/>
  <c r="P473" i="13"/>
  <c r="P474" i="13"/>
  <c r="P475" i="13"/>
  <c r="P476" i="13"/>
  <c r="P477" i="13"/>
  <c r="P478" i="13"/>
  <c r="P479" i="13"/>
  <c r="P480" i="13"/>
  <c r="P481" i="13"/>
  <c r="P482" i="13"/>
  <c r="P483" i="13"/>
  <c r="P484" i="13"/>
  <c r="P485" i="13"/>
  <c r="P486" i="13"/>
  <c r="P487" i="13"/>
  <c r="P488" i="13"/>
  <c r="P489" i="13"/>
  <c r="P490" i="13"/>
  <c r="P491" i="13"/>
  <c r="P492" i="13"/>
  <c r="P493" i="13"/>
  <c r="P494" i="13"/>
  <c r="P495" i="13"/>
  <c r="P496" i="13"/>
  <c r="P497" i="13"/>
  <c r="P498" i="13"/>
  <c r="P499" i="13"/>
  <c r="P500" i="13"/>
  <c r="P501" i="13"/>
  <c r="P502" i="13"/>
  <c r="P503" i="13"/>
  <c r="P504" i="13"/>
  <c r="P505" i="13"/>
  <c r="P506" i="13"/>
  <c r="P507" i="13"/>
  <c r="P508" i="13"/>
  <c r="P509" i="13"/>
  <c r="P510" i="13"/>
  <c r="P511" i="13"/>
  <c r="P512" i="13"/>
  <c r="P513" i="13"/>
  <c r="P514" i="13"/>
  <c r="P515" i="13"/>
  <c r="P516" i="13"/>
  <c r="P517" i="13"/>
  <c r="P518" i="13"/>
  <c r="P519" i="13"/>
  <c r="P520" i="13"/>
  <c r="P521" i="13"/>
  <c r="P522" i="13"/>
  <c r="P523" i="13"/>
  <c r="P524" i="13"/>
  <c r="P525" i="13"/>
  <c r="P526" i="13"/>
  <c r="P527" i="13"/>
  <c r="P528" i="13"/>
  <c r="P529" i="13"/>
  <c r="P530" i="13"/>
  <c r="P531" i="13"/>
  <c r="P532" i="13"/>
  <c r="P533" i="13"/>
  <c r="P534" i="13"/>
  <c r="P535" i="13"/>
  <c r="P536" i="13"/>
  <c r="P537" i="13"/>
  <c r="P538" i="13"/>
  <c r="P539" i="13"/>
  <c r="P540" i="13"/>
  <c r="P541" i="13"/>
  <c r="P542" i="13"/>
  <c r="P543" i="13"/>
  <c r="P544" i="13"/>
  <c r="P545" i="13"/>
  <c r="P546" i="13"/>
  <c r="P547" i="13"/>
  <c r="P548" i="13"/>
  <c r="P549" i="13"/>
  <c r="P550" i="13"/>
  <c r="P551" i="13"/>
  <c r="P552" i="13"/>
  <c r="P553" i="13"/>
  <c r="P554" i="13"/>
  <c r="P555" i="13"/>
  <c r="P556" i="13"/>
  <c r="P557" i="13"/>
  <c r="P558" i="13"/>
  <c r="P559" i="13"/>
  <c r="P560" i="13"/>
  <c r="P561" i="13"/>
  <c r="P562" i="13"/>
  <c r="P563" i="13"/>
  <c r="P564" i="13"/>
  <c r="P565" i="13"/>
  <c r="P566" i="13"/>
  <c r="P567" i="13"/>
  <c r="P568" i="13"/>
  <c r="P569" i="13"/>
  <c r="P570" i="13"/>
  <c r="P571" i="13"/>
  <c r="P572" i="13"/>
  <c r="P573" i="13"/>
  <c r="P574" i="13"/>
  <c r="P575" i="13"/>
  <c r="P576" i="13"/>
  <c r="P577" i="13"/>
  <c r="P578" i="13"/>
  <c r="P579" i="13"/>
  <c r="P580" i="13"/>
  <c r="P581" i="13"/>
  <c r="P582" i="13"/>
  <c r="P583" i="13"/>
  <c r="P584" i="13"/>
  <c r="P585" i="13"/>
  <c r="P586" i="13"/>
  <c r="P587" i="13"/>
  <c r="P588" i="13"/>
  <c r="P589" i="13"/>
  <c r="P590" i="13"/>
  <c r="P591" i="13"/>
  <c r="P592" i="13"/>
  <c r="P593" i="13"/>
  <c r="P594" i="13"/>
  <c r="P595" i="13"/>
  <c r="P596" i="13"/>
  <c r="P597" i="13"/>
  <c r="P598" i="13"/>
  <c r="P599" i="13"/>
  <c r="P600" i="13"/>
  <c r="P601" i="13"/>
  <c r="P602" i="13"/>
  <c r="P603" i="13"/>
  <c r="P604" i="13"/>
  <c r="P605" i="13"/>
  <c r="P606" i="13"/>
  <c r="P607" i="13"/>
  <c r="P608" i="13"/>
  <c r="P609" i="13"/>
  <c r="P610" i="13"/>
  <c r="P611" i="13"/>
  <c r="P612" i="13"/>
  <c r="P613" i="13"/>
  <c r="P614" i="13"/>
  <c r="P615" i="13"/>
  <c r="P616" i="13"/>
  <c r="P617" i="13"/>
  <c r="P618" i="13"/>
  <c r="P619" i="13"/>
  <c r="P620" i="13"/>
  <c r="P621" i="13"/>
  <c r="P622" i="13"/>
  <c r="P623" i="13"/>
  <c r="P624" i="13"/>
  <c r="P625" i="13"/>
  <c r="P626" i="13"/>
  <c r="P627" i="13"/>
  <c r="P628" i="13"/>
  <c r="P629" i="13"/>
  <c r="P630" i="13"/>
  <c r="P631" i="13"/>
  <c r="P632" i="13"/>
  <c r="P633" i="13"/>
  <c r="P634" i="13"/>
  <c r="P635" i="13"/>
  <c r="P636" i="13"/>
  <c r="P637" i="13"/>
  <c r="P638" i="13"/>
  <c r="P639" i="13"/>
  <c r="P640" i="13"/>
  <c r="P641" i="13"/>
  <c r="P642" i="13"/>
  <c r="P643" i="13"/>
  <c r="P644" i="13"/>
  <c r="P645" i="13"/>
  <c r="P646" i="13"/>
  <c r="P647" i="13"/>
  <c r="P648" i="13"/>
  <c r="P649" i="13"/>
  <c r="P650" i="13"/>
  <c r="P651" i="13"/>
  <c r="P652" i="13"/>
  <c r="P653" i="13"/>
  <c r="P654" i="13"/>
  <c r="P655" i="13"/>
  <c r="P656" i="13"/>
  <c r="P657" i="13"/>
  <c r="P658" i="13"/>
  <c r="P659" i="13"/>
  <c r="P660" i="13"/>
  <c r="P661" i="13"/>
  <c r="P662" i="13"/>
  <c r="P663" i="13"/>
  <c r="P664" i="13"/>
  <c r="P665" i="13"/>
  <c r="P666" i="13"/>
  <c r="P667" i="13"/>
  <c r="P668" i="13"/>
  <c r="P669" i="13"/>
  <c r="P670" i="13"/>
  <c r="P671" i="13"/>
  <c r="P672" i="13"/>
  <c r="P673" i="13"/>
  <c r="P674" i="13"/>
  <c r="P675" i="13"/>
  <c r="P676" i="13"/>
  <c r="P677" i="13"/>
  <c r="P678" i="13"/>
  <c r="P679" i="13"/>
  <c r="P680" i="13"/>
  <c r="P681" i="13"/>
  <c r="P682" i="13"/>
  <c r="P683" i="13"/>
  <c r="P684" i="13"/>
  <c r="P685" i="13"/>
  <c r="P686" i="13"/>
  <c r="P687" i="13"/>
  <c r="P688" i="13"/>
  <c r="P689" i="13"/>
  <c r="P690" i="13"/>
  <c r="P691" i="13"/>
  <c r="P692" i="13"/>
  <c r="P693" i="13"/>
  <c r="P694" i="13"/>
  <c r="P695" i="13"/>
  <c r="P696" i="13"/>
  <c r="P697" i="13"/>
  <c r="P698" i="13"/>
  <c r="P699" i="13"/>
  <c r="P700" i="13"/>
  <c r="P701" i="13"/>
  <c r="P702" i="13"/>
  <c r="P703" i="13"/>
  <c r="P704" i="13"/>
  <c r="P705" i="13"/>
  <c r="P706" i="13"/>
  <c r="P707" i="13"/>
  <c r="P708" i="13"/>
  <c r="P709" i="13"/>
  <c r="P710" i="13"/>
  <c r="P711" i="13"/>
  <c r="P712" i="13"/>
  <c r="P713" i="13"/>
  <c r="P714" i="13"/>
  <c r="P715" i="13"/>
  <c r="P716" i="13"/>
  <c r="P717" i="13"/>
  <c r="P718" i="13"/>
  <c r="P719" i="13"/>
  <c r="P720" i="13"/>
  <c r="P721" i="13"/>
  <c r="P722" i="13"/>
  <c r="P723" i="13"/>
  <c r="P724" i="13"/>
  <c r="P725" i="13"/>
  <c r="P726" i="13"/>
  <c r="P727" i="13"/>
  <c r="P728" i="13"/>
  <c r="P729" i="13"/>
  <c r="P730" i="13"/>
  <c r="P731" i="13"/>
  <c r="P732" i="13"/>
  <c r="P733" i="13"/>
  <c r="P734" i="13"/>
  <c r="P735" i="13"/>
  <c r="P736" i="13"/>
  <c r="P737" i="13"/>
  <c r="P738" i="13"/>
  <c r="P739" i="13"/>
  <c r="P740" i="13"/>
  <c r="P741" i="13"/>
  <c r="P742" i="13"/>
  <c r="P743" i="13"/>
  <c r="P744" i="13"/>
  <c r="P745" i="13"/>
  <c r="P746" i="13"/>
  <c r="P747" i="13"/>
  <c r="P748" i="13"/>
  <c r="P749" i="13"/>
  <c r="P750" i="13"/>
  <c r="P751" i="13"/>
  <c r="P752" i="13"/>
  <c r="P753" i="13"/>
  <c r="P754" i="13"/>
  <c r="P755" i="13"/>
  <c r="P756" i="13"/>
  <c r="P757" i="13"/>
  <c r="P758" i="13"/>
  <c r="P759" i="13"/>
  <c r="P760" i="13"/>
  <c r="P761" i="13"/>
  <c r="P762" i="13"/>
  <c r="P763" i="13"/>
  <c r="P3" i="13"/>
  <c r="I6" i="24" l="1"/>
  <c r="D5" i="24"/>
  <c r="B5" i="24"/>
  <c r="B4" i="24"/>
  <c r="H3" i="24"/>
  <c r="J3" i="24" l="1"/>
  <c r="N2" i="24"/>
  <c r="A2" i="24"/>
  <c r="G17" i="14" l="1"/>
  <c r="G3" i="14"/>
  <c r="G4" i="14"/>
  <c r="G5" i="14"/>
  <c r="G6" i="14"/>
  <c r="G7" i="14"/>
  <c r="G8" i="14"/>
  <c r="G9" i="14"/>
  <c r="G10" i="14"/>
  <c r="G11" i="14"/>
  <c r="G12" i="14"/>
  <c r="G2" i="14"/>
  <c r="B3" i="13"/>
  <c r="B4" i="13" l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B346" i="13" s="1"/>
  <c r="B347" i="13" s="1"/>
  <c r="B348" i="13" s="1"/>
  <c r="B349" i="13" s="1"/>
  <c r="B350" i="13" s="1"/>
  <c r="B351" i="13" s="1"/>
  <c r="B352" i="13" s="1"/>
  <c r="B353" i="13" s="1"/>
  <c r="B354" i="13" s="1"/>
  <c r="B355" i="13" s="1"/>
  <c r="B356" i="13" s="1"/>
  <c r="B357" i="13" s="1"/>
  <c r="B358" i="13" s="1"/>
  <c r="B359" i="13" s="1"/>
  <c r="B360" i="13" s="1"/>
  <c r="B361" i="13" s="1"/>
  <c r="B362" i="13" s="1"/>
  <c r="B363" i="13" s="1"/>
  <c r="B364" i="13" s="1"/>
  <c r="B365" i="13" s="1"/>
  <c r="B366" i="13" s="1"/>
  <c r="B367" i="13" s="1"/>
  <c r="B368" i="13" s="1"/>
  <c r="B369" i="13" s="1"/>
  <c r="B370" i="13" s="1"/>
  <c r="B371" i="13" s="1"/>
  <c r="B372" i="13" s="1"/>
  <c r="B373" i="13" s="1"/>
  <c r="B374" i="13" s="1"/>
  <c r="B375" i="13" s="1"/>
  <c r="B376" i="13" s="1"/>
  <c r="B377" i="13" s="1"/>
  <c r="B378" i="13" s="1"/>
  <c r="B379" i="13" s="1"/>
  <c r="B380" i="13" s="1"/>
  <c r="B381" i="13" s="1"/>
  <c r="B382" i="13" s="1"/>
  <c r="B383" i="13" s="1"/>
  <c r="B384" i="13" s="1"/>
  <c r="B385" i="13" s="1"/>
  <c r="B386" i="13" s="1"/>
  <c r="B387" i="13" s="1"/>
  <c r="B388" i="13" s="1"/>
  <c r="B389" i="13" s="1"/>
  <c r="B390" i="13" s="1"/>
  <c r="B391" i="13" s="1"/>
  <c r="B392" i="13" s="1"/>
  <c r="B393" i="13" s="1"/>
  <c r="B394" i="13" s="1"/>
  <c r="B395" i="13" s="1"/>
  <c r="B396" i="13" s="1"/>
  <c r="B397" i="13" s="1"/>
  <c r="B398" i="13" s="1"/>
  <c r="B399" i="13" s="1"/>
  <c r="B400" i="13" s="1"/>
  <c r="B401" i="13" s="1"/>
  <c r="B402" i="13" s="1"/>
  <c r="B403" i="13" s="1"/>
  <c r="B404" i="13" s="1"/>
  <c r="B405" i="13" s="1"/>
  <c r="B406" i="13" s="1"/>
  <c r="B407" i="13" s="1"/>
  <c r="B408" i="13" s="1"/>
  <c r="B409" i="13" s="1"/>
  <c r="B410" i="13" s="1"/>
  <c r="B411" i="13" s="1"/>
  <c r="B412" i="13" s="1"/>
  <c r="B413" i="13" s="1"/>
  <c r="B414" i="13" s="1"/>
  <c r="B415" i="13" s="1"/>
  <c r="B416" i="13" s="1"/>
  <c r="B417" i="13" s="1"/>
  <c r="B418" i="13" s="1"/>
  <c r="B419" i="13" s="1"/>
  <c r="B420" i="13" s="1"/>
  <c r="B421" i="13" s="1"/>
  <c r="B422" i="13" s="1"/>
  <c r="B423" i="13" s="1"/>
  <c r="B424" i="13" s="1"/>
  <c r="B425" i="13" s="1"/>
  <c r="B426" i="13" s="1"/>
  <c r="B427" i="13" s="1"/>
  <c r="B428" i="13" s="1"/>
  <c r="B429" i="13" s="1"/>
  <c r="B430" i="13" s="1"/>
  <c r="B431" i="13" s="1"/>
  <c r="B432" i="13" s="1"/>
  <c r="B433" i="13" s="1"/>
  <c r="B434" i="13" s="1"/>
  <c r="B435" i="13" s="1"/>
  <c r="B436" i="13" s="1"/>
  <c r="B437" i="13" s="1"/>
  <c r="B438" i="13" s="1"/>
  <c r="B439" i="13" s="1"/>
  <c r="B440" i="13" s="1"/>
  <c r="B441" i="13" s="1"/>
  <c r="B442" i="13" s="1"/>
  <c r="B443" i="13" s="1"/>
  <c r="B444" i="13" s="1"/>
  <c r="B445" i="13" s="1"/>
  <c r="B446" i="13" s="1"/>
  <c r="B447" i="13" s="1"/>
  <c r="B448" i="13" s="1"/>
  <c r="B449" i="13" s="1"/>
  <c r="B450" i="13" s="1"/>
  <c r="B451" i="13" s="1"/>
  <c r="B452" i="13" s="1"/>
  <c r="B453" i="13" s="1"/>
  <c r="B454" i="13" s="1"/>
  <c r="B455" i="13" s="1"/>
  <c r="B456" i="13" s="1"/>
  <c r="B457" i="13" s="1"/>
  <c r="B458" i="13" s="1"/>
  <c r="B459" i="13" s="1"/>
  <c r="B460" i="13" s="1"/>
  <c r="B461" i="13" s="1"/>
  <c r="B462" i="13" s="1"/>
  <c r="B463" i="13" s="1"/>
  <c r="B464" i="13" s="1"/>
  <c r="B465" i="13" s="1"/>
  <c r="B466" i="13" s="1"/>
  <c r="B467" i="13" s="1"/>
  <c r="B468" i="13" s="1"/>
  <c r="B469" i="13" s="1"/>
  <c r="B470" i="13" s="1"/>
  <c r="B471" i="13" s="1"/>
  <c r="B472" i="13" s="1"/>
  <c r="B473" i="13" s="1"/>
  <c r="B474" i="13" s="1"/>
  <c r="B475" i="13" s="1"/>
  <c r="B476" i="13" s="1"/>
  <c r="B477" i="13" s="1"/>
  <c r="B478" i="13" s="1"/>
  <c r="B479" i="13" s="1"/>
  <c r="B480" i="13" s="1"/>
  <c r="B481" i="13" s="1"/>
  <c r="B482" i="13" s="1"/>
  <c r="B483" i="13" s="1"/>
  <c r="B484" i="13" s="1"/>
  <c r="B485" i="13" s="1"/>
  <c r="B486" i="13" s="1"/>
  <c r="B487" i="13" s="1"/>
  <c r="B488" i="13" s="1"/>
  <c r="B489" i="13" s="1"/>
  <c r="B490" i="13" s="1"/>
  <c r="B491" i="13" s="1"/>
  <c r="B492" i="13" s="1"/>
  <c r="B493" i="13" s="1"/>
  <c r="B494" i="13" s="1"/>
  <c r="B495" i="13" s="1"/>
  <c r="B496" i="13" s="1"/>
  <c r="B497" i="13" s="1"/>
  <c r="B498" i="13" s="1"/>
  <c r="B499" i="13" s="1"/>
  <c r="B500" i="13" s="1"/>
  <c r="B501" i="13" s="1"/>
  <c r="B502" i="13" s="1"/>
  <c r="B503" i="13" s="1"/>
  <c r="B504" i="13" s="1"/>
  <c r="B505" i="13" s="1"/>
  <c r="B506" i="13" s="1"/>
  <c r="B507" i="13" s="1"/>
  <c r="B508" i="13" s="1"/>
  <c r="B509" i="13" s="1"/>
  <c r="B510" i="13" s="1"/>
  <c r="B511" i="13" s="1"/>
  <c r="B512" i="13" s="1"/>
  <c r="B513" i="13" s="1"/>
  <c r="B514" i="13" s="1"/>
  <c r="B515" i="13" s="1"/>
  <c r="B516" i="13" s="1"/>
  <c r="B517" i="13" s="1"/>
  <c r="B518" i="13" s="1"/>
  <c r="B519" i="13" s="1"/>
  <c r="B520" i="13" s="1"/>
  <c r="B521" i="13" s="1"/>
  <c r="B522" i="13" s="1"/>
  <c r="B523" i="13" s="1"/>
  <c r="B524" i="13" s="1"/>
  <c r="B525" i="13" s="1"/>
  <c r="B526" i="13" s="1"/>
  <c r="B527" i="13" s="1"/>
  <c r="B528" i="13" s="1"/>
  <c r="B529" i="13" s="1"/>
  <c r="B530" i="13" s="1"/>
  <c r="B531" i="13" s="1"/>
  <c r="B532" i="13" s="1"/>
  <c r="B533" i="13" s="1"/>
  <c r="B534" i="13" s="1"/>
  <c r="B535" i="13" s="1"/>
  <c r="B536" i="13" s="1"/>
  <c r="B537" i="13" s="1"/>
  <c r="B538" i="13" s="1"/>
  <c r="B539" i="13" s="1"/>
  <c r="B540" i="13" s="1"/>
  <c r="B541" i="13" s="1"/>
  <c r="B542" i="13" s="1"/>
  <c r="B543" i="13" s="1"/>
  <c r="B544" i="13" s="1"/>
  <c r="B545" i="13" s="1"/>
  <c r="B546" i="13" s="1"/>
  <c r="B547" i="13" s="1"/>
  <c r="B548" i="13" s="1"/>
  <c r="B549" i="13" s="1"/>
  <c r="B550" i="13" s="1"/>
  <c r="B551" i="13" s="1"/>
  <c r="B552" i="13" s="1"/>
  <c r="B553" i="13" s="1"/>
  <c r="B554" i="13" s="1"/>
  <c r="B555" i="13" s="1"/>
  <c r="B556" i="13" s="1"/>
  <c r="B557" i="13" s="1"/>
  <c r="B558" i="13" s="1"/>
  <c r="B559" i="13" s="1"/>
  <c r="B560" i="13" s="1"/>
  <c r="B561" i="13" s="1"/>
  <c r="B562" i="13" s="1"/>
  <c r="B563" i="13" s="1"/>
  <c r="B564" i="13" s="1"/>
  <c r="B565" i="13" s="1"/>
  <c r="B566" i="13" s="1"/>
  <c r="B567" i="13" s="1"/>
  <c r="B568" i="13" s="1"/>
  <c r="B569" i="13" s="1"/>
  <c r="B570" i="13" s="1"/>
  <c r="B571" i="13" s="1"/>
  <c r="B572" i="13" s="1"/>
  <c r="B573" i="13" s="1"/>
  <c r="B574" i="13" s="1"/>
  <c r="B575" i="13" s="1"/>
  <c r="B576" i="13" s="1"/>
  <c r="B577" i="13" s="1"/>
  <c r="B578" i="13" s="1"/>
  <c r="B579" i="13" s="1"/>
  <c r="B580" i="13" s="1"/>
  <c r="B581" i="13" s="1"/>
  <c r="B582" i="13" s="1"/>
  <c r="B583" i="13" s="1"/>
  <c r="B584" i="13" s="1"/>
  <c r="B585" i="13" s="1"/>
  <c r="B586" i="13" s="1"/>
  <c r="B587" i="13" s="1"/>
  <c r="B588" i="13" s="1"/>
  <c r="B589" i="13" s="1"/>
  <c r="B590" i="13" s="1"/>
  <c r="B591" i="13" s="1"/>
  <c r="B592" i="13" s="1"/>
  <c r="B593" i="13" s="1"/>
  <c r="B594" i="13" s="1"/>
  <c r="B595" i="13" s="1"/>
  <c r="B596" i="13" s="1"/>
  <c r="B597" i="13" s="1"/>
  <c r="B598" i="13" s="1"/>
  <c r="B599" i="13" s="1"/>
  <c r="B600" i="13" s="1"/>
  <c r="B601" i="13" s="1"/>
  <c r="B602" i="13" s="1"/>
  <c r="B603" i="13" s="1"/>
  <c r="B604" i="13" s="1"/>
  <c r="B605" i="13" s="1"/>
  <c r="B606" i="13" s="1"/>
  <c r="B607" i="13" s="1"/>
  <c r="B608" i="13" s="1"/>
  <c r="B609" i="13" s="1"/>
  <c r="B610" i="13" s="1"/>
  <c r="B611" i="13" s="1"/>
  <c r="B612" i="13" s="1"/>
  <c r="B613" i="13" s="1"/>
  <c r="B614" i="13" s="1"/>
  <c r="B615" i="13" s="1"/>
  <c r="B616" i="13" s="1"/>
  <c r="B617" i="13" s="1"/>
  <c r="B618" i="13" s="1"/>
  <c r="B619" i="13" s="1"/>
  <c r="B620" i="13" s="1"/>
  <c r="B621" i="13" s="1"/>
  <c r="B622" i="13" s="1"/>
  <c r="B623" i="13" s="1"/>
  <c r="B624" i="13" s="1"/>
  <c r="B625" i="13" s="1"/>
  <c r="B626" i="13" s="1"/>
  <c r="B627" i="13" s="1"/>
  <c r="B628" i="13" s="1"/>
  <c r="B629" i="13" s="1"/>
  <c r="B630" i="13" s="1"/>
  <c r="B631" i="13" s="1"/>
  <c r="B632" i="13" s="1"/>
  <c r="B633" i="13" s="1"/>
  <c r="B634" i="13" s="1"/>
  <c r="B635" i="13" s="1"/>
  <c r="B636" i="13" s="1"/>
  <c r="B637" i="13" s="1"/>
  <c r="B638" i="13" s="1"/>
  <c r="B639" i="13" s="1"/>
  <c r="B640" i="13" s="1"/>
  <c r="B641" i="13" s="1"/>
  <c r="B642" i="13" s="1"/>
  <c r="B643" i="13" s="1"/>
  <c r="B644" i="13" s="1"/>
  <c r="B645" i="13" s="1"/>
  <c r="B646" i="13" s="1"/>
  <c r="B647" i="13" s="1"/>
  <c r="B648" i="13" s="1"/>
  <c r="B649" i="13" s="1"/>
  <c r="B650" i="13" s="1"/>
  <c r="B651" i="13" s="1"/>
  <c r="B652" i="13" s="1"/>
  <c r="B653" i="13" s="1"/>
  <c r="B654" i="13" s="1"/>
  <c r="B655" i="13" s="1"/>
  <c r="B656" i="13" s="1"/>
  <c r="B657" i="13" s="1"/>
  <c r="B658" i="13" s="1"/>
  <c r="B659" i="13" s="1"/>
  <c r="B660" i="13" s="1"/>
  <c r="B661" i="13" s="1"/>
  <c r="B662" i="13" s="1"/>
  <c r="B663" i="13" s="1"/>
  <c r="B664" i="13" s="1"/>
  <c r="B665" i="13" s="1"/>
  <c r="B666" i="13" s="1"/>
  <c r="B667" i="13" s="1"/>
  <c r="B668" i="13" s="1"/>
  <c r="B669" i="13" s="1"/>
  <c r="B670" i="13" s="1"/>
  <c r="B671" i="13" s="1"/>
  <c r="B672" i="13" s="1"/>
  <c r="B673" i="13" s="1"/>
  <c r="B674" i="13" s="1"/>
  <c r="B675" i="13" s="1"/>
  <c r="B676" i="13" s="1"/>
  <c r="B677" i="13" s="1"/>
  <c r="B678" i="13" s="1"/>
  <c r="B679" i="13" s="1"/>
  <c r="B680" i="13" s="1"/>
  <c r="B681" i="13" s="1"/>
  <c r="B682" i="13" s="1"/>
  <c r="B683" i="13" s="1"/>
  <c r="B684" i="13" s="1"/>
  <c r="B685" i="13" s="1"/>
  <c r="B686" i="13" s="1"/>
  <c r="B687" i="13" s="1"/>
  <c r="B688" i="13" s="1"/>
  <c r="B689" i="13" s="1"/>
  <c r="B690" i="13" s="1"/>
  <c r="B691" i="13" s="1"/>
  <c r="B692" i="13" s="1"/>
  <c r="B693" i="13" s="1"/>
  <c r="B694" i="13" s="1"/>
  <c r="B695" i="13" s="1"/>
  <c r="B696" i="13" s="1"/>
  <c r="B697" i="13" s="1"/>
  <c r="B698" i="13" s="1"/>
  <c r="B699" i="13" s="1"/>
  <c r="B700" i="13" s="1"/>
  <c r="B701" i="13" s="1"/>
  <c r="B702" i="13" s="1"/>
  <c r="B703" i="13" s="1"/>
  <c r="B704" i="13" s="1"/>
  <c r="B705" i="13" s="1"/>
  <c r="B706" i="13" s="1"/>
  <c r="B707" i="13" s="1"/>
  <c r="B708" i="13" s="1"/>
  <c r="B709" i="13" s="1"/>
  <c r="B710" i="13" s="1"/>
  <c r="B711" i="13" s="1"/>
  <c r="B712" i="13" s="1"/>
  <c r="B713" i="13" s="1"/>
  <c r="B714" i="13" s="1"/>
  <c r="B715" i="13" s="1"/>
  <c r="B716" i="13" s="1"/>
  <c r="B717" i="13" s="1"/>
  <c r="B718" i="13" s="1"/>
  <c r="B719" i="13" s="1"/>
  <c r="B720" i="13" s="1"/>
  <c r="B721" i="13" s="1"/>
  <c r="B722" i="13" s="1"/>
  <c r="B723" i="13" s="1"/>
  <c r="B724" i="13" s="1"/>
  <c r="B725" i="13" s="1"/>
  <c r="B726" i="13" s="1"/>
  <c r="B727" i="13" s="1"/>
  <c r="B728" i="13" s="1"/>
  <c r="B729" i="13" s="1"/>
  <c r="B730" i="13" s="1"/>
  <c r="B731" i="13" s="1"/>
  <c r="B732" i="13" s="1"/>
  <c r="B733" i="13" s="1"/>
  <c r="B734" i="13" s="1"/>
  <c r="B735" i="13" s="1"/>
  <c r="B736" i="13" s="1"/>
  <c r="B737" i="13" s="1"/>
  <c r="B738" i="13" s="1"/>
  <c r="B739" i="13" s="1"/>
  <c r="B740" i="13" s="1"/>
  <c r="B741" i="13" s="1"/>
  <c r="B742" i="13" s="1"/>
  <c r="B743" i="13" s="1"/>
  <c r="B744" i="13" s="1"/>
  <c r="B745" i="13" s="1"/>
  <c r="B746" i="13" s="1"/>
  <c r="B747" i="13" s="1"/>
  <c r="B748" i="13" s="1"/>
  <c r="B749" i="13" s="1"/>
  <c r="B750" i="13" s="1"/>
  <c r="B751" i="13" s="1"/>
  <c r="B752" i="13" s="1"/>
  <c r="B753" i="13" s="1"/>
  <c r="B754" i="13" s="1"/>
  <c r="B755" i="13" s="1"/>
  <c r="B756" i="13" s="1"/>
  <c r="B757" i="13" s="1"/>
  <c r="B758" i="13" s="1"/>
  <c r="B759" i="13" s="1"/>
  <c r="B760" i="13" s="1"/>
  <c r="B761" i="13" s="1"/>
  <c r="B762" i="13" s="1"/>
  <c r="B763" i="13" s="1"/>
  <c r="G5" i="24" l="1"/>
  <c r="I7" i="24"/>
  <c r="A44" i="24"/>
  <c r="G6" i="24"/>
  <c r="A48" i="24"/>
  <c r="B3" i="24"/>
  <c r="C6" i="24"/>
  <c r="A42" i="24"/>
  <c r="A27" i="7" l="1"/>
  <c r="A26" i="7"/>
  <c r="A25" i="7"/>
  <c r="A4" i="7"/>
  <c r="G16" i="14" l="1"/>
  <c r="G15" i="14"/>
  <c r="G14" i="14"/>
  <c r="G13" i="14"/>
  <c r="K3" i="13" l="1"/>
  <c r="J1" i="14" l="1"/>
  <c r="K1" i="14" l="1"/>
  <c r="J4" i="13"/>
  <c r="K4" i="13" s="1"/>
  <c r="F2" i="12"/>
  <c r="F2" i="14" s="1"/>
  <c r="L1" i="14" l="1"/>
  <c r="E33" i="12"/>
  <c r="E33" i="14" s="1"/>
  <c r="E34" i="12"/>
  <c r="E34" i="14" s="1"/>
  <c r="G32" i="12"/>
  <c r="E35" i="12"/>
  <c r="E35" i="14" s="1"/>
  <c r="J5" i="13"/>
  <c r="M1" i="14" l="1"/>
  <c r="H10" i="14"/>
  <c r="I10" i="14" s="1"/>
  <c r="H9" i="14"/>
  <c r="I9" i="14" s="1"/>
  <c r="H4" i="14"/>
  <c r="I4" i="14" s="1"/>
  <c r="H2" i="14"/>
  <c r="I2" i="14" s="1"/>
  <c r="H11" i="14"/>
  <c r="I11" i="14" s="1"/>
  <c r="H7" i="14"/>
  <c r="I7" i="14" s="1"/>
  <c r="H6" i="14"/>
  <c r="I6" i="14" s="1"/>
  <c r="H3" i="14"/>
  <c r="I3" i="14" s="1"/>
  <c r="H14" i="14"/>
  <c r="H13" i="14"/>
  <c r="H12" i="14"/>
  <c r="I12" i="14" s="1"/>
  <c r="H8" i="14"/>
  <c r="I8" i="14" s="1"/>
  <c r="H5" i="14"/>
  <c r="I5" i="14" s="1"/>
  <c r="H32" i="14"/>
  <c r="I32" i="14" s="1"/>
  <c r="H30" i="14"/>
  <c r="I30" i="14" s="1"/>
  <c r="H28" i="14"/>
  <c r="I28" i="14" s="1"/>
  <c r="H26" i="14"/>
  <c r="I26" i="14" s="1"/>
  <c r="H25" i="14"/>
  <c r="I25" i="14" s="1"/>
  <c r="H24" i="14"/>
  <c r="I24" i="14" s="1"/>
  <c r="H23" i="14"/>
  <c r="I23" i="14" s="1"/>
  <c r="H22" i="14"/>
  <c r="I22" i="14" s="1"/>
  <c r="H21" i="14"/>
  <c r="I21" i="14" s="1"/>
  <c r="H19" i="14"/>
  <c r="I19" i="14" s="1"/>
  <c r="H31" i="14"/>
  <c r="I31" i="14" s="1"/>
  <c r="H29" i="14"/>
  <c r="I29" i="14" s="1"/>
  <c r="H27" i="14"/>
  <c r="I27" i="14" s="1"/>
  <c r="H20" i="14"/>
  <c r="I20" i="14" s="1"/>
  <c r="F33" i="12"/>
  <c r="F33" i="14" s="1"/>
  <c r="F35" i="12"/>
  <c r="F35" i="14" s="1"/>
  <c r="F34" i="12"/>
  <c r="F34" i="14" s="1"/>
  <c r="K5" i="13"/>
  <c r="J6" i="13"/>
  <c r="B9" i="10"/>
  <c r="N1" i="14" l="1"/>
  <c r="E36" i="12"/>
  <c r="E36" i="14" s="1"/>
  <c r="K6" i="13"/>
  <c r="J7" i="13"/>
  <c r="O1" i="14" l="1"/>
  <c r="F36" i="12"/>
  <c r="F36" i="14" s="1"/>
  <c r="K7" i="13"/>
  <c r="J8" i="13"/>
  <c r="P1" i="14" l="1"/>
  <c r="E37" i="12"/>
  <c r="E37" i="14" s="1"/>
  <c r="K8" i="13"/>
  <c r="J9" i="13"/>
  <c r="Q1" i="14" l="1"/>
  <c r="F37" i="12"/>
  <c r="F37" i="14" s="1"/>
  <c r="K9" i="13"/>
  <c r="J10" i="13"/>
  <c r="R1" i="14" l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AG1" i="14" s="1"/>
  <c r="AH1" i="14" s="1"/>
  <c r="AI1" i="14" s="1"/>
  <c r="AJ1" i="14" s="1"/>
  <c r="AK1" i="14" s="1"/>
  <c r="AL1" i="14" s="1"/>
  <c r="AM1" i="14" s="1"/>
  <c r="AN1" i="14" s="1"/>
  <c r="AO1" i="14" s="1"/>
  <c r="AP1" i="14" s="1"/>
  <c r="AQ1" i="14" s="1"/>
  <c r="AR1" i="14" s="1"/>
  <c r="AS1" i="14" s="1"/>
  <c r="AT1" i="14" s="1"/>
  <c r="AU1" i="14" s="1"/>
  <c r="AV1" i="14" s="1"/>
  <c r="AW1" i="14" s="1"/>
  <c r="AX1" i="14" s="1"/>
  <c r="AY1" i="14" s="1"/>
  <c r="AZ1" i="14" s="1"/>
  <c r="BA1" i="14" s="1"/>
  <c r="BB1" i="14" s="1"/>
  <c r="BC1" i="14" s="1"/>
  <c r="BD1" i="14" s="1"/>
  <c r="BE1" i="14" s="1"/>
  <c r="BF1" i="14" s="1"/>
  <c r="BG1" i="14" s="1"/>
  <c r="BH1" i="14" s="1"/>
  <c r="BI1" i="14" s="1"/>
  <c r="BJ1" i="14" s="1"/>
  <c r="BK1" i="14" s="1"/>
  <c r="BL1" i="14" s="1"/>
  <c r="BM1" i="14" s="1"/>
  <c r="BN1" i="14" s="1"/>
  <c r="BO1" i="14" s="1"/>
  <c r="BP1" i="14" s="1"/>
  <c r="BQ1" i="14" s="1"/>
  <c r="BR1" i="14" s="1"/>
  <c r="BS1" i="14" s="1"/>
  <c r="BT1" i="14" s="1"/>
  <c r="BU1" i="14" s="1"/>
  <c r="BV1" i="14" s="1"/>
  <c r="BW1" i="14" s="1"/>
  <c r="BX1" i="14" s="1"/>
  <c r="BY1" i="14" s="1"/>
  <c r="BZ1" i="14" s="1"/>
  <c r="CA1" i="14" s="1"/>
  <c r="CB1" i="14" s="1"/>
  <c r="CC1" i="14" s="1"/>
  <c r="CD1" i="14" s="1"/>
  <c r="CE1" i="14" s="1"/>
  <c r="CF1" i="14" s="1"/>
  <c r="CG1" i="14" s="1"/>
  <c r="CH1" i="14" s="1"/>
  <c r="CI1" i="14" s="1"/>
  <c r="CJ1" i="14" s="1"/>
  <c r="CK1" i="14" s="1"/>
  <c r="CL1" i="14" s="1"/>
  <c r="CM1" i="14" s="1"/>
  <c r="CN1" i="14" s="1"/>
  <c r="CO1" i="14" s="1"/>
  <c r="CP1" i="14" s="1"/>
  <c r="CQ1" i="14" s="1"/>
  <c r="CR1" i="14" s="1"/>
  <c r="CS1" i="14" s="1"/>
  <c r="CT1" i="14" s="1"/>
  <c r="CU1" i="14" s="1"/>
  <c r="CV1" i="14" s="1"/>
  <c r="CW1" i="14" s="1"/>
  <c r="CX1" i="14" s="1"/>
  <c r="CY1" i="14" s="1"/>
  <c r="CZ1" i="14" s="1"/>
  <c r="DA1" i="14" s="1"/>
  <c r="DB1" i="14" s="1"/>
  <c r="DC1" i="14" s="1"/>
  <c r="DD1" i="14" s="1"/>
  <c r="DE1" i="14" s="1"/>
  <c r="DF1" i="14" s="1"/>
  <c r="DG1" i="14" s="1"/>
  <c r="DH1" i="14" s="1"/>
  <c r="DI1" i="14" s="1"/>
  <c r="DJ1" i="14" s="1"/>
  <c r="DK1" i="14" s="1"/>
  <c r="DL1" i="14" s="1"/>
  <c r="DM1" i="14" s="1"/>
  <c r="DN1" i="14" s="1"/>
  <c r="DO1" i="14" s="1"/>
  <c r="DP1" i="14" s="1"/>
  <c r="DQ1" i="14" s="1"/>
  <c r="DR1" i="14" s="1"/>
  <c r="DS1" i="14" s="1"/>
  <c r="DT1" i="14" s="1"/>
  <c r="DU1" i="14" s="1"/>
  <c r="DV1" i="14" s="1"/>
  <c r="DW1" i="14" s="1"/>
  <c r="DX1" i="14" s="1"/>
  <c r="DY1" i="14" s="1"/>
  <c r="DZ1" i="14" s="1"/>
  <c r="EA1" i="14" s="1"/>
  <c r="EB1" i="14" s="1"/>
  <c r="EC1" i="14" s="1"/>
  <c r="ED1" i="14" s="1"/>
  <c r="EE1" i="14" s="1"/>
  <c r="EF1" i="14" s="1"/>
  <c r="EG1" i="14" s="1"/>
  <c r="EH1" i="14" s="1"/>
  <c r="EI1" i="14" s="1"/>
  <c r="EJ1" i="14" s="1"/>
  <c r="EK1" i="14" s="1"/>
  <c r="EL1" i="14" s="1"/>
  <c r="EM1" i="14" s="1"/>
  <c r="EN1" i="14" s="1"/>
  <c r="EO1" i="14" s="1"/>
  <c r="EP1" i="14" s="1"/>
  <c r="EQ1" i="14" s="1"/>
  <c r="ER1" i="14" s="1"/>
  <c r="ES1" i="14" s="1"/>
  <c r="ET1" i="14" s="1"/>
  <c r="EU1" i="14" s="1"/>
  <c r="EV1" i="14" s="1"/>
  <c r="EW1" i="14" s="1"/>
  <c r="EX1" i="14" s="1"/>
  <c r="EY1" i="14" s="1"/>
  <c r="EZ1" i="14" s="1"/>
  <c r="FA1" i="14" s="1"/>
  <c r="FB1" i="14" s="1"/>
  <c r="FC1" i="14" s="1"/>
  <c r="FD1" i="14" s="1"/>
  <c r="FE1" i="14" s="1"/>
  <c r="FF1" i="14" s="1"/>
  <c r="FG1" i="14" s="1"/>
  <c r="FH1" i="14" s="1"/>
  <c r="FI1" i="14" s="1"/>
  <c r="FJ1" i="14" s="1"/>
  <c r="FK1" i="14" s="1"/>
  <c r="FL1" i="14" s="1"/>
  <c r="FM1" i="14" s="1"/>
  <c r="FN1" i="14" s="1"/>
  <c r="FO1" i="14" s="1"/>
  <c r="FP1" i="14" s="1"/>
  <c r="FQ1" i="14" s="1"/>
  <c r="FR1" i="14" s="1"/>
  <c r="FS1" i="14" s="1"/>
  <c r="FT1" i="14" s="1"/>
  <c r="FU1" i="14" s="1"/>
  <c r="FV1" i="14" s="1"/>
  <c r="FW1" i="14" s="1"/>
  <c r="FX1" i="14" s="1"/>
  <c r="FY1" i="14" s="1"/>
  <c r="FZ1" i="14" s="1"/>
  <c r="GA1" i="14" s="1"/>
  <c r="GB1" i="14" s="1"/>
  <c r="GC1" i="14" s="1"/>
  <c r="GD1" i="14" s="1"/>
  <c r="GE1" i="14" s="1"/>
  <c r="GF1" i="14" s="1"/>
  <c r="GG1" i="14" s="1"/>
  <c r="GH1" i="14" s="1"/>
  <c r="GI1" i="14" s="1"/>
  <c r="GJ1" i="14" s="1"/>
  <c r="GK1" i="14" s="1"/>
  <c r="GL1" i="14" s="1"/>
  <c r="GM1" i="14" s="1"/>
  <c r="GN1" i="14" s="1"/>
  <c r="GO1" i="14" s="1"/>
  <c r="GP1" i="14" s="1"/>
  <c r="GQ1" i="14" s="1"/>
  <c r="GR1" i="14" s="1"/>
  <c r="GS1" i="14" s="1"/>
  <c r="GT1" i="14" s="1"/>
  <c r="GU1" i="14" s="1"/>
  <c r="GV1" i="14" s="1"/>
  <c r="GW1" i="14" s="1"/>
  <c r="GX1" i="14" s="1"/>
  <c r="GY1" i="14" s="1"/>
  <c r="GZ1" i="14" s="1"/>
  <c r="HA1" i="14" s="1"/>
  <c r="HB1" i="14" s="1"/>
  <c r="HC1" i="14" s="1"/>
  <c r="HD1" i="14" s="1"/>
  <c r="HE1" i="14" s="1"/>
  <c r="HF1" i="14" s="1"/>
  <c r="HG1" i="14" s="1"/>
  <c r="HH1" i="14" s="1"/>
  <c r="HI1" i="14" s="1"/>
  <c r="HJ1" i="14" s="1"/>
  <c r="HK1" i="14" s="1"/>
  <c r="HL1" i="14" s="1"/>
  <c r="HM1" i="14" s="1"/>
  <c r="HN1" i="14" s="1"/>
  <c r="HO1" i="14" s="1"/>
  <c r="HP1" i="14" s="1"/>
  <c r="HQ1" i="14" s="1"/>
  <c r="HR1" i="14" s="1"/>
  <c r="HS1" i="14" s="1"/>
  <c r="HT1" i="14" s="1"/>
  <c r="HU1" i="14" s="1"/>
  <c r="HV1" i="14" s="1"/>
  <c r="HW1" i="14" s="1"/>
  <c r="HX1" i="14" s="1"/>
  <c r="HY1" i="14" s="1"/>
  <c r="HZ1" i="14" s="1"/>
  <c r="IA1" i="14" s="1"/>
  <c r="IB1" i="14" s="1"/>
  <c r="IC1" i="14" s="1"/>
  <c r="ID1" i="14" s="1"/>
  <c r="IE1" i="14" s="1"/>
  <c r="IF1" i="14" s="1"/>
  <c r="IG1" i="14" s="1"/>
  <c r="IH1" i="14" s="1"/>
  <c r="II1" i="14" s="1"/>
  <c r="IJ1" i="14" s="1"/>
  <c r="IK1" i="14" s="1"/>
  <c r="IL1" i="14" s="1"/>
  <c r="IM1" i="14" s="1"/>
  <c r="IN1" i="14" s="1"/>
  <c r="IO1" i="14" s="1"/>
  <c r="IP1" i="14" s="1"/>
  <c r="IQ1" i="14" s="1"/>
  <c r="IR1" i="14" s="1"/>
  <c r="IS1" i="14" s="1"/>
  <c r="IT1" i="14" s="1"/>
  <c r="IU1" i="14" s="1"/>
  <c r="K10" i="13"/>
  <c r="J11" i="13"/>
  <c r="IV1" i="14" l="1"/>
  <c r="K11" i="13"/>
  <c r="J12" i="13"/>
  <c r="IW1" i="14" l="1"/>
  <c r="IX1" i="14" s="1"/>
  <c r="IY1" i="14" s="1"/>
  <c r="IZ1" i="14" s="1"/>
  <c r="JA1" i="14" s="1"/>
  <c r="JB1" i="14" s="1"/>
  <c r="JC1" i="14" s="1"/>
  <c r="JD1" i="14" s="1"/>
  <c r="JE1" i="14" s="1"/>
  <c r="JF1" i="14" s="1"/>
  <c r="JG1" i="14" s="1"/>
  <c r="JH1" i="14" s="1"/>
  <c r="JI1" i="14" s="1"/>
  <c r="JJ1" i="14" s="1"/>
  <c r="JK1" i="14" s="1"/>
  <c r="JL1" i="14" s="1"/>
  <c r="JM1" i="14" s="1"/>
  <c r="JN1" i="14" s="1"/>
  <c r="JO1" i="14" s="1"/>
  <c r="JP1" i="14" s="1"/>
  <c r="JQ1" i="14" s="1"/>
  <c r="JR1" i="14" s="1"/>
  <c r="JS1" i="14" s="1"/>
  <c r="JT1" i="14" s="1"/>
  <c r="JU1" i="14" s="1"/>
  <c r="JV1" i="14" s="1"/>
  <c r="JW1" i="14" s="1"/>
  <c r="JX1" i="14" s="1"/>
  <c r="JY1" i="14" s="1"/>
  <c r="JZ1" i="14" s="1"/>
  <c r="KA1" i="14" s="1"/>
  <c r="KB1" i="14" s="1"/>
  <c r="KC1" i="14" s="1"/>
  <c r="KD1" i="14" s="1"/>
  <c r="KE1" i="14" s="1"/>
  <c r="KF1" i="14" s="1"/>
  <c r="KG1" i="14" s="1"/>
  <c r="KH1" i="14" s="1"/>
  <c r="KI1" i="14" s="1"/>
  <c r="KJ1" i="14" s="1"/>
  <c r="KK1" i="14" s="1"/>
  <c r="KL1" i="14" s="1"/>
  <c r="KM1" i="14" s="1"/>
  <c r="KN1" i="14" s="1"/>
  <c r="KO1" i="14" s="1"/>
  <c r="KP1" i="14" s="1"/>
  <c r="KQ1" i="14" s="1"/>
  <c r="KR1" i="14" s="1"/>
  <c r="KS1" i="14" s="1"/>
  <c r="KT1" i="14" s="1"/>
  <c r="KU1" i="14" s="1"/>
  <c r="KV1" i="14" s="1"/>
  <c r="KW1" i="14" s="1"/>
  <c r="KX1" i="14" s="1"/>
  <c r="KY1" i="14"/>
  <c r="J13" i="13"/>
  <c r="K12" i="13"/>
  <c r="KZ1" i="14" l="1"/>
  <c r="LA1" i="14" s="1"/>
  <c r="LB1" i="14" s="1"/>
  <c r="LC1" i="14" s="1"/>
  <c r="LD1" i="14" s="1"/>
  <c r="LE1" i="14" s="1"/>
  <c r="LF1" i="14" s="1"/>
  <c r="LG1" i="14" s="1"/>
  <c r="LH1" i="14" s="1"/>
  <c r="LI1" i="14" s="1"/>
  <c r="LJ1" i="14" s="1"/>
  <c r="LK1" i="14" s="1"/>
  <c r="LL1" i="14" s="1"/>
  <c r="LM1" i="14" s="1"/>
  <c r="LN1" i="14" s="1"/>
  <c r="LO1" i="14" s="1"/>
  <c r="LP1" i="14" s="1"/>
  <c r="LQ1" i="14" s="1"/>
  <c r="LR1" i="14" s="1"/>
  <c r="LS1" i="14" s="1"/>
  <c r="LT1" i="14" s="1"/>
  <c r="LU1" i="14" s="1"/>
  <c r="LV1" i="14" s="1"/>
  <c r="LW1" i="14" s="1"/>
  <c r="LX1" i="14" s="1"/>
  <c r="LY1" i="14" s="1"/>
  <c r="LZ1" i="14" s="1"/>
  <c r="MA1" i="14" s="1"/>
  <c r="MB1" i="14" s="1"/>
  <c r="MC1" i="14" s="1"/>
  <c r="MD1" i="14" s="1"/>
  <c r="ME1" i="14" s="1"/>
  <c r="MF1" i="14" s="1"/>
  <c r="MG1" i="14" s="1"/>
  <c r="MH1" i="14" s="1"/>
  <c r="MI1" i="14" s="1"/>
  <c r="MJ1" i="14" s="1"/>
  <c r="MK1" i="14" s="1"/>
  <c r="ML1" i="14" s="1"/>
  <c r="MM1" i="14" s="1"/>
  <c r="MN1" i="14" s="1"/>
  <c r="MO1" i="14" s="1"/>
  <c r="MP1" i="14" s="1"/>
  <c r="MQ1" i="14" s="1"/>
  <c r="MR1" i="14" s="1"/>
  <c r="MS1" i="14" s="1"/>
  <c r="MT1" i="14" s="1"/>
  <c r="MU1" i="14" s="1"/>
  <c r="MV1" i="14" s="1"/>
  <c r="MW1" i="14" s="1"/>
  <c r="MX1" i="14" s="1"/>
  <c r="MY1" i="14" s="1"/>
  <c r="MZ1" i="14" s="1"/>
  <c r="NA1" i="14" s="1"/>
  <c r="NB1" i="14" s="1"/>
  <c r="NC1" i="14" s="1"/>
  <c r="ND1" i="14" s="1"/>
  <c r="NE1" i="14" s="1"/>
  <c r="NF1" i="14" s="1"/>
  <c r="NG1" i="14" s="1"/>
  <c r="NH1" i="14" s="1"/>
  <c r="NI1" i="14" s="1"/>
  <c r="NJ1" i="14"/>
  <c r="J14" i="13"/>
  <c r="K13" i="13"/>
  <c r="NK1" i="14" l="1"/>
  <c r="J15" i="13"/>
  <c r="K14" i="13"/>
  <c r="NL1" i="14" l="1"/>
  <c r="NM1" i="14" s="1"/>
  <c r="NN1" i="14" s="1"/>
  <c r="NO1" i="14" s="1"/>
  <c r="NP1" i="14" s="1"/>
  <c r="NQ1" i="14" s="1"/>
  <c r="NR1" i="14" s="1"/>
  <c r="NS1" i="14" s="1"/>
  <c r="NT1" i="14" s="1"/>
  <c r="NU1" i="14" s="1"/>
  <c r="NV1" i="14" s="1"/>
  <c r="NW1" i="14" s="1"/>
  <c r="NX1" i="14" s="1"/>
  <c r="NY1" i="14" s="1"/>
  <c r="NZ1" i="14" s="1"/>
  <c r="OA1" i="14" s="1"/>
  <c r="OB1" i="14" s="1"/>
  <c r="OC1" i="14" s="1"/>
  <c r="OD1" i="14" s="1"/>
  <c r="OE1" i="14" s="1"/>
  <c r="OF1" i="14" s="1"/>
  <c r="OG1" i="14" s="1"/>
  <c r="OH1" i="14" s="1"/>
  <c r="OI1" i="14" s="1"/>
  <c r="OJ1" i="14" s="1"/>
  <c r="OK1" i="14" s="1"/>
  <c r="OL1" i="14" s="1"/>
  <c r="OM1" i="14" s="1"/>
  <c r="ON1" i="14" s="1"/>
  <c r="OO1" i="14" s="1"/>
  <c r="OP1" i="14" s="1"/>
  <c r="OQ1" i="14" s="1"/>
  <c r="OR1" i="14" s="1"/>
  <c r="OS1" i="14" s="1"/>
  <c r="OT1" i="14" s="1"/>
  <c r="OU1" i="14" s="1"/>
  <c r="OV1" i="14" s="1"/>
  <c r="OW1" i="14" s="1"/>
  <c r="OX1" i="14" s="1"/>
  <c r="OY1" i="14" s="1"/>
  <c r="OZ1" i="14" s="1"/>
  <c r="PA1" i="14" s="1"/>
  <c r="PB1" i="14" s="1"/>
  <c r="PC1" i="14" s="1"/>
  <c r="PD1" i="14" s="1"/>
  <c r="PE1" i="14" s="1"/>
  <c r="PF1" i="14" s="1"/>
  <c r="PG1" i="14" s="1"/>
  <c r="PH1" i="14" s="1"/>
  <c r="PI1" i="14" s="1"/>
  <c r="PJ1" i="14" s="1"/>
  <c r="PK1" i="14" s="1"/>
  <c r="PL1" i="14" s="1"/>
  <c r="PM1" i="14" s="1"/>
  <c r="PN1" i="14" s="1"/>
  <c r="PO1" i="14" s="1"/>
  <c r="PP1" i="14" s="1"/>
  <c r="PQ1" i="14" s="1"/>
  <c r="PR1" i="14" s="1"/>
  <c r="PS1" i="14" s="1"/>
  <c r="PT1" i="14" s="1"/>
  <c r="PU1" i="14" s="1"/>
  <c r="PV1" i="14" s="1"/>
  <c r="PW1" i="14" s="1"/>
  <c r="PX1" i="14" s="1"/>
  <c r="PY1" i="14" s="1"/>
  <c r="PZ1" i="14" s="1"/>
  <c r="QA1" i="14" s="1"/>
  <c r="QB1" i="14" s="1"/>
  <c r="QC1" i="14" s="1"/>
  <c r="QD1" i="14" s="1"/>
  <c r="QE1" i="14" s="1"/>
  <c r="QF1" i="14" s="1"/>
  <c r="QG1" i="14" s="1"/>
  <c r="QH1" i="14" s="1"/>
  <c r="QI1" i="14" s="1"/>
  <c r="QJ1" i="14" s="1"/>
  <c r="QK1" i="14" s="1"/>
  <c r="QL1" i="14" s="1"/>
  <c r="QM1" i="14" s="1"/>
  <c r="QN1" i="14" s="1"/>
  <c r="QO1" i="14" s="1"/>
  <c r="QP1" i="14" s="1"/>
  <c r="QQ1" i="14" s="1"/>
  <c r="QR1" i="14" s="1"/>
  <c r="QS1" i="14" s="1"/>
  <c r="QT1" i="14" s="1"/>
  <c r="QU1" i="14" s="1"/>
  <c r="QV1" i="14" s="1"/>
  <c r="QW1" i="14" s="1"/>
  <c r="QX1" i="14" s="1"/>
  <c r="QY1" i="14" s="1"/>
  <c r="QZ1" i="14" s="1"/>
  <c r="RA1" i="14" s="1"/>
  <c r="RB1" i="14" s="1"/>
  <c r="RC1" i="14" s="1"/>
  <c r="RD1" i="14" s="1"/>
  <c r="RE1" i="14" s="1"/>
  <c r="RF1" i="14" s="1"/>
  <c r="RG1" i="14" s="1"/>
  <c r="RH1" i="14" s="1"/>
  <c r="RI1" i="14" s="1"/>
  <c r="RJ1" i="14" s="1"/>
  <c r="RK1" i="14" s="1"/>
  <c r="RL1" i="14" s="1"/>
  <c r="RM1" i="14" s="1"/>
  <c r="RN1" i="14" s="1"/>
  <c r="RO1" i="14" s="1"/>
  <c r="RP1" i="14" s="1"/>
  <c r="RQ1" i="14" s="1"/>
  <c r="RR1" i="14" s="1"/>
  <c r="RS1" i="14" s="1"/>
  <c r="RT1" i="14" s="1"/>
  <c r="RU1" i="14" s="1"/>
  <c r="RV1" i="14" s="1"/>
  <c r="RW1" i="14" s="1"/>
  <c r="SQ1" i="14"/>
  <c r="K15" i="13"/>
  <c r="J16" i="13"/>
  <c r="RX1" i="14" l="1"/>
  <c r="RY1" i="14" s="1"/>
  <c r="RZ1" i="14" s="1"/>
  <c r="SA1" i="14" s="1"/>
  <c r="SB1" i="14" s="1"/>
  <c r="SC1" i="14" s="1"/>
  <c r="SD1" i="14" s="1"/>
  <c r="SE1" i="14" s="1"/>
  <c r="SF1" i="14" s="1"/>
  <c r="SG1" i="14" s="1"/>
  <c r="SH1" i="14" s="1"/>
  <c r="SI1" i="14" s="1"/>
  <c r="SJ1" i="14" s="1"/>
  <c r="SK1" i="14" s="1"/>
  <c r="SL1" i="14" s="1"/>
  <c r="SM1" i="14" s="1"/>
  <c r="SN1" i="14" s="1"/>
  <c r="SO1" i="14" s="1"/>
  <c r="SP1" i="14" s="1"/>
  <c r="SR1" i="14"/>
  <c r="SS1" i="14" s="1"/>
  <c r="ST1" i="14" s="1"/>
  <c r="SU1" i="14" s="1"/>
  <c r="SV1" i="14" s="1"/>
  <c r="SW1" i="14" s="1"/>
  <c r="SX1" i="14" s="1"/>
  <c r="SY1" i="14" s="1"/>
  <c r="SZ1" i="14" s="1"/>
  <c r="TA1" i="14" s="1"/>
  <c r="TB1" i="14" s="1"/>
  <c r="TC1" i="14" s="1"/>
  <c r="TD1" i="14" s="1"/>
  <c r="TE1" i="14" s="1"/>
  <c r="TF1" i="14" s="1"/>
  <c r="TG1" i="14" s="1"/>
  <c r="TH1" i="14" s="1"/>
  <c r="TI1" i="14" s="1"/>
  <c r="TJ1" i="14" s="1"/>
  <c r="TK1" i="14" s="1"/>
  <c r="TL1" i="14" s="1"/>
  <c r="TM1" i="14" s="1"/>
  <c r="J18" i="24"/>
  <c r="TN1" i="14"/>
  <c r="K16" i="13"/>
  <c r="J17" i="13"/>
  <c r="TO1" i="14" l="1"/>
  <c r="TP1" i="14" s="1"/>
  <c r="TQ1" i="14" s="1"/>
  <c r="TR1" i="14" s="1"/>
  <c r="TS1" i="14" s="1"/>
  <c r="TT1" i="14" s="1"/>
  <c r="TU1" i="14" s="1"/>
  <c r="TV1" i="14" s="1"/>
  <c r="TW1" i="14" s="1"/>
  <c r="TX1" i="14" s="1"/>
  <c r="TY1" i="14" s="1"/>
  <c r="TZ1" i="14" s="1"/>
  <c r="UA1" i="14" s="1"/>
  <c r="UB1" i="14" s="1"/>
  <c r="UC1" i="14" s="1"/>
  <c r="UD1" i="14" s="1"/>
  <c r="UE1" i="14" s="1"/>
  <c r="UF1" i="14" s="1"/>
  <c r="UG1" i="14" s="1"/>
  <c r="UH1" i="14" s="1"/>
  <c r="UI1" i="14" s="1"/>
  <c r="UJ1" i="14" s="1"/>
  <c r="UK1" i="14" s="1"/>
  <c r="UL1" i="14" s="1"/>
  <c r="UM1" i="14" s="1"/>
  <c r="UN1" i="14" s="1"/>
  <c r="UO1" i="14" s="1"/>
  <c r="UP1" i="14" s="1"/>
  <c r="UQ1" i="14" s="1"/>
  <c r="UR1" i="14" s="1"/>
  <c r="US1" i="14" s="1"/>
  <c r="UT1" i="14" s="1"/>
  <c r="UU1" i="14" s="1"/>
  <c r="UV1" i="14" s="1"/>
  <c r="UW1" i="14" s="1"/>
  <c r="UX1" i="14" s="1"/>
  <c r="UY1" i="14" s="1"/>
  <c r="UZ1" i="14" s="1"/>
  <c r="VA1" i="14" s="1"/>
  <c r="VB1" i="14" s="1"/>
  <c r="VC1" i="14" s="1"/>
  <c r="VD1" i="14" s="1"/>
  <c r="VE1" i="14" s="1"/>
  <c r="VF1" i="14" s="1"/>
  <c r="VG1" i="14" s="1"/>
  <c r="VH1" i="14" s="1"/>
  <c r="VI1" i="14" s="1"/>
  <c r="VJ1" i="14" s="1"/>
  <c r="VK1" i="14" s="1"/>
  <c r="VL1" i="14" s="1"/>
  <c r="VM1" i="14" s="1"/>
  <c r="VN1" i="14" s="1"/>
  <c r="VO1" i="14" s="1"/>
  <c r="VP1" i="14" s="1"/>
  <c r="VQ1" i="14" s="1"/>
  <c r="VR1" i="14" s="1"/>
  <c r="VS1" i="14" s="1"/>
  <c r="VT1" i="14" s="1"/>
  <c r="VU1" i="14" s="1"/>
  <c r="VV1" i="14" s="1"/>
  <c r="VW1" i="14" s="1"/>
  <c r="VX1" i="14" s="1"/>
  <c r="VY1" i="14" s="1"/>
  <c r="VZ1" i="14" s="1"/>
  <c r="WA1" i="14" s="1"/>
  <c r="WB1" i="14" s="1"/>
  <c r="WC1" i="14" s="1"/>
  <c r="WD1" i="14" s="1"/>
  <c r="WE1" i="14" s="1"/>
  <c r="WF1" i="14" s="1"/>
  <c r="J20" i="24"/>
  <c r="J28" i="24"/>
  <c r="J29" i="24"/>
  <c r="J23" i="24"/>
  <c r="J39" i="24"/>
  <c r="J40" i="24"/>
  <c r="J27" i="24"/>
  <c r="J15" i="24"/>
  <c r="J17" i="24"/>
  <c r="J32" i="24"/>
  <c r="J13" i="24"/>
  <c r="J11" i="24"/>
  <c r="J33" i="24"/>
  <c r="J38" i="24"/>
  <c r="J14" i="24"/>
  <c r="J31" i="24"/>
  <c r="J19" i="24"/>
  <c r="J12" i="24"/>
  <c r="J30" i="24"/>
  <c r="J24" i="24"/>
  <c r="J35" i="24"/>
  <c r="J34" i="24"/>
  <c r="J25" i="24"/>
  <c r="J21" i="24"/>
  <c r="J26" i="24"/>
  <c r="J16" i="24"/>
  <c r="J36" i="24"/>
  <c r="J10" i="24"/>
  <c r="J37" i="24"/>
  <c r="J22" i="24"/>
  <c r="K17" i="13"/>
  <c r="J18" i="13"/>
  <c r="B7" i="24" l="1"/>
  <c r="I14" i="24"/>
  <c r="I16" i="24"/>
  <c r="I10" i="24"/>
  <c r="I13" i="24"/>
  <c r="I11" i="24"/>
  <c r="I12" i="24"/>
  <c r="I17" i="24"/>
  <c r="I24" i="24"/>
  <c r="I19" i="24"/>
  <c r="I30" i="24"/>
  <c r="I15" i="24"/>
  <c r="I35" i="24"/>
  <c r="I39" i="24"/>
  <c r="I31" i="24"/>
  <c r="I26" i="24"/>
  <c r="I34" i="24"/>
  <c r="I40" i="24"/>
  <c r="I25" i="24"/>
  <c r="I28" i="24"/>
  <c r="I18" i="24"/>
  <c r="I27" i="24"/>
  <c r="I21" i="24"/>
  <c r="I29" i="24"/>
  <c r="I32" i="24"/>
  <c r="I37" i="24"/>
  <c r="I22" i="24"/>
  <c r="I23" i="24"/>
  <c r="I33" i="24"/>
  <c r="I38" i="24"/>
  <c r="I36" i="24"/>
  <c r="I20" i="24"/>
  <c r="J19" i="13"/>
  <c r="K18" i="13"/>
  <c r="K19" i="13" l="1"/>
  <c r="J20" i="13"/>
  <c r="K20" i="13" l="1"/>
  <c r="J21" i="13"/>
  <c r="K21" i="13" l="1"/>
  <c r="J22" i="13"/>
  <c r="K22" i="13" l="1"/>
  <c r="J23" i="13"/>
  <c r="J24" i="13" l="1"/>
  <c r="K23" i="13"/>
  <c r="J25" i="13" l="1"/>
  <c r="K24" i="13"/>
  <c r="K25" i="13" l="1"/>
  <c r="J26" i="13"/>
  <c r="J27" i="13" l="1"/>
  <c r="K26" i="13"/>
  <c r="K27" i="13" l="1"/>
  <c r="J28" i="13"/>
  <c r="J29" i="13" l="1"/>
  <c r="K28" i="13"/>
  <c r="J30" i="13" l="1"/>
  <c r="K29" i="13"/>
  <c r="K30" i="13" l="1"/>
  <c r="J31" i="13"/>
  <c r="K31" i="13" l="1"/>
  <c r="J32" i="13"/>
  <c r="K32" i="13" l="1"/>
  <c r="J33" i="13"/>
  <c r="K33" i="13" l="1"/>
  <c r="J34" i="13"/>
  <c r="J35" i="13" l="1"/>
  <c r="K34" i="13"/>
  <c r="J36" i="13" l="1"/>
  <c r="K35" i="13"/>
  <c r="J37" i="13" l="1"/>
  <c r="K36" i="13"/>
  <c r="J38" i="13" l="1"/>
  <c r="K37" i="13"/>
  <c r="J39" i="13" l="1"/>
  <c r="K38" i="13"/>
  <c r="J40" i="13" l="1"/>
  <c r="K39" i="13"/>
  <c r="J41" i="13" l="1"/>
  <c r="K40" i="13"/>
  <c r="J42" i="13" l="1"/>
  <c r="K41" i="13"/>
  <c r="J43" i="13" l="1"/>
  <c r="K42" i="13"/>
  <c r="J44" i="13" l="1"/>
  <c r="K43" i="13"/>
  <c r="J45" i="13" l="1"/>
  <c r="K44" i="13"/>
  <c r="J46" i="13" l="1"/>
  <c r="K45" i="13"/>
  <c r="J47" i="13" l="1"/>
  <c r="K46" i="13"/>
  <c r="J48" i="13" l="1"/>
  <c r="K47" i="13"/>
  <c r="K48" i="13" l="1"/>
  <c r="J49" i="13"/>
  <c r="J50" i="13" l="1"/>
  <c r="K49" i="13"/>
  <c r="J51" i="13" l="1"/>
  <c r="K50" i="13"/>
  <c r="K51" i="13" l="1"/>
  <c r="J52" i="13"/>
  <c r="J53" i="13" l="1"/>
  <c r="K52" i="13"/>
  <c r="J54" i="13" l="1"/>
  <c r="K53" i="13"/>
  <c r="J55" i="13" l="1"/>
  <c r="K54" i="13"/>
  <c r="K55" i="13" l="1"/>
  <c r="J56" i="13"/>
  <c r="J57" i="13" l="1"/>
  <c r="K56" i="13"/>
  <c r="J58" i="13" l="1"/>
  <c r="K57" i="13"/>
  <c r="J59" i="13" l="1"/>
  <c r="K58" i="13"/>
  <c r="J60" i="13" l="1"/>
  <c r="K59" i="13"/>
  <c r="J61" i="13" l="1"/>
  <c r="K60" i="13"/>
  <c r="J62" i="13" l="1"/>
  <c r="K61" i="13"/>
  <c r="J63" i="13" l="1"/>
  <c r="K62" i="13"/>
  <c r="J64" i="13" l="1"/>
  <c r="K63" i="13"/>
  <c r="J65" i="13" l="1"/>
  <c r="K64" i="13"/>
  <c r="J66" i="13" l="1"/>
  <c r="K65" i="13"/>
  <c r="J67" i="13" l="1"/>
  <c r="K66" i="13"/>
  <c r="J68" i="13" l="1"/>
  <c r="K67" i="13"/>
  <c r="K68" i="13" l="1"/>
  <c r="J69" i="13"/>
  <c r="J70" i="13" l="1"/>
  <c r="K69" i="13"/>
  <c r="J71" i="13" l="1"/>
  <c r="J72" i="13" s="1"/>
  <c r="K70" i="13"/>
  <c r="K72" i="13" l="1"/>
  <c r="J73" i="13"/>
  <c r="K71" i="13"/>
  <c r="K73" i="13" l="1"/>
  <c r="J74" i="13"/>
  <c r="I13" i="14"/>
  <c r="I14" i="14"/>
  <c r="H15" i="14" l="1"/>
  <c r="J75" i="13"/>
  <c r="K74" i="13"/>
  <c r="J76" i="13" l="1"/>
  <c r="K75" i="13"/>
  <c r="I15" i="14"/>
  <c r="H17" i="14"/>
  <c r="H16" i="14" l="1"/>
  <c r="I16" i="14" s="1"/>
  <c r="K76" i="13"/>
  <c r="J77" i="13"/>
  <c r="I17" i="14" l="1"/>
  <c r="K77" i="13"/>
  <c r="J78" i="13"/>
  <c r="K78" i="13" l="1"/>
  <c r="J79" i="13"/>
  <c r="J80" i="13" l="1"/>
  <c r="K79" i="13"/>
  <c r="J284" i="14"/>
  <c r="AE284" i="14" l="1"/>
  <c r="AP284" i="14"/>
  <c r="T284" i="14"/>
  <c r="BF284" i="14"/>
  <c r="CB284" i="14"/>
  <c r="BA284" i="14"/>
  <c r="Y284" i="14"/>
  <c r="CG284" i="14"/>
  <c r="BY284" i="14"/>
  <c r="AX284" i="14"/>
  <c r="Z284" i="14"/>
  <c r="BI284" i="14"/>
  <c r="AC284" i="14"/>
  <c r="BD284" i="14"/>
  <c r="BL284" i="14"/>
  <c r="BE284" i="14"/>
  <c r="AD284" i="14"/>
  <c r="AU284" i="14"/>
  <c r="V284" i="14"/>
  <c r="BQ284" i="14"/>
  <c r="S284" i="14"/>
  <c r="BO284" i="14"/>
  <c r="AW284" i="14"/>
  <c r="AQ284" i="14"/>
  <c r="CD284" i="14"/>
  <c r="BK284" i="14"/>
  <c r="AL284" i="14"/>
  <c r="AV284" i="14"/>
  <c r="BS284" i="14"/>
  <c r="Q284" i="14"/>
  <c r="BH284" i="14"/>
  <c r="L284" i="14"/>
  <c r="CA284" i="14"/>
  <c r="AM284" i="14"/>
  <c r="CE284" i="14"/>
  <c r="BB284" i="14"/>
  <c r="P284" i="14"/>
  <c r="AZ284" i="14"/>
  <c r="N284" i="14"/>
  <c r="AI284" i="14"/>
  <c r="AG284" i="14"/>
  <c r="X284" i="14"/>
  <c r="BR284" i="14"/>
  <c r="AA284" i="14"/>
  <c r="BC284" i="14"/>
  <c r="BU284" i="14"/>
  <c r="BN284" i="14"/>
  <c r="AS284" i="14"/>
  <c r="BZ284" i="14"/>
  <c r="CI284" i="14"/>
  <c r="AF284" i="14"/>
  <c r="BT284" i="14"/>
  <c r="AK284" i="14"/>
  <c r="O284" i="14"/>
  <c r="BG284" i="14"/>
  <c r="BJ284" i="14"/>
  <c r="K284" i="14"/>
  <c r="CH284" i="14"/>
  <c r="AY284" i="14"/>
  <c r="BP284" i="14"/>
  <c r="BX284" i="14"/>
  <c r="AN284" i="14"/>
  <c r="AO284" i="14"/>
  <c r="AJ284" i="14"/>
  <c r="BM284" i="14"/>
  <c r="BW284" i="14"/>
  <c r="CF284" i="14"/>
  <c r="BV284" i="14"/>
  <c r="W284" i="14"/>
  <c r="AT284" i="14"/>
  <c r="AB284" i="14"/>
  <c r="CJ284" i="14"/>
  <c r="CC284" i="14"/>
  <c r="AR284" i="14"/>
  <c r="AH284" i="14"/>
  <c r="M284" i="14"/>
  <c r="LZ36" i="14"/>
  <c r="ME36" i="14"/>
  <c r="SU35" i="14"/>
  <c r="RP34" i="14"/>
  <c r="JA35" i="14"/>
  <c r="LV34" i="14"/>
  <c r="IF34" i="14"/>
  <c r="VC35" i="14"/>
  <c r="ES36" i="14"/>
  <c r="OH36" i="14"/>
  <c r="HX34" i="14"/>
  <c r="QL35" i="14"/>
  <c r="MV36" i="14"/>
  <c r="UT36" i="14"/>
  <c r="GF36" i="14"/>
  <c r="SN34" i="14"/>
  <c r="UM33" i="14"/>
  <c r="MS36" i="14"/>
  <c r="HL35" i="14"/>
  <c r="OL35" i="14"/>
  <c r="IX36" i="14"/>
  <c r="OD35" i="14"/>
  <c r="MM35" i="14"/>
  <c r="KS36" i="14"/>
  <c r="JG36" i="14"/>
  <c r="PT34" i="14"/>
  <c r="NR35" i="14"/>
  <c r="CW35" i="14"/>
  <c r="HB36" i="14"/>
  <c r="GY36" i="14"/>
  <c r="DD36" i="14"/>
  <c r="UJ36" i="14"/>
  <c r="RZ36" i="14"/>
  <c r="MX35" i="14"/>
  <c r="PN35" i="14"/>
  <c r="EX36" i="14"/>
  <c r="UO36" i="14"/>
  <c r="NO36" i="14"/>
  <c r="RD34" i="14"/>
  <c r="GG36" i="14"/>
  <c r="QD35" i="14"/>
  <c r="HT35" i="14"/>
  <c r="KW36" i="14"/>
  <c r="KI36" i="14"/>
  <c r="PB36" i="14"/>
  <c r="VI36" i="14"/>
  <c r="LP36" i="14"/>
  <c r="SB36" i="14"/>
  <c r="QK36" i="14"/>
  <c r="LB36" i="14"/>
  <c r="KM36" i="14"/>
  <c r="PZ35" i="14"/>
  <c r="UJ35" i="14"/>
  <c r="HK35" i="14"/>
  <c r="NW35" i="14"/>
  <c r="OE34" i="14"/>
  <c r="TH35" i="14"/>
  <c r="RO36" i="14"/>
  <c r="FJ34" i="14"/>
  <c r="HF36" i="14"/>
  <c r="TQ34" i="14"/>
  <c r="QW36" i="14"/>
  <c r="KR34" i="14"/>
  <c r="SC33" i="14"/>
  <c r="HA33" i="14"/>
  <c r="NZ33" i="14"/>
  <c r="NC36" i="14"/>
  <c r="RX36" i="14"/>
  <c r="PB33" i="14"/>
  <c r="MQ33" i="14"/>
  <c r="OO34" i="14"/>
  <c r="VN34" i="14"/>
  <c r="TH34" i="14"/>
  <c r="UD36" i="14"/>
  <c r="PR35" i="14"/>
  <c r="UQ36" i="14"/>
  <c r="FQ36" i="14"/>
  <c r="TR35" i="14"/>
  <c r="MI36" i="14"/>
  <c r="VY35" i="14"/>
  <c r="MQ36" i="14"/>
  <c r="EJ35" i="14"/>
  <c r="QO36" i="14"/>
  <c r="VI34" i="14"/>
  <c r="JU33" i="14"/>
  <c r="PP36" i="14"/>
  <c r="KS33" i="14"/>
  <c r="DW35" i="14"/>
  <c r="UY33" i="14"/>
  <c r="UE34" i="14"/>
  <c r="DV35" i="14"/>
  <c r="QH36" i="14"/>
  <c r="IY36" i="14"/>
  <c r="PS36" i="14"/>
  <c r="IT35" i="14"/>
  <c r="NU33" i="14"/>
  <c r="UK33" i="14"/>
  <c r="MJ33" i="14"/>
  <c r="GL35" i="14"/>
  <c r="GO34" i="14"/>
  <c r="RL33" i="14"/>
  <c r="QG34" i="14"/>
  <c r="KE33" i="14"/>
  <c r="FT36" i="14"/>
  <c r="GC34" i="14"/>
  <c r="EK36" i="14"/>
  <c r="MO33" i="14"/>
  <c r="QK34" i="14"/>
  <c r="NS33" i="14"/>
  <c r="FI33" i="14"/>
  <c r="FV33" i="14"/>
  <c r="EN35" i="14"/>
  <c r="GP36" i="14"/>
  <c r="JO33" i="14"/>
  <c r="JO37" i="14" s="1"/>
  <c r="JO284" i="14" s="1"/>
  <c r="RF34" i="14"/>
  <c r="JC36" i="14"/>
  <c r="HQ35" i="14"/>
  <c r="FG36" i="14"/>
  <c r="HJ35" i="14"/>
  <c r="EE36" i="14"/>
  <c r="NV34" i="14"/>
  <c r="JR36" i="14"/>
  <c r="VK36" i="14"/>
  <c r="QG33" i="14"/>
  <c r="PG36" i="14"/>
  <c r="IJ35" i="14"/>
  <c r="MA35" i="14"/>
  <c r="FM34" i="14"/>
  <c r="KN36" i="14"/>
  <c r="VZ36" i="14"/>
  <c r="JN35" i="14"/>
  <c r="FS36" i="14"/>
  <c r="SW36" i="14"/>
  <c r="NB36" i="14"/>
  <c r="FP34" i="14"/>
  <c r="RH35" i="14"/>
  <c r="PI36" i="14"/>
  <c r="NV36" i="14"/>
  <c r="HS35" i="14"/>
  <c r="VM36" i="14"/>
  <c r="US35" i="14"/>
  <c r="TX35" i="14"/>
  <c r="NK35" i="14"/>
  <c r="VJ36" i="14"/>
  <c r="JT34" i="14"/>
  <c r="TO36" i="14"/>
  <c r="GX36" i="14"/>
  <c r="NN36" i="14"/>
  <c r="MN36" i="14"/>
  <c r="EP34" i="14"/>
  <c r="QN35" i="14"/>
  <c r="SA35" i="14"/>
  <c r="TK36" i="14"/>
  <c r="FE36" i="14"/>
  <c r="HV35" i="14"/>
  <c r="JF36" i="14"/>
  <c r="NR36" i="14"/>
  <c r="LM36" i="14"/>
  <c r="WC35" i="14"/>
  <c r="MF35" i="14"/>
  <c r="OU36" i="14"/>
  <c r="IU34" i="14"/>
  <c r="SH36" i="14"/>
  <c r="OK36" i="14"/>
  <c r="WC34" i="14"/>
  <c r="LR33" i="14"/>
  <c r="PA36" i="14"/>
  <c r="IL35" i="14"/>
  <c r="UR35" i="14"/>
  <c r="QS34" i="14"/>
  <c r="JB35" i="14"/>
  <c r="MY35" i="14"/>
  <c r="GM36" i="14"/>
  <c r="JH35" i="14"/>
  <c r="KF35" i="14"/>
  <c r="QM35" i="14"/>
  <c r="FD36" i="14"/>
  <c r="IM36" i="14"/>
  <c r="UW35" i="14"/>
  <c r="ER34" i="14"/>
  <c r="GU36" i="14"/>
  <c r="KE35" i="14"/>
  <c r="MR34" i="14"/>
  <c r="NS34" i="14"/>
  <c r="HY33" i="14"/>
  <c r="JD35" i="14"/>
  <c r="HA35" i="14"/>
  <c r="NX33" i="14"/>
  <c r="JI35" i="14"/>
  <c r="MZ33" i="14"/>
  <c r="PU36" i="14"/>
  <c r="QV34" i="14"/>
  <c r="QM36" i="14"/>
  <c r="RA36" i="14"/>
  <c r="LR36" i="14"/>
  <c r="UH34" i="14"/>
  <c r="MC34" i="14"/>
  <c r="EB35" i="14"/>
  <c r="QH33" i="14"/>
  <c r="HC36" i="14"/>
  <c r="UN34" i="14"/>
  <c r="DK35" i="14"/>
  <c r="TP35" i="14"/>
  <c r="TD36" i="14"/>
  <c r="NA35" i="14"/>
  <c r="EU34" i="14"/>
  <c r="VH33" i="14"/>
  <c r="EH33" i="14"/>
  <c r="VK35" i="14"/>
  <c r="QQ33" i="14"/>
  <c r="CW33" i="14"/>
  <c r="PJ33" i="14"/>
  <c r="LD36" i="14"/>
  <c r="TT34" i="14"/>
  <c r="KL33" i="14"/>
  <c r="RX35" i="14"/>
  <c r="MO34" i="14"/>
  <c r="NN33" i="14"/>
  <c r="QI34" i="14"/>
  <c r="OX36" i="14"/>
  <c r="GW36" i="14"/>
  <c r="VY34" i="14"/>
  <c r="EM36" i="14"/>
  <c r="MB35" i="14"/>
  <c r="FD35" i="14"/>
  <c r="TS35" i="14"/>
  <c r="JD34" i="14"/>
  <c r="VS36" i="14"/>
  <c r="QD33" i="14"/>
  <c r="JH33" i="14"/>
  <c r="RH33" i="14"/>
  <c r="UR34" i="14"/>
  <c r="LR34" i="14"/>
  <c r="OZ33" i="14"/>
  <c r="HL33" i="14"/>
  <c r="LQ35" i="14"/>
  <c r="HE33" i="14"/>
  <c r="UC33" i="14"/>
  <c r="LM33" i="14"/>
  <c r="ES34" i="14"/>
  <c r="KS34" i="14"/>
  <c r="FY35" i="14"/>
  <c r="KC33" i="14"/>
  <c r="IK34" i="14"/>
  <c r="FH33" i="14"/>
  <c r="VW33" i="14"/>
  <c r="NK36" i="14"/>
  <c r="GA35" i="14"/>
  <c r="IZ36" i="14"/>
  <c r="LP34" i="14"/>
  <c r="VP34" i="14"/>
  <c r="TE36" i="14"/>
  <c r="QQ36" i="14"/>
  <c r="EX35" i="14"/>
  <c r="DP36" i="14"/>
  <c r="EH36" i="14"/>
  <c r="RB34" i="14"/>
  <c r="JW36" i="14"/>
  <c r="PH35" i="14"/>
  <c r="TW35" i="14"/>
  <c r="MW35" i="14"/>
  <c r="TV36" i="14"/>
  <c r="JK36" i="14"/>
  <c r="FZ35" i="14"/>
  <c r="TM36" i="14"/>
  <c r="MM34" i="14"/>
  <c r="NN35" i="14"/>
  <c r="VG34" i="14"/>
  <c r="GA36" i="14"/>
  <c r="JP36" i="14"/>
  <c r="VA35" i="14"/>
  <c r="MJ35" i="14"/>
  <c r="UW36" i="14"/>
  <c r="SR35" i="14"/>
  <c r="JM36" i="14"/>
  <c r="OX35" i="14"/>
  <c r="GG35" i="14"/>
  <c r="DN33" i="14"/>
  <c r="GY35" i="14"/>
  <c r="HW35" i="14"/>
  <c r="KZ36" i="14"/>
  <c r="HR35" i="14"/>
  <c r="LA35" i="14"/>
  <c r="LY35" i="14"/>
  <c r="QC36" i="14"/>
  <c r="MC36" i="14"/>
  <c r="PL35" i="14"/>
  <c r="LO35" i="14"/>
  <c r="UF36" i="14"/>
  <c r="TK34" i="14"/>
  <c r="II35" i="14"/>
  <c r="RQ36" i="14"/>
  <c r="KK36" i="14"/>
  <c r="LT34" i="14"/>
  <c r="PQ35" i="14"/>
  <c r="OV35" i="14"/>
  <c r="UG35" i="14"/>
  <c r="SG35" i="14"/>
  <c r="JO35" i="14"/>
  <c r="ET35" i="14"/>
  <c r="QS36" i="14"/>
  <c r="DJ35" i="14"/>
  <c r="OP35" i="14"/>
  <c r="FE35" i="14"/>
  <c r="UA33" i="14"/>
  <c r="FI34" i="14"/>
  <c r="FB34" i="14"/>
  <c r="KB34" i="14"/>
  <c r="NY35" i="14"/>
  <c r="ET36" i="14"/>
  <c r="RT34" i="14"/>
  <c r="HO35" i="14"/>
  <c r="KA36" i="14"/>
  <c r="HB35" i="14"/>
  <c r="PW36" i="14"/>
  <c r="RW33" i="14"/>
  <c r="LK34" i="14"/>
  <c r="HV33" i="14"/>
  <c r="JP35" i="14"/>
  <c r="IW35" i="14"/>
  <c r="TX33" i="14"/>
  <c r="JY36" i="14"/>
  <c r="NO33" i="14"/>
  <c r="MA34" i="14"/>
  <c r="JK33" i="14"/>
  <c r="SK34" i="14"/>
  <c r="TB33" i="14"/>
  <c r="FA35" i="14"/>
  <c r="LG34" i="14"/>
  <c r="OP36" i="14"/>
  <c r="WA34" i="14"/>
  <c r="WA36" i="14"/>
  <c r="VV36" i="14"/>
  <c r="EV34" i="14"/>
  <c r="LV33" i="14"/>
  <c r="KV34" i="14"/>
  <c r="OJ33" i="14"/>
  <c r="MN33" i="14"/>
  <c r="DU35" i="14"/>
  <c r="PR36" i="14"/>
  <c r="RF35" i="14"/>
  <c r="FK35" i="14"/>
  <c r="LO34" i="14"/>
  <c r="JQ36" i="14"/>
  <c r="UX35" i="14"/>
  <c r="EB34" i="14"/>
  <c r="OR34" i="14"/>
  <c r="SU34" i="14"/>
  <c r="ED35" i="14"/>
  <c r="QY33" i="14"/>
  <c r="UF35" i="14"/>
  <c r="LH34" i="14"/>
  <c r="RW36" i="14"/>
  <c r="IA33" i="14"/>
  <c r="LS35" i="14"/>
  <c r="MP35" i="14"/>
  <c r="EY36" i="14"/>
  <c r="UH33" i="14"/>
  <c r="PT33" i="14"/>
  <c r="DA35" i="14"/>
  <c r="HZ34" i="14"/>
  <c r="FB33" i="14"/>
  <c r="MK34" i="14"/>
  <c r="JC33" i="14"/>
  <c r="QT35" i="14"/>
  <c r="TH36" i="14"/>
  <c r="VQ35" i="14"/>
  <c r="TW36" i="14"/>
  <c r="QB36" i="14"/>
  <c r="KR36" i="14"/>
  <c r="DR36" i="14"/>
  <c r="EO36" i="14"/>
  <c r="VB36" i="14"/>
  <c r="VU36" i="14"/>
  <c r="FO36" i="14"/>
  <c r="MZ36" i="14"/>
  <c r="JR34" i="14"/>
  <c r="QH35" i="14"/>
  <c r="SK36" i="14"/>
  <c r="SA36" i="14"/>
  <c r="VT35" i="14"/>
  <c r="VW35" i="14"/>
  <c r="MD35" i="14"/>
  <c r="TM35" i="14"/>
  <c r="EL34" i="14"/>
  <c r="QQ35" i="14"/>
  <c r="KV35" i="14"/>
  <c r="SY34" i="14"/>
  <c r="SR36" i="14"/>
  <c r="OJ34" i="14"/>
  <c r="GE35" i="14"/>
  <c r="EJ36" i="14"/>
  <c r="UE35" i="14"/>
  <c r="SS35" i="14"/>
  <c r="KH36" i="14"/>
  <c r="KF36" i="14"/>
  <c r="SA34" i="14"/>
  <c r="JU36" i="14"/>
  <c r="SK35" i="14"/>
  <c r="RV34" i="14"/>
  <c r="EP36" i="14"/>
  <c r="LO36" i="14"/>
  <c r="OJ35" i="14"/>
  <c r="EB36" i="14"/>
  <c r="KM35" i="14"/>
  <c r="TD34" i="14"/>
  <c r="UZ36" i="14"/>
  <c r="VT33" i="14"/>
  <c r="SV36" i="14"/>
  <c r="VE36" i="14"/>
  <c r="GH35" i="14"/>
  <c r="UC35" i="14"/>
  <c r="IN36" i="14"/>
  <c r="IS35" i="14"/>
  <c r="SZ35" i="14"/>
  <c r="OE35" i="14"/>
  <c r="VD36" i="14"/>
  <c r="KO36" i="14"/>
  <c r="VB33" i="14"/>
  <c r="RV36" i="14"/>
  <c r="DH35" i="14"/>
  <c r="QE34" i="14"/>
  <c r="EF36" i="14"/>
  <c r="IC36" i="14"/>
  <c r="JE35" i="14"/>
  <c r="PJ35" i="14"/>
  <c r="OV36" i="14"/>
  <c r="QZ34" i="14"/>
  <c r="FT35" i="14"/>
  <c r="MT35" i="14"/>
  <c r="UI33" i="14"/>
  <c r="EA35" i="14"/>
  <c r="EA36" i="14"/>
  <c r="HG36" i="14"/>
  <c r="UB35" i="14"/>
  <c r="SF33" i="14"/>
  <c r="PO36" i="14"/>
  <c r="SC35" i="14"/>
  <c r="IY33" i="14"/>
  <c r="ON36" i="14"/>
  <c r="FN36" i="14"/>
  <c r="KZ34" i="14"/>
  <c r="DW36" i="14"/>
  <c r="DV34" i="14"/>
  <c r="QV35" i="14"/>
  <c r="DA36" i="14"/>
  <c r="ID34" i="14"/>
  <c r="MV35" i="14"/>
  <c r="EK34" i="14"/>
  <c r="QO34" i="14"/>
  <c r="VS33" i="14"/>
  <c r="JY35" i="14"/>
  <c r="CT35" i="14"/>
  <c r="KF34" i="14"/>
  <c r="GO35" i="14"/>
  <c r="JA34" i="14"/>
  <c r="GI34" i="14"/>
  <c r="NJ36" i="14"/>
  <c r="OZ34" i="14"/>
  <c r="UC34" i="14"/>
  <c r="EQ33" i="14"/>
  <c r="PB34" i="14"/>
  <c r="QT33" i="14"/>
  <c r="TY35" i="14"/>
  <c r="VZ34" i="14"/>
  <c r="VR34" i="14"/>
  <c r="HM33" i="14"/>
  <c r="VL33" i="14"/>
  <c r="QK35" i="14"/>
  <c r="GK34" i="14"/>
  <c r="KO34" i="14"/>
  <c r="NX36" i="14"/>
  <c r="PG33" i="14"/>
  <c r="UB36" i="14"/>
  <c r="LK36" i="14"/>
  <c r="JQ34" i="14"/>
  <c r="VS34" i="14"/>
  <c r="UV34" i="14"/>
  <c r="DV33" i="14"/>
  <c r="OQ33" i="14"/>
  <c r="VU33" i="14"/>
  <c r="QI33" i="14"/>
  <c r="KX33" i="14"/>
  <c r="LH35" i="14"/>
  <c r="HI36" i="14"/>
  <c r="TG34" i="14"/>
  <c r="GJ35" i="14"/>
  <c r="JF33" i="14"/>
  <c r="KM33" i="14"/>
  <c r="PZ33" i="14"/>
  <c r="TI36" i="14"/>
  <c r="QS33" i="14"/>
  <c r="MO36" i="14"/>
  <c r="SF36" i="14"/>
  <c r="JV36" i="14"/>
  <c r="DQ36" i="14"/>
  <c r="TU35" i="14"/>
  <c r="LZ34" i="14"/>
  <c r="OW36" i="14"/>
  <c r="LL36" i="14"/>
  <c r="KJ36" i="14"/>
  <c r="ST36" i="14"/>
  <c r="PP35" i="14"/>
  <c r="OZ35" i="14"/>
  <c r="JQ35" i="14"/>
  <c r="PO35" i="14"/>
  <c r="OC35" i="14"/>
  <c r="QT36" i="14"/>
  <c r="OC36" i="14"/>
  <c r="UV33" i="14"/>
  <c r="TG35" i="14"/>
  <c r="VJ35" i="14"/>
  <c r="LK35" i="14"/>
  <c r="VZ35" i="14"/>
  <c r="MS34" i="14"/>
  <c r="KV36" i="14"/>
  <c r="MN34" i="14"/>
  <c r="QJ35" i="14"/>
  <c r="QI35" i="14"/>
  <c r="NK34" i="14"/>
  <c r="DS36" i="14"/>
  <c r="VG35" i="14"/>
  <c r="NA36" i="14"/>
  <c r="VN36" i="14"/>
  <c r="JX36" i="14"/>
  <c r="OQ35" i="14"/>
  <c r="KD34" i="14"/>
  <c r="GN35" i="14"/>
  <c r="IJ34" i="14"/>
  <c r="MP36" i="14"/>
  <c r="HT36" i="14"/>
  <c r="MU35" i="14"/>
  <c r="KQ35" i="14"/>
  <c r="UL36" i="14"/>
  <c r="TL36" i="14"/>
  <c r="NP36" i="14"/>
  <c r="SU36" i="14"/>
  <c r="NT34" i="14"/>
  <c r="UI35" i="14"/>
  <c r="JZ36" i="14"/>
  <c r="RK35" i="14"/>
  <c r="VT34" i="14"/>
  <c r="RI36" i="14"/>
  <c r="QE35" i="14"/>
  <c r="SZ34" i="14"/>
  <c r="NV33" i="14"/>
  <c r="DZ34" i="14"/>
  <c r="RY34" i="14"/>
  <c r="LV36" i="14"/>
  <c r="II34" i="14"/>
  <c r="IM34" i="14"/>
  <c r="PU34" i="14"/>
  <c r="FB36" i="14"/>
  <c r="NH35" i="14"/>
  <c r="TO33" i="14"/>
  <c r="GC35" i="14"/>
  <c r="NI34" i="14"/>
  <c r="DO36" i="14"/>
  <c r="PM34" i="14"/>
  <c r="RA35" i="14"/>
  <c r="GD35" i="14"/>
  <c r="LV35" i="14"/>
  <c r="OD34" i="14"/>
  <c r="EM34" i="14"/>
  <c r="UZ35" i="14"/>
  <c r="HV36" i="14"/>
  <c r="KP36" i="14"/>
  <c r="GP35" i="14"/>
  <c r="GI33" i="14"/>
  <c r="JF35" i="14"/>
  <c r="SG34" i="14"/>
  <c r="DW34" i="14"/>
  <c r="PF35" i="14"/>
  <c r="IS36" i="14"/>
  <c r="TM34" i="14"/>
  <c r="ON34" i="14"/>
  <c r="TL35" i="14"/>
  <c r="KK34" i="14"/>
  <c r="PD34" i="14"/>
  <c r="OB34" i="14"/>
  <c r="KY35" i="14"/>
  <c r="QS35" i="14"/>
  <c r="QC34" i="14"/>
  <c r="DU34" i="14"/>
  <c r="NM35" i="14"/>
  <c r="FE34" i="14"/>
  <c r="QD34" i="14"/>
  <c r="FN34" i="14"/>
  <c r="EL35" i="14"/>
  <c r="MW33" i="14"/>
  <c r="EF33" i="14"/>
  <c r="GE33" i="14"/>
  <c r="JM35" i="14"/>
  <c r="DT34" i="14"/>
  <c r="KG35" i="14"/>
  <c r="DH34" i="14"/>
  <c r="NB33" i="14"/>
  <c r="SL33" i="14"/>
  <c r="RK33" i="14"/>
  <c r="OH33" i="14"/>
  <c r="FQ33" i="14"/>
  <c r="DR35" i="14"/>
  <c r="NJ33" i="14"/>
  <c r="GA34" i="14"/>
  <c r="EB33" i="14"/>
  <c r="PS33" i="14"/>
  <c r="HF35" i="14"/>
  <c r="TC34" i="14"/>
  <c r="OE36" i="14"/>
  <c r="JU35" i="14"/>
  <c r="TF33" i="14"/>
  <c r="PL33" i="14"/>
  <c r="VO33" i="14"/>
  <c r="LQ34" i="14"/>
  <c r="UU36" i="14"/>
  <c r="SJ36" i="14"/>
  <c r="FA36" i="14"/>
  <c r="PF34" i="14"/>
  <c r="EZ36" i="14"/>
  <c r="NP34" i="14"/>
  <c r="FU36" i="14"/>
  <c r="UR36" i="14"/>
  <c r="IU35" i="14"/>
  <c r="MB36" i="14"/>
  <c r="FI36" i="14"/>
  <c r="MW36" i="14"/>
  <c r="GM35" i="14"/>
  <c r="OL36" i="14"/>
  <c r="WD34" i="14"/>
  <c r="UH35" i="14"/>
  <c r="RR36" i="14"/>
  <c r="IG34" i="14"/>
  <c r="KO35" i="14"/>
  <c r="JC35" i="14"/>
  <c r="HP36" i="14"/>
  <c r="LG36" i="14"/>
  <c r="KX35" i="14"/>
  <c r="QU35" i="14"/>
  <c r="NJ34" i="14"/>
  <c r="VF36" i="14"/>
  <c r="JB36" i="14"/>
  <c r="TT36" i="14"/>
  <c r="TQ35" i="14"/>
  <c r="PV36" i="14"/>
  <c r="GT34" i="14"/>
  <c r="VB35" i="14"/>
  <c r="HQ36" i="14"/>
  <c r="VR35" i="14"/>
  <c r="FH36" i="14"/>
  <c r="UL35" i="14"/>
  <c r="QB35" i="14"/>
  <c r="UY36" i="14"/>
  <c r="FZ36" i="14"/>
  <c r="LS36" i="14"/>
  <c r="HZ36" i="14"/>
  <c r="DH36" i="14"/>
  <c r="WE34" i="14"/>
  <c r="QT34" i="14"/>
  <c r="NI35" i="14"/>
  <c r="LZ35" i="14"/>
  <c r="RN35" i="14"/>
  <c r="FZ34" i="14"/>
  <c r="NJ35" i="14"/>
  <c r="DU36" i="14"/>
  <c r="JR35" i="14"/>
  <c r="WD35" i="14"/>
  <c r="JJ35" i="14"/>
  <c r="VQ36" i="14"/>
  <c r="GI36" i="14"/>
  <c r="OK33" i="14"/>
  <c r="NM33" i="14"/>
  <c r="ES35" i="14"/>
  <c r="HE35" i="14"/>
  <c r="ID35" i="14"/>
  <c r="HY34" i="14"/>
  <c r="QZ35" i="14"/>
  <c r="GT36" i="14"/>
  <c r="UU34" i="14"/>
  <c r="UU37" i="14" s="1"/>
  <c r="VA33" i="14"/>
  <c r="PI35" i="14"/>
  <c r="IB35" i="14"/>
  <c r="GD36" i="14"/>
  <c r="DM36" i="14"/>
  <c r="HP35" i="14"/>
  <c r="EF35" i="14"/>
  <c r="SM34" i="14"/>
  <c r="NC33" i="14"/>
  <c r="LW33" i="14"/>
  <c r="EZ35" i="14"/>
  <c r="HA34" i="14"/>
  <c r="LW36" i="14"/>
  <c r="NW34" i="14"/>
  <c r="QX35" i="14"/>
  <c r="IM33" i="14"/>
  <c r="SF34" i="14"/>
  <c r="IO36" i="14"/>
  <c r="DH33" i="14"/>
  <c r="DN35" i="14"/>
  <c r="TS34" i="14"/>
  <c r="MI33" i="14"/>
  <c r="QX36" i="14"/>
  <c r="HX36" i="14"/>
  <c r="EQ35" i="14"/>
  <c r="KE34" i="14"/>
  <c r="WD33" i="14"/>
  <c r="OU34" i="14"/>
  <c r="MU36" i="14"/>
  <c r="UQ34" i="14"/>
  <c r="OK35" i="14"/>
  <c r="DY34" i="14"/>
  <c r="OG34" i="14"/>
  <c r="IR34" i="14"/>
  <c r="VJ34" i="14"/>
  <c r="PG34" i="14"/>
  <c r="RO33" i="14"/>
  <c r="LN34" i="14"/>
  <c r="VH36" i="14"/>
  <c r="JT33" i="14"/>
  <c r="MG35" i="14"/>
  <c r="VO36" i="14"/>
  <c r="NE34" i="14"/>
  <c r="EK33" i="14"/>
  <c r="TL33" i="14"/>
  <c r="VG36" i="14"/>
  <c r="QR36" i="14"/>
  <c r="SD34" i="14"/>
  <c r="NE33" i="14"/>
  <c r="IF33" i="14"/>
  <c r="HK33" i="14"/>
  <c r="RY33" i="14"/>
  <c r="RM33" i="14"/>
  <c r="GH34" i="14"/>
  <c r="LP35" i="14"/>
  <c r="MS35" i="14"/>
  <c r="IX35" i="14"/>
  <c r="VP35" i="14"/>
  <c r="RN36" i="14"/>
  <c r="ES33" i="14"/>
  <c r="NX35" i="14"/>
  <c r="IK36" i="14"/>
  <c r="MR35" i="14"/>
  <c r="KR35" i="14"/>
  <c r="SL36" i="14"/>
  <c r="MT36" i="14"/>
  <c r="RS36" i="14"/>
  <c r="PQ34" i="14"/>
  <c r="WF34" i="14"/>
  <c r="QP36" i="14"/>
  <c r="NL34" i="14"/>
  <c r="RV33" i="14"/>
  <c r="LX35" i="14"/>
  <c r="OQ34" i="14"/>
  <c r="OH34" i="14"/>
  <c r="KH35" i="14"/>
  <c r="UV35" i="14"/>
  <c r="OI35" i="14"/>
  <c r="OF35" i="14"/>
  <c r="ML36" i="14"/>
  <c r="NU34" i="14"/>
  <c r="NS35" i="14"/>
  <c r="TZ36" i="14"/>
  <c r="SB34" i="14"/>
  <c r="PA35" i="14"/>
  <c r="LN35" i="14"/>
  <c r="DZ36" i="14"/>
  <c r="HE34" i="14"/>
  <c r="DZ35" i="14"/>
  <c r="GZ36" i="14"/>
  <c r="EU36" i="14"/>
  <c r="RQ34" i="14"/>
  <c r="SX34" i="14"/>
  <c r="OT36" i="14"/>
  <c r="RZ35" i="14"/>
  <c r="GG34" i="14"/>
  <c r="NE36" i="14"/>
  <c r="DR34" i="14"/>
  <c r="QF34" i="14"/>
  <c r="IJ36" i="14"/>
  <c r="UP36" i="14"/>
  <c r="RG36" i="14"/>
  <c r="MA36" i="14"/>
  <c r="RO35" i="14"/>
  <c r="KG36" i="14"/>
  <c r="IU36" i="14"/>
  <c r="ST35" i="14"/>
  <c r="HU35" i="14"/>
  <c r="FW35" i="14"/>
  <c r="TL34" i="14"/>
  <c r="UP33" i="14"/>
  <c r="UI34" i="14"/>
  <c r="SW35" i="14"/>
  <c r="VT36" i="14"/>
  <c r="QJ34" i="14"/>
  <c r="QM34" i="14"/>
  <c r="EH35" i="14"/>
  <c r="CT34" i="14"/>
  <c r="GY34" i="14"/>
  <c r="OU33" i="14"/>
  <c r="CW34" i="14"/>
  <c r="QG35" i="14"/>
  <c r="HF34" i="14"/>
  <c r="TK35" i="14"/>
  <c r="SR34" i="14"/>
  <c r="GB34" i="14"/>
  <c r="DM33" i="14"/>
  <c r="RX33" i="14"/>
  <c r="WA35" i="14"/>
  <c r="JO36" i="14"/>
  <c r="KW34" i="14"/>
  <c r="DK33" i="14"/>
  <c r="TZ33" i="14"/>
  <c r="VE35" i="14"/>
  <c r="JS33" i="14"/>
  <c r="MW34" i="14"/>
  <c r="RD35" i="14"/>
  <c r="NC34" i="14"/>
  <c r="RM34" i="14"/>
  <c r="TV35" i="14"/>
  <c r="UF34" i="14"/>
  <c r="ND34" i="14"/>
  <c r="FF35" i="14"/>
  <c r="OS35" i="14"/>
  <c r="UX33" i="14"/>
  <c r="DQ35" i="14"/>
  <c r="JW35" i="14"/>
  <c r="GJ36" i="14"/>
  <c r="EE34" i="14"/>
  <c r="TA36" i="14"/>
  <c r="OC33" i="14"/>
  <c r="JH36" i="14"/>
  <c r="FR33" i="14"/>
  <c r="SA33" i="14"/>
  <c r="GS34" i="14"/>
  <c r="OM36" i="14"/>
  <c r="DI33" i="14"/>
  <c r="IH34" i="14"/>
  <c r="GH36" i="14"/>
  <c r="SE33" i="14"/>
  <c r="PY34" i="14"/>
  <c r="FA33" i="14"/>
  <c r="MS33" i="14"/>
  <c r="KF33" i="14"/>
  <c r="HW34" i="14"/>
  <c r="SO34" i="14"/>
  <c r="JB34" i="14"/>
  <c r="FF33" i="14"/>
  <c r="DK34" i="14"/>
  <c r="KV33" i="14"/>
  <c r="LZ33" i="14"/>
  <c r="NF33" i="14"/>
  <c r="JN33" i="14"/>
  <c r="GL36" i="14"/>
  <c r="DW33" i="14"/>
  <c r="SP36" i="14"/>
  <c r="RP36" i="14"/>
  <c r="ED34" i="14"/>
  <c r="KU36" i="14"/>
  <c r="WE36" i="14"/>
  <c r="VX36" i="14"/>
  <c r="UX36" i="14"/>
  <c r="TX36" i="14"/>
  <c r="OB36" i="14"/>
  <c r="GO36" i="14"/>
  <c r="NG36" i="14"/>
  <c r="GQ36" i="14"/>
  <c r="TB35" i="14"/>
  <c r="DJ36" i="14"/>
  <c r="PB35" i="14"/>
  <c r="DS33" i="14"/>
  <c r="HE36" i="14"/>
  <c r="QG36" i="14"/>
  <c r="HH36" i="14"/>
  <c r="VH34" i="14"/>
  <c r="NL36" i="14"/>
  <c r="IP35" i="14"/>
  <c r="JT35" i="14"/>
  <c r="QF35" i="14"/>
  <c r="QY35" i="14"/>
  <c r="KZ35" i="14"/>
  <c r="IM35" i="14"/>
  <c r="PE36" i="14"/>
  <c r="IT34" i="14"/>
  <c r="NE35" i="14"/>
  <c r="VW36" i="14"/>
  <c r="UP35" i="14"/>
  <c r="ID36" i="14"/>
  <c r="DI36" i="14"/>
  <c r="ND35" i="14"/>
  <c r="LD35" i="14"/>
  <c r="DY36" i="14"/>
  <c r="HR36" i="14"/>
  <c r="EN34" i="14"/>
  <c r="FI35" i="14"/>
  <c r="MY36" i="14"/>
  <c r="WF35" i="14"/>
  <c r="IA36" i="14"/>
  <c r="EW35" i="14"/>
  <c r="WF33" i="14"/>
  <c r="JN36" i="14"/>
  <c r="SV35" i="14"/>
  <c r="RV35" i="14"/>
  <c r="OY36" i="14"/>
  <c r="TY36" i="14"/>
  <c r="LB34" i="14"/>
  <c r="GT35" i="14"/>
  <c r="LA34" i="14"/>
  <c r="HD36" i="14"/>
  <c r="IS34" i="14"/>
  <c r="PS35" i="14"/>
  <c r="DJ33" i="14"/>
  <c r="TJ34" i="14"/>
  <c r="RN34" i="14"/>
  <c r="LF33" i="14"/>
  <c r="MZ34" i="14"/>
  <c r="PZ34" i="14"/>
  <c r="WE33" i="14"/>
  <c r="WE37" i="14" s="1"/>
  <c r="WE284" i="14" s="1"/>
  <c r="GE36" i="14"/>
  <c r="JP34" i="14"/>
  <c r="OA36" i="14"/>
  <c r="TF35" i="14"/>
  <c r="NZ34" i="14"/>
  <c r="IH33" i="14"/>
  <c r="DX34" i="14"/>
  <c r="LI35" i="14"/>
  <c r="UX34" i="14"/>
  <c r="QR35" i="14"/>
  <c r="PD35" i="14"/>
  <c r="MF34" i="14"/>
  <c r="FV34" i="14"/>
  <c r="EK35" i="14"/>
  <c r="UK35" i="14"/>
  <c r="JK35" i="14"/>
  <c r="PE34" i="14"/>
  <c r="KP35" i="14"/>
  <c r="DP34" i="14"/>
  <c r="KG34" i="14"/>
  <c r="VS35" i="14"/>
  <c r="VS37" i="14" s="1"/>
  <c r="VS284" i="14" s="1"/>
  <c r="TD35" i="14"/>
  <c r="RW35" i="14"/>
  <c r="FA34" i="14"/>
  <c r="EG33" i="14"/>
  <c r="IX33" i="14"/>
  <c r="HY36" i="14"/>
  <c r="JF34" i="14"/>
  <c r="GR34" i="14"/>
  <c r="MI34" i="14"/>
  <c r="GB35" i="14"/>
  <c r="MC35" i="14"/>
  <c r="NZ36" i="14"/>
  <c r="KJ34" i="14"/>
  <c r="KD36" i="14"/>
  <c r="GW35" i="14"/>
  <c r="SG36" i="14"/>
  <c r="EP35" i="14"/>
  <c r="EF34" i="14"/>
  <c r="EF37" i="14" s="1"/>
  <c r="EF284" i="14" s="1"/>
  <c r="KA34" i="14"/>
  <c r="HH34" i="14"/>
  <c r="FY36" i="14"/>
  <c r="HL34" i="14"/>
  <c r="UM36" i="14"/>
  <c r="PL34" i="14"/>
  <c r="EJ34" i="14"/>
  <c r="JM34" i="14"/>
  <c r="PG35" i="14"/>
  <c r="HS34" i="14"/>
  <c r="QA33" i="14"/>
  <c r="PR33" i="14"/>
  <c r="TA34" i="14"/>
  <c r="JL34" i="14"/>
  <c r="PC33" i="14"/>
  <c r="EA33" i="14"/>
  <c r="FN33" i="14"/>
  <c r="EC33" i="14"/>
  <c r="HH33" i="14"/>
  <c r="FG33" i="14"/>
  <c r="SF35" i="14"/>
  <c r="LW35" i="14"/>
  <c r="KK35" i="14"/>
  <c r="NF36" i="14"/>
  <c r="FU35" i="14"/>
  <c r="MH36" i="14"/>
  <c r="NP35" i="14"/>
  <c r="MZ35" i="14"/>
  <c r="DL35" i="14"/>
  <c r="LT36" i="14"/>
  <c r="HM35" i="14"/>
  <c r="JW33" i="14"/>
  <c r="SY36" i="14"/>
  <c r="FX36" i="14"/>
  <c r="TX34" i="14"/>
  <c r="PY36" i="14"/>
  <c r="PK36" i="14"/>
  <c r="HN35" i="14"/>
  <c r="LT35" i="14"/>
  <c r="SY35" i="14"/>
  <c r="KI35" i="14"/>
  <c r="MN35" i="14"/>
  <c r="UA36" i="14"/>
  <c r="PE35" i="14"/>
  <c r="MM36" i="14"/>
  <c r="KA35" i="14"/>
  <c r="ND36" i="14"/>
  <c r="LX34" i="14"/>
  <c r="RT35" i="14"/>
  <c r="GK36" i="14"/>
  <c r="TT35" i="14"/>
  <c r="GN34" i="14"/>
  <c r="HU34" i="14"/>
  <c r="RC36" i="14"/>
  <c r="QV36" i="14"/>
  <c r="EG36" i="14"/>
  <c r="MH34" i="14"/>
  <c r="JX35" i="14"/>
  <c r="TN36" i="14"/>
  <c r="NW36" i="14"/>
  <c r="KB36" i="14"/>
  <c r="IT36" i="14"/>
  <c r="PW35" i="14"/>
  <c r="IW36" i="14"/>
  <c r="VH35" i="14"/>
  <c r="WB36" i="14"/>
  <c r="FD34" i="14"/>
  <c r="RC35" i="14"/>
  <c r="MJ36" i="14"/>
  <c r="SM36" i="14"/>
  <c r="LE36" i="14"/>
  <c r="LC36" i="14"/>
  <c r="JD36" i="14"/>
  <c r="UO35" i="14"/>
  <c r="RG33" i="14"/>
  <c r="TN35" i="14"/>
  <c r="QB34" i="14"/>
  <c r="SQ36" i="14"/>
  <c r="RU33" i="14"/>
  <c r="SW34" i="14"/>
  <c r="JL36" i="14"/>
  <c r="TF34" i="14"/>
  <c r="MD36" i="14"/>
  <c r="RB36" i="14"/>
  <c r="HU33" i="14"/>
  <c r="KP34" i="14"/>
  <c r="OA33" i="14"/>
  <c r="RP35" i="14"/>
  <c r="SH35" i="14"/>
  <c r="MK35" i="14"/>
  <c r="EE35" i="14"/>
  <c r="MU34" i="14"/>
  <c r="HD34" i="14"/>
  <c r="UT35" i="14"/>
  <c r="TJ35" i="14"/>
  <c r="HT34" i="14"/>
  <c r="DS35" i="14"/>
  <c r="IH36" i="14"/>
  <c r="UB34" i="14"/>
  <c r="QY34" i="14"/>
  <c r="VV34" i="14"/>
  <c r="OZ36" i="14"/>
  <c r="VM34" i="14"/>
  <c r="LG35" i="14"/>
  <c r="EQ36" i="14"/>
  <c r="GF35" i="14"/>
  <c r="PC35" i="14"/>
  <c r="FD33" i="14"/>
  <c r="QX34" i="14"/>
  <c r="GQ35" i="14"/>
  <c r="HJ33" i="14"/>
  <c r="FU34" i="14"/>
  <c r="WE35" i="14"/>
  <c r="UE36" i="14"/>
  <c r="FP36" i="14"/>
  <c r="UW34" i="14"/>
  <c r="SL34" i="14"/>
  <c r="JZ34" i="14"/>
  <c r="DK36" i="14"/>
  <c r="JX34" i="14"/>
  <c r="QD36" i="14"/>
  <c r="UZ33" i="14"/>
  <c r="NS36" i="14"/>
  <c r="FB35" i="14"/>
  <c r="JP33" i="14"/>
  <c r="LT33" i="14"/>
  <c r="FK34" i="14"/>
  <c r="KT35" i="14"/>
  <c r="IE33" i="14"/>
  <c r="DA33" i="14"/>
  <c r="DU33" i="14"/>
  <c r="QB33" i="14"/>
  <c r="TW33" i="14"/>
  <c r="KB35" i="14"/>
  <c r="KK33" i="14"/>
  <c r="LC34" i="14"/>
  <c r="TE34" i="14"/>
  <c r="RO34" i="14"/>
  <c r="LM35" i="14"/>
  <c r="RY35" i="14"/>
  <c r="MG34" i="14"/>
  <c r="GN36" i="14"/>
  <c r="KJ35" i="14"/>
  <c r="LE34" i="14"/>
  <c r="NQ36" i="14"/>
  <c r="KQ36" i="14"/>
  <c r="TZ35" i="14"/>
  <c r="LD34" i="14"/>
  <c r="IV36" i="14"/>
  <c r="LF35" i="14"/>
  <c r="EI36" i="14"/>
  <c r="HW36" i="14"/>
  <c r="OI36" i="14"/>
  <c r="TP36" i="14"/>
  <c r="HZ35" i="14"/>
  <c r="QQ34" i="14"/>
  <c r="PH33" i="14"/>
  <c r="NY36" i="14"/>
  <c r="PD36" i="14"/>
  <c r="VP36" i="14"/>
  <c r="ER36" i="14"/>
  <c r="PS34" i="14"/>
  <c r="TB36" i="14"/>
  <c r="RH36" i="14"/>
  <c r="PV35" i="14"/>
  <c r="UV36" i="14"/>
  <c r="VX35" i="14"/>
  <c r="QO35" i="14"/>
  <c r="UI36" i="14"/>
  <c r="QN36" i="14"/>
  <c r="HV34" i="14"/>
  <c r="VL35" i="14"/>
  <c r="OT34" i="14"/>
  <c r="PL36" i="14"/>
  <c r="HX35" i="14"/>
  <c r="DX35" i="14"/>
  <c r="GR36" i="14"/>
  <c r="IO35" i="14"/>
  <c r="HJ36" i="14"/>
  <c r="UW33" i="14"/>
  <c r="SD36" i="14"/>
  <c r="IK35" i="14"/>
  <c r="RT36" i="14"/>
  <c r="JJ36" i="14"/>
  <c r="QL36" i="14"/>
  <c r="UQ35" i="14"/>
  <c r="VO35" i="14"/>
  <c r="FH35" i="14"/>
  <c r="TQ36" i="14"/>
  <c r="UC36" i="14"/>
  <c r="KC35" i="14"/>
  <c r="LL34" i="14"/>
  <c r="QZ36" i="14"/>
  <c r="SN36" i="14"/>
  <c r="PF36" i="14"/>
  <c r="SX35" i="14"/>
  <c r="JT36" i="14"/>
  <c r="EV36" i="14"/>
  <c r="UM35" i="14"/>
  <c r="RE36" i="14"/>
  <c r="DO35" i="14"/>
  <c r="GV36" i="14"/>
  <c r="SP35" i="14"/>
  <c r="GB36" i="14"/>
  <c r="FR36" i="14"/>
  <c r="EZ34" i="14"/>
  <c r="OI34" i="14"/>
  <c r="UD35" i="14"/>
  <c r="FN35" i="14"/>
  <c r="SE36" i="14"/>
  <c r="FT34" i="14"/>
  <c r="MK36" i="14"/>
  <c r="PI33" i="14"/>
  <c r="OW33" i="14"/>
  <c r="KE36" i="14"/>
  <c r="VX33" i="14"/>
  <c r="UO34" i="14"/>
  <c r="ML34" i="14"/>
  <c r="UU33" i="14"/>
  <c r="QM33" i="14"/>
  <c r="QP35" i="14"/>
  <c r="FR35" i="14"/>
  <c r="RY36" i="14"/>
  <c r="RM36" i="14"/>
  <c r="HK36" i="14"/>
  <c r="JI34" i="14"/>
  <c r="WB35" i="14"/>
  <c r="JG33" i="14"/>
  <c r="EQ34" i="14"/>
  <c r="GD33" i="14"/>
  <c r="EU33" i="14"/>
  <c r="IF36" i="14"/>
  <c r="KT33" i="14"/>
  <c r="DQ34" i="14"/>
  <c r="PA34" i="14"/>
  <c r="TI35" i="14"/>
  <c r="IV33" i="14"/>
  <c r="VW34" i="14"/>
  <c r="MF36" i="14"/>
  <c r="IY34" i="14"/>
  <c r="VF35" i="14"/>
  <c r="EI33" i="14"/>
  <c r="VB34" i="14"/>
  <c r="FP33" i="14"/>
  <c r="LL35" i="14"/>
  <c r="FE33" i="14"/>
  <c r="SS34" i="14"/>
  <c r="HG34" i="14"/>
  <c r="OK34" i="14"/>
  <c r="NG34" i="14"/>
  <c r="DN34" i="14"/>
  <c r="EU35" i="14"/>
  <c r="JH34" i="14"/>
  <c r="GI35" i="14"/>
  <c r="KT36" i="14"/>
  <c r="KN34" i="14"/>
  <c r="HD33" i="14"/>
  <c r="VP33" i="14"/>
  <c r="MC33" i="14"/>
  <c r="FU33" i="14"/>
  <c r="NT33" i="14"/>
  <c r="MV33" i="14"/>
  <c r="JY34" i="14"/>
  <c r="VC33" i="14"/>
  <c r="IQ33" i="14"/>
  <c r="RT33" i="14"/>
  <c r="VL34" i="14"/>
  <c r="LO33" i="14"/>
  <c r="HA36" i="14"/>
  <c r="TE35" i="14"/>
  <c r="LJ35" i="14"/>
  <c r="UP34" i="14"/>
  <c r="JI36" i="14"/>
  <c r="EL36" i="14"/>
  <c r="VM35" i="14"/>
  <c r="RR35" i="14"/>
  <c r="OT35" i="14"/>
  <c r="JL35" i="14"/>
  <c r="TV34" i="14"/>
  <c r="FV35" i="14"/>
  <c r="OJ36" i="14"/>
  <c r="IB36" i="14"/>
  <c r="FJ36" i="14"/>
  <c r="RL35" i="14"/>
  <c r="SN35" i="14"/>
  <c r="QJ36" i="14"/>
  <c r="UT34" i="14"/>
  <c r="WD36" i="14"/>
  <c r="DN36" i="14"/>
  <c r="JZ35" i="14"/>
  <c r="JE34" i="14"/>
  <c r="RI35" i="14"/>
  <c r="RB35" i="14"/>
  <c r="TR36" i="14"/>
  <c r="TI34" i="14"/>
  <c r="NH36" i="14"/>
  <c r="HU36" i="14"/>
  <c r="PR34" i="14"/>
  <c r="FL36" i="14"/>
  <c r="NA33" i="14"/>
  <c r="PZ36" i="14"/>
  <c r="RF33" i="14"/>
  <c r="IE35" i="14"/>
  <c r="UH36" i="14"/>
  <c r="SL35" i="14"/>
  <c r="DT36" i="14"/>
  <c r="MV34" i="14"/>
  <c r="QA36" i="14"/>
  <c r="LF34" i="14"/>
  <c r="RU35" i="14"/>
  <c r="NZ35" i="14"/>
  <c r="VD35" i="14"/>
  <c r="LN36" i="14"/>
  <c r="SS36" i="14"/>
  <c r="HG35" i="14"/>
  <c r="TO35" i="14"/>
  <c r="IR36" i="14"/>
  <c r="DV36" i="14"/>
  <c r="QP34" i="14"/>
  <c r="OH35" i="14"/>
  <c r="OU35" i="14"/>
  <c r="SM35" i="14"/>
  <c r="KL35" i="14"/>
  <c r="RF36" i="14"/>
  <c r="QF36" i="14"/>
  <c r="ED36" i="14"/>
  <c r="IP36" i="14"/>
  <c r="EW36" i="14"/>
  <c r="JV35" i="14"/>
  <c r="FX34" i="14"/>
  <c r="PH34" i="14"/>
  <c r="SO35" i="14"/>
  <c r="NU36" i="14"/>
  <c r="DL36" i="14"/>
  <c r="UL33" i="14"/>
  <c r="VU35" i="14"/>
  <c r="DY35" i="14"/>
  <c r="NH34" i="14"/>
  <c r="UA35" i="14"/>
  <c r="FH34" i="14"/>
  <c r="FO35" i="14"/>
  <c r="NC35" i="14"/>
  <c r="VA36" i="14"/>
  <c r="RJ36" i="14"/>
  <c r="SJ33" i="14"/>
  <c r="IN35" i="14"/>
  <c r="LM34" i="14"/>
  <c r="PF33" i="14"/>
  <c r="GJ34" i="14"/>
  <c r="IK33" i="14"/>
  <c r="WF36" i="14"/>
  <c r="EI35" i="14"/>
  <c r="II36" i="14"/>
  <c r="OG36" i="14"/>
  <c r="SJ35" i="14"/>
  <c r="OM33" i="14"/>
  <c r="KX36" i="14"/>
  <c r="LJ36" i="14"/>
  <c r="IG35" i="14"/>
  <c r="MY34" i="14"/>
  <c r="MB33" i="14"/>
  <c r="UY35" i="14"/>
  <c r="GU35" i="14"/>
  <c r="UU35" i="14"/>
  <c r="HC33" i="14"/>
  <c r="KW35" i="14"/>
  <c r="IQ35" i="14"/>
  <c r="GQ33" i="14"/>
  <c r="SO36" i="14"/>
  <c r="RK36" i="14"/>
  <c r="ND33" i="14"/>
  <c r="QY36" i="14"/>
  <c r="IP34" i="14"/>
  <c r="IH35" i="14"/>
  <c r="NO35" i="14"/>
  <c r="SE35" i="14"/>
  <c r="OD36" i="14"/>
  <c r="QZ33" i="14"/>
  <c r="IQ36" i="14"/>
  <c r="VJ33" i="14"/>
  <c r="RX34" i="14"/>
  <c r="ER33" i="14"/>
  <c r="EZ33" i="14"/>
  <c r="UJ33" i="14"/>
  <c r="NT36" i="14"/>
  <c r="UK36" i="14"/>
  <c r="QU36" i="14"/>
  <c r="TM33" i="14"/>
  <c r="VV35" i="14"/>
  <c r="HP34" i="14"/>
  <c r="KG33" i="14"/>
  <c r="RH34" i="14"/>
  <c r="SH34" i="14"/>
  <c r="GK35" i="14"/>
  <c r="HP33" i="14"/>
  <c r="UK34" i="14"/>
  <c r="LI33" i="14"/>
  <c r="LX36" i="14"/>
  <c r="RS34" i="14"/>
  <c r="KZ33" i="14"/>
  <c r="OS36" i="14"/>
  <c r="ST34" i="14"/>
  <c r="GU33" i="14"/>
  <c r="OV33" i="14"/>
  <c r="CT36" i="14"/>
  <c r="LJ34" i="14"/>
  <c r="KN33" i="14"/>
  <c r="FM36" i="14"/>
  <c r="RR33" i="14"/>
  <c r="SS33" i="14"/>
  <c r="TT33" i="14"/>
  <c r="QN33" i="14"/>
  <c r="OP33" i="14"/>
  <c r="OX34" i="14"/>
  <c r="ME34" i="14"/>
  <c r="QK33" i="14"/>
  <c r="RW34" i="14"/>
  <c r="GD34" i="14"/>
  <c r="KP33" i="14"/>
  <c r="NV35" i="14"/>
  <c r="KD35" i="14"/>
  <c r="KL36" i="14"/>
  <c r="NX34" i="14"/>
  <c r="PX36" i="14"/>
  <c r="TC36" i="14"/>
  <c r="MH35" i="14"/>
  <c r="PT35" i="14"/>
  <c r="FS35" i="14"/>
  <c r="TN33" i="14"/>
  <c r="TS36" i="14"/>
  <c r="PK35" i="14"/>
  <c r="JO34" i="14"/>
  <c r="PP33" i="14"/>
  <c r="QO33" i="14"/>
  <c r="UG33" i="14"/>
  <c r="LN33" i="14"/>
  <c r="GJ33" i="14"/>
  <c r="KN35" i="14"/>
  <c r="IX34" i="14"/>
  <c r="HY35" i="14"/>
  <c r="UL34" i="14"/>
  <c r="FW36" i="14"/>
  <c r="KH33" i="14"/>
  <c r="IZ35" i="14"/>
  <c r="QH34" i="14"/>
  <c r="VC36" i="14"/>
  <c r="QW35" i="14"/>
  <c r="RI33" i="14"/>
  <c r="IO33" i="14"/>
  <c r="FC35" i="14"/>
  <c r="JE33" i="14"/>
  <c r="ED33" i="14"/>
  <c r="QE36" i="14"/>
  <c r="ON35" i="14"/>
  <c r="FM33" i="14"/>
  <c r="UY34" i="14"/>
  <c r="PW33" i="14"/>
  <c r="TD33" i="14"/>
  <c r="VD33" i="14"/>
  <c r="TC35" i="14"/>
  <c r="QC35" i="14"/>
  <c r="HI35" i="14"/>
  <c r="RD36" i="14"/>
  <c r="SI36" i="14"/>
  <c r="HN36" i="14"/>
  <c r="KX34" i="14"/>
  <c r="PT36" i="14"/>
  <c r="HG33" i="14"/>
  <c r="PU33" i="14"/>
  <c r="EG35" i="14"/>
  <c r="MX33" i="14"/>
  <c r="PP34" i="14"/>
  <c r="GG33" i="14"/>
  <c r="RQ33" i="14"/>
  <c r="VL36" i="14"/>
  <c r="TY33" i="14"/>
  <c r="JU34" i="14"/>
  <c r="KS35" i="14"/>
  <c r="GV35" i="14"/>
  <c r="TJ36" i="14"/>
  <c r="MM33" i="14"/>
  <c r="MM37" i="14" s="1"/>
  <c r="MM284" i="14" s="1"/>
  <c r="IO34" i="14"/>
  <c r="KU35" i="14"/>
  <c r="RP33" i="14"/>
  <c r="VC34" i="14"/>
  <c r="RQ35" i="14"/>
  <c r="QF33" i="14"/>
  <c r="GW34" i="14"/>
  <c r="OW35" i="14"/>
  <c r="PX33" i="14"/>
  <c r="DX33" i="14"/>
  <c r="VQ34" i="14"/>
  <c r="FC36" i="14"/>
  <c r="JD33" i="14"/>
  <c r="MD34" i="14"/>
  <c r="TK33" i="14"/>
  <c r="QV33" i="14"/>
  <c r="LY36" i="14"/>
  <c r="ST33" i="14"/>
  <c r="RE34" i="14"/>
  <c r="DL33" i="14"/>
  <c r="UO33" i="14"/>
  <c r="SJ34" i="14"/>
  <c r="PV33" i="14"/>
  <c r="TB34" i="14"/>
  <c r="GX34" i="14"/>
  <c r="DY33" i="14"/>
  <c r="MR36" i="14"/>
  <c r="QR34" i="14"/>
  <c r="OF36" i="14"/>
  <c r="NL35" i="14"/>
  <c r="MB34" i="14"/>
  <c r="TA35" i="14"/>
  <c r="GZ35" i="14"/>
  <c r="NQ35" i="14"/>
  <c r="SQ35" i="14"/>
  <c r="CT33" i="14"/>
  <c r="PX35" i="14"/>
  <c r="JS36" i="14"/>
  <c r="HR34" i="14"/>
  <c r="TP33" i="14"/>
  <c r="SY33" i="14"/>
  <c r="DP33" i="14"/>
  <c r="UZ34" i="14"/>
  <c r="NY34" i="14"/>
  <c r="EA34" i="14"/>
  <c r="PQ33" i="14"/>
  <c r="MQ34" i="14"/>
  <c r="EC35" i="14"/>
  <c r="GZ33" i="14"/>
  <c r="MA33" i="14"/>
  <c r="MA37" i="14" s="1"/>
  <c r="MA284" i="14" s="1"/>
  <c r="HX33" i="14"/>
  <c r="US33" i="14"/>
  <c r="HM34" i="14"/>
  <c r="GE34" i="14"/>
  <c r="VR36" i="14"/>
  <c r="FY34" i="14"/>
  <c r="EC34" i="14"/>
  <c r="FO34" i="14"/>
  <c r="FC33" i="14"/>
  <c r="KJ33" i="14"/>
  <c r="DO33" i="14"/>
  <c r="HQ33" i="14"/>
  <c r="GM33" i="14"/>
  <c r="KY33" i="14"/>
  <c r="SV34" i="14"/>
  <c r="QU34" i="14"/>
  <c r="MX36" i="14"/>
  <c r="NI36" i="14"/>
  <c r="SZ36" i="14"/>
  <c r="FJ35" i="14"/>
  <c r="LH36" i="14"/>
  <c r="GS36" i="14"/>
  <c r="LQ36" i="14"/>
  <c r="OG35" i="14"/>
  <c r="MX34" i="14"/>
  <c r="SD35" i="14"/>
  <c r="SX36" i="14"/>
  <c r="PY35" i="14"/>
  <c r="VA34" i="14"/>
  <c r="HH35" i="14"/>
  <c r="JG34" i="14"/>
  <c r="SZ33" i="14"/>
  <c r="GO33" i="14"/>
  <c r="IL36" i="14"/>
  <c r="ML35" i="14"/>
  <c r="WB33" i="14"/>
  <c r="LB33" i="14"/>
  <c r="MP33" i="14"/>
  <c r="IW34" i="14"/>
  <c r="SP34" i="14"/>
  <c r="RS33" i="14"/>
  <c r="OL33" i="14"/>
  <c r="IS33" i="14"/>
  <c r="PM33" i="14"/>
  <c r="MU33" i="14"/>
  <c r="TJ33" i="14"/>
  <c r="PE33" i="14"/>
  <c r="NN34" i="14"/>
  <c r="SB35" i="14"/>
  <c r="VY33" i="14"/>
  <c r="LE33" i="14"/>
  <c r="UN33" i="14"/>
  <c r="VU34" i="14"/>
  <c r="PN33" i="14"/>
  <c r="TS33" i="14"/>
  <c r="FX35" i="14"/>
  <c r="IN33" i="14"/>
  <c r="SC36" i="14"/>
  <c r="IV34" i="14"/>
  <c r="RU36" i="14"/>
  <c r="OO35" i="14"/>
  <c r="VF34" i="14"/>
  <c r="PC36" i="14"/>
  <c r="FQ35" i="14"/>
  <c r="DM35" i="14"/>
  <c r="KU34" i="14"/>
  <c r="FC34" i="14"/>
  <c r="EW34" i="14"/>
  <c r="PD33" i="14"/>
  <c r="EC36" i="14"/>
  <c r="FL35" i="14"/>
  <c r="QN34" i="14"/>
  <c r="LU36" i="14"/>
  <c r="EX33" i="14"/>
  <c r="JV34" i="14"/>
  <c r="UA34" i="14"/>
  <c r="VN33" i="14"/>
  <c r="PY33" i="14"/>
  <c r="RE35" i="14"/>
  <c r="QU33" i="14"/>
  <c r="SK33" i="14"/>
  <c r="QA34" i="14"/>
  <c r="FT33" i="14"/>
  <c r="IC34" i="14"/>
  <c r="DX36" i="14"/>
  <c r="SG33" i="14"/>
  <c r="MF33" i="14"/>
  <c r="JN34" i="14"/>
  <c r="EE33" i="14"/>
  <c r="GF34" i="14"/>
  <c r="UN35" i="14"/>
  <c r="HM36" i="14"/>
  <c r="LR35" i="14"/>
  <c r="EN36" i="14"/>
  <c r="OR35" i="14"/>
  <c r="RK34" i="14"/>
  <c r="TP34" i="14"/>
  <c r="HI34" i="14"/>
  <c r="FS34" i="14"/>
  <c r="EY34" i="14"/>
  <c r="EY33" i="14"/>
  <c r="FG35" i="14"/>
  <c r="RI34" i="14"/>
  <c r="TH33" i="14"/>
  <c r="GV33" i="14"/>
  <c r="NM34" i="14"/>
  <c r="SQ33" i="14"/>
  <c r="RL36" i="14"/>
  <c r="KH34" i="14"/>
  <c r="ME35" i="14"/>
  <c r="OA35" i="14"/>
  <c r="PA33" i="14"/>
  <c r="RS35" i="14"/>
  <c r="FV36" i="14"/>
  <c r="EG34" i="14"/>
  <c r="VD34" i="14"/>
  <c r="JR33" i="14"/>
  <c r="MP34" i="14"/>
  <c r="GL33" i="14"/>
  <c r="NQ33" i="14"/>
  <c r="FQ34" i="14"/>
  <c r="GM34" i="14"/>
  <c r="MK33" i="14"/>
  <c r="UG34" i="14"/>
  <c r="HW33" i="14"/>
  <c r="IT33" i="14"/>
  <c r="PO33" i="14"/>
  <c r="MH33" i="14"/>
  <c r="VR33" i="14"/>
  <c r="OQ36" i="14"/>
  <c r="KQ33" i="14"/>
  <c r="PN36" i="14"/>
  <c r="IW33" i="14"/>
  <c r="RC34" i="14"/>
  <c r="UN36" i="14"/>
  <c r="LF36" i="14"/>
  <c r="LS33" i="14"/>
  <c r="LI36" i="14"/>
  <c r="KA33" i="14"/>
  <c r="US34" i="14"/>
  <c r="MR33" i="14"/>
  <c r="IJ33" i="14"/>
  <c r="EX34" i="14"/>
  <c r="NR33" i="14"/>
  <c r="FW34" i="14"/>
  <c r="LA33" i="14"/>
  <c r="LQ33" i="14"/>
  <c r="RZ34" i="14"/>
  <c r="MG33" i="14"/>
  <c r="VK34" i="14"/>
  <c r="GL34" i="14"/>
  <c r="TF36" i="14"/>
  <c r="GK33" i="14"/>
  <c r="QP33" i="14"/>
  <c r="LX33" i="14"/>
  <c r="RU34" i="14"/>
  <c r="EN33" i="14"/>
  <c r="MJ34" i="14"/>
  <c r="HT33" i="14"/>
  <c r="VI33" i="14"/>
  <c r="HK34" i="14"/>
  <c r="EY35" i="14"/>
  <c r="TU34" i="14"/>
  <c r="TG33" i="14"/>
  <c r="OF33" i="14"/>
  <c r="RD33" i="14"/>
  <c r="SB33" i="14"/>
  <c r="MT33" i="14"/>
  <c r="OS34" i="14"/>
  <c r="IR33" i="14"/>
  <c r="IA34" i="14"/>
  <c r="LC35" i="14"/>
  <c r="RM35" i="14"/>
  <c r="FK36" i="14"/>
  <c r="SI35" i="14"/>
  <c r="QL33" i="14"/>
  <c r="TG36" i="14"/>
  <c r="GZ34" i="14"/>
  <c r="OR36" i="14"/>
  <c r="OP34" i="14"/>
  <c r="PM36" i="14"/>
  <c r="ET33" i="14"/>
  <c r="JX33" i="14"/>
  <c r="II33" i="14"/>
  <c r="RG34" i="14"/>
  <c r="HC34" i="14"/>
  <c r="TR34" i="14"/>
  <c r="MO35" i="14"/>
  <c r="TU33" i="14"/>
  <c r="DL34" i="14"/>
  <c r="SI33" i="14"/>
  <c r="FO33" i="14"/>
  <c r="FP35" i="14"/>
  <c r="DS34" i="14"/>
  <c r="US36" i="14"/>
  <c r="CY284" i="14"/>
  <c r="DP35" i="14"/>
  <c r="LY33" i="14"/>
  <c r="OY33" i="14"/>
  <c r="IP33" i="14"/>
  <c r="NA34" i="14"/>
  <c r="FL33" i="14"/>
  <c r="DJ34" i="14"/>
  <c r="OX33" i="14"/>
  <c r="IU33" i="14"/>
  <c r="JM33" i="14"/>
  <c r="WB34" i="14"/>
  <c r="OW34" i="14"/>
  <c r="SH33" i="14"/>
  <c r="OG33" i="14"/>
  <c r="NG35" i="14"/>
  <c r="CW36" i="14"/>
  <c r="QA35" i="14"/>
  <c r="JG35" i="14"/>
  <c r="HO33" i="14"/>
  <c r="TY34" i="14"/>
  <c r="DD34" i="14"/>
  <c r="GW33" i="14"/>
  <c r="DD35" i="14"/>
  <c r="PU35" i="14"/>
  <c r="OB33" i="14"/>
  <c r="UQ33" i="14"/>
  <c r="HI33" i="14"/>
  <c r="PI34" i="14"/>
  <c r="KL34" i="14"/>
  <c r="KU33" i="14"/>
  <c r="RR34" i="14"/>
  <c r="GY33" i="14"/>
  <c r="JL33" i="14"/>
  <c r="TO34" i="14"/>
  <c r="FL34" i="14"/>
  <c r="LB35" i="14"/>
  <c r="DD33" i="14"/>
  <c r="HO34" i="14"/>
  <c r="RC33" i="14"/>
  <c r="QR33" i="14"/>
  <c r="DT35" i="14"/>
  <c r="SE34" i="14"/>
  <c r="HL36" i="14"/>
  <c r="ET34" i="14"/>
  <c r="DM34" i="14"/>
  <c r="SM33" i="14"/>
  <c r="GP33" i="14"/>
  <c r="WC36" i="14"/>
  <c r="QE33" i="14"/>
  <c r="KD33" i="14"/>
  <c r="EP33" i="14"/>
  <c r="JK34" i="14"/>
  <c r="RJ34" i="14"/>
  <c r="DO34" i="14"/>
  <c r="EO33" i="14"/>
  <c r="MQ35" i="14"/>
  <c r="LH33" i="14"/>
  <c r="SV33" i="14"/>
  <c r="IB34" i="14"/>
  <c r="GS33" i="14"/>
  <c r="SR33" i="14"/>
  <c r="SR37" i="14" s="1"/>
  <c r="SR284" i="14" s="1"/>
  <c r="FG34" i="14"/>
  <c r="RB33" i="14"/>
  <c r="LU35" i="14"/>
  <c r="PJ36" i="14"/>
  <c r="RL34" i="14"/>
  <c r="IV35" i="14"/>
  <c r="PQ36" i="14"/>
  <c r="JJ33" i="14"/>
  <c r="JV33" i="14"/>
  <c r="ID33" i="14"/>
  <c r="HS36" i="14"/>
  <c r="NF35" i="14"/>
  <c r="OY34" i="14"/>
  <c r="LK33" i="14"/>
  <c r="GP34" i="14"/>
  <c r="FF36" i="14"/>
  <c r="HR33" i="14"/>
  <c r="NI33" i="14"/>
  <c r="FR34" i="14"/>
  <c r="TZ34" i="14"/>
  <c r="OV34" i="14"/>
  <c r="JZ33" i="14"/>
  <c r="OM35" i="14"/>
  <c r="TR33" i="14"/>
  <c r="NY33" i="14"/>
  <c r="IN34" i="14"/>
  <c r="VQ33" i="14"/>
  <c r="GA33" i="14"/>
  <c r="OS33" i="14"/>
  <c r="HB33" i="14"/>
  <c r="LL33" i="14"/>
  <c r="GC36" i="14"/>
  <c r="OY35" i="14"/>
  <c r="SU33" i="14"/>
  <c r="EV33" i="14"/>
  <c r="UF33" i="14"/>
  <c r="GC33" i="14"/>
  <c r="SP33" i="14"/>
  <c r="VX34" i="14"/>
  <c r="LJ33" i="14"/>
  <c r="DI35" i="14"/>
  <c r="NG33" i="14"/>
  <c r="NK33" i="14"/>
  <c r="VV33" i="14"/>
  <c r="EV35" i="14"/>
  <c r="NT35" i="14"/>
  <c r="VY36" i="14"/>
  <c r="VN35" i="14"/>
  <c r="TW34" i="14"/>
  <c r="NM36" i="14"/>
  <c r="PK33" i="14"/>
  <c r="HJ34" i="14"/>
  <c r="QL34" i="14"/>
  <c r="QJ33" i="14"/>
  <c r="GR33" i="14"/>
  <c r="OF34" i="14"/>
  <c r="LD33" i="14"/>
  <c r="KI34" i="14"/>
  <c r="MD33" i="14"/>
  <c r="LW34" i="14"/>
  <c r="EO34" i="14"/>
  <c r="HC35" i="14"/>
  <c r="TC33" i="14"/>
  <c r="NO34" i="14"/>
  <c r="NW33" i="14"/>
  <c r="IQ34" i="14"/>
  <c r="FK33" i="14"/>
  <c r="ML33" i="14"/>
  <c r="HZ33" i="14"/>
  <c r="RG35" i="14"/>
  <c r="LI34" i="14"/>
  <c r="EM33" i="14"/>
  <c r="JQ33" i="14"/>
  <c r="SI34" i="14"/>
  <c r="RA33" i="14"/>
  <c r="DT33" i="14"/>
  <c r="IL33" i="14"/>
  <c r="HS33" i="14"/>
  <c r="SD33" i="14"/>
  <c r="SW33" i="14"/>
  <c r="PX34" i="14"/>
  <c r="MT34" i="14"/>
  <c r="NU35" i="14"/>
  <c r="RZ33" i="14"/>
  <c r="SN33" i="14"/>
  <c r="QI36" i="14"/>
  <c r="HF33" i="14"/>
  <c r="NH33" i="14"/>
  <c r="GU34" i="14"/>
  <c r="FY33" i="14"/>
  <c r="IG33" i="14"/>
  <c r="TV33" i="14"/>
  <c r="VE33" i="14"/>
  <c r="VE34" i="14"/>
  <c r="EM35" i="14"/>
  <c r="TN34" i="14"/>
  <c r="JY33" i="14"/>
  <c r="KB33" i="14"/>
  <c r="NP33" i="14"/>
  <c r="IZ33" i="14"/>
  <c r="QC33" i="14"/>
  <c r="KY36" i="14"/>
  <c r="KQ34" i="14"/>
  <c r="QW34" i="14"/>
  <c r="LP33" i="14"/>
  <c r="IC33" i="14"/>
  <c r="OR33" i="14"/>
  <c r="IB33" i="14"/>
  <c r="RJ33" i="14"/>
  <c r="DR33" i="14"/>
  <c r="IE36" i="14"/>
  <c r="GB33" i="14"/>
  <c r="NR34" i="14"/>
  <c r="PM35" i="14"/>
  <c r="JB33" i="14"/>
  <c r="UR33" i="14"/>
  <c r="PO34" i="14"/>
  <c r="GV34" i="14"/>
  <c r="EI34" i="14"/>
  <c r="HD35" i="14"/>
  <c r="OT33" i="14"/>
  <c r="KC36" i="14"/>
  <c r="NB34" i="14"/>
  <c r="EH34" i="14"/>
  <c r="IC35" i="14"/>
  <c r="PH36" i="14"/>
  <c r="JI33" i="14"/>
  <c r="QX33" i="14"/>
  <c r="OD33" i="14"/>
  <c r="JC34" i="14"/>
  <c r="KI33" i="14"/>
  <c r="VM33" i="14"/>
  <c r="VG33" i="14"/>
  <c r="VG37" i="14" s="1"/>
  <c r="VG284" i="14" s="1"/>
  <c r="HN33" i="14"/>
  <c r="FZ33" i="14"/>
  <c r="WC33" i="14"/>
  <c r="EO35" i="14"/>
  <c r="GN33" i="14"/>
  <c r="FJ33" i="14"/>
  <c r="TQ33" i="14"/>
  <c r="KY34" i="14"/>
  <c r="GX33" i="14"/>
  <c r="JS34" i="14"/>
  <c r="MI35" i="14"/>
  <c r="EL33" i="14"/>
  <c r="UJ34" i="14"/>
  <c r="OE33" i="14"/>
  <c r="ON33" i="14"/>
  <c r="OL34" i="14"/>
  <c r="VI35" i="14"/>
  <c r="EW33" i="14"/>
  <c r="LA36" i="14"/>
  <c r="MG36" i="14"/>
  <c r="PJ34" i="14"/>
  <c r="LG33" i="14"/>
  <c r="PN34" i="14"/>
  <c r="UD33" i="14"/>
  <c r="IA35" i="14"/>
  <c r="JE36" i="14"/>
  <c r="IG36" i="14"/>
  <c r="OO33" i="14"/>
  <c r="NQ34" i="14"/>
  <c r="DQ33" i="14"/>
  <c r="OI33" i="14"/>
  <c r="GT33" i="14"/>
  <c r="TI33" i="14"/>
  <c r="UT33" i="14"/>
  <c r="IE34" i="14"/>
  <c r="FS33" i="14"/>
  <c r="NF34" i="14"/>
  <c r="LY34" i="14"/>
  <c r="GR35" i="14"/>
  <c r="GX35" i="14"/>
  <c r="IL34" i="14"/>
  <c r="TU36" i="14"/>
  <c r="SX33" i="14"/>
  <c r="HB34" i="14"/>
  <c r="RA34" i="14"/>
  <c r="FX33" i="14"/>
  <c r="ER35" i="14"/>
  <c r="OM34" i="14"/>
  <c r="GQ34" i="14"/>
  <c r="SQ34" i="14"/>
  <c r="KC34" i="14"/>
  <c r="HN34" i="14"/>
  <c r="PK34" i="14"/>
  <c r="EJ33" i="14"/>
  <c r="LU34" i="14"/>
  <c r="OB35" i="14"/>
  <c r="KW33" i="14"/>
  <c r="LU33" i="14"/>
  <c r="GF33" i="14"/>
  <c r="HQ34" i="14"/>
  <c r="IR35" i="14"/>
  <c r="ME33" i="14"/>
  <c r="IY35" i="14"/>
  <c r="FM35" i="14"/>
  <c r="NB35" i="14"/>
  <c r="PV34" i="14"/>
  <c r="UM34" i="14"/>
  <c r="QW33" i="14"/>
  <c r="JJ34" i="14"/>
  <c r="SC34" i="14"/>
  <c r="JS35" i="14"/>
  <c r="OC34" i="14"/>
  <c r="KO33" i="14"/>
  <c r="VO34" i="14"/>
  <c r="RE33" i="14"/>
  <c r="FF34" i="14"/>
  <c r="KT34" i="14"/>
  <c r="MY33" i="14"/>
  <c r="UE33" i="14"/>
  <c r="OO36" i="14"/>
  <c r="NL33" i="14"/>
  <c r="TA33" i="14"/>
  <c r="SO33" i="14"/>
  <c r="IF35" i="14"/>
  <c r="GS35" i="14"/>
  <c r="PC34" i="14"/>
  <c r="JA33" i="14"/>
  <c r="WA33" i="14"/>
  <c r="WA37" i="14" s="1"/>
  <c r="WA284" i="14" s="1"/>
  <c r="JA36" i="14"/>
  <c r="DA34" i="14"/>
  <c r="RJ35" i="14"/>
  <c r="UB33" i="14"/>
  <c r="DI34" i="14"/>
  <c r="VZ33" i="14"/>
  <c r="LS34" i="14"/>
  <c r="LE35" i="14"/>
  <c r="GH33" i="14"/>
  <c r="HO36" i="14"/>
  <c r="FW33" i="14"/>
  <c r="DZ33" i="14"/>
  <c r="JW34" i="14"/>
  <c r="UD34" i="14"/>
  <c r="RN33" i="14"/>
  <c r="PW34" i="14"/>
  <c r="KM34" i="14"/>
  <c r="IZ34" i="14"/>
  <c r="KR33" i="14"/>
  <c r="LC33" i="14"/>
  <c r="VF33" i="14"/>
  <c r="OA34" i="14"/>
  <c r="VK33" i="14"/>
  <c r="UG36" i="14"/>
  <c r="TE33" i="14"/>
  <c r="J81" i="13"/>
  <c r="K80" i="13"/>
  <c r="F283" i="12"/>
  <c r="UH37" i="14" l="1"/>
  <c r="UH284" i="14" s="1"/>
  <c r="RX37" i="14"/>
  <c r="RX284" i="14" s="1"/>
  <c r="IJ37" i="14"/>
  <c r="IJ284" i="14" s="1"/>
  <c r="IU37" i="14"/>
  <c r="IU284" i="14" s="1"/>
  <c r="RR37" i="14"/>
  <c r="EH37" i="14"/>
  <c r="EH284" i="14" s="1"/>
  <c r="GT37" i="14"/>
  <c r="GT284" i="14" s="1"/>
  <c r="NL37" i="14"/>
  <c r="NL284" i="14" s="1"/>
  <c r="EQ37" i="14"/>
  <c r="EQ284" i="14" s="1"/>
  <c r="QT37" i="14"/>
  <c r="QT284" i="14" s="1"/>
  <c r="PG37" i="14"/>
  <c r="PG284" i="14" s="1"/>
  <c r="KG37" i="14"/>
  <c r="KG284" i="14" s="1"/>
  <c r="PB37" i="14"/>
  <c r="PB284" i="14" s="1"/>
  <c r="RO37" i="14"/>
  <c r="RO284" i="14" s="1"/>
  <c r="PS37" i="14"/>
  <c r="PS284" i="14" s="1"/>
  <c r="UC37" i="14"/>
  <c r="UC284" i="14" s="1"/>
  <c r="PF37" i="14"/>
  <c r="PF284" i="14" s="1"/>
  <c r="NX37" i="14"/>
  <c r="NX284" i="14" s="1"/>
  <c r="IX37" i="14"/>
  <c r="IX284" i="14" s="1"/>
  <c r="QH37" i="14"/>
  <c r="QH284" i="14" s="1"/>
  <c r="JD37" i="14"/>
  <c r="JD284" i="14" s="1"/>
  <c r="GO37" i="14"/>
  <c r="GO284" i="14" s="1"/>
  <c r="FT37" i="14"/>
  <c r="FT284" i="14" s="1"/>
  <c r="LR37" i="14"/>
  <c r="LR284" i="14" s="1"/>
  <c r="NO37" i="14"/>
  <c r="NO284" i="14" s="1"/>
  <c r="NW37" i="14"/>
  <c r="NW284" i="14" s="1"/>
  <c r="JC37" i="14"/>
  <c r="JC284" i="14" s="1"/>
  <c r="OE37" i="14"/>
  <c r="OE284" i="14" s="1"/>
  <c r="IP37" i="14"/>
  <c r="IP284" i="14" s="1"/>
  <c r="LO37" i="14"/>
  <c r="LO284" i="14" s="1"/>
  <c r="TA37" i="14"/>
  <c r="TA284" i="14" s="1"/>
  <c r="CP284" i="14"/>
  <c r="GB37" i="14"/>
  <c r="GB284" i="14" s="1"/>
  <c r="TH37" i="14"/>
  <c r="ON37" i="14"/>
  <c r="ON284" i="14" s="1"/>
  <c r="MC37" i="14"/>
  <c r="MC284" i="14" s="1"/>
  <c r="LD37" i="14"/>
  <c r="LD284" i="14" s="1"/>
  <c r="SU37" i="14"/>
  <c r="SU284" i="14" s="1"/>
  <c r="DQ37" i="14"/>
  <c r="DQ284" i="14" s="1"/>
  <c r="LA37" i="14"/>
  <c r="LA284" i="14" s="1"/>
  <c r="KA37" i="14"/>
  <c r="KA284" i="14" s="1"/>
  <c r="RI37" i="14"/>
  <c r="RI284" i="14" s="1"/>
  <c r="WF37" i="14"/>
  <c r="WF284" i="14" s="1"/>
  <c r="SG37" i="14"/>
  <c r="SG284" i="14" s="1"/>
  <c r="SL37" i="14"/>
  <c r="SL284" i="14" s="1"/>
  <c r="KH37" i="14"/>
  <c r="KH284" i="14" s="1"/>
  <c r="UL37" i="14"/>
  <c r="UL284" i="14" s="1"/>
  <c r="QP37" i="14"/>
  <c r="QP284" i="14" s="1"/>
  <c r="PX37" i="14"/>
  <c r="PX284" i="14" s="1"/>
  <c r="OX37" i="14"/>
  <c r="OX284" i="14" s="1"/>
  <c r="UD37" i="14"/>
  <c r="UD284" i="14" s="1"/>
  <c r="GK37" i="14"/>
  <c r="GK284" i="14" s="1"/>
  <c r="IQ37" i="14"/>
  <c r="IQ284" i="14" s="1"/>
  <c r="QJ37" i="14"/>
  <c r="QJ284" i="14" s="1"/>
  <c r="FJ37" i="14"/>
  <c r="FJ284" i="14" s="1"/>
  <c r="DW37" i="14"/>
  <c r="DW284" i="14" s="1"/>
  <c r="UA37" i="14"/>
  <c r="UA284" i="14" s="1"/>
  <c r="PH37" i="14"/>
  <c r="PH284" i="14" s="1"/>
  <c r="VJ37" i="14"/>
  <c r="VJ284" i="14" s="1"/>
  <c r="MS37" i="14"/>
  <c r="MS284" i="14" s="1"/>
  <c r="OV37" i="14"/>
  <c r="OV284" i="14" s="1"/>
  <c r="TG37" i="14"/>
  <c r="TG284" i="14" s="1"/>
  <c r="LJ37" i="14"/>
  <c r="LJ284" i="14" s="1"/>
  <c r="OB37" i="14"/>
  <c r="OB284" i="14" s="1"/>
  <c r="CU284" i="14"/>
  <c r="PQ37" i="14"/>
  <c r="PQ284" i="14" s="1"/>
  <c r="JL37" i="14"/>
  <c r="JL284" i="14" s="1"/>
  <c r="II37" i="14"/>
  <c r="II284" i="14" s="1"/>
  <c r="NC37" i="14"/>
  <c r="NC284" i="14" s="1"/>
  <c r="UF37" i="14"/>
  <c r="UF284" i="14" s="1"/>
  <c r="CQ284" i="14"/>
  <c r="IV37" i="14"/>
  <c r="IV284" i="14" s="1"/>
  <c r="FP37" i="14"/>
  <c r="FP284" i="14" s="1"/>
  <c r="LC37" i="14"/>
  <c r="LC284" i="14" s="1"/>
  <c r="NT37" i="14"/>
  <c r="NT284" i="14" s="1"/>
  <c r="CM284" i="14"/>
  <c r="FU37" i="14"/>
  <c r="FU284" i="14" s="1"/>
  <c r="QI37" i="14"/>
  <c r="QI284" i="14" s="1"/>
  <c r="OF37" i="14"/>
  <c r="OF284" i="14" s="1"/>
  <c r="JZ37" i="14"/>
  <c r="JZ284" i="14" s="1"/>
  <c r="KD37" i="14"/>
  <c r="KD284" i="14" s="1"/>
  <c r="GY37" i="14"/>
  <c r="GY284" i="14" s="1"/>
  <c r="HA37" i="14"/>
  <c r="HA284" i="14" s="1"/>
  <c r="IG37" i="14"/>
  <c r="IG284" i="14" s="1"/>
  <c r="QA37" i="14"/>
  <c r="QA284" i="14" s="1"/>
  <c r="LV37" i="14"/>
  <c r="LV284" i="14" s="1"/>
  <c r="LN37" i="14"/>
  <c r="LN284" i="14" s="1"/>
  <c r="EU37" i="14"/>
  <c r="EU284" i="14" s="1"/>
  <c r="VP37" i="14"/>
  <c r="VP284" i="14" s="1"/>
  <c r="MQ37" i="14"/>
  <c r="MQ284" i="14" s="1"/>
  <c r="VD37" i="14"/>
  <c r="VD284" i="14" s="1"/>
  <c r="SQ37" i="14"/>
  <c r="SQ284" i="14" s="1"/>
  <c r="QN37" i="14"/>
  <c r="QN284" i="14" s="1"/>
  <c r="IK37" i="14"/>
  <c r="IK284" i="14" s="1"/>
  <c r="CR284" i="14"/>
  <c r="RY37" i="14"/>
  <c r="RY284" i="14" s="1"/>
  <c r="FK37" i="14"/>
  <c r="FK284" i="14" s="1"/>
  <c r="UP37" i="14"/>
  <c r="UP284" i="14" s="1"/>
  <c r="EK37" i="14"/>
  <c r="EK284" i="14" s="1"/>
  <c r="WD37" i="14"/>
  <c r="WD284" i="14" s="1"/>
  <c r="CL284" i="14"/>
  <c r="FO37" i="14"/>
  <c r="FO284" i="14" s="1"/>
  <c r="MJ37" i="14"/>
  <c r="MJ284" i="14" s="1"/>
  <c r="HE37" i="14"/>
  <c r="HE284" i="14" s="1"/>
  <c r="QM37" i="14"/>
  <c r="QM284" i="14" s="1"/>
  <c r="JR37" i="14"/>
  <c r="JR284" i="14" s="1"/>
  <c r="VC37" i="14"/>
  <c r="VC284" i="14" s="1"/>
  <c r="SJ37" i="14"/>
  <c r="SJ284" i="14" s="1"/>
  <c r="GH37" i="14"/>
  <c r="GH284" i="14" s="1"/>
  <c r="TU37" i="14"/>
  <c r="TU284" i="14" s="1"/>
  <c r="SE37" i="14"/>
  <c r="SE284" i="14" s="1"/>
  <c r="LY37" i="14"/>
  <c r="LY284" i="14" s="1"/>
  <c r="CX284" i="14"/>
  <c r="OR37" i="14"/>
  <c r="OR284" i="14" s="1"/>
  <c r="JS37" i="14"/>
  <c r="JS284" i="14" s="1"/>
  <c r="JV37" i="14"/>
  <c r="JV284" i="14" s="1"/>
  <c r="TJ37" i="14"/>
  <c r="TJ284" i="14" s="1"/>
  <c r="OI37" i="14"/>
  <c r="OI284" i="14" s="1"/>
  <c r="LQ37" i="14"/>
  <c r="LQ284" i="14" s="1"/>
  <c r="PY37" i="14"/>
  <c r="PY284" i="14" s="1"/>
  <c r="LS37" i="14"/>
  <c r="LS284" i="14" s="1"/>
  <c r="KO37" i="14"/>
  <c r="KO284" i="14" s="1"/>
  <c r="IL37" i="14"/>
  <c r="IL284" i="14" s="1"/>
  <c r="TN37" i="14"/>
  <c r="TN284" i="14" s="1"/>
  <c r="EV37" i="14"/>
  <c r="EV284" i="14" s="1"/>
  <c r="IS37" i="14"/>
  <c r="IS284" i="14" s="1"/>
  <c r="IO37" i="14"/>
  <c r="IO284" i="14" s="1"/>
  <c r="KN37" i="14"/>
  <c r="KN284" i="14" s="1"/>
  <c r="NQ37" i="14"/>
  <c r="NQ284" i="14" s="1"/>
  <c r="FZ37" i="14"/>
  <c r="FZ284" i="14" s="1"/>
  <c r="FG37" i="14"/>
  <c r="FG284" i="14" s="1"/>
  <c r="UQ37" i="14"/>
  <c r="UQ284" i="14" s="1"/>
  <c r="SB37" i="14"/>
  <c r="SB284" i="14" s="1"/>
  <c r="RD37" i="14"/>
  <c r="RD284" i="14" s="1"/>
  <c r="VH37" i="14"/>
  <c r="VH284" i="14" s="1"/>
  <c r="GF37" i="14"/>
  <c r="GF284" i="14" s="1"/>
  <c r="JW37" i="14"/>
  <c r="JW284" i="14" s="1"/>
  <c r="JA37" i="14"/>
  <c r="JA284" i="14" s="1"/>
  <c r="NR37" i="14"/>
  <c r="NR284" i="14" s="1"/>
  <c r="FR37" i="14"/>
  <c r="FR284" i="14" s="1"/>
  <c r="LH37" i="14"/>
  <c r="LH284" i="14" s="1"/>
  <c r="TF37" i="14"/>
  <c r="TF284" i="14" s="1"/>
  <c r="DU37" i="14"/>
  <c r="DU284" i="14" s="1"/>
  <c r="JE37" i="14"/>
  <c r="JE284" i="14" s="1"/>
  <c r="JQ37" i="14"/>
  <c r="JQ284" i="14" s="1"/>
  <c r="ID37" i="14"/>
  <c r="ID284" i="14" s="1"/>
  <c r="KI37" i="14"/>
  <c r="KI284" i="14" s="1"/>
  <c r="TW37" i="14"/>
  <c r="TW284" i="14" s="1"/>
  <c r="KT37" i="14"/>
  <c r="KT284" i="14" s="1"/>
  <c r="NB37" i="14"/>
  <c r="NB284" i="14" s="1"/>
  <c r="EI37" i="14"/>
  <c r="EI284" i="14" s="1"/>
  <c r="CO284" i="14"/>
  <c r="HX37" i="14"/>
  <c r="HX284" i="14" s="1"/>
  <c r="CT37" i="14"/>
  <c r="CT284" i="14" s="1"/>
  <c r="RU37" i="14"/>
  <c r="RU284" i="14" s="1"/>
  <c r="UU284" i="14"/>
  <c r="NG37" i="14"/>
  <c r="NG284" i="14" s="1"/>
  <c r="RS37" i="14"/>
  <c r="RS284" i="14" s="1"/>
  <c r="KQ37" i="14"/>
  <c r="KQ284" i="14" s="1"/>
  <c r="EX37" i="14"/>
  <c r="EX284" i="14" s="1"/>
  <c r="DC284" i="14"/>
  <c r="LT37" i="14"/>
  <c r="LT284" i="14" s="1"/>
  <c r="NZ37" i="14"/>
  <c r="NZ284" i="14" s="1"/>
  <c r="RA37" i="14"/>
  <c r="RA284" i="14" s="1"/>
  <c r="RR284" i="14"/>
  <c r="LI37" i="14"/>
  <c r="LI284" i="14" s="1"/>
  <c r="DF284" i="14"/>
  <c r="EC37" i="14"/>
  <c r="EC284" i="14" s="1"/>
  <c r="HR37" i="14"/>
  <c r="HR284" i="14" s="1"/>
  <c r="OO37" i="14"/>
  <c r="OO284" i="14" s="1"/>
  <c r="VV37" i="14"/>
  <c r="VV284" i="14" s="1"/>
  <c r="DT37" i="14"/>
  <c r="DT284" i="14" s="1"/>
  <c r="KL37" i="14"/>
  <c r="KL284" i="14" s="1"/>
  <c r="QU37" i="14"/>
  <c r="QU284" i="14" s="1"/>
  <c r="UZ37" i="14"/>
  <c r="UZ284" i="14" s="1"/>
  <c r="HU37" i="14"/>
  <c r="HU284" i="14" s="1"/>
  <c r="JH37" i="14"/>
  <c r="JH284" i="14" s="1"/>
  <c r="LF37" i="14"/>
  <c r="LF284" i="14" s="1"/>
  <c r="DP37" i="14"/>
  <c r="DP284" i="14" s="1"/>
  <c r="MV37" i="14"/>
  <c r="MV284" i="14" s="1"/>
  <c r="JX37" i="14"/>
  <c r="JX284" i="14" s="1"/>
  <c r="HT37" i="14"/>
  <c r="HT284" i="14" s="1"/>
  <c r="KP37" i="14"/>
  <c r="KP284" i="14" s="1"/>
  <c r="UO37" i="14"/>
  <c r="UO284" i="14" s="1"/>
  <c r="UT37" i="14"/>
  <c r="UT284" i="14" s="1"/>
  <c r="OY37" i="14"/>
  <c r="OY284" i="14" s="1"/>
  <c r="NF37" i="14"/>
  <c r="NF284" i="14" s="1"/>
  <c r="RC37" i="14"/>
  <c r="RC284" i="14" s="1"/>
  <c r="HI37" i="14"/>
  <c r="HI284" i="14" s="1"/>
  <c r="HG37" i="14"/>
  <c r="HG284" i="14" s="1"/>
  <c r="RM37" i="14"/>
  <c r="RM284" i="14" s="1"/>
  <c r="MK37" i="14"/>
  <c r="MK284" i="14" s="1"/>
  <c r="LL37" i="14"/>
  <c r="LL284" i="14" s="1"/>
  <c r="MF37" i="14"/>
  <c r="MF284" i="14" s="1"/>
  <c r="TO37" i="14"/>
  <c r="TO284" i="14" s="1"/>
  <c r="PK37" i="14"/>
  <c r="PK284" i="14" s="1"/>
  <c r="IZ37" i="14"/>
  <c r="IZ284" i="14" s="1"/>
  <c r="VX37" i="14"/>
  <c r="VX284" i="14" s="1"/>
  <c r="WB37" i="14"/>
  <c r="WB284" i="14" s="1"/>
  <c r="PC37" i="14"/>
  <c r="PC284" i="14" s="1"/>
  <c r="UN37" i="14"/>
  <c r="UN284" i="14" s="1"/>
  <c r="CV284" i="14"/>
  <c r="ND37" i="14"/>
  <c r="ND284" i="14" s="1"/>
  <c r="QF37" i="14"/>
  <c r="QF284" i="14" s="1"/>
  <c r="SH37" i="14"/>
  <c r="SH284" i="14" s="1"/>
  <c r="RK37" i="14"/>
  <c r="RK284" i="14" s="1"/>
  <c r="DN37" i="14"/>
  <c r="DN284" i="14" s="1"/>
  <c r="DH37" i="14"/>
  <c r="DH284" i="14" s="1"/>
  <c r="SV37" i="14"/>
  <c r="SV284" i="14" s="1"/>
  <c r="FB37" i="14"/>
  <c r="FB284" i="14" s="1"/>
  <c r="QY37" i="14"/>
  <c r="QY284" i="14" s="1"/>
  <c r="MN37" i="14"/>
  <c r="MN284" i="14" s="1"/>
  <c r="TB37" i="14"/>
  <c r="TB284" i="14" s="1"/>
  <c r="FE37" i="14"/>
  <c r="FE284" i="14" s="1"/>
  <c r="JP37" i="14"/>
  <c r="JP284" i="14" s="1"/>
  <c r="VW37" i="14"/>
  <c r="VW284" i="14" s="1"/>
  <c r="NS37" i="14"/>
  <c r="NS284" i="14" s="1"/>
  <c r="JI37" i="14"/>
  <c r="JI284" i="14" s="1"/>
  <c r="PE37" i="14"/>
  <c r="PE284" i="14" s="1"/>
  <c r="VY37" i="14"/>
  <c r="VY284" i="14" s="1"/>
  <c r="MX37" i="14"/>
  <c r="MX284" i="14" s="1"/>
  <c r="TC37" i="14"/>
  <c r="TC284" i="14" s="1"/>
  <c r="CN284" i="14"/>
  <c r="ST37" i="14"/>
  <c r="ST284" i="14" s="1"/>
  <c r="OQ37" i="14"/>
  <c r="OQ284" i="14" s="1"/>
  <c r="VL37" i="14"/>
  <c r="VL284" i="14" s="1"/>
  <c r="DV37" i="14"/>
  <c r="DV284" i="14" s="1"/>
  <c r="RV37" i="14"/>
  <c r="RV284" i="14" s="1"/>
  <c r="VT37" i="14"/>
  <c r="VT284" i="14" s="1"/>
  <c r="KF37" i="14"/>
  <c r="KF284" i="14" s="1"/>
  <c r="OJ37" i="14"/>
  <c r="OJ284" i="14" s="1"/>
  <c r="SK37" i="14"/>
  <c r="SK284" i="14" s="1"/>
  <c r="RB37" i="14"/>
  <c r="RB284" i="14" s="1"/>
  <c r="OZ37" i="14"/>
  <c r="OZ284" i="14" s="1"/>
  <c r="TX37" i="14"/>
  <c r="TX284" i="14" s="1"/>
  <c r="JN37" i="14"/>
  <c r="JN284" i="14" s="1"/>
  <c r="PR37" i="14"/>
  <c r="PR284" i="14" s="1"/>
  <c r="KM37" i="14"/>
  <c r="KM284" i="14" s="1"/>
  <c r="TH284" i="14"/>
  <c r="GX37" i="14"/>
  <c r="GX284" i="14" s="1"/>
  <c r="WC37" i="14"/>
  <c r="WC284" i="14" s="1"/>
  <c r="ET37" i="14"/>
  <c r="ET284" i="14" s="1"/>
  <c r="EN37" i="14"/>
  <c r="EN284" i="14" s="1"/>
  <c r="MR37" i="14"/>
  <c r="MR284" i="14" s="1"/>
  <c r="SF37" i="14"/>
  <c r="SF284" i="14" s="1"/>
  <c r="MW37" i="14"/>
  <c r="MW284" i="14" s="1"/>
  <c r="PO37" i="14"/>
  <c r="PO284" i="14" s="1"/>
  <c r="GV37" i="14"/>
  <c r="GV284" i="14" s="1"/>
  <c r="UG37" i="14"/>
  <c r="UG284" i="14" s="1"/>
  <c r="EJ37" i="14"/>
  <c r="EJ284" i="14" s="1"/>
  <c r="NE37" i="14"/>
  <c r="NE284" i="14" s="1"/>
  <c r="JT37" i="14"/>
  <c r="JT284" i="14" s="1"/>
  <c r="DM37" i="14"/>
  <c r="DM284" i="14" s="1"/>
  <c r="OH37" i="14"/>
  <c r="OH284" i="14" s="1"/>
  <c r="NV37" i="14"/>
  <c r="NV284" i="14" s="1"/>
  <c r="TI37" i="14"/>
  <c r="TI284" i="14" s="1"/>
  <c r="PA37" i="14"/>
  <c r="PA284" i="14" s="1"/>
  <c r="GN37" i="14"/>
  <c r="GN284" i="14" s="1"/>
  <c r="VF37" i="14"/>
  <c r="VF284" i="14" s="1"/>
  <c r="LU37" i="14"/>
  <c r="LU284" i="14" s="1"/>
  <c r="UK37" i="14"/>
  <c r="UK284" i="14" s="1"/>
  <c r="MZ37" i="14"/>
  <c r="MZ284" i="14" s="1"/>
  <c r="QK37" i="14"/>
  <c r="QK284" i="14" s="1"/>
  <c r="RP37" i="14"/>
  <c r="RP284" i="14" s="1"/>
  <c r="TL37" i="14"/>
  <c r="TL284" i="14" s="1"/>
  <c r="PZ37" i="14"/>
  <c r="PZ284" i="14" s="1"/>
  <c r="SA37" i="14"/>
  <c r="SA284" i="14" s="1"/>
  <c r="PL37" i="14"/>
  <c r="PL284" i="14" s="1"/>
  <c r="KZ37" i="14"/>
  <c r="KZ284" i="14" s="1"/>
  <c r="FS37" i="14"/>
  <c r="FS284" i="14" s="1"/>
  <c r="HO37" i="14"/>
  <c r="HO284" i="14" s="1"/>
  <c r="SO37" i="14"/>
  <c r="SO284" i="14" s="1"/>
  <c r="KW37" i="14"/>
  <c r="KW284" i="14" s="1"/>
  <c r="GR37" i="14"/>
  <c r="GR284" i="14" s="1"/>
  <c r="LG37" i="14"/>
  <c r="LG284" i="14" s="1"/>
  <c r="TQ37" i="14"/>
  <c r="TQ284" i="14" s="1"/>
  <c r="JB37" i="14"/>
  <c r="JB284" i="14" s="1"/>
  <c r="MT37" i="14"/>
  <c r="MT284" i="14" s="1"/>
  <c r="GZ37" i="14"/>
  <c r="GZ284" i="14" s="1"/>
  <c r="MH37" i="14"/>
  <c r="MH284" i="14" s="1"/>
  <c r="ML37" i="14"/>
  <c r="ML284" i="14" s="1"/>
  <c r="TR37" i="14"/>
  <c r="TR284" i="14" s="1"/>
  <c r="TE37" i="14"/>
  <c r="TE284" i="14" s="1"/>
  <c r="QS37" i="14"/>
  <c r="QS284" i="14" s="1"/>
  <c r="QQ37" i="14"/>
  <c r="QQ284" i="14" s="1"/>
  <c r="KK37" i="14"/>
  <c r="KK284" i="14" s="1"/>
  <c r="QV37" i="14"/>
  <c r="QV284" i="14" s="1"/>
  <c r="FI37" i="14"/>
  <c r="FI284" i="14" s="1"/>
  <c r="KR37" i="14"/>
  <c r="KR284" i="14" s="1"/>
  <c r="EO37" i="14"/>
  <c r="EO284" i="14" s="1"/>
  <c r="QR37" i="14"/>
  <c r="QR284" i="14" s="1"/>
  <c r="US37" i="14"/>
  <c r="US284" i="14" s="1"/>
  <c r="HW37" i="14"/>
  <c r="HW284" i="14" s="1"/>
  <c r="FV37" i="14"/>
  <c r="FV284" i="14" s="1"/>
  <c r="LE37" i="14"/>
  <c r="LE284" i="14" s="1"/>
  <c r="MB37" i="14"/>
  <c r="MB284" i="14" s="1"/>
  <c r="GJ37" i="14"/>
  <c r="GJ284" i="14" s="1"/>
  <c r="TV37" i="14"/>
  <c r="TV284" i="14" s="1"/>
  <c r="NP37" i="14"/>
  <c r="NP284" i="14" s="1"/>
  <c r="UM37" i="14"/>
  <c r="UM284" i="14" s="1"/>
  <c r="NI37" i="14"/>
  <c r="NI284" i="14" s="1"/>
  <c r="HQ37" i="14"/>
  <c r="HQ284" i="14" s="1"/>
  <c r="HP37" i="14"/>
  <c r="HP284" i="14" s="1"/>
  <c r="UI37" i="14"/>
  <c r="UI284" i="14" s="1"/>
  <c r="DA37" i="14"/>
  <c r="DA284" i="14" s="1"/>
  <c r="KV37" i="14"/>
  <c r="KV284" i="14" s="1"/>
  <c r="MO37" i="14"/>
  <c r="MO284" i="14" s="1"/>
  <c r="GS37" i="14"/>
  <c r="GS284" i="14" s="1"/>
  <c r="SS37" i="14"/>
  <c r="SS284" i="14" s="1"/>
  <c r="RZ37" i="14"/>
  <c r="RZ284" i="14" s="1"/>
  <c r="TZ37" i="14"/>
  <c r="TZ284" i="14" s="1"/>
  <c r="SD37" i="14"/>
  <c r="SD284" i="14" s="1"/>
  <c r="QD37" i="14"/>
  <c r="QD284" i="14" s="1"/>
  <c r="NN37" i="14"/>
  <c r="NN284" i="14" s="1"/>
  <c r="QX37" i="14"/>
  <c r="QX284" i="14" s="1"/>
  <c r="QW37" i="14"/>
  <c r="QW284" i="14" s="1"/>
  <c r="HS37" i="14"/>
  <c r="HS284" i="14" s="1"/>
  <c r="VN37" i="14"/>
  <c r="VN284" i="14" s="1"/>
  <c r="VQ37" i="14"/>
  <c r="VQ284" i="14" s="1"/>
  <c r="LX37" i="14"/>
  <c r="LX284" i="14" s="1"/>
  <c r="SP37" i="14"/>
  <c r="SP284" i="14" s="1"/>
  <c r="KJ37" i="14"/>
  <c r="KJ284" i="14" s="1"/>
  <c r="SY37" i="14"/>
  <c r="SY284" i="14" s="1"/>
  <c r="PU37" i="14"/>
  <c r="PU284" i="14" s="1"/>
  <c r="RF37" i="14"/>
  <c r="RF284" i="14" s="1"/>
  <c r="IF37" i="14"/>
  <c r="IF284" i="14" s="1"/>
  <c r="RT37" i="14"/>
  <c r="RT284" i="14" s="1"/>
  <c r="FY37" i="14"/>
  <c r="FY284" i="14" s="1"/>
  <c r="IH37" i="14"/>
  <c r="IH284" i="14" s="1"/>
  <c r="LW37" i="14"/>
  <c r="LW284" i="14" s="1"/>
  <c r="LZ37" i="14"/>
  <c r="LZ284" i="14" s="1"/>
  <c r="FN37" i="14"/>
  <c r="FN284" i="14" s="1"/>
  <c r="HF37" i="14"/>
  <c r="HF284" i="14" s="1"/>
  <c r="PW37" i="14"/>
  <c r="PW284" i="14" s="1"/>
  <c r="MG37" i="14"/>
  <c r="MG284" i="14" s="1"/>
  <c r="UJ37" i="14"/>
  <c r="UJ284" i="14" s="1"/>
  <c r="CS284" i="14"/>
  <c r="DJ37" i="14"/>
  <c r="DJ284" i="14" s="1"/>
  <c r="EE37" i="14"/>
  <c r="EE284" i="14" s="1"/>
  <c r="FC37" i="14"/>
  <c r="FC284" i="14" s="1"/>
  <c r="KX37" i="14"/>
  <c r="KX284" i="14" s="1"/>
  <c r="VB37" i="14"/>
  <c r="VB284" i="14" s="1"/>
  <c r="QL37" i="14"/>
  <c r="QL284" i="14" s="1"/>
  <c r="OT37" i="14"/>
  <c r="OT284" i="14" s="1"/>
  <c r="ER37" i="14"/>
  <c r="ER284" i="14" s="1"/>
  <c r="SM37" i="14"/>
  <c r="SM284" i="14" s="1"/>
  <c r="FA37" i="14"/>
  <c r="FA284" i="14" s="1"/>
  <c r="VA37" i="14"/>
  <c r="VA284" i="14" s="1"/>
  <c r="JJ37" i="14"/>
  <c r="JJ284" i="14" s="1"/>
  <c r="PV37" i="14"/>
  <c r="PV284" i="14" s="1"/>
  <c r="OC37" i="14"/>
  <c r="OC284" i="14" s="1"/>
  <c r="EB37" i="14"/>
  <c r="EB284" i="14" s="1"/>
  <c r="GG37" i="14"/>
  <c r="GG284" i="14" s="1"/>
  <c r="DS37" i="14"/>
  <c r="DS284" i="14" s="1"/>
  <c r="RN37" i="14"/>
  <c r="RN284" i="14" s="1"/>
  <c r="IR37" i="14"/>
  <c r="IR284" i="14" s="1"/>
  <c r="EL37" i="14"/>
  <c r="EL284" i="14" s="1"/>
  <c r="IC37" i="14"/>
  <c r="IC284" i="14" s="1"/>
  <c r="IE37" i="14"/>
  <c r="IE284" i="14" s="1"/>
  <c r="FF37" i="14"/>
  <c r="FF284" i="14" s="1"/>
  <c r="LB37" i="14"/>
  <c r="LB284" i="14" s="1"/>
  <c r="IW37" i="14"/>
  <c r="IW284" i="14" s="1"/>
  <c r="OA37" i="14"/>
  <c r="OA284" i="14" s="1"/>
  <c r="SZ37" i="14"/>
  <c r="SZ284" i="14" s="1"/>
  <c r="PT37" i="14"/>
  <c r="PT284" i="14" s="1"/>
  <c r="PP37" i="14"/>
  <c r="PP284" i="14" s="1"/>
  <c r="RJ37" i="14"/>
  <c r="RJ284" i="14" s="1"/>
  <c r="FL37" i="14"/>
  <c r="FL284" i="14" s="1"/>
  <c r="VM37" i="14"/>
  <c r="VM284" i="14" s="1"/>
  <c r="EZ37" i="14"/>
  <c r="EZ284" i="14" s="1"/>
  <c r="MP37" i="14"/>
  <c r="MP284" i="14" s="1"/>
  <c r="KY37" i="14"/>
  <c r="KY284" i="14" s="1"/>
  <c r="EM37" i="14"/>
  <c r="EM284" i="14" s="1"/>
  <c r="NY37" i="14"/>
  <c r="NY284" i="14" s="1"/>
  <c r="PN37" i="14"/>
  <c r="PN284" i="14" s="1"/>
  <c r="DG284" i="14"/>
  <c r="OD37" i="14"/>
  <c r="OD284" i="14" s="1"/>
  <c r="OU37" i="14"/>
  <c r="OU284" i="14" s="1"/>
  <c r="PD37" i="14"/>
  <c r="PD284" i="14" s="1"/>
  <c r="UE37" i="14"/>
  <c r="UE284" i="14" s="1"/>
  <c r="FX37" i="14"/>
  <c r="FX284" i="14" s="1"/>
  <c r="HY37" i="14"/>
  <c r="HY284" i="14" s="1"/>
  <c r="TT37" i="14"/>
  <c r="TT284" i="14" s="1"/>
  <c r="DE284" i="14"/>
  <c r="UB37" i="14"/>
  <c r="UB284" i="14" s="1"/>
  <c r="QC37" i="14"/>
  <c r="QC284" i="14" s="1"/>
  <c r="RH37" i="14"/>
  <c r="RH284" i="14" s="1"/>
  <c r="VZ37" i="14"/>
  <c r="VZ284" i="14" s="1"/>
  <c r="DR37" i="14"/>
  <c r="DR284" i="14" s="1"/>
  <c r="SN37" i="14"/>
  <c r="SN284" i="14" s="1"/>
  <c r="PJ37" i="14"/>
  <c r="PJ284" i="14" s="1"/>
  <c r="PM37" i="14"/>
  <c r="PM284" i="14" s="1"/>
  <c r="ME37" i="14"/>
  <c r="ME284" i="14" s="1"/>
  <c r="DY37" i="14"/>
  <c r="DY284" i="14" s="1"/>
  <c r="HN37" i="14"/>
  <c r="HN284" i="14" s="1"/>
  <c r="TM37" i="14"/>
  <c r="TM284" i="14" s="1"/>
  <c r="OG37" i="14"/>
  <c r="OG284" i="14" s="1"/>
  <c r="JY37" i="14"/>
  <c r="JY284" i="14" s="1"/>
  <c r="QZ37" i="14"/>
  <c r="QZ284" i="14" s="1"/>
  <c r="KB37" i="14"/>
  <c r="KB284" i="14" s="1"/>
  <c r="FD37" i="14"/>
  <c r="FD284" i="14" s="1"/>
  <c r="HH37" i="14"/>
  <c r="HH284" i="14" s="1"/>
  <c r="UX37" i="14"/>
  <c r="UX284" i="14" s="1"/>
  <c r="RG37" i="14"/>
  <c r="RG284" i="14" s="1"/>
  <c r="LP37" i="14"/>
  <c r="LP284" i="14" s="1"/>
  <c r="JM37" i="14"/>
  <c r="JM284" i="14" s="1"/>
  <c r="EP37" i="14"/>
  <c r="EP284" i="14" s="1"/>
  <c r="ES37" i="14"/>
  <c r="ES284" i="14" s="1"/>
  <c r="RE37" i="14"/>
  <c r="RE284" i="14" s="1"/>
  <c r="EW37" i="14"/>
  <c r="EW284" i="14" s="1"/>
  <c r="KC37" i="14"/>
  <c r="KC284" i="14" s="1"/>
  <c r="VE37" i="14"/>
  <c r="VE284" i="14" s="1"/>
  <c r="NK37" i="14"/>
  <c r="NK284" i="14" s="1"/>
  <c r="OM37" i="14"/>
  <c r="OM284" i="14" s="1"/>
  <c r="OP37" i="14"/>
  <c r="OP284" i="14" s="1"/>
  <c r="OS37" i="14"/>
  <c r="OS284" i="14" s="1"/>
  <c r="HK37" i="14"/>
  <c r="HK284" i="14" s="1"/>
  <c r="GL37" i="14"/>
  <c r="GL284" i="14" s="1"/>
  <c r="TP37" i="14"/>
  <c r="TP284" i="14" s="1"/>
  <c r="QE37" i="14"/>
  <c r="QE284" i="14" s="1"/>
  <c r="FW37" i="14"/>
  <c r="FW284" i="14" s="1"/>
  <c r="FM37" i="14"/>
  <c r="FM284" i="14" s="1"/>
  <c r="NH37" i="14"/>
  <c r="NH284" i="14" s="1"/>
  <c r="EG37" i="14"/>
  <c r="EG284" i="14" s="1"/>
  <c r="TK37" i="14"/>
  <c r="TK284" i="14" s="1"/>
  <c r="SW37" i="14"/>
  <c r="SW284" i="14" s="1"/>
  <c r="DZ37" i="14"/>
  <c r="DZ284" i="14" s="1"/>
  <c r="UV37" i="14"/>
  <c r="UV284" i="14" s="1"/>
  <c r="UY37" i="14"/>
  <c r="UY284" i="14" s="1"/>
  <c r="OL37" i="14"/>
  <c r="OL284" i="14" s="1"/>
  <c r="LM37" i="14"/>
  <c r="LM284" i="14" s="1"/>
  <c r="GA37" i="14"/>
  <c r="GA284" i="14" s="1"/>
  <c r="VO37" i="14"/>
  <c r="VO284" i="14" s="1"/>
  <c r="IB37" i="14"/>
  <c r="IB284" i="14" s="1"/>
  <c r="NU37" i="14"/>
  <c r="NU284" i="14" s="1"/>
  <c r="HZ37" i="14"/>
  <c r="HZ284" i="14" s="1"/>
  <c r="VK37" i="14"/>
  <c r="VK284" i="14" s="1"/>
  <c r="VR37" i="14"/>
  <c r="VR284" i="14" s="1"/>
  <c r="RL37" i="14"/>
  <c r="RL284" i="14" s="1"/>
  <c r="DB284" i="14"/>
  <c r="SX37" i="14"/>
  <c r="SX284" i="14" s="1"/>
  <c r="MD37" i="14"/>
  <c r="MD284" i="14" s="1"/>
  <c r="KU37" i="14"/>
  <c r="KU284" i="14" s="1"/>
  <c r="ED37" i="14"/>
  <c r="ED284" i="14" s="1"/>
  <c r="UW37" i="14"/>
  <c r="UW284" i="14" s="1"/>
  <c r="QO37" i="14"/>
  <c r="QO284" i="14" s="1"/>
  <c r="HJ37" i="14"/>
  <c r="HJ284" i="14" s="1"/>
  <c r="QB37" i="14"/>
  <c r="QB284" i="14" s="1"/>
  <c r="GW37" i="14"/>
  <c r="GW284" i="14" s="1"/>
  <c r="MY37" i="14"/>
  <c r="MY284" i="14" s="1"/>
  <c r="IT37" i="14"/>
  <c r="IT284" i="14" s="1"/>
  <c r="DK37" i="14"/>
  <c r="DK284" i="14" s="1"/>
  <c r="NJ37" i="14"/>
  <c r="NJ284" i="14" s="1"/>
  <c r="LK37" i="14"/>
  <c r="LK284" i="14" s="1"/>
  <c r="TS37" i="14"/>
  <c r="TS284" i="14" s="1"/>
  <c r="TD37" i="14"/>
  <c r="TD284" i="14" s="1"/>
  <c r="GU37" i="14"/>
  <c r="GU284" i="14" s="1"/>
  <c r="UR37" i="14"/>
  <c r="UR284" i="14" s="1"/>
  <c r="KS37" i="14"/>
  <c r="KS284" i="14" s="1"/>
  <c r="DD37" i="14"/>
  <c r="DD284" i="14" s="1"/>
  <c r="HL37" i="14"/>
  <c r="HL284" i="14" s="1"/>
  <c r="U284" i="14"/>
  <c r="R284" i="14"/>
  <c r="G36" i="14"/>
  <c r="H36" i="14" s="1"/>
  <c r="MU37" i="14"/>
  <c r="MU284" i="14" s="1"/>
  <c r="DX37" i="14"/>
  <c r="DX284" i="14" s="1"/>
  <c r="HV37" i="14"/>
  <c r="HV284" i="14" s="1"/>
  <c r="VI37" i="14"/>
  <c r="VI284" i="14" s="1"/>
  <c r="DL37" i="14"/>
  <c r="DL284" i="14" s="1"/>
  <c r="OW37" i="14"/>
  <c r="OW284" i="14" s="1"/>
  <c r="RW37" i="14"/>
  <c r="RW284" i="14" s="1"/>
  <c r="GP37" i="14"/>
  <c r="GP284" i="14" s="1"/>
  <c r="NA37" i="14"/>
  <c r="NA284" i="14" s="1"/>
  <c r="HD37" i="14"/>
  <c r="HD284" i="14" s="1"/>
  <c r="PI37" i="14"/>
  <c r="PI284" i="14" s="1"/>
  <c r="GI37" i="14"/>
  <c r="GI284" i="14" s="1"/>
  <c r="QG37" i="14"/>
  <c r="QG284" i="14" s="1"/>
  <c r="GQ37" i="14"/>
  <c r="GQ284" i="14" s="1"/>
  <c r="JF37" i="14"/>
  <c r="JF284" i="14" s="1"/>
  <c r="VU37" i="14"/>
  <c r="VU284" i="14" s="1"/>
  <c r="IY37" i="14"/>
  <c r="IY284" i="14" s="1"/>
  <c r="IA37" i="14"/>
  <c r="IA284" i="14" s="1"/>
  <c r="JK37" i="14"/>
  <c r="JK284" i="14" s="1"/>
  <c r="FH37" i="14"/>
  <c r="FH284" i="14" s="1"/>
  <c r="G33" i="14"/>
  <c r="H33" i="14" s="1"/>
  <c r="EY37" i="14"/>
  <c r="EY284" i="14" s="1"/>
  <c r="RQ37" i="14"/>
  <c r="RQ284" i="14" s="1"/>
  <c r="JU37" i="14"/>
  <c r="JU284" i="14" s="1"/>
  <c r="GC37" i="14"/>
  <c r="GC284" i="14" s="1"/>
  <c r="KE37" i="14"/>
  <c r="KE284" i="14" s="1"/>
  <c r="G35" i="14"/>
  <c r="H35" i="14" s="1"/>
  <c r="GD37" i="14"/>
  <c r="GD284" i="14" s="1"/>
  <c r="EA37" i="14"/>
  <c r="EA284" i="14" s="1"/>
  <c r="DI37" i="14"/>
  <c r="DI284" i="14" s="1"/>
  <c r="IM37" i="14"/>
  <c r="IM284" i="14" s="1"/>
  <c r="FQ37" i="14"/>
  <c r="FQ284" i="14" s="1"/>
  <c r="GE37" i="14"/>
  <c r="GE284" i="14" s="1"/>
  <c r="HB37" i="14"/>
  <c r="HB284" i="14" s="1"/>
  <c r="SI37" i="14"/>
  <c r="SI284" i="14" s="1"/>
  <c r="GM37" i="14"/>
  <c r="GM284" i="14" s="1"/>
  <c r="SC37" i="14"/>
  <c r="SC284" i="14" s="1"/>
  <c r="HC37" i="14"/>
  <c r="HC284" i="14" s="1"/>
  <c r="JG37" i="14"/>
  <c r="JG284" i="14" s="1"/>
  <c r="NM37" i="14"/>
  <c r="NM284" i="14" s="1"/>
  <c r="HM37" i="14"/>
  <c r="HM284" i="14" s="1"/>
  <c r="CZ284" i="14"/>
  <c r="DO37" i="14"/>
  <c r="DO284" i="14" s="1"/>
  <c r="TY37" i="14"/>
  <c r="TY284" i="14" s="1"/>
  <c r="OK37" i="14"/>
  <c r="OK284" i="14" s="1"/>
  <c r="CW37" i="14"/>
  <c r="CW284" i="14" s="1"/>
  <c r="G34" i="14"/>
  <c r="H34" i="14" s="1"/>
  <c r="IN37" i="14"/>
  <c r="IN284" i="14" s="1"/>
  <c r="CK284" i="14"/>
  <c r="MI37" i="14"/>
  <c r="MI284" i="14" s="1"/>
  <c r="J82" i="13"/>
  <c r="K81" i="13"/>
  <c r="Q3" i="13" l="1" a="1"/>
  <c r="G37" i="14"/>
  <c r="H37" i="14" s="1"/>
  <c r="J83" i="13"/>
  <c r="K82" i="13"/>
  <c r="F284" i="14"/>
  <c r="AP285" i="14" l="1"/>
  <c r="CB285" i="14"/>
  <c r="CG285" i="14"/>
  <c r="BY285" i="14"/>
  <c r="AW285" i="14"/>
  <c r="BU285" i="14"/>
  <c r="BZ285" i="14"/>
  <c r="O285" i="14"/>
  <c r="AT285" i="14"/>
  <c r="CA285" i="14"/>
  <c r="CJ285" i="14"/>
  <c r="CU285" i="14"/>
  <c r="CP285" i="14"/>
  <c r="CX285" i="14"/>
  <c r="CO285" i="14"/>
  <c r="DC285" i="14"/>
  <c r="DB285" i="14"/>
  <c r="H124" i="13"/>
  <c r="H53" i="13"/>
  <c r="H14" i="13"/>
  <c r="H240" i="13"/>
  <c r="H454" i="13"/>
  <c r="H45" i="13"/>
  <c r="H355" i="13"/>
  <c r="H473" i="13"/>
  <c r="H494" i="13"/>
  <c r="H327" i="13"/>
  <c r="H540" i="13"/>
  <c r="H155" i="13"/>
  <c r="H357" i="13"/>
  <c r="H364" i="13"/>
  <c r="H470" i="13"/>
  <c r="H374" i="13"/>
  <c r="H278" i="13"/>
  <c r="H182" i="13"/>
  <c r="H86" i="13"/>
  <c r="H207" i="13"/>
  <c r="H373" i="13"/>
  <c r="H265" i="13"/>
  <c r="H169" i="13"/>
  <c r="H73" i="13"/>
  <c r="H279" i="13"/>
  <c r="H432" i="13"/>
  <c r="H216" i="13"/>
  <c r="H120" i="13"/>
  <c r="H335" i="13"/>
  <c r="H143" i="13"/>
  <c r="H47" i="13"/>
  <c r="H322" i="13"/>
  <c r="H106" i="13"/>
  <c r="H10" i="13"/>
  <c r="H249" i="13"/>
  <c r="H21" i="13"/>
  <c r="H320" i="13"/>
  <c r="H579" i="13"/>
  <c r="H223" i="13"/>
  <c r="H510" i="13"/>
  <c r="H186" i="13"/>
  <c r="H437" i="13"/>
  <c r="H17" i="13"/>
  <c r="H256" i="13"/>
  <c r="H206" i="13"/>
  <c r="H193" i="13"/>
  <c r="H48" i="13"/>
  <c r="H130" i="13"/>
  <c r="H222" i="13"/>
  <c r="H98" i="13"/>
  <c r="H507" i="13"/>
  <c r="H443" i="13"/>
  <c r="H118" i="13"/>
  <c r="H428" i="13"/>
  <c r="H247" i="13"/>
  <c r="H147" i="13"/>
  <c r="H458" i="13"/>
  <c r="H362" i="13"/>
  <c r="H266" i="13"/>
  <c r="H170" i="13"/>
  <c r="H74" i="13"/>
  <c r="H27" i="13"/>
  <c r="H349" i="13"/>
  <c r="H253" i="13"/>
  <c r="H157" i="13"/>
  <c r="H61" i="13"/>
  <c r="H231" i="13"/>
  <c r="H408" i="13"/>
  <c r="H204" i="13"/>
  <c r="H108" i="13"/>
  <c r="H12" i="13"/>
  <c r="H311" i="13"/>
  <c r="H131" i="13"/>
  <c r="H35" i="13"/>
  <c r="H310" i="13"/>
  <c r="H94" i="13"/>
  <c r="H123" i="13"/>
  <c r="H225" i="13"/>
  <c r="H9" i="13"/>
  <c r="H296" i="13"/>
  <c r="H535" i="13"/>
  <c r="H211" i="13"/>
  <c r="H486" i="13"/>
  <c r="H78" i="13"/>
  <c r="H329" i="13"/>
  <c r="H5" i="13"/>
  <c r="H232" i="13"/>
  <c r="H302" i="13"/>
  <c r="H289" i="13"/>
  <c r="H455" i="13"/>
  <c r="H183" i="13"/>
  <c r="H85" i="13"/>
  <c r="H446" i="13"/>
  <c r="H350" i="13"/>
  <c r="H254" i="13"/>
  <c r="H158" i="13"/>
  <c r="H62" i="13"/>
  <c r="H577" i="13"/>
  <c r="H337" i="13"/>
  <c r="H241" i="13"/>
  <c r="H145" i="13"/>
  <c r="H49" i="13"/>
  <c r="H171" i="13"/>
  <c r="H396" i="13"/>
  <c r="H192" i="13"/>
  <c r="H96" i="13"/>
  <c r="H459" i="13"/>
  <c r="H299" i="13"/>
  <c r="H119" i="13"/>
  <c r="H23" i="13"/>
  <c r="H202" i="13"/>
  <c r="H82" i="13"/>
  <c r="H537" i="13"/>
  <c r="H213" i="13"/>
  <c r="H75" i="13"/>
  <c r="H284" i="13"/>
  <c r="H511" i="13"/>
  <c r="H103" i="13"/>
  <c r="H474" i="13"/>
  <c r="H54" i="13"/>
  <c r="H305" i="13"/>
  <c r="H544" i="13"/>
  <c r="H220" i="13"/>
  <c r="H506" i="13"/>
  <c r="H421" i="13"/>
  <c r="H552" i="13"/>
  <c r="H167" i="13"/>
  <c r="H34" i="13"/>
  <c r="H32" i="13"/>
  <c r="H376" i="13"/>
  <c r="H194" i="13"/>
  <c r="H181" i="13"/>
  <c r="H132" i="13"/>
  <c r="H346" i="13"/>
  <c r="H8" i="13"/>
  <c r="H449" i="13"/>
  <c r="H363" i="13"/>
  <c r="H434" i="13"/>
  <c r="H338" i="13"/>
  <c r="H242" i="13"/>
  <c r="H146" i="13"/>
  <c r="H50" i="13"/>
  <c r="H565" i="13"/>
  <c r="H325" i="13"/>
  <c r="H229" i="13"/>
  <c r="H133" i="13"/>
  <c r="H37" i="13"/>
  <c r="H135" i="13"/>
  <c r="H288" i="13"/>
  <c r="H180" i="13"/>
  <c r="H84" i="13"/>
  <c r="H51" i="13"/>
  <c r="H203" i="13"/>
  <c r="H107" i="13"/>
  <c r="H11" i="13"/>
  <c r="H178" i="13"/>
  <c r="H70" i="13"/>
  <c r="H513" i="13"/>
  <c r="H105" i="13"/>
  <c r="H584" i="13"/>
  <c r="H176" i="13"/>
  <c r="H499" i="13"/>
  <c r="H79" i="13"/>
  <c r="H366" i="13"/>
  <c r="H42" i="13"/>
  <c r="H293" i="13"/>
  <c r="H520" i="13"/>
  <c r="H112" i="13"/>
  <c r="H110" i="13"/>
  <c r="H97" i="13"/>
  <c r="H144" i="13"/>
  <c r="H71" i="13"/>
  <c r="H369" i="13"/>
  <c r="H440" i="13"/>
  <c r="H149" i="13"/>
  <c r="H386" i="13"/>
  <c r="H397" i="13"/>
  <c r="H228" i="13"/>
  <c r="H59" i="13"/>
  <c r="H41" i="13"/>
  <c r="H422" i="13"/>
  <c r="H326" i="13"/>
  <c r="H230" i="13"/>
  <c r="H134" i="13"/>
  <c r="H38" i="13"/>
  <c r="H457" i="13"/>
  <c r="H313" i="13"/>
  <c r="H217" i="13"/>
  <c r="H121" i="13"/>
  <c r="H25" i="13"/>
  <c r="H39" i="13"/>
  <c r="H264" i="13"/>
  <c r="H168" i="13"/>
  <c r="H72" i="13"/>
  <c r="H587" i="13"/>
  <c r="H191" i="13"/>
  <c r="H95" i="13"/>
  <c r="H490" i="13"/>
  <c r="H166" i="13"/>
  <c r="H58" i="13"/>
  <c r="H501" i="13"/>
  <c r="H81" i="13"/>
  <c r="H572" i="13"/>
  <c r="H152" i="13"/>
  <c r="H391" i="13"/>
  <c r="H67" i="13"/>
  <c r="H342" i="13"/>
  <c r="H159" i="13"/>
  <c r="H185" i="13"/>
  <c r="H508" i="13"/>
  <c r="H88" i="13"/>
  <c r="H398" i="13"/>
  <c r="H591" i="13"/>
  <c r="H290" i="13"/>
  <c r="H277" i="13"/>
  <c r="H36" i="13"/>
  <c r="H22" i="13"/>
  <c r="H198" i="13"/>
  <c r="H530" i="13"/>
  <c r="H410" i="13"/>
  <c r="H314" i="13"/>
  <c r="H218" i="13"/>
  <c r="H122" i="13"/>
  <c r="H26" i="13"/>
  <c r="H433" i="13"/>
  <c r="H301" i="13"/>
  <c r="H205" i="13"/>
  <c r="H109" i="13"/>
  <c r="H13" i="13"/>
  <c r="H576" i="13"/>
  <c r="H252" i="13"/>
  <c r="H156" i="13"/>
  <c r="H60" i="13"/>
  <c r="H479" i="13"/>
  <c r="H179" i="13"/>
  <c r="H83" i="13"/>
  <c r="H466" i="13"/>
  <c r="H142" i="13"/>
  <c r="H46" i="13"/>
  <c r="H393" i="13"/>
  <c r="H69" i="13"/>
  <c r="H464" i="13"/>
  <c r="H140" i="13"/>
  <c r="H367" i="13"/>
  <c r="H255" i="13"/>
  <c r="H330" i="13"/>
  <c r="H593" i="13"/>
  <c r="H161" i="13"/>
  <c r="H400" i="13"/>
  <c r="H76" i="13"/>
  <c r="H518" i="13"/>
  <c r="H589" i="13"/>
  <c r="H445" i="13"/>
  <c r="H564" i="13"/>
  <c r="H420" i="13"/>
  <c r="H276" i="13"/>
  <c r="H267" i="13"/>
  <c r="H467" i="13"/>
  <c r="H323" i="13"/>
  <c r="H478" i="13"/>
  <c r="H334" i="13"/>
  <c r="H190" i="13"/>
  <c r="H525" i="13"/>
  <c r="H381" i="13"/>
  <c r="H237" i="13"/>
  <c r="H93" i="13"/>
  <c r="H596" i="13"/>
  <c r="H452" i="13"/>
  <c r="H308" i="13"/>
  <c r="H164" i="13"/>
  <c r="H20" i="13"/>
  <c r="H523" i="13"/>
  <c r="H379" i="13"/>
  <c r="H235" i="13"/>
  <c r="H91" i="13"/>
  <c r="H219" i="13"/>
  <c r="H498" i="13"/>
  <c r="H354" i="13"/>
  <c r="H210" i="13"/>
  <c r="H66" i="13"/>
  <c r="H99" i="13"/>
  <c r="H461" i="13"/>
  <c r="H317" i="13"/>
  <c r="H173" i="13"/>
  <c r="H29" i="13"/>
  <c r="H532" i="13"/>
  <c r="H388" i="13"/>
  <c r="H244" i="13"/>
  <c r="H100" i="13"/>
  <c r="H519" i="13"/>
  <c r="H482" i="13"/>
  <c r="H553" i="13"/>
  <c r="H409" i="13"/>
  <c r="H399" i="13"/>
  <c r="H528" i="13"/>
  <c r="H384" i="13"/>
  <c r="H575" i="13"/>
  <c r="H431" i="13"/>
  <c r="H287" i="13"/>
  <c r="H586" i="13"/>
  <c r="H442" i="13"/>
  <c r="H298" i="13"/>
  <c r="H154" i="13"/>
  <c r="H489" i="13"/>
  <c r="H345" i="13"/>
  <c r="H201" i="13"/>
  <c r="H57" i="13"/>
  <c r="H560" i="13"/>
  <c r="H416" i="13"/>
  <c r="H272" i="13"/>
  <c r="H128" i="13"/>
  <c r="H471" i="13"/>
  <c r="H487" i="13"/>
  <c r="H343" i="13"/>
  <c r="H199" i="13"/>
  <c r="H55" i="13"/>
  <c r="H63" i="13"/>
  <c r="H462" i="13"/>
  <c r="H318" i="13"/>
  <c r="H174" i="13"/>
  <c r="H30" i="13"/>
  <c r="H569" i="13"/>
  <c r="H425" i="13"/>
  <c r="H281" i="13"/>
  <c r="H137" i="13"/>
  <c r="H567" i="13"/>
  <c r="H496" i="13"/>
  <c r="H352" i="13"/>
  <c r="H208" i="13"/>
  <c r="H64" i="13"/>
  <c r="H541" i="13"/>
  <c r="H351" i="13"/>
  <c r="H516" i="13"/>
  <c r="H372" i="13"/>
  <c r="H563" i="13"/>
  <c r="H419" i="13"/>
  <c r="H275" i="13"/>
  <c r="H574" i="13"/>
  <c r="H430" i="13"/>
  <c r="H286" i="13"/>
  <c r="H411" i="13"/>
  <c r="H477" i="13"/>
  <c r="H333" i="13"/>
  <c r="H189" i="13"/>
  <c r="H548" i="13"/>
  <c r="H404" i="13"/>
  <c r="H260" i="13"/>
  <c r="H116" i="13"/>
  <c r="H303" i="13"/>
  <c r="H475" i="13"/>
  <c r="H331" i="13"/>
  <c r="H187" i="13"/>
  <c r="H43" i="13"/>
  <c r="H594" i="13"/>
  <c r="H450" i="13"/>
  <c r="H306" i="13"/>
  <c r="H162" i="13"/>
  <c r="H18" i="13"/>
  <c r="H557" i="13"/>
  <c r="H413" i="13"/>
  <c r="H269" i="13"/>
  <c r="H125" i="13"/>
  <c r="H447" i="13"/>
  <c r="H484" i="13"/>
  <c r="H340" i="13"/>
  <c r="H196" i="13"/>
  <c r="H581" i="13"/>
  <c r="H529" i="13"/>
  <c r="H385" i="13"/>
  <c r="H504" i="13"/>
  <c r="H360" i="13"/>
  <c r="H551" i="13"/>
  <c r="H407" i="13"/>
  <c r="H263" i="13"/>
  <c r="H562" i="13"/>
  <c r="H418" i="13"/>
  <c r="H274" i="13"/>
  <c r="H465" i="13"/>
  <c r="H321" i="13"/>
  <c r="H177" i="13"/>
  <c r="H536" i="13"/>
  <c r="H392" i="13"/>
  <c r="H248" i="13"/>
  <c r="H104" i="13"/>
  <c r="H87" i="13"/>
  <c r="H463" i="13"/>
  <c r="H319" i="13"/>
  <c r="H175" i="13"/>
  <c r="H31" i="13"/>
  <c r="H582" i="13"/>
  <c r="H438" i="13"/>
  <c r="H294" i="13"/>
  <c r="H150" i="13"/>
  <c r="H6" i="13"/>
  <c r="H545" i="13"/>
  <c r="H401" i="13"/>
  <c r="H257" i="13"/>
  <c r="H113" i="13"/>
  <c r="H315" i="13"/>
  <c r="H472" i="13"/>
  <c r="H328" i="13"/>
  <c r="H184" i="13"/>
  <c r="H40" i="13"/>
  <c r="H517" i="13"/>
  <c r="H492" i="13"/>
  <c r="H348" i="13"/>
  <c r="H539" i="13"/>
  <c r="H395" i="13"/>
  <c r="H251" i="13"/>
  <c r="H550" i="13"/>
  <c r="H406" i="13"/>
  <c r="H262" i="13"/>
  <c r="H597" i="13"/>
  <c r="H453" i="13"/>
  <c r="H309" i="13"/>
  <c r="H165" i="13"/>
  <c r="H524" i="13"/>
  <c r="H380" i="13"/>
  <c r="H236" i="13"/>
  <c r="H92" i="13"/>
  <c r="H595" i="13"/>
  <c r="H451" i="13"/>
  <c r="H307" i="13"/>
  <c r="H163" i="13"/>
  <c r="H19" i="13"/>
  <c r="H570" i="13"/>
  <c r="H426" i="13"/>
  <c r="H282" i="13"/>
  <c r="H138" i="13"/>
  <c r="H495" i="13"/>
  <c r="H533" i="13"/>
  <c r="H389" i="13"/>
  <c r="H245" i="13"/>
  <c r="H101" i="13"/>
  <c r="H111" i="13"/>
  <c r="H460" i="13"/>
  <c r="H316" i="13"/>
  <c r="H172" i="13"/>
  <c r="H28" i="13"/>
  <c r="AA285" i="14"/>
  <c r="V285" i="14"/>
  <c r="H578" i="13"/>
  <c r="H531" i="13"/>
  <c r="H505" i="13"/>
  <c r="H361" i="13"/>
  <c r="H480" i="13"/>
  <c r="H336" i="13"/>
  <c r="H527" i="13"/>
  <c r="H383" i="13"/>
  <c r="H239" i="13"/>
  <c r="H538" i="13"/>
  <c r="H394" i="13"/>
  <c r="H250" i="13"/>
  <c r="H585" i="13"/>
  <c r="H441" i="13"/>
  <c r="H297" i="13"/>
  <c r="H153" i="13"/>
  <c r="H512" i="13"/>
  <c r="H368" i="13"/>
  <c r="H224" i="13"/>
  <c r="H80" i="13"/>
  <c r="H583" i="13"/>
  <c r="H439" i="13"/>
  <c r="H295" i="13"/>
  <c r="H151" i="13"/>
  <c r="H7" i="13"/>
  <c r="H558" i="13"/>
  <c r="H414" i="13"/>
  <c r="H270" i="13"/>
  <c r="H126" i="13"/>
  <c r="H387" i="13"/>
  <c r="H521" i="13"/>
  <c r="H377" i="13"/>
  <c r="H233" i="13"/>
  <c r="H89" i="13"/>
  <c r="H592" i="13"/>
  <c r="H448" i="13"/>
  <c r="H304" i="13"/>
  <c r="H160" i="13"/>
  <c r="H16" i="13"/>
  <c r="H566" i="13"/>
  <c r="H435" i="13"/>
  <c r="H493" i="13"/>
  <c r="H468" i="13"/>
  <c r="H324" i="13"/>
  <c r="H515" i="13"/>
  <c r="H371" i="13"/>
  <c r="H227" i="13"/>
  <c r="H526" i="13"/>
  <c r="H382" i="13"/>
  <c r="H238" i="13"/>
  <c r="H573" i="13"/>
  <c r="H429" i="13"/>
  <c r="H285" i="13"/>
  <c r="H141" i="13"/>
  <c r="H543" i="13"/>
  <c r="H500" i="13"/>
  <c r="H356" i="13"/>
  <c r="H212" i="13"/>
  <c r="H68" i="13"/>
  <c r="H571" i="13"/>
  <c r="H427" i="13"/>
  <c r="H283" i="13"/>
  <c r="H139" i="13"/>
  <c r="H555" i="13"/>
  <c r="H546" i="13"/>
  <c r="H402" i="13"/>
  <c r="H258" i="13"/>
  <c r="H114" i="13"/>
  <c r="H339" i="13"/>
  <c r="H509" i="13"/>
  <c r="H365" i="13"/>
  <c r="H221" i="13"/>
  <c r="H77" i="13"/>
  <c r="H580" i="13"/>
  <c r="H436" i="13"/>
  <c r="H292" i="13"/>
  <c r="H148" i="13"/>
  <c r="H4" i="13"/>
  <c r="H590" i="13"/>
  <c r="H554" i="13"/>
  <c r="H481" i="13"/>
  <c r="H456" i="13"/>
  <c r="H312" i="13"/>
  <c r="H503" i="13"/>
  <c r="H359" i="13"/>
  <c r="H215" i="13"/>
  <c r="H514" i="13"/>
  <c r="H370" i="13"/>
  <c r="H226" i="13"/>
  <c r="H561" i="13"/>
  <c r="H417" i="13"/>
  <c r="H273" i="13"/>
  <c r="H129" i="13"/>
  <c r="H423" i="13"/>
  <c r="H488" i="13"/>
  <c r="H344" i="13"/>
  <c r="H200" i="13"/>
  <c r="H56" i="13"/>
  <c r="H559" i="13"/>
  <c r="H415" i="13"/>
  <c r="H271" i="13"/>
  <c r="H127" i="13"/>
  <c r="H483" i="13"/>
  <c r="H534" i="13"/>
  <c r="H390" i="13"/>
  <c r="H246" i="13"/>
  <c r="H102" i="13"/>
  <c r="H243" i="13"/>
  <c r="H497" i="13"/>
  <c r="H353" i="13"/>
  <c r="H209" i="13"/>
  <c r="H568" i="13"/>
  <c r="H424" i="13"/>
  <c r="H280" i="13"/>
  <c r="H136" i="13"/>
  <c r="H3" i="13" s="1"/>
  <c r="H542" i="13"/>
  <c r="H469" i="13"/>
  <c r="H588" i="13"/>
  <c r="H444" i="13"/>
  <c r="H300" i="13"/>
  <c r="H491" i="13"/>
  <c r="H347" i="13"/>
  <c r="H502" i="13"/>
  <c r="H358" i="13"/>
  <c r="H214" i="13"/>
  <c r="H549" i="13"/>
  <c r="H405" i="13"/>
  <c r="H261" i="13"/>
  <c r="H117" i="13"/>
  <c r="H291" i="13"/>
  <c r="H476" i="13"/>
  <c r="H332" i="13"/>
  <c r="H188" i="13"/>
  <c r="H44" i="13"/>
  <c r="H547" i="13"/>
  <c r="H403" i="13"/>
  <c r="H259" i="13"/>
  <c r="H115" i="13"/>
  <c r="H375" i="13"/>
  <c r="H522" i="13"/>
  <c r="H378" i="13"/>
  <c r="H234" i="13"/>
  <c r="H90" i="13"/>
  <c r="H195" i="13"/>
  <c r="H485" i="13"/>
  <c r="H341" i="13"/>
  <c r="H197" i="13"/>
  <c r="H556" i="13"/>
  <c r="H412" i="13"/>
  <c r="H268" i="13"/>
  <c r="U285" i="14"/>
  <c r="J285" i="14"/>
  <c r="AB285" i="14"/>
  <c r="P285" i="14"/>
  <c r="N285" i="14"/>
  <c r="NH285" i="14"/>
  <c r="J84" i="13"/>
  <c r="K83" i="13"/>
  <c r="GR285" i="14"/>
  <c r="KD285" i="14"/>
  <c r="BG285" i="14"/>
  <c r="RN285" i="14"/>
  <c r="LB285" i="14"/>
  <c r="PJ285" i="14"/>
  <c r="OW285" i="14"/>
  <c r="QH285" i="14"/>
  <c r="EE285" i="14"/>
  <c r="AQ285" i="14"/>
  <c r="OM285" i="14"/>
  <c r="JY285" i="14"/>
  <c r="KS285" i="14"/>
  <c r="II285" i="14"/>
  <c r="SS285" i="14"/>
  <c r="VF285" i="14"/>
  <c r="QN285" i="14"/>
  <c r="DR285" i="14"/>
  <c r="VP285" i="14"/>
  <c r="KE285" i="14"/>
  <c r="GV285" i="14"/>
  <c r="UB285" i="14"/>
  <c r="PK285" i="14"/>
  <c r="JM285" i="14"/>
  <c r="NG285" i="14"/>
  <c r="BF285" i="14"/>
  <c r="RV285" i="14"/>
  <c r="AE285" i="14"/>
  <c r="QD285" i="14"/>
  <c r="QB285" i="14"/>
  <c r="HI285" i="14"/>
  <c r="AG285" i="14"/>
  <c r="JE285" i="14"/>
  <c r="R285" i="14"/>
  <c r="TN285" i="14"/>
  <c r="GX285" i="14"/>
  <c r="DG285" i="14"/>
  <c r="CV285" i="14"/>
  <c r="BR285" i="14"/>
  <c r="OS285" i="14"/>
  <c r="GU285" i="14"/>
  <c r="PM285" i="14"/>
  <c r="CQ285" i="14"/>
  <c r="EH285" i="14"/>
  <c r="OZ285" i="14"/>
  <c r="LZ285" i="14"/>
  <c r="NE285" i="14"/>
  <c r="HF285" i="14"/>
  <c r="AC285" i="14"/>
  <c r="HB285" i="14"/>
  <c r="KO285" i="14"/>
  <c r="EZ285" i="14"/>
  <c r="IN285" i="14"/>
  <c r="LH285" i="14"/>
  <c r="RR285" i="14"/>
  <c r="TA285" i="14"/>
  <c r="CD285" i="14"/>
  <c r="RM285" i="14"/>
  <c r="FL285" i="14"/>
  <c r="GZ285" i="14"/>
  <c r="MQ285" i="14"/>
  <c r="CE285" i="14"/>
  <c r="NQ285" i="14"/>
  <c r="QO285" i="14"/>
  <c r="BT285" i="14"/>
  <c r="BH285" i="14"/>
  <c r="UA285" i="14"/>
  <c r="JD285" i="14"/>
  <c r="IB285" i="14"/>
  <c r="KQ285" i="14"/>
  <c r="QZ285" i="14"/>
  <c r="RQ285" i="14"/>
  <c r="UG285" i="14"/>
  <c r="JT285" i="14"/>
  <c r="QF285" i="14"/>
  <c r="EV285" i="14"/>
  <c r="PV285" i="14"/>
  <c r="PW285" i="14"/>
  <c r="ND285" i="14"/>
  <c r="Y285" i="14"/>
  <c r="DM285" i="14"/>
  <c r="QE285" i="14"/>
  <c r="WA285" i="14"/>
  <c r="EN285" i="14"/>
  <c r="IZ285" i="14"/>
  <c r="JU285" i="14"/>
  <c r="QS285" i="14"/>
  <c r="NT285" i="14"/>
  <c r="LY285" i="14"/>
  <c r="VG285" i="14"/>
  <c r="RH285" i="14"/>
  <c r="TU285" i="14"/>
  <c r="PY285" i="14"/>
  <c r="VZ285" i="14"/>
  <c r="DK285" i="14"/>
  <c r="FM285" i="14"/>
  <c r="OR285" i="14"/>
  <c r="Q285" i="14"/>
  <c r="CY285" i="14"/>
  <c r="CK285" i="14"/>
  <c r="DF285" i="14"/>
  <c r="TX285" i="14"/>
  <c r="RU285" i="14"/>
  <c r="LM285" i="14"/>
  <c r="UL285" i="14"/>
  <c r="NU285" i="14"/>
  <c r="BK285" i="14"/>
  <c r="RO285" i="14"/>
  <c r="DQ285" i="14"/>
  <c r="PI285" i="14"/>
  <c r="NA285" i="14"/>
  <c r="IO285" i="14"/>
  <c r="DD285" i="14"/>
  <c r="PA285" i="14"/>
  <c r="PE285" i="14"/>
  <c r="QC285" i="14"/>
  <c r="QM285" i="14"/>
  <c r="TQ285" i="14"/>
  <c r="BS285" i="14"/>
  <c r="MX285" i="14"/>
  <c r="MU285" i="14"/>
  <c r="ML285" i="14"/>
  <c r="QQ285" i="14"/>
  <c r="AF285" i="14"/>
  <c r="LC285" i="14"/>
  <c r="LT285" i="14"/>
  <c r="FZ285" i="14"/>
  <c r="BX285" i="14"/>
  <c r="M285" i="14"/>
  <c r="HJ285" i="14"/>
  <c r="TH285" i="14"/>
  <c r="NK285" i="14"/>
  <c r="LP285" i="14"/>
  <c r="KA285" i="14"/>
  <c r="JO285" i="14"/>
  <c r="OI285" i="14"/>
  <c r="DL285" i="14"/>
  <c r="VO285" i="14"/>
  <c r="PF285" i="14"/>
  <c r="VI285" i="14"/>
  <c r="SA285" i="14"/>
  <c r="IU285" i="14"/>
  <c r="BM285" i="14"/>
  <c r="UZ285" i="14"/>
  <c r="OQ285" i="14"/>
  <c r="MH285" i="14"/>
  <c r="JR285" i="14"/>
  <c r="FQ285" i="14"/>
  <c r="GO285" i="14"/>
  <c r="CI285" i="14"/>
  <c r="JF285" i="14"/>
  <c r="AK285" i="14"/>
  <c r="QV285" i="14"/>
  <c r="EP285" i="14"/>
  <c r="VW285" i="14"/>
  <c r="T285" i="14"/>
  <c r="NS285" i="14"/>
  <c r="GG285" i="14"/>
  <c r="KV285" i="14"/>
  <c r="WC285" i="14"/>
  <c r="UQ285" i="14"/>
  <c r="PH285" i="14"/>
  <c r="FJ285" i="14"/>
  <c r="WE285" i="14"/>
  <c r="IR285" i="14"/>
  <c r="UX285" i="14"/>
  <c r="FX285" i="14"/>
  <c r="X285" i="14"/>
  <c r="PL285" i="14"/>
  <c r="ST285" i="14"/>
  <c r="SR285" i="14"/>
  <c r="W285" i="14"/>
  <c r="LO285" i="14"/>
  <c r="MB285" i="14"/>
  <c r="OB285" i="14"/>
  <c r="MK285" i="14"/>
  <c r="GJ285" i="14"/>
  <c r="QG285" i="14"/>
  <c r="RP285" i="14"/>
  <c r="DX285" i="14"/>
  <c r="GP285" i="14"/>
  <c r="KH285" i="14"/>
  <c r="HH285" i="14"/>
  <c r="CN285" i="14"/>
  <c r="IE285" i="14"/>
  <c r="NO285" i="14"/>
  <c r="MD285" i="14"/>
  <c r="IY285" i="14"/>
  <c r="OA285" i="14"/>
  <c r="IT285" i="14"/>
  <c r="MJ285" i="14"/>
  <c r="SQ285" i="14"/>
  <c r="LF285" i="14"/>
  <c r="JI285" i="14"/>
  <c r="SU285" i="14"/>
  <c r="TZ285" i="14"/>
  <c r="OU285" i="14"/>
  <c r="HL285" i="14"/>
  <c r="RI285" i="14"/>
  <c r="VT285" i="14"/>
  <c r="TJ285" i="14"/>
  <c r="AM285" i="14"/>
  <c r="LE285" i="14"/>
  <c r="MG285" i="14"/>
  <c r="SE285" i="14"/>
  <c r="BE285" i="14"/>
  <c r="SJ285" i="14"/>
  <c r="LJ285" i="14"/>
  <c r="GW285" i="14"/>
  <c r="NV285" i="14"/>
  <c r="AX285" i="14"/>
  <c r="OC285" i="14"/>
  <c r="SO285" i="14"/>
  <c r="PB285" i="14"/>
  <c r="SG285" i="14"/>
  <c r="LI285" i="14"/>
  <c r="KY285" i="14"/>
  <c r="CF285" i="14"/>
  <c r="FY285" i="14"/>
  <c r="DZ285" i="14"/>
  <c r="TG285" i="14"/>
  <c r="HN285" i="14"/>
  <c r="AN285" i="14"/>
  <c r="HC285" i="14"/>
  <c r="VD285" i="14"/>
  <c r="VL285" i="14"/>
  <c r="DY285" i="14"/>
  <c r="RX285" i="14"/>
  <c r="IQ285" i="14"/>
  <c r="RC285" i="14"/>
  <c r="AL285" i="14"/>
  <c r="OG285" i="14"/>
  <c r="UT285" i="14"/>
  <c r="GS285" i="14"/>
  <c r="QW285" i="14"/>
  <c r="PQ285" i="14"/>
  <c r="AY285" i="14"/>
  <c r="TK285" i="14"/>
  <c r="DO285" i="14"/>
  <c r="HW285" i="14"/>
  <c r="OD285" i="14"/>
  <c r="HP285" i="14"/>
  <c r="DH285" i="14"/>
  <c r="RG285" i="14"/>
  <c r="LA285" i="14"/>
  <c r="ED285" i="14"/>
  <c r="AV285" i="14"/>
  <c r="SV285" i="14"/>
  <c r="BJ285" i="14"/>
  <c r="RY285" i="14"/>
  <c r="HU285" i="14"/>
  <c r="FB285" i="14"/>
  <c r="QU285" i="14"/>
  <c r="KR285" i="14"/>
  <c r="IL285" i="14"/>
  <c r="JH285" i="14"/>
  <c r="JQ285" i="14"/>
  <c r="OT285" i="14"/>
  <c r="AD285" i="14"/>
  <c r="HZ285" i="14"/>
  <c r="PG285" i="14"/>
  <c r="TL285" i="14"/>
  <c r="GT285" i="14"/>
  <c r="RD285" i="14"/>
  <c r="CR285" i="14"/>
  <c r="AI285" i="14"/>
  <c r="JB285" i="14"/>
  <c r="KN285" i="14"/>
  <c r="KG285" i="14"/>
  <c r="SI285" i="14"/>
  <c r="DE285" i="14"/>
  <c r="BL285" i="14"/>
  <c r="GM285" i="14"/>
  <c r="OV285" i="14"/>
  <c r="AR285" i="14"/>
  <c r="QA285" i="14"/>
  <c r="FH285" i="14"/>
  <c r="KJ285" i="14"/>
  <c r="IA285" i="14"/>
  <c r="UY285" i="14"/>
  <c r="FA285" i="14"/>
  <c r="UD285" i="14"/>
  <c r="CC285" i="14"/>
  <c r="QX285" i="14"/>
  <c r="FD285" i="14"/>
  <c r="NF285" i="14"/>
  <c r="BO285" i="14"/>
  <c r="BP285" i="14"/>
  <c r="US285" i="14"/>
  <c r="VE285" i="14"/>
  <c r="VU285" i="14"/>
  <c r="MC285" i="14"/>
  <c r="VC285" i="14"/>
  <c r="QP285" i="14"/>
  <c r="TB285" i="14"/>
  <c r="UF285" i="14"/>
  <c r="ON285" i="14"/>
  <c r="VY285" i="14"/>
  <c r="EM285" i="14"/>
  <c r="KC285" i="14"/>
  <c r="TW285" i="14"/>
  <c r="FS285" i="14"/>
  <c r="NM285" i="14"/>
  <c r="WF285" i="14"/>
  <c r="KI285" i="14"/>
  <c r="JW285" i="14"/>
  <c r="SP285" i="14"/>
  <c r="HY285" i="14"/>
  <c r="DU285" i="14"/>
  <c r="UN285" i="14"/>
  <c r="MO285" i="14"/>
  <c r="L285" i="14"/>
  <c r="VK285" i="14"/>
  <c r="ID285" i="14"/>
  <c r="TD285" i="14"/>
  <c r="IJ285" i="14"/>
  <c r="TV285" i="14"/>
  <c r="OP285" i="14"/>
  <c r="RT285" i="14"/>
  <c r="UJ285" i="14"/>
  <c r="HK285" i="14"/>
  <c r="MP285" i="14"/>
  <c r="PT285" i="14"/>
  <c r="NC285" i="14"/>
  <c r="FU285" i="14"/>
  <c r="GH285" i="14"/>
  <c r="VM285" i="14"/>
  <c r="HM285" i="14"/>
  <c r="MW285" i="14"/>
  <c r="EW285" i="14"/>
  <c r="SC285" i="14"/>
  <c r="SK285" i="14"/>
  <c r="BD285" i="14"/>
  <c r="IX285" i="14"/>
  <c r="QI285" i="14"/>
  <c r="SN285" i="14"/>
  <c r="EB285" i="14"/>
  <c r="HO285" i="14"/>
  <c r="GN285" i="14"/>
  <c r="OJ285" i="14"/>
  <c r="UV285" i="14"/>
  <c r="ME285" i="14"/>
  <c r="BQ285" i="14"/>
  <c r="OL285" i="14"/>
  <c r="PC285" i="14"/>
  <c r="HD285" i="14"/>
  <c r="TT285" i="14"/>
  <c r="RZ285" i="14"/>
  <c r="CT285" i="14"/>
  <c r="QY285" i="14"/>
  <c r="KP285" i="14"/>
  <c r="NB285" i="14"/>
  <c r="OO285" i="14"/>
  <c r="HQ285" i="14"/>
  <c r="KX285" i="14"/>
  <c r="UC285" i="14"/>
  <c r="SL285" i="14"/>
  <c r="FT285" i="14"/>
  <c r="FI285" i="14"/>
  <c r="GL285" i="14"/>
  <c r="NR285" i="14"/>
  <c r="JV285" i="14"/>
  <c r="OY285" i="14"/>
  <c r="MI285" i="14"/>
  <c r="TY285" i="14"/>
  <c r="TE285" i="14"/>
  <c r="PX285" i="14"/>
  <c r="RF285" i="14"/>
  <c r="SF285" i="14"/>
  <c r="NL285" i="14"/>
  <c r="DW285" i="14"/>
  <c r="EX285" i="14"/>
  <c r="JP285" i="14"/>
  <c r="GA285" i="14"/>
  <c r="BB285" i="14"/>
  <c r="UO285" i="14"/>
  <c r="IF285" i="14"/>
  <c r="FF285" i="14"/>
  <c r="BW285" i="14"/>
  <c r="ER285" i="14"/>
  <c r="FW285" i="14"/>
  <c r="VA285" i="14"/>
  <c r="CH285" i="14"/>
  <c r="KK285" i="14"/>
  <c r="PP285" i="14"/>
  <c r="JS285" i="14"/>
  <c r="DP285" i="14"/>
  <c r="DA285" i="14"/>
  <c r="CW285" i="14"/>
  <c r="TO285" i="14"/>
  <c r="EY285" i="14"/>
  <c r="GK285" i="14"/>
  <c r="LQ285" i="14"/>
  <c r="RB285" i="14"/>
  <c r="PO285" i="14"/>
  <c r="LK285" i="14"/>
  <c r="VR285" i="14"/>
  <c r="HS285" i="14"/>
  <c r="TM285" i="14"/>
  <c r="TR285" i="14"/>
  <c r="UP285" i="14"/>
  <c r="EO285" i="14"/>
  <c r="GC285" i="14"/>
  <c r="PZ285" i="14"/>
  <c r="EF285" i="14"/>
  <c r="FO285" i="14"/>
  <c r="FK285" i="14"/>
  <c r="LS285" i="14"/>
  <c r="JA285" i="14"/>
  <c r="GY285" i="14"/>
  <c r="EA285" i="14"/>
  <c r="HX285" i="14"/>
  <c r="RL285" i="14"/>
  <c r="IP285" i="14"/>
  <c r="OE285" i="14"/>
  <c r="CZ285" i="14"/>
  <c r="KB285" i="14"/>
  <c r="TI285" i="14"/>
  <c r="FR285" i="14"/>
  <c r="MZ285" i="14"/>
  <c r="FV285" i="14"/>
  <c r="GD285" i="14"/>
  <c r="KZ285" i="14"/>
  <c r="OX285" i="14"/>
  <c r="IC285" i="14"/>
  <c r="JN285" i="14"/>
  <c r="IW285" i="14"/>
  <c r="K285" i="14"/>
  <c r="VQ285" i="14"/>
  <c r="PD285" i="14"/>
  <c r="QK285" i="14"/>
  <c r="NJ285" i="14"/>
  <c r="AH285" i="14"/>
  <c r="EK285" i="14"/>
  <c r="MN285" i="14"/>
  <c r="TS285" i="14"/>
  <c r="VB285" i="14"/>
  <c r="FP285" i="14"/>
  <c r="SD285" i="14"/>
  <c r="LW285" i="14"/>
  <c r="ET285" i="14"/>
  <c r="QL285" i="14"/>
  <c r="QT285" i="14"/>
  <c r="ES285" i="14"/>
  <c r="VJ285" i="14"/>
  <c r="FN285" i="14"/>
  <c r="VN285" i="14"/>
  <c r="RS285" i="14"/>
  <c r="AO285" i="14"/>
  <c r="PU285" i="14"/>
  <c r="CM285" i="14"/>
  <c r="Z285" i="14"/>
  <c r="EC285" i="14"/>
  <c r="GB285" i="14"/>
  <c r="GF285" i="14"/>
  <c r="AZ285" i="14"/>
  <c r="UH285" i="14"/>
  <c r="SM285" i="14"/>
  <c r="VX285" i="14"/>
  <c r="SY285" i="14"/>
  <c r="JK285" i="14"/>
  <c r="UU285" i="14"/>
  <c r="EG285" i="14"/>
  <c r="VV285" i="14"/>
  <c r="RK285" i="14"/>
  <c r="GE285" i="14"/>
  <c r="TP285" i="14"/>
  <c r="S285" i="14"/>
  <c r="MM285" i="14"/>
  <c r="QJ285" i="14"/>
  <c r="NI285" i="14"/>
  <c r="NX285" i="14"/>
  <c r="NY285" i="14"/>
  <c r="SX285" i="14"/>
  <c r="DV285" i="14"/>
  <c r="HA285" i="14"/>
  <c r="UM285" i="14"/>
  <c r="SW285" i="14"/>
  <c r="LN285" i="14"/>
  <c r="FG285" i="14"/>
  <c r="OK285" i="14"/>
  <c r="LD285" i="14"/>
  <c r="MT285" i="14"/>
  <c r="VH285" i="14"/>
  <c r="RE285" i="14"/>
  <c r="NW285" i="14"/>
  <c r="LV285" i="14"/>
  <c r="LX285" i="14"/>
  <c r="KW285" i="14"/>
  <c r="AS285" i="14"/>
  <c r="BN285" i="14"/>
  <c r="MY285" i="14"/>
  <c r="JZ285" i="14"/>
  <c r="DN285" i="14"/>
  <c r="HG285" i="14"/>
  <c r="LL285" i="14"/>
  <c r="KT285" i="14"/>
  <c r="IK285" i="14"/>
  <c r="UK285" i="14"/>
  <c r="IM285" i="14"/>
  <c r="UE285" i="14"/>
  <c r="LU285" i="14"/>
  <c r="OF285" i="14"/>
  <c r="EJ285" i="14"/>
  <c r="MA285" i="14"/>
  <c r="KF285" i="14"/>
  <c r="MR285" i="14"/>
  <c r="AU285" i="14"/>
  <c r="UI285" i="14"/>
  <c r="JL285" i="14"/>
  <c r="MF285" i="14"/>
  <c r="TF285" i="14"/>
  <c r="GI285" i="14"/>
  <c r="DI285" i="14"/>
  <c r="EL285" i="14"/>
  <c r="IH285" i="14"/>
  <c r="BV285" i="14"/>
  <c r="NZ285" i="14"/>
  <c r="PS285" i="14"/>
  <c r="KU285" i="14"/>
  <c r="CS285" i="14"/>
  <c r="HE285" i="14"/>
  <c r="EI285" i="14"/>
  <c r="BC285" i="14"/>
  <c r="RA285" i="14"/>
  <c r="JG285" i="14"/>
  <c r="NN285" i="14"/>
  <c r="NP285" i="14"/>
  <c r="MS285" i="14"/>
  <c r="FE285" i="14"/>
  <c r="JC285" i="14"/>
  <c r="JJ285" i="14"/>
  <c r="IS285" i="14"/>
  <c r="BI285" i="14"/>
  <c r="FC285" i="14"/>
  <c r="RW285" i="14"/>
  <c r="AJ285" i="14"/>
  <c r="KM285" i="14"/>
  <c r="PR285" i="14"/>
  <c r="UR285" i="14"/>
  <c r="HT285" i="14"/>
  <c r="DS285" i="14"/>
  <c r="IV285" i="14"/>
  <c r="CL285" i="14"/>
  <c r="HV285" i="14"/>
  <c r="RJ285" i="14"/>
  <c r="LG285" i="14"/>
  <c r="EQ285" i="14"/>
  <c r="PN285" i="14"/>
  <c r="TC285" i="14"/>
  <c r="WD285" i="14"/>
  <c r="GQ285" i="14"/>
  <c r="HR285" i="14"/>
  <c r="SH285" i="14"/>
  <c r="QR285" i="14"/>
  <c r="EU285" i="14"/>
  <c r="DJ285" i="14"/>
  <c r="MV285" i="14"/>
  <c r="BA285" i="14"/>
  <c r="OH285" i="14"/>
  <c r="IG285" i="14"/>
  <c r="WB285" i="14"/>
  <c r="KL285" i="14"/>
  <c r="SB285" i="14"/>
  <c r="LR285" i="14"/>
  <c r="UW285" i="14"/>
  <c r="JX285" i="14"/>
  <c r="SZ285" i="14"/>
  <c r="VS285" i="14"/>
  <c r="DT285" i="14"/>
  <c r="A46" i="24" l="1"/>
  <c r="J85" i="13"/>
  <c r="K84" i="13"/>
  <c r="G18" i="14"/>
  <c r="H18" i="14" s="1"/>
  <c r="J286" i="14"/>
  <c r="K286" i="14" l="1"/>
  <c r="L286" i="14" s="1"/>
  <c r="M286" i="14" s="1"/>
  <c r="N286" i="14" s="1"/>
  <c r="O286" i="14" s="1"/>
  <c r="P286" i="14" s="1"/>
  <c r="Q286" i="14" s="1"/>
  <c r="R286" i="14" s="1"/>
  <c r="S286" i="14" s="1"/>
  <c r="T286" i="14" s="1"/>
  <c r="U286" i="14" s="1"/>
  <c r="V286" i="14" s="1"/>
  <c r="W286" i="14" s="1"/>
  <c r="X286" i="14" s="1"/>
  <c r="Y286" i="14" s="1"/>
  <c r="Z286" i="14" s="1"/>
  <c r="AA286" i="14" s="1"/>
  <c r="AB286" i="14" s="1"/>
  <c r="AC286" i="14" s="1"/>
  <c r="AD286" i="14" s="1"/>
  <c r="AE286" i="14" s="1"/>
  <c r="AF286" i="14" s="1"/>
  <c r="AG286" i="14" s="1"/>
  <c r="AH286" i="14" s="1"/>
  <c r="AI286" i="14" s="1"/>
  <c r="AJ286" i="14" s="1"/>
  <c r="AK286" i="14" s="1"/>
  <c r="AL286" i="14" s="1"/>
  <c r="AM286" i="14" s="1"/>
  <c r="AN286" i="14" s="1"/>
  <c r="AO286" i="14" s="1"/>
  <c r="AP286" i="14" s="1"/>
  <c r="AQ286" i="14" s="1"/>
  <c r="AR286" i="14" s="1"/>
  <c r="AS286" i="14" s="1"/>
  <c r="AT286" i="14" s="1"/>
  <c r="AU286" i="14" s="1"/>
  <c r="AV286" i="14" s="1"/>
  <c r="AW286" i="14" s="1"/>
  <c r="AX286" i="14" s="1"/>
  <c r="AY286" i="14" s="1"/>
  <c r="AZ286" i="14" s="1"/>
  <c r="BA286" i="14" s="1"/>
  <c r="BB286" i="14" s="1"/>
  <c r="BC286" i="14" s="1"/>
  <c r="BD286" i="14" s="1"/>
  <c r="BE286" i="14" s="1"/>
  <c r="BF286" i="14" s="1"/>
  <c r="BG286" i="14" s="1"/>
  <c r="BH286" i="14" s="1"/>
  <c r="BI286" i="14" s="1"/>
  <c r="BJ286" i="14" s="1"/>
  <c r="BK286" i="14" s="1"/>
  <c r="BL286" i="14" s="1"/>
  <c r="BM286" i="14" s="1"/>
  <c r="BN286" i="14" s="1"/>
  <c r="BO286" i="14" s="1"/>
  <c r="BP286" i="14" s="1"/>
  <c r="BQ286" i="14" s="1"/>
  <c r="BR286" i="14" s="1"/>
  <c r="BS286" i="14" s="1"/>
  <c r="BT286" i="14" s="1"/>
  <c r="BU286" i="14" s="1"/>
  <c r="BV286" i="14" s="1"/>
  <c r="BW286" i="14" s="1"/>
  <c r="BX286" i="14" s="1"/>
  <c r="BY286" i="14" s="1"/>
  <c r="BZ286" i="14" s="1"/>
  <c r="CA286" i="14" s="1"/>
  <c r="CB286" i="14" s="1"/>
  <c r="CC286" i="14" s="1"/>
  <c r="CD286" i="14" s="1"/>
  <c r="CE286" i="14" s="1"/>
  <c r="CF286" i="14" s="1"/>
  <c r="CG286" i="14" s="1"/>
  <c r="CH286" i="14" s="1"/>
  <c r="CI286" i="14" s="1"/>
  <c r="CJ286" i="14" s="1"/>
  <c r="CK286" i="14" s="1"/>
  <c r="CL286" i="14" s="1"/>
  <c r="CM286" i="14" s="1"/>
  <c r="CN286" i="14" s="1"/>
  <c r="CO286" i="14" s="1"/>
  <c r="CP286" i="14" s="1"/>
  <c r="CQ286" i="14" s="1"/>
  <c r="CR286" i="14" s="1"/>
  <c r="CS286" i="14" s="1"/>
  <c r="CT286" i="14" s="1"/>
  <c r="CU286" i="14" s="1"/>
  <c r="CV286" i="14" s="1"/>
  <c r="CW286" i="14" s="1"/>
  <c r="CX286" i="14" s="1"/>
  <c r="CY286" i="14" s="1"/>
  <c r="CZ286" i="14" s="1"/>
  <c r="DA286" i="14" s="1"/>
  <c r="DB286" i="14" s="1"/>
  <c r="DC286" i="14" s="1"/>
  <c r="DD286" i="14" s="1"/>
  <c r="DE286" i="14" s="1"/>
  <c r="DF286" i="14" s="1"/>
  <c r="DG286" i="14" s="1"/>
  <c r="DH286" i="14" s="1"/>
  <c r="DI286" i="14" s="1"/>
  <c r="DJ286" i="14" s="1"/>
  <c r="DK286" i="14" s="1"/>
  <c r="DL286" i="14" s="1"/>
  <c r="DM286" i="14" s="1"/>
  <c r="DN286" i="14" s="1"/>
  <c r="DO286" i="14" s="1"/>
  <c r="DP286" i="14" s="1"/>
  <c r="DQ286" i="14" s="1"/>
  <c r="DR286" i="14" s="1"/>
  <c r="DS286" i="14" s="1"/>
  <c r="DT286" i="14" s="1"/>
  <c r="DU286" i="14" s="1"/>
  <c r="DV286" i="14" s="1"/>
  <c r="DW286" i="14" s="1"/>
  <c r="DX286" i="14" s="1"/>
  <c r="DY286" i="14" s="1"/>
  <c r="DZ286" i="14" s="1"/>
  <c r="EA286" i="14" s="1"/>
  <c r="EB286" i="14" s="1"/>
  <c r="EC286" i="14" s="1"/>
  <c r="ED286" i="14" s="1"/>
  <c r="EE286" i="14" s="1"/>
  <c r="EF286" i="14" s="1"/>
  <c r="EG286" i="14" s="1"/>
  <c r="EH286" i="14" s="1"/>
  <c r="EI286" i="14" s="1"/>
  <c r="EJ286" i="14" s="1"/>
  <c r="EK286" i="14" s="1"/>
  <c r="EL286" i="14" s="1"/>
  <c r="EM286" i="14" s="1"/>
  <c r="EN286" i="14" s="1"/>
  <c r="EO286" i="14" s="1"/>
  <c r="EP286" i="14" s="1"/>
  <c r="EQ286" i="14" s="1"/>
  <c r="ER286" i="14" s="1"/>
  <c r="ES286" i="14" s="1"/>
  <c r="ET286" i="14" s="1"/>
  <c r="EU286" i="14" s="1"/>
  <c r="EV286" i="14" s="1"/>
  <c r="EW286" i="14" s="1"/>
  <c r="EX286" i="14" s="1"/>
  <c r="EY286" i="14" s="1"/>
  <c r="EZ286" i="14" s="1"/>
  <c r="FA286" i="14" s="1"/>
  <c r="FB286" i="14" s="1"/>
  <c r="FC286" i="14" s="1"/>
  <c r="FD286" i="14" s="1"/>
  <c r="FE286" i="14" s="1"/>
  <c r="FF286" i="14" s="1"/>
  <c r="FG286" i="14" s="1"/>
  <c r="FH286" i="14" s="1"/>
  <c r="FI286" i="14" s="1"/>
  <c r="FJ286" i="14" s="1"/>
  <c r="FK286" i="14" s="1"/>
  <c r="FL286" i="14" s="1"/>
  <c r="FM286" i="14" s="1"/>
  <c r="FN286" i="14" s="1"/>
  <c r="FO286" i="14" s="1"/>
  <c r="FP286" i="14" s="1"/>
  <c r="FQ286" i="14" s="1"/>
  <c r="FR286" i="14" s="1"/>
  <c r="FS286" i="14" s="1"/>
  <c r="FT286" i="14" s="1"/>
  <c r="FU286" i="14" s="1"/>
  <c r="FV286" i="14" s="1"/>
  <c r="FW286" i="14" s="1"/>
  <c r="FX286" i="14" s="1"/>
  <c r="FY286" i="14" s="1"/>
  <c r="FZ286" i="14" s="1"/>
  <c r="GA286" i="14" s="1"/>
  <c r="GB286" i="14" s="1"/>
  <c r="GC286" i="14" s="1"/>
  <c r="GD286" i="14" s="1"/>
  <c r="GE286" i="14" s="1"/>
  <c r="GF286" i="14" s="1"/>
  <c r="GG286" i="14" s="1"/>
  <c r="GH286" i="14" s="1"/>
  <c r="GI286" i="14" s="1"/>
  <c r="GJ286" i="14" s="1"/>
  <c r="GK286" i="14" s="1"/>
  <c r="GL286" i="14" s="1"/>
  <c r="GM286" i="14" s="1"/>
  <c r="GN286" i="14" s="1"/>
  <c r="GO286" i="14" s="1"/>
  <c r="GP286" i="14" s="1"/>
  <c r="GQ286" i="14" s="1"/>
  <c r="GR286" i="14" s="1"/>
  <c r="GS286" i="14" s="1"/>
  <c r="GT286" i="14" s="1"/>
  <c r="GU286" i="14" s="1"/>
  <c r="GV286" i="14" s="1"/>
  <c r="GW286" i="14" s="1"/>
  <c r="GX286" i="14" s="1"/>
  <c r="GY286" i="14" s="1"/>
  <c r="GZ286" i="14" s="1"/>
  <c r="HA286" i="14" s="1"/>
  <c r="HB286" i="14" s="1"/>
  <c r="HC286" i="14" s="1"/>
  <c r="HD286" i="14" s="1"/>
  <c r="HE286" i="14" s="1"/>
  <c r="HF286" i="14" s="1"/>
  <c r="HG286" i="14" s="1"/>
  <c r="HH286" i="14" s="1"/>
  <c r="HI286" i="14" s="1"/>
  <c r="HJ286" i="14" s="1"/>
  <c r="HK286" i="14" s="1"/>
  <c r="HL286" i="14" s="1"/>
  <c r="HM286" i="14" s="1"/>
  <c r="HN286" i="14" s="1"/>
  <c r="HO286" i="14" s="1"/>
  <c r="HP286" i="14" s="1"/>
  <c r="HQ286" i="14" s="1"/>
  <c r="HR286" i="14" s="1"/>
  <c r="HS286" i="14" s="1"/>
  <c r="HT286" i="14" s="1"/>
  <c r="HU286" i="14" s="1"/>
  <c r="HV286" i="14" s="1"/>
  <c r="HW286" i="14" s="1"/>
  <c r="HX286" i="14" s="1"/>
  <c r="HY286" i="14" s="1"/>
  <c r="HZ286" i="14" s="1"/>
  <c r="IA286" i="14" s="1"/>
  <c r="IB286" i="14" s="1"/>
  <c r="IC286" i="14" s="1"/>
  <c r="ID286" i="14" s="1"/>
  <c r="IE286" i="14" s="1"/>
  <c r="IF286" i="14" s="1"/>
  <c r="IG286" i="14" s="1"/>
  <c r="IH286" i="14" s="1"/>
  <c r="II286" i="14" s="1"/>
  <c r="IJ286" i="14" s="1"/>
  <c r="IK286" i="14" s="1"/>
  <c r="IL286" i="14" s="1"/>
  <c r="IM286" i="14" s="1"/>
  <c r="IN286" i="14" s="1"/>
  <c r="IO286" i="14" s="1"/>
  <c r="IP286" i="14" s="1"/>
  <c r="IQ286" i="14" s="1"/>
  <c r="IR286" i="14" s="1"/>
  <c r="IS286" i="14" s="1"/>
  <c r="IT286" i="14" s="1"/>
  <c r="IU286" i="14" s="1"/>
  <c r="IV286" i="14" s="1"/>
  <c r="IW286" i="14" s="1"/>
  <c r="IX286" i="14" s="1"/>
  <c r="IY286" i="14" s="1"/>
  <c r="IZ286" i="14" s="1"/>
  <c r="JA286" i="14" s="1"/>
  <c r="JB286" i="14" s="1"/>
  <c r="JC286" i="14" s="1"/>
  <c r="JD286" i="14" s="1"/>
  <c r="JE286" i="14" s="1"/>
  <c r="JF286" i="14" s="1"/>
  <c r="JG286" i="14" s="1"/>
  <c r="JH286" i="14" s="1"/>
  <c r="JI286" i="14" s="1"/>
  <c r="JJ286" i="14" s="1"/>
  <c r="JK286" i="14" s="1"/>
  <c r="JL286" i="14" s="1"/>
  <c r="JM286" i="14" s="1"/>
  <c r="JN286" i="14" s="1"/>
  <c r="JO286" i="14" s="1"/>
  <c r="JP286" i="14" s="1"/>
  <c r="JQ286" i="14" s="1"/>
  <c r="JR286" i="14" s="1"/>
  <c r="JS286" i="14" s="1"/>
  <c r="JT286" i="14" s="1"/>
  <c r="JU286" i="14" s="1"/>
  <c r="JV286" i="14" s="1"/>
  <c r="JW286" i="14" s="1"/>
  <c r="JX286" i="14" s="1"/>
  <c r="JY286" i="14" s="1"/>
  <c r="JZ286" i="14" s="1"/>
  <c r="KA286" i="14" s="1"/>
  <c r="KB286" i="14" s="1"/>
  <c r="KC286" i="14" s="1"/>
  <c r="KD286" i="14" s="1"/>
  <c r="KE286" i="14" s="1"/>
  <c r="KF286" i="14" s="1"/>
  <c r="KG286" i="14" s="1"/>
  <c r="KH286" i="14" s="1"/>
  <c r="KI286" i="14" s="1"/>
  <c r="KJ286" i="14" s="1"/>
  <c r="KK286" i="14" s="1"/>
  <c r="KL286" i="14" s="1"/>
  <c r="KM286" i="14" s="1"/>
  <c r="KN286" i="14" s="1"/>
  <c r="KO286" i="14" s="1"/>
  <c r="KP286" i="14" s="1"/>
  <c r="KQ286" i="14" s="1"/>
  <c r="KR286" i="14" s="1"/>
  <c r="KS286" i="14" s="1"/>
  <c r="KT286" i="14" s="1"/>
  <c r="KU286" i="14" s="1"/>
  <c r="KV286" i="14" s="1"/>
  <c r="KW286" i="14" s="1"/>
  <c r="KX286" i="14" s="1"/>
  <c r="KY286" i="14" s="1"/>
  <c r="KZ286" i="14" s="1"/>
  <c r="LA286" i="14" s="1"/>
  <c r="LB286" i="14" s="1"/>
  <c r="LC286" i="14" s="1"/>
  <c r="LD286" i="14" s="1"/>
  <c r="LE286" i="14" s="1"/>
  <c r="LF286" i="14" s="1"/>
  <c r="LG286" i="14" s="1"/>
  <c r="LH286" i="14" s="1"/>
  <c r="LI286" i="14" s="1"/>
  <c r="LJ286" i="14" s="1"/>
  <c r="LK286" i="14" s="1"/>
  <c r="LL286" i="14" s="1"/>
  <c r="LM286" i="14" s="1"/>
  <c r="LN286" i="14" s="1"/>
  <c r="LO286" i="14" s="1"/>
  <c r="LP286" i="14" s="1"/>
  <c r="LQ286" i="14" s="1"/>
  <c r="LR286" i="14" s="1"/>
  <c r="LS286" i="14" s="1"/>
  <c r="LT286" i="14" s="1"/>
  <c r="LU286" i="14" s="1"/>
  <c r="LV286" i="14" s="1"/>
  <c r="LW286" i="14" s="1"/>
  <c r="LX286" i="14" s="1"/>
  <c r="LY286" i="14" s="1"/>
  <c r="LZ286" i="14" s="1"/>
  <c r="MA286" i="14" s="1"/>
  <c r="MB286" i="14" s="1"/>
  <c r="MC286" i="14" s="1"/>
  <c r="MD286" i="14" s="1"/>
  <c r="ME286" i="14" s="1"/>
  <c r="MF286" i="14" s="1"/>
  <c r="MG286" i="14" s="1"/>
  <c r="MH286" i="14" s="1"/>
  <c r="MI286" i="14" s="1"/>
  <c r="MJ286" i="14" s="1"/>
  <c r="MK286" i="14" s="1"/>
  <c r="ML286" i="14" s="1"/>
  <c r="MM286" i="14" s="1"/>
  <c r="MN286" i="14" s="1"/>
  <c r="MO286" i="14" s="1"/>
  <c r="MP286" i="14" s="1"/>
  <c r="MQ286" i="14" s="1"/>
  <c r="MR286" i="14" s="1"/>
  <c r="MS286" i="14" s="1"/>
  <c r="MT286" i="14" s="1"/>
  <c r="MU286" i="14" s="1"/>
  <c r="MV286" i="14" s="1"/>
  <c r="MW286" i="14" s="1"/>
  <c r="MX286" i="14" s="1"/>
  <c r="MY286" i="14" s="1"/>
  <c r="MZ286" i="14" s="1"/>
  <c r="NA286" i="14" s="1"/>
  <c r="NB286" i="14" s="1"/>
  <c r="NC286" i="14" s="1"/>
  <c r="ND286" i="14" s="1"/>
  <c r="NE286" i="14" s="1"/>
  <c r="NF286" i="14" s="1"/>
  <c r="NG286" i="14" s="1"/>
  <c r="NH286" i="14" s="1"/>
  <c r="NI286" i="14" s="1"/>
  <c r="NJ286" i="14" s="1"/>
  <c r="NK286" i="14" s="1"/>
  <c r="NL286" i="14" s="1"/>
  <c r="NM286" i="14" s="1"/>
  <c r="NN286" i="14" s="1"/>
  <c r="NO286" i="14" s="1"/>
  <c r="NP286" i="14" s="1"/>
  <c r="NQ286" i="14" s="1"/>
  <c r="NR286" i="14" s="1"/>
  <c r="NS286" i="14" s="1"/>
  <c r="NT286" i="14" s="1"/>
  <c r="NU286" i="14" s="1"/>
  <c r="NV286" i="14" s="1"/>
  <c r="NW286" i="14" s="1"/>
  <c r="NX286" i="14" s="1"/>
  <c r="NY286" i="14" s="1"/>
  <c r="NZ286" i="14" s="1"/>
  <c r="OA286" i="14" s="1"/>
  <c r="OB286" i="14" s="1"/>
  <c r="OC286" i="14" s="1"/>
  <c r="OD286" i="14" s="1"/>
  <c r="OE286" i="14" s="1"/>
  <c r="OF286" i="14" s="1"/>
  <c r="OG286" i="14" s="1"/>
  <c r="OH286" i="14" s="1"/>
  <c r="OI286" i="14" s="1"/>
  <c r="OJ286" i="14" s="1"/>
  <c r="OK286" i="14" s="1"/>
  <c r="OL286" i="14" s="1"/>
  <c r="OM286" i="14" s="1"/>
  <c r="ON286" i="14" s="1"/>
  <c r="OO286" i="14" s="1"/>
  <c r="OP286" i="14" s="1"/>
  <c r="OQ286" i="14" s="1"/>
  <c r="OR286" i="14" s="1"/>
  <c r="OS286" i="14" s="1"/>
  <c r="OT286" i="14" s="1"/>
  <c r="OU286" i="14" s="1"/>
  <c r="OV286" i="14" s="1"/>
  <c r="OW286" i="14" s="1"/>
  <c r="OX286" i="14" s="1"/>
  <c r="OY286" i="14" s="1"/>
  <c r="OZ286" i="14" s="1"/>
  <c r="PA286" i="14" s="1"/>
  <c r="PB286" i="14" s="1"/>
  <c r="PC286" i="14" s="1"/>
  <c r="PD286" i="14" s="1"/>
  <c r="PE286" i="14" s="1"/>
  <c r="PF286" i="14" s="1"/>
  <c r="PG286" i="14" s="1"/>
  <c r="PH286" i="14" s="1"/>
  <c r="PI286" i="14" s="1"/>
  <c r="PJ286" i="14" s="1"/>
  <c r="PK286" i="14" s="1"/>
  <c r="PL286" i="14" s="1"/>
  <c r="PM286" i="14" s="1"/>
  <c r="PN286" i="14" s="1"/>
  <c r="PO286" i="14" s="1"/>
  <c r="PP286" i="14" s="1"/>
  <c r="PQ286" i="14" s="1"/>
  <c r="PR286" i="14" s="1"/>
  <c r="PS286" i="14" s="1"/>
  <c r="PT286" i="14" s="1"/>
  <c r="PU286" i="14" s="1"/>
  <c r="PV286" i="14" s="1"/>
  <c r="PW286" i="14" s="1"/>
  <c r="PX286" i="14" s="1"/>
  <c r="PY286" i="14" s="1"/>
  <c r="PZ286" i="14" s="1"/>
  <c r="QA286" i="14" s="1"/>
  <c r="QB286" i="14" s="1"/>
  <c r="QC286" i="14" s="1"/>
  <c r="QD286" i="14" s="1"/>
  <c r="QE286" i="14" s="1"/>
  <c r="QF286" i="14" s="1"/>
  <c r="QG286" i="14" s="1"/>
  <c r="QH286" i="14" s="1"/>
  <c r="QI286" i="14" s="1"/>
  <c r="QJ286" i="14" s="1"/>
  <c r="QK286" i="14" s="1"/>
  <c r="QL286" i="14" s="1"/>
  <c r="QM286" i="14" s="1"/>
  <c r="QN286" i="14" s="1"/>
  <c r="QO286" i="14" s="1"/>
  <c r="QP286" i="14" s="1"/>
  <c r="QQ286" i="14" s="1"/>
  <c r="QR286" i="14" s="1"/>
  <c r="QS286" i="14" s="1"/>
  <c r="QT286" i="14" s="1"/>
  <c r="QU286" i="14" s="1"/>
  <c r="QV286" i="14" s="1"/>
  <c r="QW286" i="14" s="1"/>
  <c r="QX286" i="14" s="1"/>
  <c r="QY286" i="14" s="1"/>
  <c r="QZ286" i="14" s="1"/>
  <c r="RA286" i="14" s="1"/>
  <c r="RB286" i="14" s="1"/>
  <c r="RC286" i="14" s="1"/>
  <c r="RD286" i="14" s="1"/>
  <c r="RE286" i="14" s="1"/>
  <c r="RF286" i="14" s="1"/>
  <c r="RG286" i="14" s="1"/>
  <c r="RH286" i="14" s="1"/>
  <c r="RI286" i="14" s="1"/>
  <c r="RJ286" i="14" s="1"/>
  <c r="RK286" i="14" s="1"/>
  <c r="RL286" i="14" s="1"/>
  <c r="RM286" i="14" s="1"/>
  <c r="RN286" i="14" s="1"/>
  <c r="RO286" i="14" s="1"/>
  <c r="RP286" i="14" s="1"/>
  <c r="RQ286" i="14" s="1"/>
  <c r="RR286" i="14" s="1"/>
  <c r="RS286" i="14" s="1"/>
  <c r="RT286" i="14" s="1"/>
  <c r="RU286" i="14" s="1"/>
  <c r="RV286" i="14" s="1"/>
  <c r="RW286" i="14" s="1"/>
  <c r="RX286" i="14" s="1"/>
  <c r="RY286" i="14" s="1"/>
  <c r="RZ286" i="14" s="1"/>
  <c r="SA286" i="14" s="1"/>
  <c r="SB286" i="14" s="1"/>
  <c r="SC286" i="14" s="1"/>
  <c r="SD286" i="14" s="1"/>
  <c r="SE286" i="14" s="1"/>
  <c r="SF286" i="14" s="1"/>
  <c r="SG286" i="14" s="1"/>
  <c r="SH286" i="14" s="1"/>
  <c r="SI286" i="14" s="1"/>
  <c r="SJ286" i="14" s="1"/>
  <c r="SK286" i="14" s="1"/>
  <c r="SL286" i="14" s="1"/>
  <c r="SM286" i="14" s="1"/>
  <c r="SN286" i="14" s="1"/>
  <c r="SO286" i="14" s="1"/>
  <c r="SP286" i="14" s="1"/>
  <c r="SQ286" i="14" s="1"/>
  <c r="SR286" i="14" s="1"/>
  <c r="SS286" i="14" s="1"/>
  <c r="ST286" i="14" s="1"/>
  <c r="SU286" i="14" s="1"/>
  <c r="SV286" i="14" s="1"/>
  <c r="SW286" i="14" s="1"/>
  <c r="SX286" i="14" s="1"/>
  <c r="SY286" i="14" s="1"/>
  <c r="SZ286" i="14" s="1"/>
  <c r="TA286" i="14" s="1"/>
  <c r="TB286" i="14" s="1"/>
  <c r="TC286" i="14" s="1"/>
  <c r="TD286" i="14" s="1"/>
  <c r="TE286" i="14" s="1"/>
  <c r="TF286" i="14" s="1"/>
  <c r="TG286" i="14" s="1"/>
  <c r="TH286" i="14" s="1"/>
  <c r="TI286" i="14" s="1"/>
  <c r="TJ286" i="14" s="1"/>
  <c r="TK286" i="14" s="1"/>
  <c r="TL286" i="14" s="1"/>
  <c r="TM286" i="14" s="1"/>
  <c r="TN286" i="14" s="1"/>
  <c r="TO286" i="14" s="1"/>
  <c r="TP286" i="14" s="1"/>
  <c r="TQ286" i="14" s="1"/>
  <c r="TR286" i="14" s="1"/>
  <c r="TS286" i="14" s="1"/>
  <c r="TT286" i="14" s="1"/>
  <c r="TU286" i="14" s="1"/>
  <c r="TV286" i="14" s="1"/>
  <c r="TW286" i="14" s="1"/>
  <c r="TX286" i="14" s="1"/>
  <c r="TY286" i="14" s="1"/>
  <c r="TZ286" i="14" s="1"/>
  <c r="UA286" i="14" s="1"/>
  <c r="UB286" i="14" s="1"/>
  <c r="UC286" i="14" s="1"/>
  <c r="UD286" i="14" s="1"/>
  <c r="UE286" i="14" s="1"/>
  <c r="UF286" i="14" s="1"/>
  <c r="UG286" i="14" s="1"/>
  <c r="UH286" i="14" s="1"/>
  <c r="UI286" i="14" s="1"/>
  <c r="UJ286" i="14" s="1"/>
  <c r="UK286" i="14" s="1"/>
  <c r="UL286" i="14" s="1"/>
  <c r="UM286" i="14" s="1"/>
  <c r="UN286" i="14" s="1"/>
  <c r="UO286" i="14" s="1"/>
  <c r="UP286" i="14" s="1"/>
  <c r="UQ286" i="14" s="1"/>
  <c r="UR286" i="14" s="1"/>
  <c r="US286" i="14" s="1"/>
  <c r="UT286" i="14" s="1"/>
  <c r="UU286" i="14" s="1"/>
  <c r="UV286" i="14" s="1"/>
  <c r="UW286" i="14" s="1"/>
  <c r="UX286" i="14" s="1"/>
  <c r="UY286" i="14" s="1"/>
  <c r="UZ286" i="14" s="1"/>
  <c r="VA286" i="14" s="1"/>
  <c r="VB286" i="14" s="1"/>
  <c r="VC286" i="14" s="1"/>
  <c r="VD286" i="14" s="1"/>
  <c r="VE286" i="14" s="1"/>
  <c r="VF286" i="14" s="1"/>
  <c r="VG286" i="14" s="1"/>
  <c r="VH286" i="14" s="1"/>
  <c r="VI286" i="14" s="1"/>
  <c r="VJ286" i="14" s="1"/>
  <c r="VK286" i="14" s="1"/>
  <c r="VL286" i="14" s="1"/>
  <c r="VM286" i="14" s="1"/>
  <c r="VN286" i="14" s="1"/>
  <c r="VO286" i="14" s="1"/>
  <c r="VP286" i="14" s="1"/>
  <c r="VQ286" i="14" s="1"/>
  <c r="VR286" i="14" s="1"/>
  <c r="VS286" i="14" s="1"/>
  <c r="VT286" i="14" s="1"/>
  <c r="VU286" i="14" s="1"/>
  <c r="VV286" i="14" s="1"/>
  <c r="VW286" i="14" s="1"/>
  <c r="VX286" i="14" s="1"/>
  <c r="VY286" i="14" s="1"/>
  <c r="VZ286" i="14" s="1"/>
  <c r="WA286" i="14" s="1"/>
  <c r="WB286" i="14" s="1"/>
  <c r="WC286" i="14" s="1"/>
  <c r="WD286" i="14" s="1"/>
  <c r="WE286" i="14" s="1"/>
  <c r="WF286" i="14" s="1"/>
  <c r="I5" i="24"/>
  <c r="F7" i="24"/>
  <c r="O8" i="24" s="1"/>
  <c r="J86" i="13"/>
  <c r="K85" i="13"/>
  <c r="I18" i="14"/>
  <c r="I34" i="14" l="1"/>
  <c r="I33" i="14"/>
  <c r="I35" i="14"/>
  <c r="I36" i="14"/>
  <c r="J87" i="13"/>
  <c r="K86" i="13"/>
  <c r="I37" i="14" l="1"/>
  <c r="J88" i="13"/>
  <c r="K87" i="13"/>
  <c r="H284" i="14" l="1"/>
  <c r="J287" i="14" s="1"/>
  <c r="J89" i="13"/>
  <c r="K88" i="13"/>
  <c r="J90" i="13" l="1"/>
  <c r="K89" i="13"/>
  <c r="J91" i="13" l="1"/>
  <c r="K90" i="13"/>
  <c r="J92" i="13" l="1"/>
  <c r="K91" i="13"/>
  <c r="J93" i="13" l="1"/>
  <c r="K92" i="13"/>
  <c r="J94" i="13" l="1"/>
  <c r="K93" i="13"/>
  <c r="J95" i="13" l="1"/>
  <c r="K94" i="13"/>
  <c r="J96" i="13" l="1"/>
  <c r="K95" i="13"/>
  <c r="J97" i="13" l="1"/>
  <c r="K96" i="13"/>
  <c r="J98" i="13" l="1"/>
  <c r="K97" i="13"/>
  <c r="J99" i="13" l="1"/>
  <c r="K98" i="13"/>
  <c r="J100" i="13" l="1"/>
  <c r="K99" i="13"/>
  <c r="J101" i="13" l="1"/>
  <c r="K100" i="13"/>
  <c r="J102" i="13" l="1"/>
  <c r="K101" i="13"/>
  <c r="J103" i="13" l="1"/>
  <c r="K102" i="13"/>
  <c r="J104" i="13" l="1"/>
  <c r="K103" i="13"/>
  <c r="J105" i="13" l="1"/>
  <c r="K104" i="13"/>
  <c r="J106" i="13" l="1"/>
  <c r="K105" i="13"/>
  <c r="J107" i="13" l="1"/>
  <c r="K106" i="13"/>
  <c r="J108" i="13" l="1"/>
  <c r="K107" i="13"/>
  <c r="J109" i="13" l="1"/>
  <c r="K108" i="13"/>
  <c r="J110" i="13" l="1"/>
  <c r="K109" i="13"/>
  <c r="J111" i="13" l="1"/>
  <c r="K110" i="13"/>
  <c r="J112" i="13" l="1"/>
  <c r="K111" i="13"/>
  <c r="J113" i="13" l="1"/>
  <c r="K112" i="13"/>
  <c r="J114" i="13" l="1"/>
  <c r="K113" i="13"/>
  <c r="J115" i="13" l="1"/>
  <c r="K114" i="13"/>
  <c r="J116" i="13" l="1"/>
  <c r="K115" i="13"/>
  <c r="J117" i="13" l="1"/>
  <c r="K116" i="13"/>
  <c r="J118" i="13" l="1"/>
  <c r="K117" i="13"/>
  <c r="J119" i="13" l="1"/>
  <c r="K118" i="13"/>
  <c r="J120" i="13" l="1"/>
  <c r="K119" i="13"/>
  <c r="J121" i="13" l="1"/>
  <c r="K120" i="13"/>
  <c r="J122" i="13" l="1"/>
  <c r="K121" i="13"/>
  <c r="J123" i="13" l="1"/>
  <c r="K122" i="13"/>
  <c r="J124" i="13" l="1"/>
  <c r="K123" i="13"/>
  <c r="J125" i="13" l="1"/>
  <c r="K124" i="13"/>
  <c r="J126" i="13" l="1"/>
  <c r="K125" i="13"/>
  <c r="J127" i="13" l="1"/>
  <c r="K126" i="13"/>
  <c r="J128" i="13" l="1"/>
  <c r="K127" i="13"/>
  <c r="J129" i="13" l="1"/>
  <c r="K128" i="13"/>
  <c r="J130" i="13" l="1"/>
  <c r="K129" i="13"/>
  <c r="J131" i="13" l="1"/>
  <c r="K130" i="13"/>
  <c r="J132" i="13" l="1"/>
  <c r="K131" i="13"/>
  <c r="J133" i="13" l="1"/>
  <c r="K132" i="13"/>
  <c r="J134" i="13" l="1"/>
  <c r="K133" i="13"/>
  <c r="J135" i="13" l="1"/>
  <c r="K134" i="13"/>
  <c r="J136" i="13" l="1"/>
  <c r="K135" i="13"/>
  <c r="J137" i="13" l="1"/>
  <c r="K136" i="13"/>
  <c r="J138" i="13" l="1"/>
  <c r="K137" i="13"/>
  <c r="J139" i="13" l="1"/>
  <c r="K138" i="13"/>
  <c r="J140" i="13" l="1"/>
  <c r="K139" i="13"/>
  <c r="J141" i="13" l="1"/>
  <c r="K140" i="13"/>
  <c r="J142" i="13" l="1"/>
  <c r="K141" i="13"/>
  <c r="J143" i="13" l="1"/>
  <c r="K142" i="13"/>
  <c r="J144" i="13" l="1"/>
  <c r="K143" i="13"/>
  <c r="J145" i="13" l="1"/>
  <c r="K144" i="13"/>
  <c r="J146" i="13" l="1"/>
  <c r="K145" i="13"/>
  <c r="J147" i="13" l="1"/>
  <c r="K146" i="13"/>
  <c r="J148" i="13" l="1"/>
  <c r="K147" i="13"/>
  <c r="J149" i="13" l="1"/>
  <c r="K148" i="13"/>
  <c r="J150" i="13" l="1"/>
  <c r="K149" i="13"/>
  <c r="J151" i="13" l="1"/>
  <c r="K150" i="13"/>
  <c r="J152" i="13" l="1"/>
  <c r="K151" i="13"/>
  <c r="J153" i="13" l="1"/>
  <c r="K152" i="13"/>
  <c r="J154" i="13" l="1"/>
  <c r="K153" i="13"/>
  <c r="J155" i="13" l="1"/>
  <c r="K154" i="13"/>
  <c r="J156" i="13" l="1"/>
  <c r="K155" i="13"/>
  <c r="J157" i="13" l="1"/>
  <c r="K156" i="13"/>
  <c r="J158" i="13" l="1"/>
  <c r="K157" i="13"/>
  <c r="J159" i="13" l="1"/>
  <c r="K158" i="13"/>
  <c r="J160" i="13" l="1"/>
  <c r="K159" i="13"/>
  <c r="J161" i="13" l="1"/>
  <c r="K160" i="13"/>
  <c r="J162" i="13" l="1"/>
  <c r="K161" i="13"/>
  <c r="J163" i="13" l="1"/>
  <c r="K162" i="13"/>
  <c r="J164" i="13" l="1"/>
  <c r="K163" i="13"/>
  <c r="J165" i="13" l="1"/>
  <c r="K164" i="13"/>
  <c r="J166" i="13" l="1"/>
  <c r="K165" i="13"/>
  <c r="J167" i="13" l="1"/>
  <c r="K166" i="13"/>
  <c r="J168" i="13" l="1"/>
  <c r="K167" i="13"/>
  <c r="J169" i="13" l="1"/>
  <c r="K168" i="13"/>
  <c r="J170" i="13" l="1"/>
  <c r="K169" i="13"/>
  <c r="J171" i="13" l="1"/>
  <c r="K170" i="13"/>
  <c r="J172" i="13" l="1"/>
  <c r="K171" i="13"/>
  <c r="J173" i="13" l="1"/>
  <c r="K172" i="13"/>
  <c r="J174" i="13" l="1"/>
  <c r="K173" i="13"/>
  <c r="J175" i="13" l="1"/>
  <c r="K174" i="13"/>
  <c r="J176" i="13" l="1"/>
  <c r="K175" i="13"/>
  <c r="J177" i="13" l="1"/>
  <c r="K176" i="13"/>
  <c r="J178" i="13" l="1"/>
  <c r="K177" i="13"/>
  <c r="J179" i="13" l="1"/>
  <c r="K178" i="13"/>
  <c r="J180" i="13" l="1"/>
  <c r="K179" i="13"/>
  <c r="J181" i="13" l="1"/>
  <c r="K180" i="13"/>
  <c r="J182" i="13" l="1"/>
  <c r="K181" i="13"/>
  <c r="J183" i="13" l="1"/>
  <c r="K182" i="13"/>
  <c r="J184" i="13" l="1"/>
  <c r="K183" i="13"/>
  <c r="J185" i="13" l="1"/>
  <c r="K184" i="13"/>
  <c r="J186" i="13" l="1"/>
  <c r="K185" i="13"/>
  <c r="J187" i="13" l="1"/>
  <c r="K186" i="13"/>
  <c r="J188" i="13" l="1"/>
  <c r="K187" i="13"/>
  <c r="J189" i="13" l="1"/>
  <c r="K188" i="13"/>
  <c r="J190" i="13" l="1"/>
  <c r="K189" i="13"/>
  <c r="J191" i="13" l="1"/>
  <c r="K190" i="13"/>
  <c r="J192" i="13" l="1"/>
  <c r="K191" i="13"/>
  <c r="J193" i="13" l="1"/>
  <c r="K192" i="13"/>
  <c r="J194" i="13" l="1"/>
  <c r="K193" i="13"/>
  <c r="J195" i="13" l="1"/>
  <c r="K194" i="13"/>
  <c r="J196" i="13" l="1"/>
  <c r="K195" i="13"/>
  <c r="J197" i="13" l="1"/>
  <c r="K196" i="13"/>
  <c r="J198" i="13" l="1"/>
  <c r="K197" i="13"/>
  <c r="J199" i="13" l="1"/>
  <c r="K198" i="13"/>
  <c r="J200" i="13" l="1"/>
  <c r="K199" i="13"/>
  <c r="J201" i="13" l="1"/>
  <c r="K200" i="13"/>
  <c r="J202" i="13" l="1"/>
  <c r="K201" i="13"/>
  <c r="J203" i="13" l="1"/>
  <c r="K202" i="13"/>
  <c r="J204" i="13" l="1"/>
  <c r="K203" i="13"/>
  <c r="J205" i="13" l="1"/>
  <c r="K204" i="13"/>
  <c r="J206" i="13" l="1"/>
  <c r="K205" i="13"/>
  <c r="J207" i="13" l="1"/>
  <c r="K206" i="13"/>
  <c r="J208" i="13" l="1"/>
  <c r="K207" i="13"/>
  <c r="J209" i="13" l="1"/>
  <c r="K208" i="13"/>
  <c r="J210" i="13" l="1"/>
  <c r="K209" i="13"/>
  <c r="J211" i="13" l="1"/>
  <c r="K210" i="13"/>
  <c r="J212" i="13" l="1"/>
  <c r="K211" i="13"/>
  <c r="J213" i="13" l="1"/>
  <c r="K212" i="13"/>
  <c r="J214" i="13" l="1"/>
  <c r="K213" i="13"/>
  <c r="J215" i="13" l="1"/>
  <c r="K214" i="13"/>
  <c r="J216" i="13" l="1"/>
  <c r="K215" i="13"/>
  <c r="J217" i="13" l="1"/>
  <c r="K216" i="13"/>
  <c r="J218" i="13" l="1"/>
  <c r="K217" i="13"/>
  <c r="J219" i="13" l="1"/>
  <c r="K218" i="13"/>
  <c r="J220" i="13" l="1"/>
  <c r="K219" i="13"/>
  <c r="J221" i="13" l="1"/>
  <c r="K220" i="13"/>
  <c r="J222" i="13" l="1"/>
  <c r="K221" i="13"/>
  <c r="J223" i="13" l="1"/>
  <c r="K222" i="13"/>
  <c r="J224" i="13" l="1"/>
  <c r="K223" i="13"/>
  <c r="J225" i="13" l="1"/>
  <c r="K224" i="13"/>
  <c r="J226" i="13" l="1"/>
  <c r="K225" i="13"/>
  <c r="J227" i="13" l="1"/>
  <c r="K226" i="13"/>
  <c r="J228" i="13" l="1"/>
  <c r="K227" i="13"/>
  <c r="J229" i="13" l="1"/>
  <c r="K228" i="13"/>
  <c r="J230" i="13" l="1"/>
  <c r="K229" i="13"/>
  <c r="J231" i="13" l="1"/>
  <c r="K230" i="13"/>
  <c r="J232" i="13" l="1"/>
  <c r="K231" i="13"/>
  <c r="K232" i="13" l="1"/>
  <c r="J233" i="13"/>
  <c r="J234" i="13" l="1"/>
  <c r="K233" i="13"/>
  <c r="J235" i="13" l="1"/>
  <c r="K234" i="13"/>
  <c r="J236" i="13" l="1"/>
  <c r="K235" i="13"/>
  <c r="J237" i="13" l="1"/>
  <c r="K236" i="13"/>
  <c r="J238" i="13" l="1"/>
  <c r="K237" i="13"/>
  <c r="J239" i="13" l="1"/>
  <c r="K238" i="13"/>
  <c r="J240" i="13" l="1"/>
  <c r="K239" i="13"/>
  <c r="J241" i="13" l="1"/>
  <c r="K240" i="13"/>
  <c r="J242" i="13" l="1"/>
  <c r="K241" i="13"/>
  <c r="J243" i="13" l="1"/>
  <c r="K242" i="13"/>
  <c r="J244" i="13" l="1"/>
  <c r="K243" i="13"/>
  <c r="J245" i="13" l="1"/>
  <c r="K244" i="13"/>
  <c r="J246" i="13" l="1"/>
  <c r="K245" i="13"/>
  <c r="J247" i="13" l="1"/>
  <c r="K246" i="13"/>
  <c r="J248" i="13" l="1"/>
  <c r="K247" i="13"/>
  <c r="J249" i="13" l="1"/>
  <c r="K248" i="13"/>
  <c r="J250" i="13" l="1"/>
  <c r="K249" i="13"/>
  <c r="J251" i="13" l="1"/>
  <c r="K250" i="13"/>
  <c r="J252" i="13" l="1"/>
  <c r="K251" i="13"/>
  <c r="J253" i="13" l="1"/>
  <c r="K252" i="13"/>
  <c r="J254" i="13" l="1"/>
  <c r="K253" i="13"/>
  <c r="J255" i="13" l="1"/>
  <c r="K254" i="13"/>
  <c r="J256" i="13" l="1"/>
  <c r="K255" i="13"/>
  <c r="J257" i="13" l="1"/>
  <c r="K256" i="13"/>
  <c r="J258" i="13" l="1"/>
  <c r="K257" i="13"/>
  <c r="J259" i="13" l="1"/>
  <c r="K258" i="13"/>
  <c r="J260" i="13" l="1"/>
  <c r="K259" i="13"/>
  <c r="J261" i="13" l="1"/>
  <c r="K260" i="13"/>
  <c r="J262" i="13" l="1"/>
  <c r="K261" i="13"/>
  <c r="J263" i="13" l="1"/>
  <c r="K262" i="13"/>
  <c r="J264" i="13" l="1"/>
  <c r="K263" i="13"/>
  <c r="J265" i="13" l="1"/>
  <c r="K264" i="13"/>
  <c r="J266" i="13" l="1"/>
  <c r="K265" i="13"/>
  <c r="J267" i="13" l="1"/>
  <c r="K266" i="13"/>
  <c r="J268" i="13" l="1"/>
  <c r="K267" i="13"/>
  <c r="J269" i="13" l="1"/>
  <c r="K268" i="13"/>
  <c r="J270" i="13" l="1"/>
  <c r="K269" i="13"/>
  <c r="J271" i="13" l="1"/>
  <c r="K270" i="13"/>
  <c r="J272" i="13" l="1"/>
  <c r="K271" i="13"/>
  <c r="J273" i="13" l="1"/>
  <c r="K272" i="13"/>
  <c r="J274" i="13" l="1"/>
  <c r="K273" i="13"/>
  <c r="J275" i="13" l="1"/>
  <c r="K274" i="13"/>
  <c r="J276" i="13" l="1"/>
  <c r="K275" i="13"/>
  <c r="J277" i="13" l="1"/>
  <c r="K276" i="13"/>
  <c r="J278" i="13" l="1"/>
  <c r="K277" i="13"/>
  <c r="J279" i="13" l="1"/>
  <c r="K278" i="13"/>
  <c r="J280" i="13" l="1"/>
  <c r="K279" i="13"/>
  <c r="J281" i="13" l="1"/>
  <c r="K280" i="13"/>
  <c r="J282" i="13" l="1"/>
  <c r="K281" i="13"/>
  <c r="J283" i="13" l="1"/>
  <c r="K282" i="13"/>
  <c r="J284" i="13" l="1"/>
  <c r="K283" i="13"/>
  <c r="J285" i="13" l="1"/>
  <c r="K284" i="13"/>
  <c r="J286" i="13" l="1"/>
  <c r="K285" i="13"/>
  <c r="J287" i="13" l="1"/>
  <c r="K286" i="13"/>
  <c r="J288" i="13" l="1"/>
  <c r="K287" i="13"/>
  <c r="J289" i="13" l="1"/>
  <c r="K288" i="13"/>
  <c r="J290" i="13" l="1"/>
  <c r="K289" i="13"/>
  <c r="J291" i="13" l="1"/>
  <c r="K290" i="13"/>
  <c r="J292" i="13" l="1"/>
  <c r="K291" i="13"/>
  <c r="J293" i="13" l="1"/>
  <c r="K292" i="13"/>
  <c r="J294" i="13" l="1"/>
  <c r="K293" i="13"/>
  <c r="J295" i="13" l="1"/>
  <c r="K294" i="13"/>
  <c r="J296" i="13" l="1"/>
  <c r="K295" i="13"/>
  <c r="J297" i="13" l="1"/>
  <c r="K296" i="13"/>
  <c r="J298" i="13" l="1"/>
  <c r="K297" i="13"/>
  <c r="J299" i="13" l="1"/>
  <c r="K298" i="13"/>
  <c r="J300" i="13" l="1"/>
  <c r="K299" i="13"/>
  <c r="J301" i="13" l="1"/>
  <c r="K300" i="13"/>
  <c r="J302" i="13" l="1"/>
  <c r="K301" i="13"/>
  <c r="J303" i="13" l="1"/>
  <c r="K302" i="13"/>
  <c r="J304" i="13" l="1"/>
  <c r="K303" i="13"/>
  <c r="J305" i="13" l="1"/>
  <c r="K304" i="13"/>
  <c r="J306" i="13" l="1"/>
  <c r="K305" i="13"/>
  <c r="J307" i="13" l="1"/>
  <c r="K306" i="13"/>
  <c r="J308" i="13" l="1"/>
  <c r="K307" i="13"/>
  <c r="J309" i="13" l="1"/>
  <c r="K308" i="13"/>
  <c r="J310" i="13" l="1"/>
  <c r="K309" i="13"/>
  <c r="J311" i="13" l="1"/>
  <c r="K310" i="13"/>
  <c r="J312" i="13" l="1"/>
  <c r="K311" i="13"/>
  <c r="J313" i="13" l="1"/>
  <c r="K312" i="13"/>
  <c r="J314" i="13" l="1"/>
  <c r="K313" i="13"/>
  <c r="J315" i="13" l="1"/>
  <c r="K314" i="13"/>
  <c r="J316" i="13" l="1"/>
  <c r="K315" i="13"/>
  <c r="J317" i="13" l="1"/>
  <c r="K316" i="13"/>
  <c r="J318" i="13" l="1"/>
  <c r="K317" i="13"/>
  <c r="J319" i="13" l="1"/>
  <c r="K318" i="13"/>
  <c r="J320" i="13" l="1"/>
  <c r="K319" i="13"/>
  <c r="J321" i="13" l="1"/>
  <c r="K320" i="13"/>
  <c r="J322" i="13" l="1"/>
  <c r="K321" i="13"/>
  <c r="J323" i="13" l="1"/>
  <c r="K322" i="13"/>
  <c r="J324" i="13" l="1"/>
  <c r="K323" i="13"/>
  <c r="J325" i="13" l="1"/>
  <c r="K324" i="13"/>
  <c r="J326" i="13" l="1"/>
  <c r="K325" i="13"/>
  <c r="J327" i="13" l="1"/>
  <c r="K326" i="13"/>
  <c r="J328" i="13" l="1"/>
  <c r="K327" i="13"/>
  <c r="J329" i="13" l="1"/>
  <c r="K328" i="13"/>
  <c r="J330" i="13" l="1"/>
  <c r="K329" i="13"/>
  <c r="J331" i="13" l="1"/>
  <c r="K330" i="13"/>
  <c r="J332" i="13" l="1"/>
  <c r="K331" i="13"/>
  <c r="J333" i="13" l="1"/>
  <c r="K332" i="13"/>
  <c r="J334" i="13" l="1"/>
  <c r="K333" i="13"/>
  <c r="J335" i="13" l="1"/>
  <c r="K334" i="13"/>
  <c r="J336" i="13" l="1"/>
  <c r="K335" i="13"/>
  <c r="J337" i="13" l="1"/>
  <c r="K336" i="13"/>
  <c r="J338" i="13" l="1"/>
  <c r="K337" i="13"/>
  <c r="J339" i="13" l="1"/>
  <c r="K338" i="13"/>
  <c r="J340" i="13" l="1"/>
  <c r="K339" i="13"/>
  <c r="J341" i="13" l="1"/>
  <c r="K340" i="13"/>
  <c r="J342" i="13" l="1"/>
  <c r="K341" i="13"/>
  <c r="J343" i="13" l="1"/>
  <c r="K342" i="13"/>
  <c r="J344" i="13" l="1"/>
  <c r="K343" i="13"/>
  <c r="J345" i="13" l="1"/>
  <c r="K344" i="13"/>
  <c r="J346" i="13" l="1"/>
  <c r="K345" i="13"/>
  <c r="J347" i="13" l="1"/>
  <c r="K346" i="13"/>
  <c r="J348" i="13" l="1"/>
  <c r="K347" i="13"/>
  <c r="J349" i="13" l="1"/>
  <c r="K348" i="13"/>
  <c r="J350" i="13" l="1"/>
  <c r="K349" i="13"/>
  <c r="J351" i="13" l="1"/>
  <c r="K350" i="13"/>
  <c r="J352" i="13" l="1"/>
  <c r="K351" i="13"/>
  <c r="J353" i="13" l="1"/>
  <c r="K352" i="13"/>
  <c r="J354" i="13" l="1"/>
  <c r="K353" i="13"/>
  <c r="J355" i="13" l="1"/>
  <c r="K354" i="13"/>
  <c r="J356" i="13" l="1"/>
  <c r="K355" i="13"/>
  <c r="J357" i="13" l="1"/>
  <c r="K356" i="13"/>
  <c r="J358" i="13" l="1"/>
  <c r="K357" i="13"/>
  <c r="J359" i="13" l="1"/>
  <c r="K358" i="13"/>
  <c r="J360" i="13" l="1"/>
  <c r="K359" i="13"/>
  <c r="J361" i="13" l="1"/>
  <c r="K360" i="13"/>
  <c r="J362" i="13" l="1"/>
  <c r="K361" i="13"/>
  <c r="J363" i="13" l="1"/>
  <c r="K362" i="13"/>
  <c r="J364" i="13" l="1"/>
  <c r="K363" i="13"/>
  <c r="J365" i="13" l="1"/>
  <c r="K364" i="13"/>
  <c r="J366" i="13" l="1"/>
  <c r="K365" i="13"/>
  <c r="J367" i="13" l="1"/>
  <c r="K366" i="13"/>
  <c r="J368" i="13" l="1"/>
  <c r="K367" i="13"/>
  <c r="J369" i="13" l="1"/>
  <c r="K368" i="13"/>
  <c r="J370" i="13" l="1"/>
  <c r="K369" i="13"/>
  <c r="J371" i="13" l="1"/>
  <c r="K370" i="13"/>
  <c r="J372" i="13" l="1"/>
  <c r="K371" i="13"/>
  <c r="J373" i="13" l="1"/>
  <c r="K372" i="13"/>
  <c r="J374" i="13" l="1"/>
  <c r="K373" i="13"/>
  <c r="J375" i="13" l="1"/>
  <c r="K374" i="13"/>
  <c r="J376" i="13" l="1"/>
  <c r="K375" i="13"/>
  <c r="J377" i="13" l="1"/>
  <c r="K376" i="13"/>
  <c r="J378" i="13" l="1"/>
  <c r="K377" i="13"/>
  <c r="J379" i="13" l="1"/>
  <c r="K378" i="13"/>
  <c r="J380" i="13" l="1"/>
  <c r="K379" i="13"/>
  <c r="J381" i="13" l="1"/>
  <c r="K380" i="13"/>
  <c r="J382" i="13" l="1"/>
  <c r="K381" i="13"/>
  <c r="J383" i="13" l="1"/>
  <c r="K382" i="13"/>
  <c r="J384" i="13" l="1"/>
  <c r="K383" i="13"/>
  <c r="J385" i="13" l="1"/>
  <c r="K384" i="13"/>
  <c r="J386" i="13" l="1"/>
  <c r="K385" i="13"/>
  <c r="J387" i="13" l="1"/>
  <c r="K386" i="13"/>
  <c r="J388" i="13" l="1"/>
  <c r="K387" i="13"/>
  <c r="J389" i="13" l="1"/>
  <c r="K388" i="13"/>
  <c r="J390" i="13" l="1"/>
  <c r="K389" i="13"/>
  <c r="J391" i="13" l="1"/>
  <c r="K390" i="13"/>
  <c r="J392" i="13" l="1"/>
  <c r="K391" i="13"/>
  <c r="J393" i="13" l="1"/>
  <c r="K392" i="13"/>
  <c r="J394" i="13" l="1"/>
  <c r="K393" i="13"/>
  <c r="J395" i="13" l="1"/>
  <c r="K394" i="13"/>
  <c r="J396" i="13" l="1"/>
  <c r="K395" i="13"/>
  <c r="J397" i="13" l="1"/>
  <c r="K396" i="13"/>
  <c r="J398" i="13" l="1"/>
  <c r="K397" i="13"/>
  <c r="J399" i="13" l="1"/>
  <c r="K398" i="13"/>
  <c r="J400" i="13" l="1"/>
  <c r="K399" i="13"/>
  <c r="J401" i="13" l="1"/>
  <c r="K400" i="13"/>
  <c r="J402" i="13" l="1"/>
  <c r="K401" i="13"/>
  <c r="J403" i="13" l="1"/>
  <c r="K402" i="13"/>
  <c r="J404" i="13" l="1"/>
  <c r="K403" i="13"/>
  <c r="J405" i="13" l="1"/>
  <c r="K404" i="13"/>
  <c r="J406" i="13" l="1"/>
  <c r="K405" i="13"/>
  <c r="J407" i="13" l="1"/>
  <c r="K406" i="13"/>
  <c r="J408" i="13" l="1"/>
  <c r="K407" i="13"/>
  <c r="J409" i="13" l="1"/>
  <c r="K408" i="13"/>
  <c r="J410" i="13" l="1"/>
  <c r="K409" i="13"/>
  <c r="J411" i="13" l="1"/>
  <c r="K410" i="13"/>
  <c r="J412" i="13" l="1"/>
  <c r="K411" i="13"/>
  <c r="J413" i="13" l="1"/>
  <c r="K412" i="13"/>
  <c r="J414" i="13" l="1"/>
  <c r="K413" i="13"/>
  <c r="J415" i="13" l="1"/>
  <c r="K414" i="13"/>
  <c r="J416" i="13" l="1"/>
  <c r="K415" i="13"/>
  <c r="J417" i="13" l="1"/>
  <c r="K416" i="13"/>
  <c r="J418" i="13" l="1"/>
  <c r="K417" i="13"/>
  <c r="J419" i="13" l="1"/>
  <c r="K418" i="13"/>
  <c r="J420" i="13" l="1"/>
  <c r="K419" i="13"/>
  <c r="J421" i="13" l="1"/>
  <c r="K420" i="13"/>
  <c r="J422" i="13" l="1"/>
  <c r="K421" i="13"/>
  <c r="J423" i="13" l="1"/>
  <c r="K422" i="13"/>
  <c r="J424" i="13" l="1"/>
  <c r="K423" i="13"/>
  <c r="J425" i="13" l="1"/>
  <c r="K424" i="13"/>
  <c r="J426" i="13" l="1"/>
  <c r="K425" i="13"/>
  <c r="J427" i="13" l="1"/>
  <c r="K426" i="13"/>
  <c r="J428" i="13" l="1"/>
  <c r="K427" i="13"/>
  <c r="J429" i="13" l="1"/>
  <c r="K428" i="13"/>
  <c r="J430" i="13" l="1"/>
  <c r="K429" i="13"/>
  <c r="J431" i="13" l="1"/>
  <c r="K430" i="13"/>
  <c r="J432" i="13" l="1"/>
  <c r="K431" i="13"/>
  <c r="J433" i="13" l="1"/>
  <c r="K432" i="13"/>
  <c r="J434" i="13" l="1"/>
  <c r="K433" i="13"/>
  <c r="J435" i="13" l="1"/>
  <c r="K434" i="13"/>
  <c r="J436" i="13" l="1"/>
  <c r="K435" i="13"/>
  <c r="J437" i="13" l="1"/>
  <c r="K436" i="13"/>
  <c r="J438" i="13" l="1"/>
  <c r="K437" i="13"/>
  <c r="J439" i="13" l="1"/>
  <c r="K438" i="13"/>
  <c r="J440" i="13" l="1"/>
  <c r="K439" i="13"/>
  <c r="J441" i="13" l="1"/>
  <c r="K440" i="13"/>
  <c r="J442" i="13" l="1"/>
  <c r="K441" i="13"/>
  <c r="J443" i="13" l="1"/>
  <c r="K442" i="13"/>
  <c r="J444" i="13" l="1"/>
  <c r="K443" i="13"/>
  <c r="J445" i="13" l="1"/>
  <c r="K444" i="13"/>
  <c r="J446" i="13" l="1"/>
  <c r="K445" i="13"/>
  <c r="J447" i="13" l="1"/>
  <c r="K446" i="13"/>
  <c r="J448" i="13" l="1"/>
  <c r="K447" i="13"/>
  <c r="J449" i="13" l="1"/>
  <c r="K448" i="13"/>
  <c r="J450" i="13" l="1"/>
  <c r="K449" i="13"/>
  <c r="J451" i="13" l="1"/>
  <c r="K450" i="13"/>
  <c r="J452" i="13" l="1"/>
  <c r="K451" i="13"/>
  <c r="J453" i="13" l="1"/>
  <c r="K452" i="13"/>
  <c r="J454" i="13" l="1"/>
  <c r="K453" i="13"/>
  <c r="J455" i="13" l="1"/>
  <c r="K454" i="13"/>
  <c r="J456" i="13" l="1"/>
  <c r="K455" i="13"/>
  <c r="J457" i="13" l="1"/>
  <c r="K456" i="13"/>
  <c r="J458" i="13" l="1"/>
  <c r="K457" i="13"/>
  <c r="J459" i="13" l="1"/>
  <c r="K458" i="13"/>
  <c r="J460" i="13" l="1"/>
  <c r="K459" i="13"/>
  <c r="J461" i="13" l="1"/>
  <c r="K460" i="13"/>
  <c r="J462" i="13" l="1"/>
  <c r="K461" i="13"/>
  <c r="J463" i="13" l="1"/>
  <c r="K462" i="13"/>
  <c r="J464" i="13" l="1"/>
  <c r="K463" i="13"/>
  <c r="J465" i="13" l="1"/>
  <c r="K464" i="13"/>
  <c r="J466" i="13" l="1"/>
  <c r="K465" i="13"/>
  <c r="J467" i="13" l="1"/>
  <c r="K466" i="13"/>
  <c r="J468" i="13" l="1"/>
  <c r="K467" i="13"/>
  <c r="J469" i="13" l="1"/>
  <c r="K468" i="13"/>
  <c r="J470" i="13" l="1"/>
  <c r="K469" i="13"/>
  <c r="J471" i="13" l="1"/>
  <c r="K470" i="13"/>
  <c r="J472" i="13" l="1"/>
  <c r="K471" i="13"/>
  <c r="J473" i="13" l="1"/>
  <c r="K472" i="13"/>
  <c r="J474" i="13" l="1"/>
  <c r="K473" i="13"/>
  <c r="J475" i="13" l="1"/>
  <c r="K474" i="13"/>
  <c r="J476" i="13" l="1"/>
  <c r="K475" i="13"/>
  <c r="J477" i="13" l="1"/>
  <c r="K476" i="13"/>
  <c r="J478" i="13" l="1"/>
  <c r="K477" i="13"/>
  <c r="J479" i="13" l="1"/>
  <c r="K478" i="13"/>
  <c r="J480" i="13" l="1"/>
  <c r="K479" i="13"/>
  <c r="J481" i="13" l="1"/>
  <c r="K480" i="13"/>
  <c r="J482" i="13" l="1"/>
  <c r="K481" i="13"/>
  <c r="J483" i="13" l="1"/>
  <c r="K482" i="13"/>
  <c r="J484" i="13" l="1"/>
  <c r="K483" i="13"/>
  <c r="J485" i="13" l="1"/>
  <c r="K484" i="13"/>
  <c r="J486" i="13" l="1"/>
  <c r="K485" i="13"/>
  <c r="J487" i="13" l="1"/>
  <c r="K486" i="13"/>
  <c r="J488" i="13" l="1"/>
  <c r="K487" i="13"/>
  <c r="J489" i="13" l="1"/>
  <c r="K488" i="13"/>
  <c r="J490" i="13" l="1"/>
  <c r="K489" i="13"/>
  <c r="J491" i="13" l="1"/>
  <c r="K490" i="13"/>
  <c r="J492" i="13" l="1"/>
  <c r="K491" i="13"/>
  <c r="J493" i="13" l="1"/>
  <c r="K492" i="13"/>
  <c r="J494" i="13" l="1"/>
  <c r="K493" i="13"/>
  <c r="J495" i="13" l="1"/>
  <c r="K494" i="13"/>
  <c r="J496" i="13" l="1"/>
  <c r="K495" i="13"/>
  <c r="J497" i="13" l="1"/>
  <c r="K496" i="13"/>
  <c r="J498" i="13" l="1"/>
  <c r="K497" i="13"/>
  <c r="J499" i="13" l="1"/>
  <c r="K498" i="13"/>
  <c r="J500" i="13" l="1"/>
  <c r="K499" i="13"/>
  <c r="J501" i="13" l="1"/>
  <c r="K500" i="13"/>
  <c r="J502" i="13" l="1"/>
  <c r="K501" i="13"/>
  <c r="J503" i="13" l="1"/>
  <c r="K502" i="13"/>
  <c r="J504" i="13" l="1"/>
  <c r="K503" i="13"/>
  <c r="J505" i="13" l="1"/>
  <c r="K504" i="13"/>
  <c r="J506" i="13" l="1"/>
  <c r="K505" i="13"/>
  <c r="J507" i="13" l="1"/>
  <c r="K506" i="13"/>
  <c r="J508" i="13" l="1"/>
  <c r="K507" i="13"/>
  <c r="J509" i="13" l="1"/>
  <c r="K508" i="13"/>
  <c r="J510" i="13" l="1"/>
  <c r="K509" i="13"/>
  <c r="J511" i="13" l="1"/>
  <c r="K510" i="13"/>
  <c r="J512" i="13" l="1"/>
  <c r="K511" i="13"/>
  <c r="J513" i="13" l="1"/>
  <c r="K512" i="13"/>
  <c r="J514" i="13" l="1"/>
  <c r="K513" i="13"/>
  <c r="J515" i="13" l="1"/>
  <c r="K514" i="13"/>
  <c r="J516" i="13" l="1"/>
  <c r="K515" i="13"/>
  <c r="J517" i="13" l="1"/>
  <c r="K516" i="13"/>
  <c r="J518" i="13" l="1"/>
  <c r="K517" i="13"/>
  <c r="J519" i="13" l="1"/>
  <c r="K518" i="13"/>
  <c r="J520" i="13" l="1"/>
  <c r="K519" i="13"/>
  <c r="J521" i="13" l="1"/>
  <c r="K520" i="13"/>
  <c r="J522" i="13" l="1"/>
  <c r="K521" i="13"/>
  <c r="J523" i="13" l="1"/>
  <c r="K522" i="13"/>
  <c r="J524" i="13" l="1"/>
  <c r="K523" i="13"/>
  <c r="J525" i="13" l="1"/>
  <c r="K524" i="13"/>
  <c r="J526" i="13" l="1"/>
  <c r="K525" i="13"/>
  <c r="J527" i="13" l="1"/>
  <c r="K526" i="13"/>
  <c r="J528" i="13" l="1"/>
  <c r="K527" i="13"/>
  <c r="J529" i="13" l="1"/>
  <c r="K528" i="13"/>
  <c r="J530" i="13" l="1"/>
  <c r="K529" i="13"/>
  <c r="J531" i="13" l="1"/>
  <c r="K530" i="13"/>
  <c r="J532" i="13" l="1"/>
  <c r="K531" i="13"/>
  <c r="J533" i="13" l="1"/>
  <c r="K532" i="13"/>
  <c r="J534" i="13" l="1"/>
  <c r="K533" i="13"/>
  <c r="J535" i="13" l="1"/>
  <c r="K534" i="13"/>
  <c r="J536" i="13" l="1"/>
  <c r="K535" i="13"/>
  <c r="J537" i="13" l="1"/>
  <c r="K536" i="13"/>
  <c r="J538" i="13" l="1"/>
  <c r="K537" i="13"/>
  <c r="J539" i="13" l="1"/>
  <c r="K538" i="13"/>
  <c r="J540" i="13" l="1"/>
  <c r="K539" i="13"/>
  <c r="J541" i="13" l="1"/>
  <c r="K540" i="13"/>
  <c r="J542" i="13" l="1"/>
  <c r="K541" i="13"/>
  <c r="J543" i="13" l="1"/>
  <c r="K542" i="13"/>
  <c r="J544" i="13" l="1"/>
  <c r="K543" i="13"/>
  <c r="J545" i="13" l="1"/>
  <c r="K544" i="13"/>
  <c r="J546" i="13" l="1"/>
  <c r="K545" i="13"/>
  <c r="J547" i="13" l="1"/>
  <c r="K546" i="13"/>
  <c r="J548" i="13" l="1"/>
  <c r="K547" i="13"/>
  <c r="J549" i="13" l="1"/>
  <c r="K548" i="13"/>
  <c r="J550" i="13" l="1"/>
  <c r="K549" i="13"/>
  <c r="J551" i="13" l="1"/>
  <c r="K550" i="13"/>
  <c r="J552" i="13" l="1"/>
  <c r="K551" i="13"/>
  <c r="J553" i="13" l="1"/>
  <c r="K552" i="13"/>
  <c r="J554" i="13" l="1"/>
  <c r="K553" i="13"/>
  <c r="J555" i="13" l="1"/>
  <c r="K554" i="13"/>
  <c r="J556" i="13" l="1"/>
  <c r="K555" i="13"/>
  <c r="J557" i="13" l="1"/>
  <c r="K556" i="13"/>
  <c r="J558" i="13" l="1"/>
  <c r="K557" i="13"/>
  <c r="J559" i="13" l="1"/>
  <c r="K558" i="13"/>
  <c r="J560" i="13" l="1"/>
  <c r="K559" i="13"/>
  <c r="J561" i="13" l="1"/>
  <c r="K560" i="13"/>
  <c r="J562" i="13" l="1"/>
  <c r="K561" i="13"/>
  <c r="J563" i="13" l="1"/>
  <c r="K562" i="13"/>
  <c r="J564" i="13" l="1"/>
  <c r="K563" i="13"/>
  <c r="J565" i="13" l="1"/>
  <c r="K564" i="13"/>
  <c r="J566" i="13" l="1"/>
  <c r="K565" i="13"/>
  <c r="J567" i="13" l="1"/>
  <c r="K566" i="13"/>
  <c r="J568" i="13" l="1"/>
  <c r="K567" i="13"/>
  <c r="J569" i="13" l="1"/>
  <c r="K568" i="13"/>
  <c r="J570" i="13" l="1"/>
  <c r="K569" i="13"/>
  <c r="J571" i="13" l="1"/>
  <c r="K570" i="13"/>
  <c r="J572" i="13" l="1"/>
  <c r="K571" i="13"/>
  <c r="J573" i="13" l="1"/>
  <c r="K572" i="13"/>
  <c r="J574" i="13" l="1"/>
  <c r="K573" i="13"/>
  <c r="J575" i="13" l="1"/>
  <c r="K574" i="13"/>
  <c r="J576" i="13" l="1"/>
  <c r="K575" i="13"/>
  <c r="J577" i="13" l="1"/>
  <c r="K576" i="13"/>
  <c r="J578" i="13" l="1"/>
  <c r="K577" i="13"/>
  <c r="J579" i="13" l="1"/>
  <c r="K578" i="13"/>
  <c r="J580" i="13" l="1"/>
  <c r="K579" i="13"/>
  <c r="J581" i="13" l="1"/>
  <c r="K580" i="13"/>
  <c r="J582" i="13" l="1"/>
  <c r="K581" i="13"/>
  <c r="J583" i="13" l="1"/>
  <c r="K582" i="13"/>
  <c r="J584" i="13" l="1"/>
  <c r="K583" i="13"/>
  <c r="J585" i="13" l="1"/>
  <c r="K584" i="13"/>
  <c r="J586" i="13" l="1"/>
  <c r="K585" i="13"/>
  <c r="J587" i="13" l="1"/>
  <c r="K586" i="13"/>
  <c r="J588" i="13" l="1"/>
  <c r="K587" i="13"/>
  <c r="J589" i="13" l="1"/>
  <c r="K588" i="13"/>
  <c r="J590" i="13" l="1"/>
  <c r="K589" i="13"/>
  <c r="J591" i="13" l="1"/>
  <c r="K590" i="13"/>
  <c r="J592" i="13" l="1"/>
  <c r="K591" i="13"/>
  <c r="J593" i="13" l="1"/>
  <c r="K592" i="13"/>
  <c r="J594" i="13" l="1"/>
  <c r="K593" i="13"/>
  <c r="J595" i="13" l="1"/>
  <c r="K594" i="13"/>
  <c r="J596" i="13" l="1"/>
  <c r="K595" i="13"/>
  <c r="J597" i="13" l="1"/>
  <c r="K596" i="13"/>
  <c r="J598" i="13" l="1"/>
  <c r="K597" i="13"/>
  <c r="J599" i="13" l="1"/>
  <c r="K598" i="13"/>
  <c r="J600" i="13" l="1"/>
  <c r="K599" i="13"/>
  <c r="J601" i="13" l="1"/>
  <c r="K600" i="13"/>
  <c r="J602" i="13" l="1"/>
  <c r="K601" i="13"/>
  <c r="J603" i="13" l="1"/>
  <c r="K602" i="13"/>
  <c r="J604" i="13" l="1"/>
  <c r="K603" i="13"/>
  <c r="J605" i="13" l="1"/>
  <c r="K604" i="13"/>
  <c r="J606" i="13" l="1"/>
  <c r="K605" i="13"/>
  <c r="J607" i="13" l="1"/>
  <c r="K606" i="13"/>
  <c r="J608" i="13" l="1"/>
  <c r="K607" i="13"/>
  <c r="J609" i="13" l="1"/>
  <c r="K608" i="13"/>
  <c r="J610" i="13" l="1"/>
  <c r="K609" i="13"/>
  <c r="J611" i="13" l="1"/>
  <c r="K610" i="13"/>
  <c r="J612" i="13" l="1"/>
  <c r="K611" i="13"/>
  <c r="J613" i="13" l="1"/>
  <c r="K612" i="13"/>
  <c r="J614" i="13" l="1"/>
  <c r="K613" i="13"/>
  <c r="J615" i="13" l="1"/>
  <c r="K614" i="13"/>
  <c r="J616" i="13" l="1"/>
  <c r="K615" i="13"/>
  <c r="J617" i="13" l="1"/>
  <c r="K616" i="13"/>
  <c r="J618" i="13" l="1"/>
  <c r="K617" i="13"/>
  <c r="J619" i="13" l="1"/>
  <c r="K618" i="13"/>
  <c r="J620" i="13" l="1"/>
  <c r="K619" i="13"/>
  <c r="J621" i="13" l="1"/>
  <c r="K620" i="13"/>
  <c r="J622" i="13" l="1"/>
  <c r="K621" i="13"/>
  <c r="J623" i="13" l="1"/>
  <c r="K622" i="13"/>
  <c r="J624" i="13" l="1"/>
  <c r="K623" i="13"/>
  <c r="J625" i="13" l="1"/>
  <c r="K624" i="13"/>
  <c r="J626" i="13" l="1"/>
  <c r="K625" i="13"/>
  <c r="J627" i="13" l="1"/>
  <c r="K626" i="13"/>
  <c r="J628" i="13" l="1"/>
  <c r="K627" i="13"/>
  <c r="J629" i="13" l="1"/>
  <c r="K628" i="13"/>
  <c r="J630" i="13" l="1"/>
  <c r="K629" i="13"/>
  <c r="J631" i="13" l="1"/>
  <c r="K630" i="13"/>
  <c r="J632" i="13" l="1"/>
  <c r="K631" i="13"/>
  <c r="J633" i="13" l="1"/>
  <c r="K632" i="13"/>
  <c r="J634" i="13" l="1"/>
  <c r="K633" i="13"/>
  <c r="J635" i="13" l="1"/>
  <c r="K634" i="13"/>
  <c r="J636" i="13" l="1"/>
  <c r="K635" i="13"/>
  <c r="J637" i="13" l="1"/>
  <c r="K636" i="13"/>
  <c r="J638" i="13" l="1"/>
  <c r="K637" i="13"/>
  <c r="J639" i="13" l="1"/>
  <c r="K638" i="13"/>
  <c r="J640" i="13" l="1"/>
  <c r="K639" i="13"/>
  <c r="J641" i="13" l="1"/>
  <c r="K640" i="13"/>
  <c r="J642" i="13" l="1"/>
  <c r="K641" i="13"/>
  <c r="J643" i="13" l="1"/>
  <c r="K642" i="13"/>
  <c r="J644" i="13" l="1"/>
  <c r="K643" i="13"/>
  <c r="J645" i="13" l="1"/>
  <c r="K644" i="13"/>
  <c r="J646" i="13" l="1"/>
  <c r="K645" i="13"/>
  <c r="J647" i="13" l="1"/>
  <c r="K646" i="13"/>
  <c r="J648" i="13" l="1"/>
  <c r="K647" i="13"/>
  <c r="J649" i="13" l="1"/>
  <c r="K648" i="13"/>
  <c r="J650" i="13" l="1"/>
  <c r="K649" i="13"/>
  <c r="J651" i="13" l="1"/>
  <c r="K650" i="13"/>
  <c r="J652" i="13" l="1"/>
  <c r="K651" i="13"/>
  <c r="J653" i="13" l="1"/>
  <c r="K652" i="13"/>
  <c r="J654" i="13" l="1"/>
  <c r="K653" i="13"/>
  <c r="J655" i="13" l="1"/>
  <c r="K654" i="13"/>
  <c r="J656" i="13" l="1"/>
  <c r="K655" i="13"/>
  <c r="J657" i="13" l="1"/>
  <c r="K656" i="13"/>
  <c r="J658" i="13" l="1"/>
  <c r="K657" i="13"/>
  <c r="J659" i="13" l="1"/>
  <c r="K658" i="13"/>
  <c r="J660" i="13" l="1"/>
  <c r="K659" i="13"/>
  <c r="J661" i="13" l="1"/>
  <c r="K660" i="13"/>
  <c r="J662" i="13" l="1"/>
  <c r="K661" i="13"/>
  <c r="J663" i="13" l="1"/>
  <c r="K662" i="13"/>
  <c r="J664" i="13" l="1"/>
  <c r="K663" i="13"/>
  <c r="J665" i="13" l="1"/>
  <c r="K664" i="13"/>
  <c r="J666" i="13" l="1"/>
  <c r="K665" i="13"/>
  <c r="J667" i="13" l="1"/>
  <c r="K666" i="13"/>
  <c r="J668" i="13" l="1"/>
  <c r="K667" i="13"/>
  <c r="J669" i="13" l="1"/>
  <c r="K668" i="13"/>
  <c r="J670" i="13" l="1"/>
  <c r="K669" i="13"/>
  <c r="J671" i="13" l="1"/>
  <c r="K670" i="13"/>
  <c r="J672" i="13" l="1"/>
  <c r="K671" i="13"/>
  <c r="J673" i="13" l="1"/>
  <c r="K672" i="13"/>
  <c r="J674" i="13" l="1"/>
  <c r="K673" i="13"/>
  <c r="J675" i="13" l="1"/>
  <c r="K674" i="13"/>
  <c r="J676" i="13" l="1"/>
  <c r="K675" i="13"/>
  <c r="J677" i="13" l="1"/>
  <c r="K676" i="13"/>
  <c r="J678" i="13" l="1"/>
  <c r="K677" i="13"/>
  <c r="J679" i="13" l="1"/>
  <c r="K678" i="13"/>
  <c r="J680" i="13" l="1"/>
  <c r="K679" i="13"/>
  <c r="J681" i="13" l="1"/>
  <c r="K680" i="13"/>
  <c r="J682" i="13" l="1"/>
  <c r="K681" i="13"/>
  <c r="J683" i="13" l="1"/>
  <c r="K682" i="13"/>
  <c r="J684" i="13" l="1"/>
  <c r="K683" i="13"/>
  <c r="J685" i="13" l="1"/>
  <c r="K684" i="13"/>
  <c r="J686" i="13" l="1"/>
  <c r="K685" i="13"/>
  <c r="J687" i="13" l="1"/>
  <c r="K686" i="13"/>
  <c r="J688" i="13" l="1"/>
  <c r="K687" i="13"/>
  <c r="J689" i="13" l="1"/>
  <c r="K688" i="13"/>
  <c r="J690" i="13" l="1"/>
  <c r="K689" i="13"/>
  <c r="J691" i="13" l="1"/>
  <c r="K690" i="13"/>
  <c r="J692" i="13" l="1"/>
  <c r="K691" i="13"/>
  <c r="J693" i="13" l="1"/>
  <c r="K692" i="13"/>
  <c r="J694" i="13" l="1"/>
  <c r="K693" i="13"/>
  <c r="J695" i="13" l="1"/>
  <c r="K694" i="13"/>
  <c r="J696" i="13" l="1"/>
  <c r="K695" i="13"/>
  <c r="J697" i="13" l="1"/>
  <c r="K696" i="13"/>
  <c r="J698" i="13" l="1"/>
  <c r="K697" i="13"/>
  <c r="J699" i="13" l="1"/>
  <c r="K698" i="13"/>
  <c r="J700" i="13" l="1"/>
  <c r="K699" i="13"/>
  <c r="J701" i="13" l="1"/>
  <c r="K700" i="13"/>
  <c r="J702" i="13" l="1"/>
  <c r="K701" i="13"/>
  <c r="J703" i="13" l="1"/>
  <c r="K702" i="13"/>
  <c r="J704" i="13" l="1"/>
  <c r="K703" i="13"/>
  <c r="J705" i="13" l="1"/>
  <c r="K704" i="13"/>
  <c r="J706" i="13" l="1"/>
  <c r="K705" i="13"/>
  <c r="J707" i="13" l="1"/>
  <c r="K706" i="13"/>
  <c r="J708" i="13" l="1"/>
  <c r="K707" i="13"/>
  <c r="J709" i="13" l="1"/>
  <c r="K708" i="13"/>
  <c r="J710" i="13" l="1"/>
  <c r="K709" i="13"/>
  <c r="J711" i="13" l="1"/>
  <c r="K710" i="13"/>
  <c r="J712" i="13" l="1"/>
  <c r="K711" i="13"/>
  <c r="J713" i="13" l="1"/>
  <c r="K712" i="13"/>
  <c r="J714" i="13" l="1"/>
  <c r="K713" i="13"/>
  <c r="J715" i="13" l="1"/>
  <c r="K714" i="13"/>
  <c r="J716" i="13" l="1"/>
  <c r="K715" i="13"/>
  <c r="J717" i="13" l="1"/>
  <c r="K716" i="13"/>
  <c r="J718" i="13" l="1"/>
  <c r="K717" i="13"/>
  <c r="J719" i="13" l="1"/>
  <c r="K718" i="13"/>
  <c r="J720" i="13" l="1"/>
  <c r="K719" i="13"/>
  <c r="J721" i="13" l="1"/>
  <c r="K720" i="13"/>
  <c r="J722" i="13" l="1"/>
  <c r="K721" i="13"/>
  <c r="J723" i="13" l="1"/>
  <c r="K722" i="13"/>
  <c r="J724" i="13" l="1"/>
  <c r="K723" i="13"/>
  <c r="J725" i="13" l="1"/>
  <c r="K724" i="13"/>
  <c r="J726" i="13" l="1"/>
  <c r="K725" i="13"/>
  <c r="J727" i="13" l="1"/>
  <c r="K726" i="13"/>
  <c r="J728" i="13" l="1"/>
  <c r="K727" i="13"/>
  <c r="J729" i="13" l="1"/>
  <c r="K728" i="13"/>
  <c r="J730" i="13" l="1"/>
  <c r="K729" i="13"/>
  <c r="J731" i="13" l="1"/>
  <c r="K730" i="13"/>
  <c r="J732" i="13" l="1"/>
  <c r="K731" i="13"/>
  <c r="J733" i="13" l="1"/>
  <c r="K732" i="13"/>
  <c r="J734" i="13" l="1"/>
  <c r="K733" i="13"/>
  <c r="J735" i="13" l="1"/>
  <c r="K734" i="13"/>
  <c r="J736" i="13" l="1"/>
  <c r="K735" i="13"/>
  <c r="J737" i="13" l="1"/>
  <c r="K736" i="13"/>
  <c r="J738" i="13" l="1"/>
  <c r="K737" i="13"/>
  <c r="J739" i="13" l="1"/>
  <c r="K738" i="13"/>
  <c r="J740" i="13" l="1"/>
  <c r="K739" i="13"/>
  <c r="J741" i="13" l="1"/>
  <c r="K740" i="13"/>
  <c r="J742" i="13" l="1"/>
  <c r="K741" i="13"/>
  <c r="J743" i="13" l="1"/>
  <c r="K742" i="13"/>
  <c r="J744" i="13" l="1"/>
  <c r="K743" i="13"/>
  <c r="J745" i="13" l="1"/>
  <c r="K744" i="13"/>
  <c r="J746" i="13" l="1"/>
  <c r="K745" i="13"/>
  <c r="J747" i="13" l="1"/>
  <c r="K746" i="13"/>
  <c r="J748" i="13" l="1"/>
  <c r="K747" i="13"/>
  <c r="J749" i="13" l="1"/>
  <c r="K748" i="13"/>
  <c r="J750" i="13" l="1"/>
  <c r="K749" i="13"/>
  <c r="J751" i="13" l="1"/>
  <c r="K750" i="13"/>
  <c r="J752" i="13" l="1"/>
  <c r="K751" i="13"/>
  <c r="J753" i="13" l="1"/>
  <c r="K752" i="13"/>
  <c r="J754" i="13" l="1"/>
  <c r="K753" i="13"/>
  <c r="J755" i="13" l="1"/>
  <c r="K754" i="13"/>
  <c r="J756" i="13" l="1"/>
  <c r="K755" i="13"/>
  <c r="J757" i="13" l="1"/>
  <c r="K756" i="13"/>
  <c r="J758" i="13" l="1"/>
  <c r="K757" i="13"/>
  <c r="J759" i="13" l="1"/>
  <c r="K758" i="13"/>
  <c r="J760" i="13" l="1"/>
  <c r="K759" i="13"/>
  <c r="J761" i="13" l="1"/>
  <c r="K760" i="13"/>
  <c r="J762" i="13" l="1"/>
  <c r="K761" i="13"/>
  <c r="J763" i="13" l="1"/>
  <c r="K763" i="13" s="1"/>
  <c r="K762" i="13"/>
  <c r="EA288" i="14" l="1"/>
  <c r="DZ288" i="14"/>
  <c r="L288" i="14"/>
  <c r="IE288" i="14"/>
  <c r="IF288" i="14"/>
  <c r="HS288" i="14"/>
  <c r="HT288" i="14"/>
  <c r="GU288" i="14"/>
  <c r="GV288" i="14"/>
  <c r="GI288" i="14"/>
  <c r="GJ288" i="14"/>
  <c r="FW288" i="14"/>
  <c r="FX288" i="14"/>
  <c r="FK288" i="14"/>
  <c r="FL288" i="14"/>
  <c r="EM288" i="14"/>
  <c r="EN288" i="14"/>
  <c r="EB288" i="14"/>
  <c r="DC288" i="14"/>
  <c r="DD288" i="14"/>
  <c r="CQ288" i="14"/>
  <c r="CR288" i="14"/>
  <c r="CE288" i="14"/>
  <c r="CF288" i="14"/>
  <c r="W288" i="14"/>
  <c r="X288" i="14"/>
  <c r="JB288" i="14"/>
  <c r="JC288" i="14"/>
  <c r="ID288" i="14"/>
  <c r="HF288" i="14"/>
  <c r="HG288" i="14"/>
  <c r="GH288" i="14"/>
  <c r="FJ288" i="14"/>
  <c r="EL288" i="14"/>
  <c r="DB288" i="14"/>
  <c r="CP288" i="14"/>
  <c r="CD288" i="14"/>
  <c r="BR288" i="14"/>
  <c r="BS288" i="14"/>
  <c r="BF288" i="14"/>
  <c r="BG288" i="14"/>
  <c r="AT288" i="14"/>
  <c r="AU288" i="14"/>
  <c r="V288" i="14"/>
  <c r="JM288" i="14"/>
  <c r="JN288" i="14"/>
  <c r="JA288" i="14"/>
  <c r="IO288" i="14"/>
  <c r="IP288" i="14"/>
  <c r="IC288" i="14"/>
  <c r="HQ288" i="14"/>
  <c r="HR288" i="14"/>
  <c r="HE288" i="14"/>
  <c r="GS288" i="14"/>
  <c r="GT288" i="14"/>
  <c r="GG288" i="14"/>
  <c r="FU288" i="14"/>
  <c r="FV288" i="14"/>
  <c r="FI288" i="14"/>
  <c r="EW288" i="14"/>
  <c r="EX288" i="14"/>
  <c r="EK288" i="14"/>
  <c r="DY288" i="14"/>
  <c r="DM288" i="14"/>
  <c r="DN288" i="14"/>
  <c r="DA288" i="14"/>
  <c r="CO288" i="14"/>
  <c r="CC288" i="14"/>
  <c r="BQ288" i="14"/>
  <c r="BE288" i="14"/>
  <c r="AS288" i="14"/>
  <c r="AG288" i="14"/>
  <c r="AH288" i="14"/>
  <c r="U288" i="14"/>
  <c r="JO288" i="14"/>
  <c r="IQ288" i="14"/>
  <c r="EY288" i="14"/>
  <c r="DO288" i="14"/>
  <c r="AI288" i="14"/>
  <c r="JL288" i="14"/>
  <c r="IZ288" i="14"/>
  <c r="IN288" i="14"/>
  <c r="IB288" i="14"/>
  <c r="HP288" i="14"/>
  <c r="HD288" i="14"/>
  <c r="GR288" i="14"/>
  <c r="GF288" i="14"/>
  <c r="FT288" i="14"/>
  <c r="FH288" i="14"/>
  <c r="EV288" i="14"/>
  <c r="EJ288" i="14"/>
  <c r="DX288" i="14"/>
  <c r="DL288" i="14"/>
  <c r="CZ288" i="14"/>
  <c r="CN288" i="14"/>
  <c r="CB288" i="14"/>
  <c r="BP288" i="14"/>
  <c r="BD288" i="14"/>
  <c r="AR288" i="14"/>
  <c r="AF288" i="14"/>
  <c r="T288" i="14"/>
  <c r="EZ288" i="14"/>
  <c r="HC288" i="14"/>
  <c r="S288" i="14"/>
  <c r="FR288" i="14"/>
  <c r="FS288" i="14"/>
  <c r="FF288" i="14"/>
  <c r="FG288" i="14"/>
  <c r="ET288" i="14"/>
  <c r="EU288" i="14"/>
  <c r="EH288" i="14"/>
  <c r="EI288" i="14"/>
  <c r="DV288" i="14"/>
  <c r="DW288" i="14"/>
  <c r="DJ288" i="14"/>
  <c r="DK288" i="14"/>
  <c r="CX288" i="14"/>
  <c r="CY288" i="14"/>
  <c r="CL288" i="14"/>
  <c r="CM288" i="14"/>
  <c r="BZ288" i="14"/>
  <c r="CA288" i="14"/>
  <c r="BN288" i="14"/>
  <c r="BO288" i="14"/>
  <c r="BB288" i="14"/>
  <c r="BC288" i="14"/>
  <c r="AP288" i="14"/>
  <c r="AQ288" i="14"/>
  <c r="AD288" i="14"/>
  <c r="AE288" i="14"/>
  <c r="R288" i="14"/>
  <c r="DP288" i="14"/>
  <c r="GD288" i="14"/>
  <c r="GE288" i="14"/>
  <c r="JI288" i="14"/>
  <c r="JJ288" i="14"/>
  <c r="IW288" i="14"/>
  <c r="IX288" i="14"/>
  <c r="IK288" i="14"/>
  <c r="IL288" i="14"/>
  <c r="HY288" i="14"/>
  <c r="HZ288" i="14"/>
  <c r="HM288" i="14"/>
  <c r="HN288" i="14"/>
  <c r="HA288" i="14"/>
  <c r="HB288" i="14"/>
  <c r="GO288" i="14"/>
  <c r="GP288" i="14"/>
  <c r="GC288" i="14"/>
  <c r="FQ288" i="14"/>
  <c r="FE288" i="14"/>
  <c r="ES288" i="14"/>
  <c r="EG288" i="14"/>
  <c r="DU288" i="14"/>
  <c r="DI288" i="14"/>
  <c r="CW288" i="14"/>
  <c r="CK288" i="14"/>
  <c r="BY288" i="14"/>
  <c r="BM288" i="14"/>
  <c r="BA288" i="14"/>
  <c r="AO288" i="14"/>
  <c r="AC288" i="14"/>
  <c r="Q288" i="14"/>
  <c r="JD288" i="14"/>
  <c r="AJ288" i="14"/>
  <c r="IM288" i="14"/>
  <c r="GQ288" i="14"/>
  <c r="JH288" i="14"/>
  <c r="IV288" i="14"/>
  <c r="IJ288" i="14"/>
  <c r="HX288" i="14"/>
  <c r="HL288" i="14"/>
  <c r="GZ288" i="14"/>
  <c r="GN288" i="14"/>
  <c r="GB288" i="14"/>
  <c r="FP288" i="14"/>
  <c r="FD288" i="14"/>
  <c r="ER288" i="14"/>
  <c r="EF288" i="14"/>
  <c r="DT288" i="14"/>
  <c r="DH288" i="14"/>
  <c r="CV288" i="14"/>
  <c r="CJ288" i="14"/>
  <c r="BX288" i="14"/>
  <c r="BL288" i="14"/>
  <c r="AZ288" i="14"/>
  <c r="AN288" i="14"/>
  <c r="AB288" i="14"/>
  <c r="P288" i="14"/>
  <c r="HH288" i="14"/>
  <c r="BT288" i="14"/>
  <c r="JK288" i="14"/>
  <c r="JS288" i="14"/>
  <c r="KI289" i="14"/>
  <c r="KJ289" i="14" s="1"/>
  <c r="KK289" i="14" s="1"/>
  <c r="KL289" i="14" s="1"/>
  <c r="KM289" i="14" s="1"/>
  <c r="KN289" i="14" s="1"/>
  <c r="KO289" i="14" s="1"/>
  <c r="KP289" i="14" s="1"/>
  <c r="KQ289" i="14" s="1"/>
  <c r="KR289" i="14" s="1"/>
  <c r="KS289" i="14" s="1"/>
  <c r="KT289" i="14" s="1"/>
  <c r="KU289" i="14" s="1"/>
  <c r="KV289" i="14" s="1"/>
  <c r="KW289" i="14" s="1"/>
  <c r="KX289" i="14" s="1"/>
  <c r="KY289" i="14" s="1"/>
  <c r="KZ289" i="14" s="1"/>
  <c r="LA289" i="14" s="1"/>
  <c r="LB289" i="14" s="1"/>
  <c r="LC289" i="14" s="1"/>
  <c r="LD289" i="14" s="1"/>
  <c r="LE289" i="14" s="1"/>
  <c r="LF289" i="14" s="1"/>
  <c r="LG289" i="14" s="1"/>
  <c r="LH289" i="14" s="1"/>
  <c r="LI289" i="14" s="1"/>
  <c r="LJ289" i="14" s="1"/>
  <c r="LK289" i="14" s="1"/>
  <c r="LL289" i="14" s="1"/>
  <c r="LM289" i="14" s="1"/>
  <c r="LN289" i="14" s="1"/>
  <c r="LO289" i="14" s="1"/>
  <c r="LP289" i="14" s="1"/>
  <c r="LQ289" i="14" s="1"/>
  <c r="LR289" i="14" s="1"/>
  <c r="LS289" i="14" s="1"/>
  <c r="LT289" i="14" s="1"/>
  <c r="LU289" i="14" s="1"/>
  <c r="LV289" i="14" s="1"/>
  <c r="LW289" i="14" s="1"/>
  <c r="LX289" i="14" s="1"/>
  <c r="LY289" i="14" s="1"/>
  <c r="LZ289" i="14" s="1"/>
  <c r="MA289" i="14" s="1"/>
  <c r="MB289" i="14" s="1"/>
  <c r="MC289" i="14" s="1"/>
  <c r="MD289" i="14" s="1"/>
  <c r="ME289" i="14" s="1"/>
  <c r="MF289" i="14" s="1"/>
  <c r="MG289" i="14" s="1"/>
  <c r="MH289" i="14" s="1"/>
  <c r="MI289" i="14" s="1"/>
  <c r="MJ289" i="14" s="1"/>
  <c r="MK289" i="14" s="1"/>
  <c r="ML289" i="14" s="1"/>
  <c r="MM289" i="14" s="1"/>
  <c r="MN289" i="14" s="1"/>
  <c r="MO289" i="14" s="1"/>
  <c r="MP289" i="14" s="1"/>
  <c r="MQ289" i="14" s="1"/>
  <c r="MR289" i="14" s="1"/>
  <c r="MS289" i="14" s="1"/>
  <c r="MT289" i="14" s="1"/>
  <c r="MU289" i="14" s="1"/>
  <c r="MV289" i="14" s="1"/>
  <c r="MW289" i="14" s="1"/>
  <c r="MX289" i="14" s="1"/>
  <c r="MY289" i="14" s="1"/>
  <c r="MZ289" i="14" s="1"/>
  <c r="NA289" i="14" s="1"/>
  <c r="NB289" i="14" s="1"/>
  <c r="NC289" i="14" s="1"/>
  <c r="ND289" i="14" s="1"/>
  <c r="NE289" i="14" s="1"/>
  <c r="NF289" i="14" s="1"/>
  <c r="NG289" i="14" s="1"/>
  <c r="NH289" i="14" s="1"/>
  <c r="NI289" i="14" s="1"/>
  <c r="NJ289" i="14" s="1"/>
  <c r="NK289" i="14" s="1"/>
  <c r="NL289" i="14" s="1"/>
  <c r="NM289" i="14" s="1"/>
  <c r="NN289" i="14" s="1"/>
  <c r="NO289" i="14" s="1"/>
  <c r="NP289" i="14" s="1"/>
  <c r="NQ289" i="14" s="1"/>
  <c r="NR289" i="14" s="1"/>
  <c r="NS289" i="14" s="1"/>
  <c r="NT289" i="14" s="1"/>
  <c r="NU289" i="14" s="1"/>
  <c r="NV289" i="14" s="1"/>
  <c r="NW289" i="14" s="1"/>
  <c r="NX289" i="14" s="1"/>
  <c r="NY289" i="14" s="1"/>
  <c r="NZ289" i="14" s="1"/>
  <c r="OA289" i="14" s="1"/>
  <c r="OB289" i="14" s="1"/>
  <c r="OC289" i="14" s="1"/>
  <c r="OD289" i="14" s="1"/>
  <c r="OE289" i="14" s="1"/>
  <c r="OF289" i="14" s="1"/>
  <c r="OG289" i="14" s="1"/>
  <c r="OH289" i="14" s="1"/>
  <c r="OI289" i="14" s="1"/>
  <c r="OJ289" i="14" s="1"/>
  <c r="OK289" i="14" s="1"/>
  <c r="OL289" i="14" s="1"/>
  <c r="OM289" i="14" s="1"/>
  <c r="ON289" i="14" s="1"/>
  <c r="OO289" i="14" s="1"/>
  <c r="OP289" i="14" s="1"/>
  <c r="OQ289" i="14" s="1"/>
  <c r="OR289" i="14" s="1"/>
  <c r="OS289" i="14" s="1"/>
  <c r="OT289" i="14" s="1"/>
  <c r="OU289" i="14" s="1"/>
  <c r="OV289" i="14" s="1"/>
  <c r="OW289" i="14" s="1"/>
  <c r="OX289" i="14" s="1"/>
  <c r="OY289" i="14" s="1"/>
  <c r="OZ289" i="14" s="1"/>
  <c r="PA289" i="14" s="1"/>
  <c r="PB289" i="14" s="1"/>
  <c r="PC289" i="14" s="1"/>
  <c r="PD289" i="14" s="1"/>
  <c r="PE289" i="14" s="1"/>
  <c r="PF289" i="14" s="1"/>
  <c r="PG289" i="14" s="1"/>
  <c r="PH289" i="14" s="1"/>
  <c r="PI289" i="14" s="1"/>
  <c r="PJ289" i="14" s="1"/>
  <c r="PK289" i="14" s="1"/>
  <c r="PL289" i="14" s="1"/>
  <c r="PM289" i="14" s="1"/>
  <c r="PN289" i="14" s="1"/>
  <c r="PO289" i="14" s="1"/>
  <c r="PP289" i="14" s="1"/>
  <c r="PQ289" i="14" s="1"/>
  <c r="PR289" i="14" s="1"/>
  <c r="PS289" i="14" s="1"/>
  <c r="PT289" i="14" s="1"/>
  <c r="PU289" i="14" s="1"/>
  <c r="PV289" i="14" s="1"/>
  <c r="PW289" i="14" s="1"/>
  <c r="PX289" i="14" s="1"/>
  <c r="PY289" i="14" s="1"/>
  <c r="PZ289" i="14" s="1"/>
  <c r="QA289" i="14" s="1"/>
  <c r="QB289" i="14" s="1"/>
  <c r="QC289" i="14" s="1"/>
  <c r="QD289" i="14" s="1"/>
  <c r="QE289" i="14" s="1"/>
  <c r="QF289" i="14" s="1"/>
  <c r="QG289" i="14" s="1"/>
  <c r="QH289" i="14" s="1"/>
  <c r="QI289" i="14" s="1"/>
  <c r="QJ289" i="14" s="1"/>
  <c r="QK289" i="14" s="1"/>
  <c r="QL289" i="14" s="1"/>
  <c r="QM289" i="14" s="1"/>
  <c r="QN289" i="14" s="1"/>
  <c r="QO289" i="14" s="1"/>
  <c r="QP289" i="14" s="1"/>
  <c r="QQ289" i="14" s="1"/>
  <c r="QR289" i="14" s="1"/>
  <c r="QS289" i="14" s="1"/>
  <c r="QT289" i="14" s="1"/>
  <c r="QU289" i="14" s="1"/>
  <c r="QV289" i="14" s="1"/>
  <c r="QW289" i="14" s="1"/>
  <c r="QX289" i="14" s="1"/>
  <c r="QY289" i="14" s="1"/>
  <c r="QZ289" i="14" s="1"/>
  <c r="RA289" i="14" s="1"/>
  <c r="RB289" i="14" s="1"/>
  <c r="RC289" i="14" s="1"/>
  <c r="RD289" i="14" s="1"/>
  <c r="RE289" i="14" s="1"/>
  <c r="RF289" i="14" s="1"/>
  <c r="RG289" i="14" s="1"/>
  <c r="RH289" i="14" s="1"/>
  <c r="RI289" i="14" s="1"/>
  <c r="RJ289" i="14" s="1"/>
  <c r="RK289" i="14" s="1"/>
  <c r="RL289" i="14" s="1"/>
  <c r="RM289" i="14" s="1"/>
  <c r="RN289" i="14" s="1"/>
  <c r="RO289" i="14" s="1"/>
  <c r="RP289" i="14" s="1"/>
  <c r="RQ289" i="14" s="1"/>
  <c r="RR289" i="14" s="1"/>
  <c r="RS289" i="14" s="1"/>
  <c r="RT289" i="14" s="1"/>
  <c r="RU289" i="14" s="1"/>
  <c r="RV289" i="14" s="1"/>
  <c r="RW289" i="14" s="1"/>
  <c r="RX289" i="14" s="1"/>
  <c r="RY289" i="14" s="1"/>
  <c r="RZ289" i="14" s="1"/>
  <c r="SA289" i="14" s="1"/>
  <c r="SB289" i="14" s="1"/>
  <c r="SC289" i="14" s="1"/>
  <c r="SD289" i="14" s="1"/>
  <c r="SE289" i="14" s="1"/>
  <c r="SF289" i="14" s="1"/>
  <c r="SG289" i="14" s="1"/>
  <c r="SH289" i="14" s="1"/>
  <c r="SI289" i="14" s="1"/>
  <c r="SJ289" i="14" s="1"/>
  <c r="SK289" i="14" s="1"/>
  <c r="SL289" i="14" s="1"/>
  <c r="SM289" i="14" s="1"/>
  <c r="SN289" i="14" s="1"/>
  <c r="SO289" i="14" s="1"/>
  <c r="SP289" i="14" s="1"/>
  <c r="SQ289" i="14" s="1"/>
  <c r="SR289" i="14" s="1"/>
  <c r="SS289" i="14" s="1"/>
  <c r="ST289" i="14" s="1"/>
  <c r="SU289" i="14" s="1"/>
  <c r="SV289" i="14" s="1"/>
  <c r="SW289" i="14" s="1"/>
  <c r="SX289" i="14" s="1"/>
  <c r="SY289" i="14" s="1"/>
  <c r="SZ289" i="14" s="1"/>
  <c r="TA289" i="14" s="1"/>
  <c r="TB289" i="14" s="1"/>
  <c r="TC289" i="14" s="1"/>
  <c r="TD289" i="14" s="1"/>
  <c r="TE289" i="14" s="1"/>
  <c r="TF289" i="14" s="1"/>
  <c r="TG289" i="14" s="1"/>
  <c r="TH289" i="14" s="1"/>
  <c r="TI289" i="14" s="1"/>
  <c r="TJ289" i="14" s="1"/>
  <c r="TK289" i="14" s="1"/>
  <c r="TL289" i="14" s="1"/>
  <c r="TM289" i="14" s="1"/>
  <c r="TN289" i="14" s="1"/>
  <c r="TO289" i="14" s="1"/>
  <c r="TP289" i="14" s="1"/>
  <c r="TQ289" i="14" s="1"/>
  <c r="TR289" i="14" s="1"/>
  <c r="TS289" i="14" s="1"/>
  <c r="TT289" i="14" s="1"/>
  <c r="TU289" i="14" s="1"/>
  <c r="TV289" i="14" s="1"/>
  <c r="TW289" i="14" s="1"/>
  <c r="TX289" i="14" s="1"/>
  <c r="TY289" i="14" s="1"/>
  <c r="TZ289" i="14" s="1"/>
  <c r="UA289" i="14" s="1"/>
  <c r="UB289" i="14" s="1"/>
  <c r="UC289" i="14" s="1"/>
  <c r="UD289" i="14" s="1"/>
  <c r="UE289" i="14" s="1"/>
  <c r="UF289" i="14" s="1"/>
  <c r="UG289" i="14" s="1"/>
  <c r="UH289" i="14" s="1"/>
  <c r="UI289" i="14" s="1"/>
  <c r="UJ289" i="14" s="1"/>
  <c r="UK289" i="14" s="1"/>
  <c r="UL289" i="14" s="1"/>
  <c r="UM289" i="14" s="1"/>
  <c r="UN289" i="14" s="1"/>
  <c r="UO289" i="14" s="1"/>
  <c r="UP289" i="14" s="1"/>
  <c r="UQ289" i="14" s="1"/>
  <c r="UR289" i="14" s="1"/>
  <c r="US289" i="14" s="1"/>
  <c r="UT289" i="14" s="1"/>
  <c r="UU289" i="14" s="1"/>
  <c r="UV289" i="14" s="1"/>
  <c r="UW289" i="14" s="1"/>
  <c r="UX289" i="14" s="1"/>
  <c r="UY289" i="14" s="1"/>
  <c r="UZ289" i="14" s="1"/>
  <c r="VA289" i="14" s="1"/>
  <c r="VB289" i="14" s="1"/>
  <c r="VC289" i="14" s="1"/>
  <c r="VD289" i="14" s="1"/>
  <c r="VE289" i="14" s="1"/>
  <c r="VF289" i="14" s="1"/>
  <c r="VG289" i="14" s="1"/>
  <c r="VH289" i="14" s="1"/>
  <c r="VI289" i="14" s="1"/>
  <c r="VJ289" i="14" s="1"/>
  <c r="VK289" i="14" s="1"/>
  <c r="VL289" i="14" s="1"/>
  <c r="VM289" i="14" s="1"/>
  <c r="VN289" i="14" s="1"/>
  <c r="VO289" i="14" s="1"/>
  <c r="VP289" i="14" s="1"/>
  <c r="VQ289" i="14" s="1"/>
  <c r="VR289" i="14" s="1"/>
  <c r="VS289" i="14" s="1"/>
  <c r="VT289" i="14" s="1"/>
  <c r="VU289" i="14" s="1"/>
  <c r="VV289" i="14" s="1"/>
  <c r="VW289" i="14" s="1"/>
  <c r="VX289" i="14" s="1"/>
  <c r="VY289" i="14" s="1"/>
  <c r="VZ289" i="14" s="1"/>
  <c r="WA289" i="14" s="1"/>
  <c r="WB289" i="14" s="1"/>
  <c r="WC289" i="14" s="1"/>
  <c r="WD289" i="14" s="1"/>
  <c r="WE289" i="14" s="1"/>
  <c r="WF289" i="14" s="1"/>
  <c r="JG288" i="14"/>
  <c r="IU288" i="14"/>
  <c r="II288" i="14"/>
  <c r="HW288" i="14"/>
  <c r="HK288" i="14"/>
  <c r="GY288" i="14"/>
  <c r="GM288" i="14"/>
  <c r="GA288" i="14"/>
  <c r="FO288" i="14"/>
  <c r="FC288" i="14"/>
  <c r="EQ288" i="14"/>
  <c r="EE288" i="14"/>
  <c r="DS288" i="14"/>
  <c r="DG288" i="14"/>
  <c r="CU288" i="14"/>
  <c r="CI288" i="14"/>
  <c r="BW288" i="14"/>
  <c r="BK288" i="14"/>
  <c r="AY288" i="14"/>
  <c r="AM288" i="14"/>
  <c r="AA288" i="14"/>
  <c r="O288" i="14"/>
  <c r="IR288" i="14"/>
  <c r="AV288" i="14"/>
  <c r="IA288" i="14"/>
  <c r="IY288" i="14"/>
  <c r="JR288" i="14"/>
  <c r="JF288" i="14"/>
  <c r="IT288" i="14"/>
  <c r="IH288" i="14"/>
  <c r="HV288" i="14"/>
  <c r="HJ288" i="14"/>
  <c r="GX288" i="14"/>
  <c r="GL288" i="14"/>
  <c r="FZ288" i="14"/>
  <c r="FN288" i="14"/>
  <c r="FB288" i="14"/>
  <c r="EP288" i="14"/>
  <c r="ED288" i="14"/>
  <c r="DR288" i="14"/>
  <c r="DF288" i="14"/>
  <c r="CT288" i="14"/>
  <c r="CH288" i="14"/>
  <c r="BV288" i="14"/>
  <c r="BJ288" i="14"/>
  <c r="AX288" i="14"/>
  <c r="AL288" i="14"/>
  <c r="Z288" i="14"/>
  <c r="N288" i="14"/>
  <c r="JP288" i="14"/>
  <c r="BH288" i="14"/>
  <c r="HO288" i="14"/>
  <c r="JQ288" i="14"/>
  <c r="JE288" i="14"/>
  <c r="IS288" i="14"/>
  <c r="IG288" i="14"/>
  <c r="HU288" i="14"/>
  <c r="HI288" i="14"/>
  <c r="GW288" i="14"/>
  <c r="GK288" i="14"/>
  <c r="FY288" i="14"/>
  <c r="FM288" i="14"/>
  <c r="FA288" i="14"/>
  <c r="EO288" i="14"/>
  <c r="EC288" i="14"/>
  <c r="DQ288" i="14"/>
  <c r="DE288" i="14"/>
  <c r="CS288" i="14"/>
  <c r="CG288" i="14"/>
  <c r="BU288" i="14"/>
  <c r="BI288" i="14"/>
  <c r="AW288" i="14"/>
  <c r="AK288" i="14"/>
  <c r="Y288" i="14"/>
  <c r="M288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<sst xmlns="http://schemas.openxmlformats.org/spreadsheetml/2006/main" count="70" uniqueCount="68">
  <si>
    <t>工程名稱</t>
  </si>
  <si>
    <t>開工日期</t>
  </si>
  <si>
    <t>工程名稱：</t>
  </si>
  <si>
    <t>監 造 報 表</t>
  </si>
  <si>
    <t>契約數量</t>
    <phoneticPr fontId="2" type="noConversion"/>
  </si>
  <si>
    <t>主辦機關</t>
  </si>
  <si>
    <t>契約金額</t>
  </si>
  <si>
    <t>契約工期</t>
  </si>
  <si>
    <t>監造單位</t>
    <phoneticPr fontId="32" type="noConversion"/>
  </si>
  <si>
    <t>完工期限</t>
    <phoneticPr fontId="32" type="noConversion"/>
  </si>
  <si>
    <t>項次</t>
  </si>
  <si>
    <r>
      <t>工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程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項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目</t>
    </r>
  </si>
  <si>
    <t>單位</t>
  </si>
  <si>
    <t>契約
數量</t>
    <phoneticPr fontId="2" type="noConversion"/>
  </si>
  <si>
    <t>契約
單價</t>
    <phoneticPr fontId="2" type="noConversion"/>
  </si>
  <si>
    <t>契約
複價</t>
    <phoneticPr fontId="2" type="noConversion"/>
  </si>
  <si>
    <t>日期</t>
    <phoneticPr fontId="2" type="noConversion"/>
  </si>
  <si>
    <t>天氣</t>
    <phoneticPr fontId="2" type="noConversion"/>
  </si>
  <si>
    <t>停工天數</t>
    <phoneticPr fontId="2" type="noConversion"/>
  </si>
  <si>
    <t>一、工程進行情況（含重要施工項目及數量）：</t>
    <phoneticPr fontId="2" type="noConversion"/>
  </si>
  <si>
    <t>二、監督依照設計圖說施工（含檢驗停留點及施工抽查等情形）：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</si>
  <si>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</si>
  <si>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</si>
  <si>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剩餘工期</t>
    <phoneticPr fontId="2" type="noConversion"/>
  </si>
  <si>
    <t>累計工期</t>
    <phoneticPr fontId="2" type="noConversion"/>
  </si>
  <si>
    <t>展延/不計天數</t>
    <phoneticPr fontId="2" type="noConversion"/>
  </si>
  <si>
    <t>契約變更次數</t>
    <phoneticPr fontId="2" type="noConversion"/>
  </si>
  <si>
    <t>變更後契約金額</t>
    <phoneticPr fontId="2" type="noConversion"/>
  </si>
  <si>
    <t>表報編號</t>
    <phoneticPr fontId="2" type="noConversion"/>
  </si>
  <si>
    <t>設計單位</t>
    <phoneticPr fontId="32" type="noConversion"/>
  </si>
  <si>
    <t>承包廠商</t>
    <phoneticPr fontId="32" type="noConversion"/>
  </si>
  <si>
    <t>契約單價</t>
    <phoneticPr fontId="2" type="noConversion"/>
  </si>
  <si>
    <t>契約複價</t>
    <phoneticPr fontId="2" type="noConversion"/>
  </si>
  <si>
    <r>
      <t>工</t>
    </r>
    <r>
      <rPr>
        <sz val="10"/>
        <color indexed="8"/>
        <rFont val="標楷體"/>
        <family val="4"/>
        <charset val="136"/>
      </rPr>
      <t xml:space="preserve"> 程 項 目</t>
    </r>
  </si>
  <si>
    <t>完成百分比</t>
    <phoneticPr fontId="32" type="noConversion"/>
  </si>
  <si>
    <t>列印範圍</t>
    <phoneticPr fontId="2" type="noConversion"/>
  </si>
  <si>
    <t>填報日期</t>
    <phoneticPr fontId="2" type="noConversion"/>
  </si>
  <si>
    <t>工程編號</t>
    <phoneticPr fontId="32" type="noConversion"/>
  </si>
  <si>
    <t>累計完成數量</t>
    <phoneticPr fontId="32" type="noConversion"/>
  </si>
  <si>
    <t>累計完成金額</t>
    <phoneticPr fontId="32" type="noConversion"/>
  </si>
  <si>
    <t>公共工程監造報表</t>
    <phoneticPr fontId="2" type="noConversion"/>
  </si>
  <si>
    <t>填報日期：</t>
    <phoneticPr fontId="2" type="noConversion"/>
  </si>
  <si>
    <t>工程名稱</t>
    <phoneticPr fontId="2" type="noConversion"/>
  </si>
  <si>
    <t>契約工期</t>
    <phoneticPr fontId="2" type="noConversion"/>
  </si>
  <si>
    <t>開工日期</t>
    <phoneticPr fontId="2" type="noConversion"/>
  </si>
  <si>
    <t>預訂
完工日期</t>
    <phoneticPr fontId="2" type="noConversion"/>
  </si>
  <si>
    <t>實際
完工日期</t>
    <phoneticPr fontId="2" type="noConversion"/>
  </si>
  <si>
    <t>契約變更次數</t>
    <phoneticPr fontId="2" type="noConversion"/>
  </si>
  <si>
    <t>工期展延天數</t>
    <phoneticPr fontId="2" type="noConversion"/>
  </si>
  <si>
    <t>契約金額</t>
    <phoneticPr fontId="2" type="noConversion"/>
  </si>
  <si>
    <t>預定進度(%)</t>
    <phoneticPr fontId="2" type="noConversion"/>
  </si>
  <si>
    <t>實際進度(%)</t>
    <phoneticPr fontId="2" type="noConversion"/>
  </si>
  <si>
    <t>一、工程進行情況（含約定之重要施工項目及數量）：</t>
    <phoneticPr fontId="2" type="noConversion"/>
  </si>
  <si>
    <t>三、查核材料規格及品質（含約定之檢驗停留點、材料設備管制及檢（試）驗等抽驗情形）：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</si>
  <si>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</si>
  <si>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</si>
  <si>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監造單位簽章：</t>
    <phoneticPr fontId="2" type="noConversion"/>
  </si>
  <si>
    <t>本日天氣：</t>
    <phoneticPr fontId="2" type="noConversion"/>
  </si>
  <si>
    <t>項次</t>
    <phoneticPr fontId="32" type="noConversion"/>
  </si>
  <si>
    <t>工程項目</t>
    <phoneticPr fontId="32" type="noConversion"/>
  </si>
  <si>
    <t>單位</t>
    <phoneticPr fontId="32" type="noConversion"/>
  </si>
  <si>
    <t>契約數量</t>
    <phoneticPr fontId="32" type="noConversion"/>
  </si>
  <si>
    <t>完成數量</t>
    <phoneticPr fontId="32" type="noConversion"/>
  </si>
  <si>
    <t>累計完成數量</t>
    <phoneticPr fontId="32" type="noConversion"/>
  </si>
  <si>
    <t>三、查核材料規格及品質（含約定之檢驗停留點、材料設備管制及檢（試）驗等抽驗情形）：</t>
    <phoneticPr fontId="2" type="noConversion"/>
  </si>
  <si>
    <t>實際完工日</t>
    <phoneticPr fontId="32" type="noConversion"/>
  </si>
  <si>
    <r>
      <t>二、監督依照設計圖說</t>
    </r>
    <r>
      <rPr>
        <sz val="12"/>
        <color rgb="FFFF0000"/>
        <rFont val="標楷體"/>
        <family val="4"/>
        <charset val="136"/>
      </rPr>
      <t>及核定施工圖說</t>
    </r>
    <r>
      <rPr>
        <sz val="12"/>
        <color theme="1"/>
        <rFont val="標楷體"/>
        <family val="4"/>
        <charset val="136"/>
      </rPr>
      <t>施工（含約定之檢驗停留點及施工抽查等情形）：</t>
    </r>
    <phoneticPr fontId="2" type="noConversion"/>
  </si>
  <si>
    <t>監造單位施工抽查驗紀錄</t>
    <phoneticPr fontId="3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</si>
</sst>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6" formatCode="&quot;$&quot;#,##0;[Red]\-&quot;$&quot;#,##0"/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76" formatCode="General&quot;天&quot;"/>
    <numFmt numFmtId="177" formatCode="[$-404]e/m/d;@"/>
    <numFmt numFmtId="178" formatCode="&quot;$&quot;#,##0"/>
    <numFmt numFmtId="179" formatCode="\([$-404]aaaa\);@"/>
    <numFmt numFmtId="180" formatCode="General&quot;次&quot;"/>
    <numFmt numFmtId="181" formatCode="[$-404]e&quot;年&quot;m&quot;月&quot;d&quot;日&quot;;@"/>
    <numFmt numFmtId="182" formatCode="0.00_);[Red]\(0.00\)"/>
    <numFmt numFmtId="183" formatCode="0_);[Red]\(0\)"/>
    <numFmt numFmtId="184" formatCode="_-* #,##0_-;\-* #,##0_-;_-* &quot;-&quot;??_-;_-@_-"/>
    <numFmt numFmtId="185" formatCode="m&quot;月&quot;d&quot;日&quot;"/>
    <numFmt numFmtId="186" formatCode="0.0000%"/>
    <numFmt numFmtId="187" formatCode="#,##0.00_ "/>
    <numFmt numFmtId="188" formatCode="&quot;主辦機關：&quot;General"/>
    <numFmt numFmtId="189" formatCode="&quot;原契約：&quot;#,##0"/>
    <numFmt numFmtId="190" formatCode="&quot;變更後契約：&quot;#,##0"/>
    <numFmt numFmtId="191" formatCode="0.0%"/>
    <numFmt numFmtId="192" formatCode="#,##0_);[Red]\(#,##0\)"/>
    <numFmt numFmtId="193" formatCode="_-* #,##0.000_-;\-* #,##0.000_-;_-* &quot;-&quot;??_-;_-@_-"/>
    <numFmt numFmtId="194" formatCode="_-* #,##0.00_-;\-* #,##0.00_-;_-* &quot;-&quot;?_-;_-@_-"/>
    <numFmt numFmtId="195" formatCode="_-* #,##0.0_-;\-* #,##0.0_-;_-* &quot;-&quot;_-;_-@_-"/>
    <numFmt numFmtId="196" formatCode="[=0]&quot;&quot;;General"/>
    <numFmt numFmtId="197" formatCode="#,##0.0_);\(#,##0.0\)"/>
    <numFmt numFmtId="198" formatCode="0.000000%"/>
    <numFmt numFmtId="199" formatCode="0.0000_);[Red]\(0.0000\)"/>
  </numFmts>
  <fonts count="67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0"/>
      <name val="Helv"/>
      <family val="2"/>
    </font>
    <font>
      <sz val="12"/>
      <name val="新細明體"/>
      <family val="1"/>
      <charset val="136"/>
    </font>
    <font>
      <sz val="12"/>
      <name val="Times New Roman"/>
      <family val="1"/>
    </font>
    <font>
      <u/>
      <sz val="12"/>
      <color indexed="36"/>
      <name val="Times New Roman"/>
      <family val="1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0"/>
      <name val="Arial"/>
      <family val="2"/>
    </font>
    <font>
      <sz val="12"/>
      <color indexed="1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sz val="12"/>
      <color indexed="10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6"/>
      <color theme="1"/>
      <name val="標楷體"/>
      <family val="4"/>
      <charset val="136"/>
    </font>
    <font>
      <b/>
      <sz val="2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2"/>
      <color rgb="FFFF0000"/>
      <name val="標楷體"/>
      <family val="4"/>
      <charset val="136"/>
    </font>
    <font>
      <sz val="9"/>
      <name val="新細明體"/>
      <family val="1"/>
      <charset val="136"/>
      <scheme val="minor"/>
    </font>
    <font>
      <sz val="10"/>
      <name val="標楷體"/>
      <family val="4"/>
      <charset val="136"/>
    </font>
    <font>
      <sz val="10"/>
      <color indexed="8"/>
      <name val="標楷體"/>
      <family val="4"/>
      <charset val="136"/>
    </font>
    <font>
      <sz val="9"/>
      <color theme="1"/>
      <name val="標楷體"/>
      <family val="4"/>
      <charset val="136"/>
    </font>
    <font>
      <sz val="9"/>
      <color indexed="8"/>
      <name val="Times New Roman"/>
      <family val="1"/>
    </font>
    <font>
      <sz val="9"/>
      <color indexed="8"/>
      <name val="標楷體"/>
      <family val="4"/>
      <charset val="136"/>
    </font>
    <font>
      <u/>
      <sz val="11"/>
      <color theme="1"/>
      <name val="標楷體"/>
      <family val="4"/>
      <charset val="136"/>
    </font>
    <font>
      <sz val="10"/>
      <color theme="1"/>
      <name val="標楷體"/>
      <family val="4"/>
      <charset val="136"/>
    </font>
    <font>
      <sz val="11"/>
      <color theme="1"/>
      <name val="標楷體"/>
      <family val="4"/>
      <charset val="136"/>
    </font>
    <font>
      <sz val="12"/>
      <name val="標楷體"/>
      <family val="4"/>
      <charset val="136"/>
    </font>
    <font>
      <b/>
      <sz val="12"/>
      <color indexed="10"/>
      <name val="標楷體"/>
      <family val="4"/>
      <charset val="136"/>
    </font>
    <font>
      <sz val="12"/>
      <color indexed="10"/>
      <name val="標楷體"/>
      <family val="4"/>
      <charset val="136"/>
    </font>
    <font>
      <sz val="10"/>
      <name val="新細明體"/>
      <family val="1"/>
      <charset val="136"/>
    </font>
    <font>
      <sz val="11"/>
      <color indexed="10"/>
      <name val="標楷體"/>
      <family val="4"/>
      <charset val="136"/>
    </font>
    <font>
      <sz val="12"/>
      <color rgb="FF000000"/>
      <name val="標楷體"/>
      <family val="4"/>
      <charset val="136"/>
    </font>
    <font>
      <sz val="10"/>
      <color rgb="FFFF0000"/>
      <name val="標楷體"/>
      <family val="4"/>
      <charset val="136"/>
    </font>
    <font>
      <sz val="8"/>
      <color rgb="FFFF0000"/>
      <name val="標楷體"/>
      <family val="4"/>
      <charset val="136"/>
    </font>
    <font>
      <sz val="11"/>
      <name val="標楷體"/>
      <family val="4"/>
      <charset val="136"/>
    </font>
    <font>
      <b/>
      <sz val="20"/>
      <color theme="1"/>
      <name val="標楷體"/>
      <family val="4"/>
      <charset val="136"/>
    </font>
    <font>
      <sz val="11.5"/>
      <color theme="1"/>
      <name val="標楷體"/>
      <family val="4"/>
      <charset val="136"/>
    </font>
    <font>
      <sz val="11.5"/>
      <color rgb="FFFF0000"/>
      <name val="標楷體"/>
      <family val="4"/>
      <charset val="136"/>
    </font>
    <font>
      <sz val="12"/>
      <color indexed="60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8"/>
      <name val="Times"/>
      <family val="1"/>
    </font>
    <font>
      <b/>
      <sz val="8.3000000000000007"/>
      <name val="Helv"/>
      <family val="2"/>
    </font>
    <font>
      <sz val="8"/>
      <name val="Arial"/>
      <family val="2"/>
    </font>
    <font>
      <b/>
      <sz val="10"/>
      <name val="Times"/>
      <family val="1"/>
    </font>
    <font>
      <i/>
      <sz val="8"/>
      <name val="Times"/>
      <family val="1"/>
    </font>
    <font>
      <sz val="12"/>
      <name val="Courier"/>
      <family val="3"/>
    </font>
    <font>
      <sz val="10"/>
      <name val="ＭＳ 明朝"/>
      <family val="3"/>
    </font>
  </fonts>
  <fills count="33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6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gray0625">
        <fgColor indexed="12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45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51">
    <xf numFmtId="0" fontId="0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4" fillId="0" borderId="0"/>
    <xf numFmtId="0" fontId="7" fillId="3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9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0" fillId="9" borderId="0" applyNumberFormat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3" fillId="6" borderId="2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4" fillId="7" borderId="4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0" borderId="0"/>
    <xf numFmtId="0" fontId="20" fillId="9" borderId="2" applyNumberFormat="0" applyAlignment="0" applyProtection="0">
      <alignment vertical="center"/>
    </xf>
    <xf numFmtId="0" fontId="21" fillId="6" borderId="8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2" fillId="15" borderId="9" applyNumberFormat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9" fillId="0" borderId="0"/>
    <xf numFmtId="0" fontId="5" fillId="0" borderId="0"/>
    <xf numFmtId="0" fontId="1" fillId="2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60" fillId="0" borderId="0"/>
    <xf numFmtId="0" fontId="61" fillId="27" borderId="30" applyNumberFormat="0" applyAlignment="0"/>
    <xf numFmtId="37" fontId="62" fillId="0" borderId="0" applyFill="0" applyBorder="0" applyAlignment="0" applyProtection="0"/>
    <xf numFmtId="197" fontId="62" fillId="0" borderId="0" applyFill="0" applyBorder="0" applyAlignment="0" applyProtection="0"/>
    <xf numFmtId="0" fontId="63" fillId="0" borderId="0"/>
    <xf numFmtId="0" fontId="64" fillId="0" borderId="0"/>
    <xf numFmtId="0" fontId="9" fillId="0" borderId="0"/>
    <xf numFmtId="4" fontId="62" fillId="0" borderId="0"/>
    <xf numFmtId="3" fontId="62" fillId="0" borderId="0" applyNumberFormat="0" applyFont="0" applyAlignment="0"/>
    <xf numFmtId="0" fontId="9" fillId="0" borderId="0"/>
    <xf numFmtId="0" fontId="26" fillId="0" borderId="0">
      <alignment vertical="center"/>
    </xf>
    <xf numFmtId="0" fontId="4" fillId="0" borderId="0"/>
    <xf numFmtId="0" fontId="1" fillId="0" borderId="0">
      <alignment vertical="center"/>
    </xf>
    <xf numFmtId="0" fontId="4" fillId="0" borderId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3" fillId="9" borderId="0" applyNumberFormat="0" applyBorder="0" applyAlignment="0" applyProtection="0">
      <alignment vertical="center"/>
    </xf>
    <xf numFmtId="0" fontId="11" fillId="0" borderId="31" applyNumberFormat="0" applyFill="0" applyAlignment="0" applyProtection="0">
      <alignment vertical="center"/>
    </xf>
    <xf numFmtId="0" fontId="11" fillId="0" borderId="32" applyNumberFormat="0" applyFill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54" fillId="29" borderId="33" applyNumberFormat="0" applyAlignment="0" applyProtection="0">
      <alignment vertical="center"/>
    </xf>
    <xf numFmtId="0" fontId="13" fillId="6" borderId="33" applyNumberFormat="0" applyAlignment="0" applyProtection="0">
      <alignment vertical="center"/>
    </xf>
    <xf numFmtId="6" fontId="65" fillId="0" borderId="0" applyFont="0" applyFill="0" applyBorder="0" applyAlignment="0" applyProtection="0"/>
    <xf numFmtId="0" fontId="55" fillId="0" borderId="34" applyNumberFormat="0" applyFill="0" applyAlignment="0" applyProtection="0">
      <alignment vertical="center"/>
    </xf>
    <xf numFmtId="0" fontId="4" fillId="7" borderId="35" applyNumberFormat="0" applyFont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66" fillId="0" borderId="0"/>
    <xf numFmtId="0" fontId="56" fillId="0" borderId="0" applyNumberFormat="0" applyFill="0" applyBorder="0" applyAlignment="0" applyProtection="0">
      <alignment vertical="center"/>
    </xf>
    <xf numFmtId="0" fontId="57" fillId="0" borderId="36" applyNumberFormat="0" applyFill="0" applyAlignment="0" applyProtection="0">
      <alignment vertical="center"/>
    </xf>
    <xf numFmtId="0" fontId="58" fillId="0" borderId="37" applyNumberFormat="0" applyFill="0" applyAlignment="0" applyProtection="0">
      <alignment vertical="center"/>
    </xf>
    <xf numFmtId="0" fontId="59" fillId="0" borderId="38" applyNumberFormat="0" applyFill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20" fillId="4" borderId="33" applyNumberFormat="0" applyAlignment="0" applyProtection="0">
      <alignment vertical="center"/>
    </xf>
    <xf numFmtId="0" fontId="20" fillId="9" borderId="33" applyNumberFormat="0" applyAlignment="0" applyProtection="0">
      <alignment vertical="center"/>
    </xf>
    <xf numFmtId="0" fontId="21" fillId="29" borderId="39" applyNumberFormat="0" applyAlignment="0" applyProtection="0">
      <alignment vertical="center"/>
    </xf>
    <xf numFmtId="0" fontId="21" fillId="6" borderId="39" applyNumberFormat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</cellStyleXfs>
  <cellXfs count="163">
    <xf numFmtId="0" fontId="0" fillId="0" borderId="0" xfId="0">
      <alignment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left" vertical="center" indent="10"/>
    </xf>
    <xf numFmtId="10" fontId="38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83" fontId="39" fillId="0" borderId="0" xfId="0" applyNumberFormat="1" applyFont="1" applyAlignment="1">
      <alignment horizontal="center" vertical="center"/>
    </xf>
    <xf numFmtId="177" fontId="39" fillId="0" borderId="0" xfId="0" applyNumberFormat="1" applyFont="1" applyAlignment="1">
      <alignment horizontal="center" vertical="center"/>
    </xf>
    <xf numFmtId="0" fontId="0" fillId="0" borderId="0" xfId="0" applyAlignment="1"/>
    <xf numFmtId="0" fontId="41" fillId="0" borderId="0" xfId="0" applyFont="1">
      <alignment vertical="center"/>
    </xf>
    <xf numFmtId="185" fontId="41" fillId="0" borderId="0" xfId="0" applyNumberFormat="1" applyFont="1">
      <alignment vertical="center"/>
    </xf>
    <xf numFmtId="181" fontId="42" fillId="0" borderId="0" xfId="0" applyNumberFormat="1" applyFont="1">
      <alignment vertical="center"/>
    </xf>
    <xf numFmtId="0" fontId="41" fillId="0" borderId="21" xfId="0" applyFont="1" applyBorder="1" applyAlignment="1">
      <alignment horizontal="center" vertical="center"/>
    </xf>
    <xf numFmtId="186" fontId="41" fillId="0" borderId="0" xfId="0" applyNumberFormat="1" applyFont="1">
      <alignment vertical="center"/>
    </xf>
    <xf numFmtId="0" fontId="41" fillId="0" borderId="0" xfId="0" applyFont="1" applyAlignment="1">
      <alignment vertical="center" shrinkToFit="1"/>
    </xf>
    <xf numFmtId="0" fontId="41" fillId="0" borderId="0" xfId="0" applyFont="1" applyAlignment="1">
      <alignment horizontal="center" vertical="center"/>
    </xf>
    <xf numFmtId="0" fontId="44" fillId="0" borderId="0" xfId="0" applyFont="1" applyAlignment="1"/>
    <xf numFmtId="187" fontId="44" fillId="0" borderId="0" xfId="0" applyNumberFormat="1" applyFont="1" applyAlignment="1"/>
    <xf numFmtId="14" fontId="45" fillId="0" borderId="22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 wrapText="1"/>
    </xf>
    <xf numFmtId="177" fontId="39" fillId="0" borderId="23" xfId="0" applyNumberFormat="1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 wrapText="1"/>
    </xf>
    <xf numFmtId="0" fontId="35" fillId="0" borderId="23" xfId="0" applyFont="1" applyBorder="1" applyAlignment="1">
      <alignment vertical="center" wrapText="1"/>
    </xf>
    <xf numFmtId="182" fontId="35" fillId="0" borderId="23" xfId="0" applyNumberFormat="1" applyFont="1" applyBorder="1" applyAlignment="1">
      <alignment horizontal="right" vertical="center" wrapText="1"/>
    </xf>
    <xf numFmtId="41" fontId="35" fillId="0" borderId="23" xfId="0" applyNumberFormat="1" applyFont="1" applyBorder="1" applyAlignment="1">
      <alignment horizontal="right" vertical="center" wrapText="1"/>
    </xf>
    <xf numFmtId="10" fontId="35" fillId="0" borderId="23" xfId="69" applyNumberFormat="1" applyFont="1" applyBorder="1" applyAlignment="1">
      <alignment horizontal="right" vertical="center" wrapText="1"/>
    </xf>
    <xf numFmtId="0" fontId="35" fillId="19" borderId="23" xfId="0" applyFont="1" applyFill="1" applyBorder="1" applyAlignment="1">
      <alignment horizontal="center" vertical="center" wrapText="1"/>
    </xf>
    <xf numFmtId="0" fontId="35" fillId="19" borderId="23" xfId="0" applyFont="1" applyFill="1" applyBorder="1" applyAlignment="1">
      <alignment horizontal="distributed" vertical="center" wrapText="1"/>
    </xf>
    <xf numFmtId="182" fontId="35" fillId="19" borderId="23" xfId="0" applyNumberFormat="1" applyFont="1" applyFill="1" applyBorder="1" applyAlignment="1">
      <alignment horizontal="right" vertical="center" wrapText="1"/>
    </xf>
    <xf numFmtId="41" fontId="35" fillId="19" borderId="23" xfId="0" applyNumberFormat="1" applyFont="1" applyFill="1" applyBorder="1" applyAlignment="1">
      <alignment horizontal="right" vertical="center" wrapText="1"/>
    </xf>
    <xf numFmtId="184" fontId="35" fillId="0" borderId="23" xfId="0" applyNumberFormat="1" applyFont="1" applyBorder="1">
      <alignment vertical="center"/>
    </xf>
    <xf numFmtId="0" fontId="39" fillId="0" borderId="19" xfId="0" applyFont="1" applyBorder="1" applyAlignment="1">
      <alignment horizontal="center" vertical="center" wrapText="1"/>
    </xf>
    <xf numFmtId="0" fontId="39" fillId="0" borderId="23" xfId="0" applyFont="1" applyBorder="1" applyAlignment="1">
      <alignment horizontal="center" vertical="center"/>
    </xf>
    <xf numFmtId="178" fontId="30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35" fillId="21" borderId="23" xfId="0" applyFont="1" applyFill="1" applyBorder="1" applyAlignment="1">
      <alignment horizontal="center" vertical="center" wrapText="1"/>
    </xf>
    <xf numFmtId="0" fontId="35" fillId="21" borderId="23" xfId="0" applyFont="1" applyFill="1" applyBorder="1" applyAlignment="1">
      <alignment vertical="center" wrapText="1"/>
    </xf>
    <xf numFmtId="182" fontId="35" fillId="21" borderId="23" xfId="0" applyNumberFormat="1" applyFont="1" applyFill="1" applyBorder="1" applyAlignment="1">
      <alignment horizontal="right" vertical="center" wrapText="1"/>
    </xf>
    <xf numFmtId="41" fontId="35" fillId="21" borderId="23" xfId="0" applyNumberFormat="1" applyFont="1" applyFill="1" applyBorder="1" applyAlignment="1">
      <alignment horizontal="right" vertical="center" wrapText="1"/>
    </xf>
    <xf numFmtId="10" fontId="35" fillId="21" borderId="23" xfId="69" applyNumberFormat="1" applyFont="1" applyFill="1" applyBorder="1" applyAlignment="1">
      <alignment horizontal="right" vertical="center" wrapText="1"/>
    </xf>
    <xf numFmtId="0" fontId="0" fillId="21" borderId="0" xfId="0" applyFill="1">
      <alignment vertical="center"/>
    </xf>
    <xf numFmtId="0" fontId="47" fillId="0" borderId="0" xfId="0" applyFont="1" applyAlignment="1">
      <alignment horizontal="center" vertical="center"/>
    </xf>
    <xf numFmtId="0" fontId="35" fillId="0" borderId="23" xfId="0" applyFont="1" applyBorder="1" applyAlignment="1">
      <alignment horizontal="left" vertical="center" wrapText="1"/>
    </xf>
    <xf numFmtId="10" fontId="35" fillId="0" borderId="23" xfId="69" applyNumberFormat="1" applyFont="1" applyFill="1" applyBorder="1" applyAlignment="1">
      <alignment horizontal="right" vertical="center" wrapText="1"/>
    </xf>
    <xf numFmtId="0" fontId="30" fillId="0" borderId="14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 wrapText="1"/>
    </xf>
    <xf numFmtId="0" fontId="39" fillId="0" borderId="0" xfId="0" applyFont="1">
      <alignment vertical="center"/>
    </xf>
    <xf numFmtId="0" fontId="49" fillId="0" borderId="17" xfId="0" applyFont="1" applyBorder="1" applyAlignment="1">
      <alignment horizontal="center" vertical="center"/>
    </xf>
    <xf numFmtId="0" fontId="49" fillId="0" borderId="23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179" fontId="39" fillId="0" borderId="0" xfId="0" applyNumberFormat="1" applyFont="1" applyAlignment="1">
      <alignment horizontal="distributed" vertical="center"/>
    </xf>
    <xf numFmtId="0" fontId="49" fillId="0" borderId="18" xfId="0" applyFont="1" applyBorder="1" applyAlignment="1">
      <alignment horizontal="center" vertical="center"/>
    </xf>
    <xf numFmtId="43" fontId="49" fillId="0" borderId="18" xfId="0" applyNumberFormat="1" applyFont="1" applyBorder="1">
      <alignment vertical="center"/>
    </xf>
    <xf numFmtId="177" fontId="39" fillId="0" borderId="29" xfId="0" applyNumberFormat="1" applyFont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9" fillId="0" borderId="29" xfId="0" applyFont="1" applyBorder="1" applyAlignment="1">
      <alignment horizontal="center" vertical="center"/>
    </xf>
    <xf numFmtId="14" fontId="39" fillId="0" borderId="29" xfId="0" applyNumberFormat="1" applyFont="1" applyBorder="1" applyAlignment="1">
      <alignment horizontal="center" vertical="center" wrapText="1"/>
    </xf>
    <xf numFmtId="0" fontId="47" fillId="0" borderId="29" xfId="70" applyFont="1" applyBorder="1" applyAlignment="1">
      <alignment horizontal="center" vertical="center"/>
    </xf>
    <xf numFmtId="0" fontId="47" fillId="0" borderId="29" xfId="0" applyFont="1" applyBorder="1" applyAlignment="1">
      <alignment horizontal="left" vertical="top" wrapText="1"/>
    </xf>
    <xf numFmtId="0" fontId="48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/>
    </xf>
    <xf numFmtId="0" fontId="47" fillId="0" borderId="29" xfId="70" applyFont="1" applyBorder="1" applyAlignment="1">
      <alignment horizontal="left" vertical="top"/>
    </xf>
    <xf numFmtId="0" fontId="47" fillId="0" borderId="29" xfId="0" applyFont="1" applyBorder="1" applyAlignment="1">
      <alignment horizontal="center" vertical="center"/>
    </xf>
    <xf numFmtId="42" fontId="39" fillId="0" borderId="0" xfId="44" applyNumberFormat="1" applyFont="1" applyAlignment="1">
      <alignment horizontal="center" vertical="center"/>
    </xf>
    <xf numFmtId="41" fontId="33" fillId="0" borderId="29" xfId="44" applyNumberFormat="1" applyFont="1" applyFill="1" applyBorder="1" applyAlignment="1">
      <alignment horizontal="center" vertical="center"/>
    </xf>
    <xf numFmtId="191" fontId="43" fillId="0" borderId="20" xfId="0" applyNumberFormat="1" applyFont="1" applyBorder="1" applyAlignment="1">
      <alignment horizontal="center" vertical="center"/>
    </xf>
    <xf numFmtId="176" fontId="51" fillId="0" borderId="23" xfId="0" applyNumberFormat="1" applyFont="1" applyBorder="1">
      <alignment vertical="center"/>
    </xf>
    <xf numFmtId="180" fontId="51" fillId="0" borderId="23" xfId="0" applyNumberFormat="1" applyFont="1" applyBorder="1">
      <alignment vertical="center"/>
    </xf>
    <xf numFmtId="177" fontId="51" fillId="0" borderId="23" xfId="0" applyNumberFormat="1" applyFont="1" applyBorder="1" applyAlignment="1">
      <alignment horizontal="center" vertical="center"/>
    </xf>
    <xf numFmtId="10" fontId="35" fillId="0" borderId="0" xfId="69" applyNumberFormat="1" applyFont="1" applyAlignment="1">
      <alignment horizontal="center" vertical="center"/>
    </xf>
    <xf numFmtId="192" fontId="35" fillId="0" borderId="0" xfId="0" applyNumberFormat="1" applyFont="1" applyAlignment="1">
      <alignment horizontal="center" vertical="center"/>
    </xf>
    <xf numFmtId="192" fontId="35" fillId="0" borderId="0" xfId="69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35" fillId="0" borderId="0" xfId="0" applyFont="1" applyAlignment="1">
      <alignment horizontal="left" vertical="center"/>
    </xf>
    <xf numFmtId="41" fontId="35" fillId="0" borderId="0" xfId="0" applyNumberFormat="1" applyFont="1" applyAlignment="1">
      <alignment horizontal="left" vertical="center"/>
    </xf>
    <xf numFmtId="41" fontId="35" fillId="19" borderId="0" xfId="0" applyNumberFormat="1" applyFont="1" applyFill="1" applyAlignment="1">
      <alignment horizontal="left" vertical="center"/>
    </xf>
    <xf numFmtId="10" fontId="38" fillId="0" borderId="0" xfId="0" applyNumberFormat="1" applyFont="1" applyAlignment="1">
      <alignment horizontal="left" vertical="center"/>
    </xf>
    <xf numFmtId="193" fontId="35" fillId="20" borderId="23" xfId="0" applyNumberFormat="1" applyFont="1" applyFill="1" applyBorder="1">
      <alignment vertical="center"/>
    </xf>
    <xf numFmtId="194" fontId="49" fillId="0" borderId="23" xfId="0" applyNumberFormat="1" applyFont="1" applyBorder="1">
      <alignment vertical="center"/>
    </xf>
    <xf numFmtId="43" fontId="35" fillId="20" borderId="23" xfId="0" applyNumberFormat="1" applyFont="1" applyFill="1" applyBorder="1">
      <alignment vertical="center"/>
    </xf>
    <xf numFmtId="43" fontId="35" fillId="20" borderId="23" xfId="69" applyNumberFormat="1" applyFont="1" applyFill="1" applyBorder="1">
      <alignment vertical="center"/>
    </xf>
    <xf numFmtId="195" fontId="35" fillId="21" borderId="23" xfId="0" applyNumberFormat="1" applyFont="1" applyFill="1" applyBorder="1" applyAlignment="1">
      <alignment horizontal="right" vertical="center" wrapText="1"/>
    </xf>
    <xf numFmtId="0" fontId="48" fillId="0" borderId="0" xfId="0" applyFont="1" applyAlignment="1">
      <alignment horizontal="center" vertical="center" wrapText="1"/>
    </xf>
    <xf numFmtId="10" fontId="35" fillId="0" borderId="23" xfId="0" applyNumberFormat="1" applyFont="1" applyBorder="1" applyAlignment="1">
      <alignment horizontal="center" vertical="center"/>
    </xf>
    <xf numFmtId="10" fontId="0" fillId="0" borderId="0" xfId="0" applyNumberFormat="1">
      <alignment vertical="center"/>
    </xf>
    <xf numFmtId="193" fontId="35" fillId="20" borderId="40" xfId="0" applyNumberFormat="1" applyFont="1" applyFill="1" applyBorder="1">
      <alignment vertical="center"/>
    </xf>
    <xf numFmtId="43" fontId="35" fillId="20" borderId="40" xfId="0" applyNumberFormat="1" applyFont="1" applyFill="1" applyBorder="1">
      <alignment vertical="center"/>
    </xf>
    <xf numFmtId="198" fontId="35" fillId="0" borderId="0" xfId="69" applyNumberFormat="1" applyFont="1" applyAlignment="1">
      <alignment horizontal="center" vertical="center"/>
    </xf>
    <xf numFmtId="0" fontId="35" fillId="0" borderId="41" xfId="0" applyFont="1" applyBorder="1" applyAlignment="1">
      <alignment horizontal="center" vertical="center" wrapText="1"/>
    </xf>
    <xf numFmtId="0" fontId="35" fillId="0" borderId="41" xfId="0" applyFont="1" applyBorder="1" applyAlignment="1">
      <alignment horizontal="left" vertical="center" wrapText="1"/>
    </xf>
    <xf numFmtId="41" fontId="35" fillId="0" borderId="41" xfId="0" applyNumberFormat="1" applyFont="1" applyBorder="1" applyAlignment="1">
      <alignment horizontal="right" vertical="center" wrapText="1"/>
    </xf>
    <xf numFmtId="43" fontId="35" fillId="20" borderId="41" xfId="0" applyNumberFormat="1" applyFont="1" applyFill="1" applyBorder="1">
      <alignment vertical="center"/>
    </xf>
    <xf numFmtId="193" fontId="35" fillId="20" borderId="41" xfId="0" applyNumberFormat="1" applyFont="1" applyFill="1" applyBorder="1">
      <alignment vertical="center"/>
    </xf>
    <xf numFmtId="10" fontId="35" fillId="0" borderId="13" xfId="0" applyNumberFormat="1" applyFont="1" applyBorder="1" applyAlignment="1">
      <alignment horizontal="center" vertical="center"/>
    </xf>
    <xf numFmtId="10" fontId="39" fillId="0" borderId="10" xfId="0" applyNumberFormat="1" applyFont="1" applyBorder="1">
      <alignment vertical="center"/>
    </xf>
    <xf numFmtId="43" fontId="35" fillId="21" borderId="23" xfId="0" applyNumberFormat="1" applyFont="1" applyFill="1" applyBorder="1">
      <alignment vertical="center"/>
    </xf>
    <xf numFmtId="176" fontId="30" fillId="0" borderId="0" xfId="0" applyNumberFormat="1" applyFont="1" applyAlignment="1">
      <alignment horizontal="left" vertical="center"/>
    </xf>
    <xf numFmtId="181" fontId="30" fillId="0" borderId="0" xfId="0" applyNumberFormat="1" applyFont="1" applyAlignment="1">
      <alignment horizontal="left" vertical="center"/>
    </xf>
    <xf numFmtId="0" fontId="47" fillId="19" borderId="29" xfId="0" applyFont="1" applyFill="1" applyBorder="1" applyAlignment="1">
      <alignment horizontal="left" vertical="top" wrapText="1"/>
    </xf>
    <xf numFmtId="199" fontId="35" fillId="21" borderId="23" xfId="0" applyNumberFormat="1" applyFont="1" applyFill="1" applyBorder="1">
      <alignment vertical="center"/>
    </xf>
    <xf numFmtId="199" fontId="35" fillId="21" borderId="23" xfId="0" applyNumberFormat="1" applyFont="1" applyFill="1" applyBorder="1" applyAlignment="1">
      <alignment horizontal="right" vertical="center" wrapText="1"/>
    </xf>
    <xf numFmtId="0" fontId="33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 wrapText="1"/>
    </xf>
    <xf numFmtId="177" fontId="39" fillId="0" borderId="29" xfId="0" applyNumberFormat="1" applyFont="1" applyBorder="1" applyAlignment="1">
      <alignment horizontal="center" vertical="center" wrapText="1"/>
    </xf>
    <xf numFmtId="0" fontId="33" fillId="0" borderId="29" xfId="0" applyFont="1" applyBorder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188" fontId="29" fillId="0" borderId="0" xfId="0" applyNumberFormat="1" applyFont="1" applyAlignment="1">
      <alignment horizontal="left" vertical="center" indent="7"/>
    </xf>
    <xf numFmtId="0" fontId="29" fillId="0" borderId="0" xfId="0" applyFont="1" applyAlignment="1">
      <alignment horizontal="left" vertical="center" indent="7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49" fillId="0" borderId="23" xfId="0" applyFont="1" applyBorder="1" applyAlignment="1">
      <alignment horizontal="left" vertical="center"/>
    </xf>
    <xf numFmtId="189" fontId="40" fillId="0" borderId="11" xfId="0" applyNumberFormat="1" applyFont="1" applyBorder="1" applyAlignment="1">
      <alignment horizontal="left" vertical="center"/>
    </xf>
    <xf numFmtId="189" fontId="40" fillId="0" borderId="27" xfId="0" applyNumberFormat="1" applyFont="1" applyBorder="1" applyAlignment="1">
      <alignment horizontal="left" vertical="center"/>
    </xf>
    <xf numFmtId="190" fontId="40" fillId="0" borderId="11" xfId="0" applyNumberFormat="1" applyFont="1" applyBorder="1" applyAlignment="1">
      <alignment horizontal="left" vertical="center"/>
    </xf>
    <xf numFmtId="190" fontId="40" fillId="0" borderId="27" xfId="0" applyNumberFormat="1" applyFont="1" applyBorder="1" applyAlignment="1">
      <alignment horizontal="left" vertical="center"/>
    </xf>
    <xf numFmtId="0" fontId="50" fillId="0" borderId="0" xfId="0" applyFont="1" applyAlignment="1">
      <alignment horizontal="center" vertical="center"/>
    </xf>
    <xf numFmtId="181" fontId="39" fillId="0" borderId="0" xfId="0" applyNumberFormat="1" applyFont="1" applyAlignment="1">
      <alignment horizontal="distributed" vertical="center"/>
    </xf>
    <xf numFmtId="0" fontId="30" fillId="0" borderId="15" xfId="0" applyFont="1" applyBorder="1" applyAlignment="1">
      <alignment horizontal="left" vertical="center"/>
    </xf>
    <xf numFmtId="0" fontId="30" fillId="0" borderId="16" xfId="0" applyFont="1" applyBorder="1" applyAlignment="1">
      <alignment horizontal="left" vertical="center"/>
    </xf>
    <xf numFmtId="0" fontId="30" fillId="0" borderId="23" xfId="0" applyFont="1" applyBorder="1" applyAlignment="1">
      <alignment horizontal="center" vertical="center" wrapText="1"/>
    </xf>
    <xf numFmtId="0" fontId="30" fillId="0" borderId="23" xfId="0" applyFont="1" applyBorder="1" applyAlignment="1">
      <alignment horizontal="center" vertical="center"/>
    </xf>
    <xf numFmtId="177" fontId="52" fillId="0" borderId="23" xfId="0" applyNumberFormat="1" applyFont="1" applyBorder="1" applyAlignment="1">
      <alignment horizontal="center" vertical="center"/>
    </xf>
    <xf numFmtId="177" fontId="52" fillId="0" borderId="18" xfId="0" applyNumberFormat="1" applyFont="1" applyBorder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28" xfId="0" applyFont="1" applyBorder="1" applyAlignment="1">
      <alignment horizontal="left" vertical="center"/>
    </xf>
    <xf numFmtId="0" fontId="30" fillId="0" borderId="17" xfId="0" applyFont="1" applyBorder="1" applyAlignment="1">
      <alignment horizontal="center" vertical="center"/>
    </xf>
    <xf numFmtId="10" fontId="51" fillId="0" borderId="23" xfId="0" applyNumberFormat="1" applyFont="1" applyBorder="1" applyAlignment="1">
      <alignment horizontal="center" vertical="center"/>
    </xf>
    <xf numFmtId="0" fontId="31" fillId="0" borderId="17" xfId="0" applyFont="1" applyBorder="1" applyAlignment="1">
      <alignment horizontal="left" vertical="top" wrapText="1"/>
    </xf>
    <xf numFmtId="0" fontId="31" fillId="0" borderId="23" xfId="0" applyFont="1" applyBorder="1" applyAlignment="1">
      <alignment horizontal="left" vertical="top"/>
    </xf>
    <xf numFmtId="0" fontId="31" fillId="0" borderId="18" xfId="0" applyFont="1" applyBorder="1" applyAlignment="1">
      <alignment horizontal="left" vertical="top"/>
    </xf>
    <xf numFmtId="0" fontId="41" fillId="0" borderId="17" xfId="0" applyFont="1" applyBorder="1" applyAlignment="1">
      <alignment horizontal="left" vertical="top"/>
    </xf>
    <xf numFmtId="0" fontId="41" fillId="0" borderId="23" xfId="0" applyFont="1" applyBorder="1" applyAlignment="1">
      <alignment horizontal="left" vertical="top"/>
    </xf>
    <xf numFmtId="0" fontId="41" fillId="0" borderId="18" xfId="0" applyFont="1" applyBorder="1" applyAlignment="1">
      <alignment horizontal="left" vertical="top"/>
    </xf>
    <xf numFmtId="196" fontId="31" fillId="0" borderId="17" xfId="0" applyNumberFormat="1" applyFont="1" applyBorder="1" applyAlignment="1">
      <alignment horizontal="left" vertical="top" wrapText="1"/>
    </xf>
    <xf numFmtId="196" fontId="31" fillId="0" borderId="23" xfId="0" applyNumberFormat="1" applyFont="1" applyBorder="1" applyAlignment="1">
      <alignment horizontal="left" vertical="top" wrapText="1"/>
    </xf>
    <xf numFmtId="196" fontId="31" fillId="0" borderId="18" xfId="0" applyNumberFormat="1" applyFont="1" applyBorder="1" applyAlignment="1">
      <alignment horizontal="left" vertical="top" wrapText="1"/>
    </xf>
    <xf numFmtId="0" fontId="30" fillId="0" borderId="24" xfId="0" applyFont="1" applyBorder="1" applyAlignment="1">
      <alignment horizontal="left" vertical="top"/>
    </xf>
    <xf numFmtId="0" fontId="30" fillId="0" borderId="25" xfId="0" applyFont="1" applyBorder="1" applyAlignment="1">
      <alignment horizontal="left" vertical="top"/>
    </xf>
    <xf numFmtId="0" fontId="30" fillId="0" borderId="26" xfId="0" applyFont="1" applyBorder="1" applyAlignment="1">
      <alignment horizontal="left" vertical="top"/>
    </xf>
    <xf numFmtId="0" fontId="30" fillId="0" borderId="17" xfId="0" applyFont="1" applyBorder="1" applyAlignment="1">
      <alignment horizontal="left" vertical="center"/>
    </xf>
    <xf numFmtId="0" fontId="30" fillId="0" borderId="23" xfId="0" applyFont="1" applyBorder="1" applyAlignment="1">
      <alignment horizontal="left" vertical="center"/>
    </xf>
    <xf numFmtId="0" fontId="30" fillId="0" borderId="18" xfId="0" applyFont="1" applyBorder="1" applyAlignment="1">
      <alignment horizontal="left" vertical="center"/>
    </xf>
    <xf numFmtId="41" fontId="31" fillId="0" borderId="17" xfId="0" applyNumberFormat="1" applyFont="1" applyBorder="1" applyAlignment="1">
      <alignment horizontal="left" vertical="top" wrapText="1"/>
    </xf>
    <xf numFmtId="41" fontId="31" fillId="0" borderId="23" xfId="0" applyNumberFormat="1" applyFont="1" applyBorder="1" applyAlignment="1">
      <alignment horizontal="left" vertical="top" wrapText="1"/>
    </xf>
    <xf numFmtId="41" fontId="31" fillId="0" borderId="18" xfId="0" applyNumberFormat="1" applyFont="1" applyBorder="1" applyAlignment="1">
      <alignment horizontal="left" vertical="top" wrapText="1"/>
    </xf>
    <xf numFmtId="0" fontId="31" fillId="0" borderId="17" xfId="0" applyFont="1" applyBorder="1" applyAlignment="1">
      <alignment horizontal="left" vertical="top"/>
    </xf>
    <xf numFmtId="0" fontId="49" fillId="0" borderId="23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0" fontId="39" fillId="0" borderId="23" xfId="0" applyNumberFormat="1" applyFont="1" applyBorder="1" applyAlignment="1">
      <alignment horizontal="right" vertical="center"/>
    </xf>
    <xf numFmtId="0" fontId="39" fillId="0" borderId="12" xfId="0" applyFont="1" applyBorder="1" applyAlignment="1">
      <alignment horizontal="right" vertical="center"/>
    </xf>
    <xf numFmtId="0" fontId="39" fillId="0" borderId="10" xfId="0" applyFont="1" applyBorder="1" applyAlignment="1">
      <alignment horizontal="right" vertical="center"/>
    </xf>
    <xf numFmtId="0" fontId="39" fillId="0" borderId="13" xfId="0" applyFont="1" applyBorder="1" applyAlignment="1">
      <alignment horizontal="right" vertical="center"/>
    </xf>
    <xf numFmtId="0" fontId="39" fillId="0" borderId="23" xfId="0" applyFont="1" applyBorder="1" applyAlignment="1">
      <alignment horizontal="right" vertical="center"/>
    </xf>
    <xf numFmtId="182" fontId="35" fillId="0" borderId="41" xfId="0" applyNumberFormat="1" applyFont="1" applyBorder="1" applyAlignment="1">
      <alignment horizontal="right" vertical="center" wrapText="1"/>
    </xf>
  </cellXfs>
  <cellStyles count="151">
    <cellStyle name="_970129田徑跑道及周邊環境預算(二次發包金額)-1" xfId="1" xr:uid="{00000000-0005-0000-0000-000000000000}"/>
    <cellStyle name="_970421規劃預算-修正" xfId="2" xr:uid="{00000000-0005-0000-0000-000001000000}"/>
    <cellStyle name="_970521內部預算" xfId="3" xr:uid="{00000000-0005-0000-0000-000002000000}"/>
    <cellStyle name="_970811知行樓門窗更新工程預算+" xfId="4" xr:uid="{00000000-0005-0000-0000-000003000000}"/>
    <cellStyle name="_970912植櫻計畫" xfId="5" xr:uid="{00000000-0005-0000-0000-000004000000}"/>
    <cellStyle name="_991210預算" xfId="6" xr:uid="{00000000-0005-0000-0000-000005000000}"/>
    <cellStyle name="_大業國小風雨教室新建工程刪一層0504" xfId="73" xr:uid="{8F7B99B6-DBBF-439C-AFBC-935C05CFCB0E}"/>
    <cellStyle name="_伸港國民中學零星整修工程-預算" xfId="7" xr:uid="{00000000-0005-0000-0000-000006000000}"/>
    <cellStyle name="_和仁預算" xfId="8" xr:uid="{00000000-0005-0000-0000-000007000000}"/>
    <cellStyle name="_和美國小行動不便者廁所預算" xfId="9" xr:uid="{00000000-0005-0000-0000-000008000000}"/>
    <cellStyle name="_和美國小教室及走廊油漆-預算" xfId="10" xr:uid="{00000000-0005-0000-0000-000009000000}"/>
    <cellStyle name="_僑美國小跑道整修暨跳遠場地整建工程預算_5" xfId="11" xr:uid="{00000000-0005-0000-0000-00000A000000}"/>
    <cellStyle name="0,0_x000d__x000a_NA_x000d__x000a_" xfId="12" xr:uid="{00000000-0005-0000-0000-00000B000000}"/>
    <cellStyle name="20% - 輔色1 2" xfId="13" xr:uid="{00000000-0005-0000-0000-00000C000000}"/>
    <cellStyle name="20% - 輔色1 2 2" xfId="75" xr:uid="{3638285B-B4FD-4F3B-8259-B277B6FB9410}"/>
    <cellStyle name="20% - 輔色1 3" xfId="74" xr:uid="{6F01B7F1-7D8A-4596-8324-3DC8A94B7FE1}"/>
    <cellStyle name="20% - 輔色2 2" xfId="14" xr:uid="{00000000-0005-0000-0000-00000D000000}"/>
    <cellStyle name="20% - 輔色2 2 2" xfId="77" xr:uid="{3C669E8C-B460-4895-AC82-BFD2B9804EF9}"/>
    <cellStyle name="20% - 輔色2 3" xfId="76" xr:uid="{86ACCAB6-8D1F-4F9C-A7DA-CDCEF57465DE}"/>
    <cellStyle name="20% - 輔色3 2" xfId="15" xr:uid="{00000000-0005-0000-0000-00000E000000}"/>
    <cellStyle name="20% - 輔色3 2 2" xfId="79" xr:uid="{FE35466C-2FB1-4193-B70F-12D0F56FBD10}"/>
    <cellStyle name="20% - 輔色3 3" xfId="78" xr:uid="{1C56114F-DD77-4E55-8D90-A814CA366C03}"/>
    <cellStyle name="20% - 輔色4 2" xfId="16" xr:uid="{00000000-0005-0000-0000-00000F000000}"/>
    <cellStyle name="20% - 輔色4 2 2" xfId="81" xr:uid="{B77FB3A8-B720-4757-9AD3-A1B29976BE0F}"/>
    <cellStyle name="20% - 輔色4 3" xfId="80" xr:uid="{C60D8A04-77A6-407A-BB4C-33D12B65A223}"/>
    <cellStyle name="20% - 輔色5 2" xfId="17" xr:uid="{00000000-0005-0000-0000-000010000000}"/>
    <cellStyle name="20% - 輔色5 3" xfId="82" xr:uid="{51CB4663-057B-4BE3-894E-14B90F039174}"/>
    <cellStyle name="20% - 輔色6 2" xfId="18" xr:uid="{00000000-0005-0000-0000-000011000000}"/>
    <cellStyle name="20% - 輔色6 2 2" xfId="84" xr:uid="{0AE6DD0D-6D4B-42A7-89A7-EDC73FC1C8B5}"/>
    <cellStyle name="20% - 輔色6 3" xfId="83" xr:uid="{C7E5EF63-165E-4744-A074-2A6D4B1A5E07}"/>
    <cellStyle name="40% - 輔色1 2" xfId="19" xr:uid="{00000000-0005-0000-0000-000012000000}"/>
    <cellStyle name="40% - 輔色1 2 2" xfId="86" xr:uid="{911D76FF-ED40-4441-A6F0-9E777198A508}"/>
    <cellStyle name="40% - 輔色1 3" xfId="85" xr:uid="{9C9AF829-BB0B-4E65-B15E-C99694D3FCD6}"/>
    <cellStyle name="40% - 輔色2 2" xfId="20" xr:uid="{00000000-0005-0000-0000-000013000000}"/>
    <cellStyle name="40% - 輔色2 3" xfId="87" xr:uid="{B8789FEA-EC68-4251-A484-F0C4414853AE}"/>
    <cellStyle name="40% - 輔色3 2" xfId="21" xr:uid="{00000000-0005-0000-0000-000014000000}"/>
    <cellStyle name="40% - 輔色3 2 2" xfId="89" xr:uid="{1F432909-EFDE-4C90-B6BA-563CCDCECBDE}"/>
    <cellStyle name="40% - 輔色3 3" xfId="88" xr:uid="{4AFF8ED4-4D98-486A-B1A9-F3D3D61A1CAE}"/>
    <cellStyle name="40% - 輔色4 2" xfId="22" xr:uid="{00000000-0005-0000-0000-000015000000}"/>
    <cellStyle name="40% - 輔色4 2 2" xfId="91" xr:uid="{E4AF7904-4232-4B73-8337-2E258FA365C0}"/>
    <cellStyle name="40% - 輔色4 3" xfId="90" xr:uid="{23BAFE09-A0B2-41D4-A6E7-0736CB3F5B03}"/>
    <cellStyle name="40% - 輔色5 2" xfId="23" xr:uid="{00000000-0005-0000-0000-000016000000}"/>
    <cellStyle name="40% - 輔色5 2 2" xfId="93" xr:uid="{22C2288A-A32E-437C-A3D1-2A40BEA46BE7}"/>
    <cellStyle name="40% - 輔色5 3" xfId="92" xr:uid="{15950380-A0C4-44CB-BDB2-6B817AB9FCBA}"/>
    <cellStyle name="40% - 輔色6 2" xfId="24" xr:uid="{00000000-0005-0000-0000-000017000000}"/>
    <cellStyle name="40% - 輔色6 2 2" xfId="95" xr:uid="{65171C17-FC92-4445-B3E8-45F1240ED985}"/>
    <cellStyle name="40% - 輔色6 3" xfId="94" xr:uid="{7AEDCBFA-223D-43CA-B8D2-BEB1EA787051}"/>
    <cellStyle name="60% - 輔色1 2" xfId="25" xr:uid="{00000000-0005-0000-0000-000018000000}"/>
    <cellStyle name="60% - 輔色1 3" xfId="96" xr:uid="{969C406F-6D43-4128-A967-59FC54D6C0AC}"/>
    <cellStyle name="60% - 輔色2 2" xfId="26" xr:uid="{00000000-0005-0000-0000-000019000000}"/>
    <cellStyle name="60% - 輔色2 3" xfId="97" xr:uid="{E4B11A91-925D-48B8-8AA0-E8292264B892}"/>
    <cellStyle name="60% - 輔色3 2" xfId="27" xr:uid="{00000000-0005-0000-0000-00001A000000}"/>
    <cellStyle name="60% - 輔色3 3" xfId="98" xr:uid="{F0DC6271-ADF3-4850-B4A4-CF069A0EF7D3}"/>
    <cellStyle name="60% - 輔色4 2" xfId="28" xr:uid="{00000000-0005-0000-0000-00001B000000}"/>
    <cellStyle name="60% - 輔色4 3" xfId="99" xr:uid="{D4A529D8-46D6-4832-82F0-A337AB2C6946}"/>
    <cellStyle name="60% - 輔色5 2" xfId="29" xr:uid="{00000000-0005-0000-0000-00001C000000}"/>
    <cellStyle name="60% - 輔色5 3" xfId="100" xr:uid="{32E7B158-BE58-4319-B63B-B94910717C93}"/>
    <cellStyle name="60% - 輔色6 2" xfId="30" xr:uid="{00000000-0005-0000-0000-00001D000000}"/>
    <cellStyle name="60% - 輔色6 3" xfId="101" xr:uid="{C1B359C1-8E77-40C8-B1E4-E855D4650D49}"/>
    <cellStyle name="BROAD SCOPE" xfId="102" xr:uid="{E77D0C55-7FA0-4D6F-B39D-F12CA13CE3A8}"/>
    <cellStyle name="BROAD_SCOPE" xfId="103" xr:uid="{3624C880-D6E1-4A5B-BBEC-E197DA372A2B}"/>
    <cellStyle name="Comma(0)" xfId="104" xr:uid="{C5E353D5-6EA4-4BE1-A599-0AA9A6F150A9}"/>
    <cellStyle name="Comma(1)" xfId="105" xr:uid="{5955BD5B-6B55-4B8F-88A6-609A545699C9}"/>
    <cellStyle name="MEDIUM SCOPE" xfId="106" xr:uid="{0A74596A-57AC-4F7D-A1B3-1AD625D1A629}"/>
    <cellStyle name="NARROW SCOPE" xfId="107" xr:uid="{695AC371-C0C9-4E21-ACE9-CD4CC7CAED31}"/>
    <cellStyle name="Normal_BY0809SV-BAU-Short Form_V1.0" xfId="108" xr:uid="{8EE0D7FF-F500-4660-8C18-A16E16190D17}"/>
    <cellStyle name="Rate_1" xfId="109" xr:uid="{8B58E418-712A-4874-9720-B1CA75C5E9F2}"/>
    <cellStyle name="Schedule" xfId="110" xr:uid="{2AF3F06C-1CD2-4DC8-A90E-272AFED779F8}"/>
    <cellStyle name="一般" xfId="0" builtinId="0"/>
    <cellStyle name="一般 2" xfId="31" xr:uid="{00000000-0005-0000-0000-00001F000000}"/>
    <cellStyle name="一般 3" xfId="32" xr:uid="{00000000-0005-0000-0000-000020000000}"/>
    <cellStyle name="一般 3 2" xfId="111" xr:uid="{9BC9A899-6CD4-485F-B066-3A3C7C9F3D83}"/>
    <cellStyle name="一般 4" xfId="33" xr:uid="{00000000-0005-0000-0000-000021000000}"/>
    <cellStyle name="一般 4 2" xfId="113" xr:uid="{208CCEC4-8F76-45D2-82D7-2C47BAF89BA9}"/>
    <cellStyle name="一般 4 3" xfId="112" xr:uid="{D631A682-2D4B-48C7-82A5-FE6D64E67CDF}"/>
    <cellStyle name="一般 4_大勇國小廁所案預算書_1080223" xfId="114" xr:uid="{61AD6F9E-6CC7-4EE8-8955-2E487449CC94}"/>
    <cellStyle name="一般 5" xfId="72" xr:uid="{1300F0EC-38CB-4637-A1AA-3F16A4C691B9}"/>
    <cellStyle name="一般 7" xfId="115" xr:uid="{31F42614-885A-4329-B6E4-AA69F46AB2CE}"/>
    <cellStyle name="一般_新式施工日報表7月份" xfId="70" xr:uid="{00000000-0005-0000-0000-000022000000}"/>
    <cellStyle name="千分位 10" xfId="116" xr:uid="{BA374C5F-2EC2-40C3-817F-7FBAD3E371EE}"/>
    <cellStyle name="千分位 2" xfId="34" xr:uid="{00000000-0005-0000-0000-000023000000}"/>
    <cellStyle name="千分位 3" xfId="35" xr:uid="{00000000-0005-0000-0000-000024000000}"/>
    <cellStyle name="千分位 4" xfId="36" xr:uid="{00000000-0005-0000-0000-000025000000}"/>
    <cellStyle name="千分位 4 2" xfId="117" xr:uid="{0894B8D9-36F4-4AC3-8515-05FD2CF11BEA}"/>
    <cellStyle name="中等 2" xfId="37" xr:uid="{00000000-0005-0000-0000-000026000000}"/>
    <cellStyle name="中等 3" xfId="118" xr:uid="{AA243BA5-E2F0-4E08-984B-D881567FAD4C}"/>
    <cellStyle name="合計 2" xfId="38" xr:uid="{00000000-0005-0000-0000-000027000000}"/>
    <cellStyle name="合計 2 2" xfId="120" xr:uid="{9EC685A7-0C2C-438E-B733-3C77EAAA7481}"/>
    <cellStyle name="合計 3" xfId="119" xr:uid="{C0F92A9F-D44D-4041-9CF2-B2113353581A}"/>
    <cellStyle name="好 2" xfId="39" xr:uid="{00000000-0005-0000-0000-000028000000}"/>
    <cellStyle name="好 3" xfId="121" xr:uid="{F496C7BC-3F47-4422-AB63-D8735658061D}"/>
    <cellStyle name="好_台中教育大學預算書3" xfId="122" xr:uid="{360A1DD7-5646-4041-A8F3-280550EB265F}"/>
    <cellStyle name="好_空勤人員求生訓練中心廠房新建工程(預算書)A1000329_ap_bdgt(有公式)" xfId="123" xr:uid="{C8325A20-1675-4071-8EEE-FD18BAF7679D}"/>
    <cellStyle name="好_僑美國小跑道整修暨跳遠場地整建工程預算_5" xfId="40" xr:uid="{00000000-0005-0000-0000-000029000000}"/>
    <cellStyle name="好_監造報表_文雅10507_1" xfId="41" xr:uid="{00000000-0005-0000-0000-00002A000000}"/>
    <cellStyle name="好_興大誠軒樓水電預算980216" xfId="124" xr:uid="{EA8B653A-DCCB-4A57-964C-D9800C5ABBCF}"/>
    <cellStyle name="好_體育館預算書" xfId="125" xr:uid="{5EC09331-9C16-47B1-85F3-392FD577BDC9}"/>
    <cellStyle name="百分比" xfId="69" builtinId="5"/>
    <cellStyle name="百分比 2" xfId="42" xr:uid="{00000000-0005-0000-0000-00002C000000}"/>
    <cellStyle name="百分比 2 2" xfId="71" xr:uid="{00000000-0005-0000-0000-00002D000000}"/>
    <cellStyle name="計算方式 2" xfId="43" xr:uid="{00000000-0005-0000-0000-00002E000000}"/>
    <cellStyle name="計算方式 2 2" xfId="127" xr:uid="{8811DCFF-7409-4B97-9F47-8BEE65E14E5B}"/>
    <cellStyle name="計算方式 3" xfId="126" xr:uid="{FCEFC8D1-D697-468E-8161-C9C7AF4478D2}"/>
    <cellStyle name="貨幣" xfId="44" builtinId="4"/>
    <cellStyle name="貨幣 2" xfId="45" xr:uid="{00000000-0005-0000-0000-000030000000}"/>
    <cellStyle name="貨幣[0]_8610q000" xfId="128" xr:uid="{B86A2D1E-29C0-49BD-8921-3A7FB987C5DA}"/>
    <cellStyle name="連結的儲存格 2" xfId="46" xr:uid="{00000000-0005-0000-0000-000032000000}"/>
    <cellStyle name="連結的儲存格 3" xfId="129" xr:uid="{9EA45C35-BC70-4590-9EBF-DC63E327C3A8}"/>
    <cellStyle name="備註 2" xfId="47" xr:uid="{00000000-0005-0000-0000-000033000000}"/>
    <cellStyle name="備註 3" xfId="130" xr:uid="{87B00143-4F6B-4B89-8443-3B6B2AFCA1E6}"/>
    <cellStyle name="說明文字 2" xfId="48" xr:uid="{00000000-0005-0000-0000-000034000000}"/>
    <cellStyle name="輔色1 2" xfId="49" xr:uid="{00000000-0005-0000-0000-000035000000}"/>
    <cellStyle name="輔色1 3" xfId="131" xr:uid="{10CD9367-57E0-4BA0-976B-A7950EAEE523}"/>
    <cellStyle name="輔色2 2" xfId="50" xr:uid="{00000000-0005-0000-0000-000036000000}"/>
    <cellStyle name="輔色2 3" xfId="132" xr:uid="{F6C46A47-3FFE-4DEB-9D22-AC814B6BB18A}"/>
    <cellStyle name="輔色3 2" xfId="51" xr:uid="{00000000-0005-0000-0000-000037000000}"/>
    <cellStyle name="輔色3 3" xfId="133" xr:uid="{61648E8F-FDBD-4B07-B820-502CBCFD9594}"/>
    <cellStyle name="輔色4 2" xfId="52" xr:uid="{00000000-0005-0000-0000-000038000000}"/>
    <cellStyle name="輔色4 3" xfId="134" xr:uid="{F735ECD7-5F93-45E1-8621-AE486279DB01}"/>
    <cellStyle name="輔色5 2" xfId="53" xr:uid="{00000000-0005-0000-0000-000039000000}"/>
    <cellStyle name="輔色6 2" xfId="54" xr:uid="{00000000-0005-0000-0000-00003A000000}"/>
    <cellStyle name="輔色6 3" xfId="135" xr:uid="{93B7E274-B2A4-48EF-8223-FF662C785CC5}"/>
    <cellStyle name="標準_建設省設計計算書" xfId="136" xr:uid="{99AFA72C-3A46-41F7-B458-CB6D84DBB670}"/>
    <cellStyle name="標題 1 2" xfId="55" xr:uid="{00000000-0005-0000-0000-00003B000000}"/>
    <cellStyle name="標題 1 3" xfId="138" xr:uid="{2859256F-4370-4652-BB2B-3A0A8C0F9392}"/>
    <cellStyle name="標題 2 2" xfId="56" xr:uid="{00000000-0005-0000-0000-00003C000000}"/>
    <cellStyle name="標題 2 3" xfId="139" xr:uid="{5A8916A4-E5E2-4EC6-B823-9A1643F58D9E}"/>
    <cellStyle name="標題 3 2" xfId="57" xr:uid="{00000000-0005-0000-0000-00003D000000}"/>
    <cellStyle name="標題 3 3" xfId="140" xr:uid="{3AE8F86E-5242-46E0-A01B-68E1DB3CD6CA}"/>
    <cellStyle name="標題 4 2" xfId="58" xr:uid="{00000000-0005-0000-0000-00003E000000}"/>
    <cellStyle name="標題 4 3" xfId="141" xr:uid="{8CA42522-B24C-4937-81C3-CD87F348950C}"/>
    <cellStyle name="標題 5" xfId="59" xr:uid="{00000000-0005-0000-0000-00003F000000}"/>
    <cellStyle name="標題 6" xfId="137" xr:uid="{E3E0D21A-CEC4-43C3-8F05-43C18C51C1AA}"/>
    <cellStyle name="樣式 1" xfId="60" xr:uid="{00000000-0005-0000-0000-000040000000}"/>
    <cellStyle name="輸入 2" xfId="61" xr:uid="{00000000-0005-0000-0000-000041000000}"/>
    <cellStyle name="輸入 2 2" xfId="143" xr:uid="{3036B649-4F9E-4CB7-8B2B-3365F799186D}"/>
    <cellStyle name="輸入 3" xfId="142" xr:uid="{24985035-DFA9-4B9E-93FC-C4F3B7CC5DED}"/>
    <cellStyle name="輸出 2" xfId="62" xr:uid="{00000000-0005-0000-0000-000042000000}"/>
    <cellStyle name="輸出 2 2" xfId="145" xr:uid="{1C4EBE93-C40A-472E-8E99-236D718C326C}"/>
    <cellStyle name="輸出 3" xfId="144" xr:uid="{75CB45C6-593A-4B34-8ADC-93512C152A40}"/>
    <cellStyle name="隨後的超連結" xfId="63" xr:uid="{00000000-0005-0000-0000-000043000000}"/>
    <cellStyle name="檢查儲存格 2" xfId="64" xr:uid="{00000000-0005-0000-0000-000044000000}"/>
    <cellStyle name="壞 2" xfId="65" xr:uid="{00000000-0005-0000-0000-000045000000}"/>
    <cellStyle name="壞 3" xfId="146" xr:uid="{ECD2A286-52F9-49B2-8D34-D85D92BFA1BA}"/>
    <cellStyle name="壞_台中教育大學預算書3" xfId="147" xr:uid="{9E245D2C-D214-45CE-A853-7B084612D207}"/>
    <cellStyle name="壞_空勤人員求生訓練中心廠房新建工程(預算書)A1000329_ap_bdgt(有公式)" xfId="148" xr:uid="{7FA1E74A-72C0-4585-B451-C1338F3A1FA6}"/>
    <cellStyle name="壞_僑美國小跑道整修暨跳遠場地整建工程預算_5" xfId="66" xr:uid="{00000000-0005-0000-0000-000046000000}"/>
    <cellStyle name="壞_監造報表_文雅10507_1" xfId="67" xr:uid="{00000000-0005-0000-0000-000047000000}"/>
    <cellStyle name="壞_興大誠軒樓水電預算980216" xfId="149" xr:uid="{3E31D3E6-496A-4039-ACE0-78C3427B1027}"/>
    <cellStyle name="壞_體育館預算書" xfId="150" xr:uid="{540AC06F-1151-46D2-AC23-B095C914876C}"/>
    <cellStyle name="警告文字 2" xfId="68" xr:uid="{00000000-0005-0000-0000-000048000000}"/>
  </cellStyles>
  <dxfs count="2"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678180</xdr:colOff>
          <xdr:row>8</xdr:row>
          <xdr:rowOff>22860</xdr:rowOff>
        </xdr:from>
        <xdr:to>
          <xdr:col>13</xdr:col>
          <xdr:colOff>876300</xdr:colOff>
          <xdr:row>9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前一天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883920</xdr:colOff>
          <xdr:row>8</xdr:row>
          <xdr:rowOff>22860</xdr:rowOff>
        </xdr:from>
        <xdr:to>
          <xdr:col>15</xdr:col>
          <xdr:colOff>22860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後一天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388620</xdr:rowOff>
        </xdr:from>
        <xdr:to>
          <xdr:col>16</xdr:col>
          <xdr:colOff>449580</xdr:colOff>
          <xdr:row>4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列印PDF擋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112059</xdr:colOff>
      <xdr:row>48</xdr:row>
      <xdr:rowOff>22411</xdr:rowOff>
    </xdr:from>
    <xdr:to>
      <xdr:col>2</xdr:col>
      <xdr:colOff>145676</xdr:colOff>
      <xdr:row>48</xdr:row>
      <xdr:rowOff>499540</xdr:rowOff>
    </xdr:to>
    <xdr:pic>
      <xdr:nvPicPr>
        <xdr:cNvPr id="7" name="Picture 1" descr="呂罡銘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12158382"/>
          <a:ext cx="829235" cy="4771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1_&#26045;&#24037;&#26696;/&#26161;&#21570;_&#21570;&#26161;_10820_&#38642;&#26519;&#32291;&#40613;&#23534;&#37129;_&#40613;&#23534;&#22283;&#23567;&#36939;&#21205;&#22580;&#36305;&#36947;&#25972;&#24314;&#24037;&#31243;/51_&#30435;&#36896;&#21697;&#31649;/21_&#26045;&#24037;&#26085;&#22577;&#34920;/&#24314;&#31689;&#29289;&#26045;&#24037;&#26085;&#35468;07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erial"/>
      <sheetName val="Front cover"/>
      <sheetName val="Trades and equipment Statistics"/>
      <sheetName val="Project detail table"/>
      <sheetName val="Daily Work"/>
      <sheetName val="S-CURVE"/>
      <sheetName val="週報"/>
      <sheetName val="月報"/>
      <sheetName val="0701A"/>
      <sheetName val="0701B"/>
      <sheetName val="0702A"/>
      <sheetName val="0702B"/>
      <sheetName val="0703A"/>
      <sheetName val="0703B"/>
      <sheetName val="0704A"/>
      <sheetName val="0704B"/>
      <sheetName val="0705A"/>
      <sheetName val="0705B"/>
      <sheetName val="0706A"/>
      <sheetName val="0706B"/>
      <sheetName val="0707A"/>
      <sheetName val="0707B"/>
      <sheetName val="0708A"/>
      <sheetName val="0708B"/>
      <sheetName val="0709A"/>
      <sheetName val="0709B"/>
      <sheetName val="0710A"/>
      <sheetName val="0710B"/>
      <sheetName val="0711A"/>
      <sheetName val="0711B"/>
      <sheetName val="0712A"/>
      <sheetName val="0712B"/>
      <sheetName val="0713A"/>
      <sheetName val="0713B"/>
      <sheetName val="0714A"/>
      <sheetName val="0714B"/>
      <sheetName val="0715A"/>
      <sheetName val="0715B"/>
      <sheetName val="0716A"/>
      <sheetName val="0716B"/>
      <sheetName val="0717A"/>
      <sheetName val="0717B"/>
      <sheetName val="0718A"/>
      <sheetName val="0718B"/>
      <sheetName val="0719A"/>
      <sheetName val="0719B"/>
      <sheetName val="0720A"/>
      <sheetName val="0720B"/>
      <sheetName val="0721A"/>
      <sheetName val="0721B"/>
      <sheetName val="0722A"/>
      <sheetName val="0722B"/>
      <sheetName val="0723A"/>
      <sheetName val="0723B"/>
      <sheetName val="0724A"/>
      <sheetName val="0724B"/>
      <sheetName val="0725A"/>
      <sheetName val="0725B"/>
      <sheetName val="0726A"/>
      <sheetName val="0726B"/>
      <sheetName val="0727A"/>
      <sheetName val="0727B"/>
      <sheetName val="0728A"/>
      <sheetName val="0728B"/>
      <sheetName val="0729A"/>
      <sheetName val="0729B"/>
      <sheetName val="0730A"/>
      <sheetName val="0730B"/>
      <sheetName val="0731A"/>
      <sheetName val="0731B"/>
      <sheetName val="0801A "/>
      <sheetName val="0801B"/>
      <sheetName val="0802A"/>
      <sheetName val="0802B"/>
      <sheetName val="0803A"/>
      <sheetName val="0803B"/>
      <sheetName val="0804A"/>
      <sheetName val="0804B"/>
      <sheetName val="0805A"/>
      <sheetName val="0805B"/>
      <sheetName val="0806A"/>
      <sheetName val="0806B"/>
      <sheetName val="0807A"/>
      <sheetName val="0807B"/>
      <sheetName val="0808A"/>
      <sheetName val="0808B"/>
      <sheetName val="0809A"/>
      <sheetName val="0809B"/>
      <sheetName val="0810A"/>
      <sheetName val="0810B"/>
      <sheetName val="0811A"/>
      <sheetName val="0811B"/>
      <sheetName val="0812A"/>
      <sheetName val="0812B"/>
      <sheetName val="0813A"/>
      <sheetName val="0813B"/>
      <sheetName val="0814A"/>
      <sheetName val="0814B"/>
      <sheetName val="0815A"/>
      <sheetName val="0815B"/>
      <sheetName val="0816A"/>
      <sheetName val="0816B"/>
      <sheetName val="0817A"/>
      <sheetName val="0817B"/>
      <sheetName val="0818A"/>
      <sheetName val="0818B"/>
      <sheetName val="0819A"/>
      <sheetName val="0819B"/>
      <sheetName val="0820A"/>
      <sheetName val="0820B"/>
      <sheetName val="0821A"/>
      <sheetName val="0821B"/>
      <sheetName val="0822A"/>
      <sheetName val="0822B"/>
      <sheetName val="0823A"/>
      <sheetName val="0823B"/>
      <sheetName val="0824A"/>
      <sheetName val="0824B"/>
      <sheetName val="0825A"/>
      <sheetName val="0825B"/>
      <sheetName val="0826A"/>
      <sheetName val="0826B"/>
      <sheetName val="0827A"/>
      <sheetName val="0827B"/>
      <sheetName val="0828A"/>
      <sheetName val="0828B"/>
      <sheetName val="0829A"/>
      <sheetName val="0829B"/>
      <sheetName val="0830A"/>
      <sheetName val="0830B"/>
      <sheetName val="0831A"/>
      <sheetName val="0831B"/>
      <sheetName val="0901A"/>
      <sheetName val="0901B"/>
      <sheetName val="0902A"/>
      <sheetName val="0902B"/>
      <sheetName val="0903A"/>
      <sheetName val="0903B"/>
      <sheetName val="0904A"/>
      <sheetName val="0904B"/>
      <sheetName val="0905A"/>
      <sheetName val="0905B"/>
      <sheetName val="0906A"/>
      <sheetName val="0906B"/>
      <sheetName val="0907A"/>
      <sheetName val="0907B"/>
      <sheetName val="0908A"/>
      <sheetName val="0908B"/>
      <sheetName val="0909A"/>
      <sheetName val="0909B"/>
      <sheetName val="0910A"/>
      <sheetName val="0910B"/>
      <sheetName val="0911A"/>
      <sheetName val="0911B"/>
      <sheetName val="0912A"/>
      <sheetName val="0912B"/>
      <sheetName val="0913A"/>
      <sheetName val="0913B"/>
      <sheetName val="0914A"/>
      <sheetName val="0914B"/>
      <sheetName val="0915A"/>
      <sheetName val="0915B"/>
      <sheetName val="0916A"/>
      <sheetName val="0916B"/>
      <sheetName val="0917A"/>
      <sheetName val="0917B"/>
      <sheetName val="0918A"/>
      <sheetName val="0918B"/>
      <sheetName val="0919A"/>
      <sheetName val="0919B"/>
      <sheetName val="0920A"/>
      <sheetName val="0920B"/>
      <sheetName val="0921A"/>
      <sheetName val="0921B"/>
      <sheetName val="0922A"/>
      <sheetName val="0922B"/>
      <sheetName val="0923A"/>
      <sheetName val="0923B"/>
      <sheetName val="0924A"/>
      <sheetName val="0924B"/>
      <sheetName val="0925A"/>
      <sheetName val="0925B"/>
      <sheetName val="0926A"/>
      <sheetName val="0926B"/>
      <sheetName val="0927A"/>
      <sheetName val="0927B"/>
      <sheetName val="0928A"/>
      <sheetName val="0928B"/>
      <sheetName val="0929A"/>
      <sheetName val="0929B"/>
      <sheetName val="0930A"/>
      <sheetName val="0930B"/>
      <sheetName val="1001A"/>
      <sheetName val="1001B"/>
      <sheetName val="工程詳細表"/>
      <sheetName val="01三週進度表c "/>
      <sheetName val="施工月報表(5月份)"/>
      <sheetName val="技術士簽章表0331"/>
      <sheetName val="工作表1"/>
    </sheetNames>
    <sheetDataSet>
      <sheetData sheetId="0" refreshError="1"/>
      <sheetData sheetId="1" refreshError="1"/>
      <sheetData sheetId="2" refreshError="1"/>
      <sheetData sheetId="3">
        <row r="4">
          <cell r="J4" t="str">
            <v>Quantity</v>
          </cell>
          <cell r="K4">
            <v>43647</v>
          </cell>
          <cell r="P4">
            <v>43648</v>
          </cell>
          <cell r="U4">
            <v>43649</v>
          </cell>
          <cell r="Z4">
            <v>43650</v>
          </cell>
          <cell r="AE4">
            <v>43651</v>
          </cell>
          <cell r="AJ4">
            <v>43652</v>
          </cell>
          <cell r="AO4">
            <v>43653</v>
          </cell>
          <cell r="AT4">
            <v>43654</v>
          </cell>
          <cell r="AY4">
            <v>43655</v>
          </cell>
          <cell r="BD4">
            <v>43656</v>
          </cell>
          <cell r="BI4">
            <v>43657</v>
          </cell>
          <cell r="BN4">
            <v>43658</v>
          </cell>
          <cell r="BS4">
            <v>43659</v>
          </cell>
          <cell r="BX4">
            <v>43660</v>
          </cell>
          <cell r="CC4">
            <v>43661</v>
          </cell>
          <cell r="CH4">
            <v>43662</v>
          </cell>
          <cell r="CM4">
            <v>43663</v>
          </cell>
          <cell r="CR4">
            <v>43664</v>
          </cell>
          <cell r="CW4">
            <v>43665</v>
          </cell>
          <cell r="DB4">
            <v>43666</v>
          </cell>
          <cell r="DG4">
            <v>43667</v>
          </cell>
          <cell r="DL4">
            <v>43668</v>
          </cell>
          <cell r="DQ4">
            <v>43669</v>
          </cell>
          <cell r="DV4">
            <v>43670</v>
          </cell>
          <cell r="EA4">
            <v>43671</v>
          </cell>
          <cell r="EF4">
            <v>43672</v>
          </cell>
          <cell r="EK4">
            <v>43673</v>
          </cell>
          <cell r="EP4">
            <v>43674</v>
          </cell>
          <cell r="EU4">
            <v>43675</v>
          </cell>
          <cell r="EZ4">
            <v>43676</v>
          </cell>
          <cell r="FE4">
            <v>43677</v>
          </cell>
          <cell r="FJ4">
            <v>43678</v>
          </cell>
          <cell r="FO4">
            <v>43679</v>
          </cell>
          <cell r="FT4">
            <v>43680</v>
          </cell>
          <cell r="FY4">
            <v>43681</v>
          </cell>
          <cell r="GD4">
            <v>43682</v>
          </cell>
          <cell r="GI4">
            <v>43683</v>
          </cell>
          <cell r="GN4">
            <v>43684</v>
          </cell>
          <cell r="GS4">
            <v>43685</v>
          </cell>
          <cell r="GX4">
            <v>43686</v>
          </cell>
          <cell r="HC4">
            <v>43687</v>
          </cell>
          <cell r="HH4">
            <v>43688</v>
          </cell>
          <cell r="HM4">
            <v>43689</v>
          </cell>
          <cell r="HR4">
            <v>43690</v>
          </cell>
          <cell r="HW4">
            <v>43691</v>
          </cell>
          <cell r="IB4">
            <v>43692</v>
          </cell>
          <cell r="IG4">
            <v>43693</v>
          </cell>
          <cell r="IL4">
            <v>43694</v>
          </cell>
          <cell r="IQ4">
            <v>43695</v>
          </cell>
          <cell r="IV4">
            <v>43696</v>
          </cell>
          <cell r="JA4">
            <v>43697</v>
          </cell>
          <cell r="JF4">
            <v>43698</v>
          </cell>
          <cell r="JK4">
            <v>43699</v>
          </cell>
          <cell r="JP4">
            <v>43700</v>
          </cell>
          <cell r="JU4">
            <v>43701</v>
          </cell>
          <cell r="JZ4">
            <v>43702</v>
          </cell>
          <cell r="KE4">
            <v>43703</v>
          </cell>
          <cell r="KJ4">
            <v>43704</v>
          </cell>
          <cell r="KO4">
            <v>43705</v>
          </cell>
          <cell r="KT4">
            <v>43706</v>
          </cell>
          <cell r="KY4">
            <v>43707</v>
          </cell>
          <cell r="LD4">
            <v>43708</v>
          </cell>
          <cell r="LI4">
            <v>43709</v>
          </cell>
          <cell r="LN4">
            <v>43710</v>
          </cell>
          <cell r="LS4">
            <v>43711</v>
          </cell>
          <cell r="LX4">
            <v>43712</v>
          </cell>
          <cell r="MC4">
            <v>43713</v>
          </cell>
          <cell r="MH4">
            <v>43714</v>
          </cell>
          <cell r="MM4">
            <v>43715</v>
          </cell>
          <cell r="MR4">
            <v>43716</v>
          </cell>
          <cell r="MW4">
            <v>43717</v>
          </cell>
          <cell r="NB4">
            <v>43718</v>
          </cell>
          <cell r="NG4">
            <v>43719</v>
          </cell>
          <cell r="NL4">
            <v>43720</v>
          </cell>
          <cell r="NQ4">
            <v>43721</v>
          </cell>
          <cell r="NV4">
            <v>43722</v>
          </cell>
          <cell r="OA4">
            <v>43723</v>
          </cell>
          <cell r="OF4">
            <v>43724</v>
          </cell>
          <cell r="OK4">
            <v>43725</v>
          </cell>
          <cell r="OP4">
            <v>43726</v>
          </cell>
          <cell r="OU4">
            <v>43727</v>
          </cell>
          <cell r="OZ4">
            <v>43728</v>
          </cell>
          <cell r="PE4">
            <v>43729</v>
          </cell>
          <cell r="PJ4">
            <v>43730</v>
          </cell>
          <cell r="PO4">
            <v>43731</v>
          </cell>
          <cell r="PT4">
            <v>43732</v>
          </cell>
          <cell r="PY4">
            <v>43733</v>
          </cell>
          <cell r="QD4">
            <v>43734</v>
          </cell>
          <cell r="QI4">
            <v>43735</v>
          </cell>
          <cell r="QN4">
            <v>43736</v>
          </cell>
          <cell r="QS4">
            <v>43737</v>
          </cell>
          <cell r="QX4">
            <v>43738</v>
          </cell>
          <cell r="RC4">
            <v>43739</v>
          </cell>
          <cell r="RH4">
            <v>43740</v>
          </cell>
          <cell r="RM4">
            <v>43741</v>
          </cell>
          <cell r="RR4">
            <v>43742</v>
          </cell>
          <cell r="RW4">
            <v>43743</v>
          </cell>
          <cell r="SB4">
            <v>43744</v>
          </cell>
          <cell r="SG4">
            <v>43745</v>
          </cell>
          <cell r="SL4">
            <v>43746</v>
          </cell>
          <cell r="SQ4">
            <v>43747</v>
          </cell>
          <cell r="SV4">
            <v>43748</v>
          </cell>
          <cell r="TA4">
            <v>43749</v>
          </cell>
          <cell r="TF4">
            <v>43750</v>
          </cell>
          <cell r="TK4">
            <v>43751</v>
          </cell>
          <cell r="TP4">
            <v>43752</v>
          </cell>
          <cell r="TU4">
            <v>43753</v>
          </cell>
          <cell r="TZ4">
            <v>43754</v>
          </cell>
          <cell r="UE4">
            <v>43755</v>
          </cell>
          <cell r="UJ4">
            <v>43756</v>
          </cell>
          <cell r="UO4">
            <v>43757</v>
          </cell>
          <cell r="UT4">
            <v>43758</v>
          </cell>
          <cell r="UY4">
            <v>43759</v>
          </cell>
          <cell r="VD4">
            <v>43760</v>
          </cell>
          <cell r="VI4">
            <v>43761</v>
          </cell>
          <cell r="VN4">
            <v>43762</v>
          </cell>
          <cell r="VS4">
            <v>43763</v>
          </cell>
          <cell r="VX4">
            <v>43764</v>
          </cell>
          <cell r="WC4">
            <v>43765</v>
          </cell>
          <cell r="WH4">
            <v>43766</v>
          </cell>
          <cell r="WM4">
            <v>43767</v>
          </cell>
          <cell r="WR4">
            <v>43768</v>
          </cell>
          <cell r="WW4">
            <v>43769</v>
          </cell>
          <cell r="XB4">
            <v>43770</v>
          </cell>
          <cell r="XG4">
            <v>43771</v>
          </cell>
          <cell r="XL4">
            <v>43772</v>
          </cell>
          <cell r="XQ4">
            <v>43773</v>
          </cell>
          <cell r="XV4">
            <v>43774</v>
          </cell>
          <cell r="YA4">
            <v>43775</v>
          </cell>
        </row>
        <row r="5">
          <cell r="J5" t="str">
            <v>Cumulative Percent</v>
          </cell>
          <cell r="O5">
            <v>43647</v>
          </cell>
          <cell r="T5">
            <v>43648</v>
          </cell>
          <cell r="Y5">
            <v>43649</v>
          </cell>
          <cell r="AD5">
            <v>43650</v>
          </cell>
          <cell r="AI5">
            <v>43651</v>
          </cell>
          <cell r="AN5">
            <v>43652</v>
          </cell>
          <cell r="AS5">
            <v>43653</v>
          </cell>
          <cell r="AX5">
            <v>43654</v>
          </cell>
          <cell r="BC5">
            <v>43655</v>
          </cell>
          <cell r="BH5">
            <v>43656</v>
          </cell>
          <cell r="BM5">
            <v>43657</v>
          </cell>
          <cell r="BR5">
            <v>43658</v>
          </cell>
          <cell r="BW5">
            <v>43659</v>
          </cell>
          <cell r="CB5">
            <v>43660</v>
          </cell>
          <cell r="CG5">
            <v>43661</v>
          </cell>
          <cell r="CL5">
            <v>43662</v>
          </cell>
          <cell r="CQ5">
            <v>43663</v>
          </cell>
          <cell r="CV5">
            <v>43664</v>
          </cell>
          <cell r="DA5">
            <v>43665</v>
          </cell>
          <cell r="DF5">
            <v>43666</v>
          </cell>
          <cell r="DK5">
            <v>43667</v>
          </cell>
          <cell r="DP5">
            <v>43668</v>
          </cell>
          <cell r="DU5">
            <v>43669</v>
          </cell>
          <cell r="DZ5">
            <v>43670</v>
          </cell>
          <cell r="EE5">
            <v>43671</v>
          </cell>
          <cell r="EJ5">
            <v>43672</v>
          </cell>
          <cell r="EO5">
            <v>43673</v>
          </cell>
          <cell r="ET5">
            <v>43674</v>
          </cell>
          <cell r="EY5">
            <v>43675</v>
          </cell>
          <cell r="FD5">
            <v>43676</v>
          </cell>
          <cell r="FI5">
            <v>43677</v>
          </cell>
          <cell r="FN5">
            <v>43678</v>
          </cell>
          <cell r="FS5">
            <v>43679</v>
          </cell>
          <cell r="FX5">
            <v>43680</v>
          </cell>
          <cell r="GC5">
            <v>43681</v>
          </cell>
          <cell r="GH5">
            <v>43682</v>
          </cell>
          <cell r="GM5">
            <v>43683</v>
          </cell>
          <cell r="GR5">
            <v>43684</v>
          </cell>
          <cell r="GW5">
            <v>43685</v>
          </cell>
          <cell r="HB5">
            <v>43686</v>
          </cell>
          <cell r="HG5">
            <v>43687</v>
          </cell>
          <cell r="HL5">
            <v>43688</v>
          </cell>
          <cell r="HQ5">
            <v>43689</v>
          </cell>
          <cell r="HV5">
            <v>43690</v>
          </cell>
          <cell r="IA5">
            <v>43691</v>
          </cell>
          <cell r="IF5">
            <v>43692</v>
          </cell>
          <cell r="IK5">
            <v>43693</v>
          </cell>
          <cell r="IP5">
            <v>43694</v>
          </cell>
          <cell r="IU5">
            <v>43695</v>
          </cell>
          <cell r="IZ5">
            <v>43696</v>
          </cell>
          <cell r="JE5">
            <v>43697</v>
          </cell>
          <cell r="JJ5">
            <v>43698</v>
          </cell>
          <cell r="JO5">
            <v>43699</v>
          </cell>
          <cell r="JT5">
            <v>43700</v>
          </cell>
          <cell r="JY5">
            <v>43701</v>
          </cell>
          <cell r="KD5">
            <v>43702</v>
          </cell>
          <cell r="KI5">
            <v>43703</v>
          </cell>
          <cell r="KN5">
            <v>43704</v>
          </cell>
          <cell r="KS5">
            <v>43705</v>
          </cell>
          <cell r="KX5">
            <v>43706</v>
          </cell>
          <cell r="LC5">
            <v>43707</v>
          </cell>
          <cell r="LH5">
            <v>43708</v>
          </cell>
          <cell r="LM5">
            <v>43709</v>
          </cell>
          <cell r="LR5">
            <v>43710</v>
          </cell>
          <cell r="LW5">
            <v>43711</v>
          </cell>
          <cell r="MB5">
            <v>43712</v>
          </cell>
          <cell r="MG5">
            <v>43713</v>
          </cell>
          <cell r="ML5">
            <v>43714</v>
          </cell>
          <cell r="MQ5">
            <v>43715</v>
          </cell>
          <cell r="MV5">
            <v>43716</v>
          </cell>
          <cell r="NA5">
            <v>43717</v>
          </cell>
          <cell r="NF5">
            <v>43718</v>
          </cell>
          <cell r="NK5">
            <v>43719</v>
          </cell>
          <cell r="NP5">
            <v>43720</v>
          </cell>
          <cell r="NU5">
            <v>43721</v>
          </cell>
          <cell r="NZ5">
            <v>43722</v>
          </cell>
          <cell r="OE5">
            <v>43723</v>
          </cell>
          <cell r="OJ5">
            <v>43724</v>
          </cell>
          <cell r="OO5">
            <v>43725</v>
          </cell>
          <cell r="OT5">
            <v>43726</v>
          </cell>
          <cell r="OY5">
            <v>43727</v>
          </cell>
          <cell r="PD5">
            <v>43728</v>
          </cell>
          <cell r="PI5">
            <v>43729</v>
          </cell>
          <cell r="PN5">
            <v>43730</v>
          </cell>
          <cell r="PS5">
            <v>43731</v>
          </cell>
          <cell r="PX5">
            <v>43732</v>
          </cell>
          <cell r="QC5">
            <v>43733</v>
          </cell>
          <cell r="QH5">
            <v>43734</v>
          </cell>
          <cell r="QM5">
            <v>43735</v>
          </cell>
          <cell r="QR5">
            <v>43736</v>
          </cell>
          <cell r="QW5">
            <v>43737</v>
          </cell>
          <cell r="RB5">
            <v>43738</v>
          </cell>
          <cell r="RG5">
            <v>43739</v>
          </cell>
          <cell r="RL5">
            <v>43740</v>
          </cell>
          <cell r="RQ5">
            <v>43741</v>
          </cell>
          <cell r="RV5">
            <v>43742</v>
          </cell>
          <cell r="SA5">
            <v>43743</v>
          </cell>
          <cell r="SF5">
            <v>43744</v>
          </cell>
          <cell r="SK5">
            <v>43745</v>
          </cell>
          <cell r="SP5">
            <v>43746</v>
          </cell>
          <cell r="SU5">
            <v>43747</v>
          </cell>
          <cell r="SZ5">
            <v>43748</v>
          </cell>
          <cell r="TE5">
            <v>43749</v>
          </cell>
          <cell r="TJ5">
            <v>43750</v>
          </cell>
          <cell r="TO5">
            <v>43751</v>
          </cell>
          <cell r="TT5">
            <v>43752</v>
          </cell>
          <cell r="TY5">
            <v>43753</v>
          </cell>
          <cell r="UD5">
            <v>43754</v>
          </cell>
          <cell r="UI5">
            <v>43755</v>
          </cell>
          <cell r="UN5">
            <v>43756</v>
          </cell>
          <cell r="US5">
            <v>43757</v>
          </cell>
          <cell r="UX5">
            <v>43758</v>
          </cell>
          <cell r="VC5">
            <v>43759</v>
          </cell>
          <cell r="VH5">
            <v>43760</v>
          </cell>
          <cell r="VM5">
            <v>43761</v>
          </cell>
          <cell r="VR5">
            <v>43762</v>
          </cell>
          <cell r="VW5">
            <v>43763</v>
          </cell>
          <cell r="WB5">
            <v>43764</v>
          </cell>
          <cell r="WG5">
            <v>43765</v>
          </cell>
          <cell r="WL5">
            <v>43766</v>
          </cell>
          <cell r="WQ5">
            <v>43767</v>
          </cell>
          <cell r="WV5">
            <v>43768</v>
          </cell>
          <cell r="XA5">
            <v>43769</v>
          </cell>
          <cell r="XF5">
            <v>43770</v>
          </cell>
          <cell r="XK5">
            <v>43771</v>
          </cell>
          <cell r="XP5">
            <v>43772</v>
          </cell>
          <cell r="XU5">
            <v>43773</v>
          </cell>
          <cell r="XZ5">
            <v>43774</v>
          </cell>
          <cell r="YE5">
            <v>43775</v>
          </cell>
        </row>
        <row r="6">
          <cell r="A6" t="str">
            <v>工程名稱</v>
          </cell>
          <cell r="D6" t="str">
            <v>會計
科目</v>
          </cell>
          <cell r="J6" t="str">
            <v>Percentage</v>
          </cell>
          <cell r="N6">
            <v>43647</v>
          </cell>
          <cell r="S6">
            <v>43648</v>
          </cell>
          <cell r="X6">
            <v>43649</v>
          </cell>
          <cell r="AC6">
            <v>43650</v>
          </cell>
          <cell r="AH6">
            <v>43651</v>
          </cell>
          <cell r="AM6">
            <v>43652</v>
          </cell>
          <cell r="AR6">
            <v>43653</v>
          </cell>
          <cell r="AW6">
            <v>43654</v>
          </cell>
          <cell r="BB6">
            <v>43655</v>
          </cell>
          <cell r="BG6">
            <v>43656</v>
          </cell>
          <cell r="BL6">
            <v>43657</v>
          </cell>
          <cell r="BQ6">
            <v>43658</v>
          </cell>
          <cell r="BV6">
            <v>43659</v>
          </cell>
          <cell r="CA6">
            <v>43660</v>
          </cell>
          <cell r="CF6">
            <v>43661</v>
          </cell>
          <cell r="CK6">
            <v>43662</v>
          </cell>
          <cell r="CP6">
            <v>43663</v>
          </cell>
          <cell r="CU6">
            <v>43664</v>
          </cell>
          <cell r="CZ6">
            <v>43665</v>
          </cell>
          <cell r="DE6">
            <v>43666</v>
          </cell>
          <cell r="DJ6">
            <v>43667</v>
          </cell>
          <cell r="DO6">
            <v>43668</v>
          </cell>
          <cell r="DT6">
            <v>43669</v>
          </cell>
          <cell r="DY6">
            <v>43670</v>
          </cell>
          <cell r="ED6">
            <v>43671</v>
          </cell>
          <cell r="EI6">
            <v>43672</v>
          </cell>
          <cell r="EN6">
            <v>43673</v>
          </cell>
          <cell r="ES6">
            <v>43674</v>
          </cell>
          <cell r="EX6">
            <v>43675</v>
          </cell>
          <cell r="FC6">
            <v>43676</v>
          </cell>
          <cell r="FH6">
            <v>43677</v>
          </cell>
          <cell r="FM6">
            <v>43678</v>
          </cell>
          <cell r="FR6">
            <v>43679</v>
          </cell>
          <cell r="FW6">
            <v>43680</v>
          </cell>
          <cell r="GB6">
            <v>43681</v>
          </cell>
          <cell r="GG6">
            <v>43682</v>
          </cell>
          <cell r="GL6">
            <v>43683</v>
          </cell>
          <cell r="GQ6">
            <v>43684</v>
          </cell>
          <cell r="GV6">
            <v>43685</v>
          </cell>
          <cell r="HA6">
            <v>43686</v>
          </cell>
          <cell r="HF6">
            <v>43687</v>
          </cell>
          <cell r="HK6">
            <v>43688</v>
          </cell>
          <cell r="HP6">
            <v>43689</v>
          </cell>
          <cell r="HU6">
            <v>43690</v>
          </cell>
          <cell r="HZ6">
            <v>43691</v>
          </cell>
          <cell r="IE6">
            <v>43692</v>
          </cell>
          <cell r="IJ6">
            <v>43693</v>
          </cell>
          <cell r="IO6">
            <v>43694</v>
          </cell>
          <cell r="IT6">
            <v>43695</v>
          </cell>
          <cell r="IY6">
            <v>43696</v>
          </cell>
          <cell r="JD6">
            <v>43697</v>
          </cell>
          <cell r="JI6">
            <v>43698</v>
          </cell>
          <cell r="JN6">
            <v>43699</v>
          </cell>
          <cell r="JS6">
            <v>43700</v>
          </cell>
          <cell r="JX6">
            <v>43701</v>
          </cell>
          <cell r="KC6">
            <v>43702</v>
          </cell>
          <cell r="KH6">
            <v>43703</v>
          </cell>
          <cell r="KM6">
            <v>43704</v>
          </cell>
          <cell r="KR6">
            <v>43705</v>
          </cell>
          <cell r="KW6">
            <v>43706</v>
          </cell>
          <cell r="LB6">
            <v>43707</v>
          </cell>
          <cell r="LG6">
            <v>43708</v>
          </cell>
          <cell r="LL6">
            <v>43709</v>
          </cell>
          <cell r="LQ6">
            <v>43710</v>
          </cell>
          <cell r="LV6">
            <v>43711</v>
          </cell>
          <cell r="MA6">
            <v>43712</v>
          </cell>
          <cell r="MF6">
            <v>43713</v>
          </cell>
          <cell r="MK6">
            <v>43714</v>
          </cell>
          <cell r="MP6">
            <v>43715</v>
          </cell>
          <cell r="MU6">
            <v>43716</v>
          </cell>
          <cell r="MZ6">
            <v>43717</v>
          </cell>
          <cell r="NE6">
            <v>43718</v>
          </cell>
          <cell r="NJ6">
            <v>43719</v>
          </cell>
          <cell r="NO6">
            <v>43720</v>
          </cell>
          <cell r="NT6">
            <v>43721</v>
          </cell>
          <cell r="NY6">
            <v>43722</v>
          </cell>
          <cell r="OD6">
            <v>43723</v>
          </cell>
          <cell r="OI6">
            <v>43724</v>
          </cell>
          <cell r="ON6">
            <v>43725</v>
          </cell>
          <cell r="OS6">
            <v>43726</v>
          </cell>
          <cell r="OX6">
            <v>43727</v>
          </cell>
          <cell r="PC6">
            <v>43728</v>
          </cell>
          <cell r="PH6">
            <v>43729</v>
          </cell>
          <cell r="PM6">
            <v>43730</v>
          </cell>
          <cell r="PR6">
            <v>43731</v>
          </cell>
          <cell r="PW6">
            <v>43732</v>
          </cell>
          <cell r="QB6">
            <v>43733</v>
          </cell>
          <cell r="QG6">
            <v>43734</v>
          </cell>
          <cell r="QL6">
            <v>43735</v>
          </cell>
          <cell r="QQ6">
            <v>43736</v>
          </cell>
          <cell r="QV6">
            <v>43737</v>
          </cell>
          <cell r="RA6">
            <v>43738</v>
          </cell>
          <cell r="RF6">
            <v>43739</v>
          </cell>
          <cell r="RK6">
            <v>43740</v>
          </cell>
          <cell r="RP6">
            <v>43741</v>
          </cell>
          <cell r="RU6">
            <v>43742</v>
          </cell>
          <cell r="RZ6">
            <v>43743</v>
          </cell>
          <cell r="SE6">
            <v>43744</v>
          </cell>
          <cell r="SJ6">
            <v>43745</v>
          </cell>
          <cell r="SO6">
            <v>43746</v>
          </cell>
          <cell r="ST6">
            <v>43747</v>
          </cell>
          <cell r="SY6">
            <v>43748</v>
          </cell>
          <cell r="TD6">
            <v>43749</v>
          </cell>
          <cell r="TI6">
            <v>43750</v>
          </cell>
          <cell r="TN6">
            <v>43751</v>
          </cell>
          <cell r="TS6">
            <v>43752</v>
          </cell>
          <cell r="TX6">
            <v>43753</v>
          </cell>
          <cell r="UC6">
            <v>43754</v>
          </cell>
          <cell r="UH6">
            <v>43755</v>
          </cell>
          <cell r="UM6">
            <v>43756</v>
          </cell>
          <cell r="UR6">
            <v>43757</v>
          </cell>
          <cell r="UW6">
            <v>43758</v>
          </cell>
          <cell r="VB6">
            <v>43759</v>
          </cell>
          <cell r="VG6">
            <v>43760</v>
          </cell>
          <cell r="VL6">
            <v>43761</v>
          </cell>
          <cell r="VQ6">
            <v>43762</v>
          </cell>
          <cell r="VV6">
            <v>43763</v>
          </cell>
          <cell r="WA6">
            <v>43764</v>
          </cell>
          <cell r="WF6">
            <v>43765</v>
          </cell>
          <cell r="WK6">
            <v>43766</v>
          </cell>
          <cell r="WP6">
            <v>43767</v>
          </cell>
          <cell r="WU6">
            <v>43768</v>
          </cell>
          <cell r="WZ6">
            <v>43769</v>
          </cell>
          <cell r="XE6">
            <v>43770</v>
          </cell>
          <cell r="XJ6">
            <v>43771</v>
          </cell>
          <cell r="XO6">
            <v>43772</v>
          </cell>
          <cell r="XT6">
            <v>43773</v>
          </cell>
          <cell r="XY6">
            <v>43774</v>
          </cell>
          <cell r="YD6">
            <v>43775</v>
          </cell>
        </row>
        <row r="7">
          <cell r="A7" t="str">
            <v>施工地點</v>
          </cell>
          <cell r="D7" t="str">
            <v>工程
編號</v>
          </cell>
          <cell r="J7" t="str">
            <v>Money</v>
          </cell>
          <cell r="K7" t="str">
            <v>輸入欄位</v>
          </cell>
          <cell r="M7">
            <v>43647</v>
          </cell>
          <cell r="P7" t="str">
            <v>輸入欄位</v>
          </cell>
          <cell r="R7">
            <v>43648</v>
          </cell>
          <cell r="U7" t="str">
            <v>輸入欄位</v>
          </cell>
          <cell r="W7">
            <v>43649</v>
          </cell>
          <cell r="Z7" t="str">
            <v>輸入欄位</v>
          </cell>
          <cell r="AB7">
            <v>43650</v>
          </cell>
          <cell r="AE7" t="str">
            <v>輸入欄位</v>
          </cell>
          <cell r="AG7">
            <v>43651</v>
          </cell>
          <cell r="AJ7" t="str">
            <v>輸入欄位</v>
          </cell>
          <cell r="AL7">
            <v>43652</v>
          </cell>
          <cell r="AO7" t="str">
            <v>輸入欄位</v>
          </cell>
          <cell r="AQ7">
            <v>43653</v>
          </cell>
          <cell r="AT7" t="str">
            <v>輸入欄位</v>
          </cell>
          <cell r="AV7">
            <v>43654</v>
          </cell>
          <cell r="AY7" t="str">
            <v>輸入欄位</v>
          </cell>
          <cell r="BA7">
            <v>43655</v>
          </cell>
          <cell r="BD7" t="str">
            <v>輸入欄位</v>
          </cell>
          <cell r="BF7">
            <v>43656</v>
          </cell>
          <cell r="BI7" t="str">
            <v>輸入欄位</v>
          </cell>
          <cell r="BK7">
            <v>43657</v>
          </cell>
          <cell r="BN7" t="str">
            <v>輸入欄位</v>
          </cell>
          <cell r="BP7">
            <v>43658</v>
          </cell>
          <cell r="BS7" t="str">
            <v>輸入欄位</v>
          </cell>
          <cell r="BU7">
            <v>43659</v>
          </cell>
          <cell r="BX7" t="str">
            <v>輸入欄位</v>
          </cell>
          <cell r="BZ7">
            <v>43660</v>
          </cell>
          <cell r="CC7" t="str">
            <v>輸入欄位</v>
          </cell>
          <cell r="CE7">
            <v>43661</v>
          </cell>
          <cell r="CH7" t="str">
            <v>輸入欄位</v>
          </cell>
          <cell r="CJ7">
            <v>43662</v>
          </cell>
          <cell r="CM7" t="str">
            <v>輸入欄位</v>
          </cell>
          <cell r="CO7">
            <v>43663</v>
          </cell>
          <cell r="CR7" t="str">
            <v>輸入欄位</v>
          </cell>
          <cell r="CT7">
            <v>43664</v>
          </cell>
          <cell r="CW7" t="str">
            <v>輸入欄位</v>
          </cell>
          <cell r="CY7">
            <v>43665</v>
          </cell>
          <cell r="DB7" t="str">
            <v>輸入欄位</v>
          </cell>
          <cell r="DD7">
            <v>43666</v>
          </cell>
          <cell r="DG7" t="str">
            <v>輸入欄位</v>
          </cell>
          <cell r="DI7">
            <v>43667</v>
          </cell>
          <cell r="DL7" t="str">
            <v>輸入欄位</v>
          </cell>
          <cell r="DN7">
            <v>43668</v>
          </cell>
          <cell r="DQ7" t="str">
            <v>輸入欄位</v>
          </cell>
          <cell r="DS7">
            <v>43669</v>
          </cell>
          <cell r="DV7" t="str">
            <v>輸入欄位</v>
          </cell>
          <cell r="DX7">
            <v>43670</v>
          </cell>
          <cell r="EA7" t="str">
            <v>輸入欄位</v>
          </cell>
          <cell r="EC7">
            <v>43671</v>
          </cell>
          <cell r="EF7" t="str">
            <v>輸入欄位</v>
          </cell>
          <cell r="EH7">
            <v>43672</v>
          </cell>
          <cell r="EK7" t="str">
            <v>輸入欄位</v>
          </cell>
          <cell r="EM7">
            <v>43673</v>
          </cell>
          <cell r="EP7" t="str">
            <v>輸入欄位</v>
          </cell>
          <cell r="ER7">
            <v>43674</v>
          </cell>
          <cell r="EU7" t="str">
            <v>輸入欄位</v>
          </cell>
          <cell r="EW7">
            <v>43675</v>
          </cell>
          <cell r="EZ7" t="str">
            <v>輸入欄位</v>
          </cell>
          <cell r="FB7">
            <v>43676</v>
          </cell>
          <cell r="FE7" t="str">
            <v>輸入欄位</v>
          </cell>
          <cell r="FG7">
            <v>43677</v>
          </cell>
          <cell r="FJ7" t="str">
            <v>輸入欄位</v>
          </cell>
          <cell r="FL7">
            <v>43678</v>
          </cell>
          <cell r="FO7" t="str">
            <v>輸入欄位</v>
          </cell>
          <cell r="FQ7">
            <v>43679</v>
          </cell>
          <cell r="FT7" t="str">
            <v>輸入欄位</v>
          </cell>
          <cell r="FV7">
            <v>43680</v>
          </cell>
          <cell r="FY7" t="str">
            <v>輸入欄位</v>
          </cell>
          <cell r="GA7">
            <v>43681</v>
          </cell>
          <cell r="GD7" t="str">
            <v>輸入欄位</v>
          </cell>
          <cell r="GF7">
            <v>43682</v>
          </cell>
          <cell r="GI7" t="str">
            <v>輸入欄位</v>
          </cell>
          <cell r="GK7">
            <v>43683</v>
          </cell>
          <cell r="GN7" t="str">
            <v>輸入欄位</v>
          </cell>
          <cell r="GP7">
            <v>43684</v>
          </cell>
          <cell r="GS7" t="str">
            <v>輸入欄位</v>
          </cell>
          <cell r="GU7">
            <v>43685</v>
          </cell>
          <cell r="GX7" t="str">
            <v>輸入欄位</v>
          </cell>
          <cell r="GZ7">
            <v>43686</v>
          </cell>
          <cell r="HC7" t="str">
            <v>輸入欄位</v>
          </cell>
          <cell r="HE7">
            <v>43687</v>
          </cell>
          <cell r="HH7" t="str">
            <v>輸入欄位</v>
          </cell>
          <cell r="HJ7">
            <v>43688</v>
          </cell>
          <cell r="HM7" t="str">
            <v>輸入欄位</v>
          </cell>
          <cell r="HO7">
            <v>43689</v>
          </cell>
          <cell r="HR7" t="str">
            <v>輸入欄位</v>
          </cell>
          <cell r="HT7">
            <v>43690</v>
          </cell>
          <cell r="HW7" t="str">
            <v>輸入欄位</v>
          </cell>
          <cell r="HY7">
            <v>43691</v>
          </cell>
          <cell r="IB7" t="str">
            <v>輸入欄位</v>
          </cell>
          <cell r="ID7">
            <v>43692</v>
          </cell>
          <cell r="IG7" t="str">
            <v>輸入欄位</v>
          </cell>
          <cell r="II7">
            <v>43693</v>
          </cell>
          <cell r="IL7" t="str">
            <v>輸入欄位</v>
          </cell>
          <cell r="IN7">
            <v>43694</v>
          </cell>
          <cell r="IQ7" t="str">
            <v>輸入欄位</v>
          </cell>
          <cell r="IS7">
            <v>43695</v>
          </cell>
          <cell r="IV7" t="str">
            <v>輸入欄位</v>
          </cell>
          <cell r="IX7">
            <v>43696</v>
          </cell>
          <cell r="JA7" t="str">
            <v>輸入欄位</v>
          </cell>
          <cell r="JC7">
            <v>43697</v>
          </cell>
          <cell r="JF7" t="str">
            <v>輸入欄位</v>
          </cell>
          <cell r="JH7">
            <v>43698</v>
          </cell>
          <cell r="JK7" t="str">
            <v>輸入欄位</v>
          </cell>
          <cell r="JM7">
            <v>43699</v>
          </cell>
          <cell r="JP7" t="str">
            <v>輸入欄位</v>
          </cell>
          <cell r="JR7">
            <v>43700</v>
          </cell>
          <cell r="JU7" t="str">
            <v>輸入欄位</v>
          </cell>
          <cell r="JW7">
            <v>43701</v>
          </cell>
          <cell r="JZ7" t="str">
            <v>輸入欄位</v>
          </cell>
          <cell r="KB7">
            <v>43702</v>
          </cell>
          <cell r="KE7" t="str">
            <v>輸入欄位</v>
          </cell>
          <cell r="KG7">
            <v>43703</v>
          </cell>
          <cell r="KJ7" t="str">
            <v>輸入欄位</v>
          </cell>
          <cell r="KL7">
            <v>43704</v>
          </cell>
          <cell r="KO7" t="str">
            <v>輸入欄位</v>
          </cell>
          <cell r="KQ7">
            <v>43705</v>
          </cell>
          <cell r="KT7" t="str">
            <v>輸入欄位</v>
          </cell>
          <cell r="KV7">
            <v>43706</v>
          </cell>
          <cell r="KY7" t="str">
            <v>輸入欄位</v>
          </cell>
          <cell r="LA7">
            <v>43707</v>
          </cell>
          <cell r="LD7" t="str">
            <v>輸入欄位</v>
          </cell>
          <cell r="LF7">
            <v>43708</v>
          </cell>
          <cell r="LI7" t="str">
            <v>輸入欄位</v>
          </cell>
          <cell r="LK7">
            <v>43709</v>
          </cell>
          <cell r="LN7" t="str">
            <v>輸入欄位</v>
          </cell>
          <cell r="LP7">
            <v>43710</v>
          </cell>
          <cell r="LS7" t="str">
            <v>輸入欄位</v>
          </cell>
          <cell r="LU7">
            <v>43711</v>
          </cell>
          <cell r="LX7" t="str">
            <v>輸入欄位</v>
          </cell>
          <cell r="LZ7">
            <v>43712</v>
          </cell>
          <cell r="MC7" t="str">
            <v>輸入欄位</v>
          </cell>
          <cell r="ME7">
            <v>43713</v>
          </cell>
          <cell r="MH7" t="str">
            <v>輸入欄位</v>
          </cell>
          <cell r="MJ7">
            <v>43714</v>
          </cell>
          <cell r="MM7" t="str">
            <v>輸入欄位</v>
          </cell>
          <cell r="MO7">
            <v>43715</v>
          </cell>
          <cell r="MR7" t="str">
            <v>輸入欄位</v>
          </cell>
          <cell r="MT7">
            <v>43716</v>
          </cell>
          <cell r="MW7" t="str">
            <v>輸入欄位</v>
          </cell>
          <cell r="MY7">
            <v>43717</v>
          </cell>
          <cell r="NB7" t="str">
            <v>輸入欄位</v>
          </cell>
          <cell r="ND7">
            <v>43718</v>
          </cell>
          <cell r="NG7" t="str">
            <v>輸入欄位</v>
          </cell>
          <cell r="NI7">
            <v>43719</v>
          </cell>
          <cell r="NL7" t="str">
            <v>輸入欄位</v>
          </cell>
          <cell r="NN7">
            <v>43720</v>
          </cell>
          <cell r="NQ7" t="str">
            <v>輸入欄位</v>
          </cell>
          <cell r="NS7">
            <v>43721</v>
          </cell>
          <cell r="NV7" t="str">
            <v>輸入欄位</v>
          </cell>
          <cell r="NX7">
            <v>43722</v>
          </cell>
          <cell r="OA7" t="str">
            <v>輸入欄位</v>
          </cell>
          <cell r="OC7">
            <v>43723</v>
          </cell>
          <cell r="OF7" t="str">
            <v>輸入欄位</v>
          </cell>
          <cell r="OH7">
            <v>43724</v>
          </cell>
          <cell r="OK7" t="str">
            <v>輸入欄位</v>
          </cell>
          <cell r="OM7">
            <v>43725</v>
          </cell>
          <cell r="OP7" t="str">
            <v>輸入欄位</v>
          </cell>
          <cell r="OR7">
            <v>43726</v>
          </cell>
          <cell r="OU7" t="str">
            <v>輸入欄位</v>
          </cell>
          <cell r="OW7">
            <v>43727</v>
          </cell>
          <cell r="OZ7" t="str">
            <v>輸入欄位</v>
          </cell>
          <cell r="PB7">
            <v>43728</v>
          </cell>
          <cell r="PE7" t="str">
            <v>輸入欄位</v>
          </cell>
          <cell r="PG7">
            <v>43729</v>
          </cell>
          <cell r="PJ7" t="str">
            <v>輸入欄位</v>
          </cell>
          <cell r="PL7">
            <v>43730</v>
          </cell>
          <cell r="PO7" t="str">
            <v>輸入欄位</v>
          </cell>
          <cell r="PQ7">
            <v>43731</v>
          </cell>
          <cell r="PT7" t="str">
            <v>輸入欄位</v>
          </cell>
          <cell r="PV7">
            <v>43732</v>
          </cell>
          <cell r="PY7" t="str">
            <v>輸入欄位</v>
          </cell>
          <cell r="QA7">
            <v>43733</v>
          </cell>
          <cell r="QD7" t="str">
            <v>輸入欄位</v>
          </cell>
          <cell r="QF7">
            <v>43734</v>
          </cell>
          <cell r="QI7" t="str">
            <v>輸入欄位</v>
          </cell>
          <cell r="QK7">
            <v>43735</v>
          </cell>
          <cell r="QN7" t="str">
            <v>輸入欄位</v>
          </cell>
          <cell r="QP7">
            <v>43736</v>
          </cell>
          <cell r="QS7" t="str">
            <v>輸入欄位</v>
          </cell>
          <cell r="QU7">
            <v>43737</v>
          </cell>
          <cell r="QX7" t="str">
            <v>輸入欄位</v>
          </cell>
          <cell r="QZ7">
            <v>43738</v>
          </cell>
          <cell r="RC7" t="str">
            <v>輸入欄位</v>
          </cell>
          <cell r="RE7">
            <v>43739</v>
          </cell>
          <cell r="RH7" t="str">
            <v>輸入欄位</v>
          </cell>
          <cell r="RJ7">
            <v>43740</v>
          </cell>
          <cell r="RM7" t="str">
            <v>輸入欄位</v>
          </cell>
          <cell r="RO7">
            <v>43741</v>
          </cell>
          <cell r="RR7" t="str">
            <v>輸入欄位</v>
          </cell>
          <cell r="RT7">
            <v>43742</v>
          </cell>
          <cell r="RW7" t="str">
            <v>輸入欄位</v>
          </cell>
          <cell r="RY7">
            <v>43743</v>
          </cell>
          <cell r="SB7" t="str">
            <v>輸入欄位</v>
          </cell>
          <cell r="SD7">
            <v>43744</v>
          </cell>
          <cell r="SG7" t="str">
            <v>輸入欄位</v>
          </cell>
          <cell r="SI7">
            <v>43745</v>
          </cell>
          <cell r="SL7" t="str">
            <v>輸入欄位</v>
          </cell>
          <cell r="SN7">
            <v>43746</v>
          </cell>
          <cell r="SQ7" t="str">
            <v>輸入欄位</v>
          </cell>
          <cell r="SS7">
            <v>43747</v>
          </cell>
          <cell r="SV7" t="str">
            <v>輸入欄位</v>
          </cell>
          <cell r="SX7">
            <v>43748</v>
          </cell>
          <cell r="TA7" t="str">
            <v>輸入欄位</v>
          </cell>
          <cell r="TC7">
            <v>43749</v>
          </cell>
          <cell r="TF7" t="str">
            <v>輸入欄位</v>
          </cell>
          <cell r="TH7">
            <v>43750</v>
          </cell>
          <cell r="TK7" t="str">
            <v>輸入欄位</v>
          </cell>
          <cell r="TM7">
            <v>43751</v>
          </cell>
          <cell r="TP7" t="str">
            <v>輸入欄位</v>
          </cell>
          <cell r="TR7">
            <v>43752</v>
          </cell>
          <cell r="TU7" t="str">
            <v>輸入欄位</v>
          </cell>
          <cell r="TW7">
            <v>43753</v>
          </cell>
          <cell r="TZ7" t="str">
            <v>輸入欄位</v>
          </cell>
          <cell r="UB7">
            <v>43754</v>
          </cell>
          <cell r="UE7" t="str">
            <v>輸入欄位</v>
          </cell>
          <cell r="UG7">
            <v>43755</v>
          </cell>
          <cell r="UJ7" t="str">
            <v>輸入欄位</v>
          </cell>
          <cell r="UL7">
            <v>43756</v>
          </cell>
          <cell r="UO7" t="str">
            <v>輸入欄位</v>
          </cell>
          <cell r="UQ7">
            <v>43757</v>
          </cell>
          <cell r="UT7" t="str">
            <v>輸入欄位</v>
          </cell>
          <cell r="UV7">
            <v>43758</v>
          </cell>
          <cell r="UY7" t="str">
            <v>輸入欄位</v>
          </cell>
          <cell r="VA7">
            <v>43759</v>
          </cell>
          <cell r="VD7" t="str">
            <v>輸入欄位</v>
          </cell>
          <cell r="VF7">
            <v>43760</v>
          </cell>
          <cell r="VI7" t="str">
            <v>輸入欄位</v>
          </cell>
          <cell r="VK7">
            <v>43761</v>
          </cell>
          <cell r="VN7" t="str">
            <v>輸入欄位</v>
          </cell>
          <cell r="VP7">
            <v>43762</v>
          </cell>
          <cell r="VS7" t="str">
            <v>輸入欄位</v>
          </cell>
          <cell r="VU7">
            <v>43763</v>
          </cell>
          <cell r="VX7" t="str">
            <v>輸入欄位</v>
          </cell>
          <cell r="VZ7">
            <v>43764</v>
          </cell>
          <cell r="WC7" t="str">
            <v>輸入欄位</v>
          </cell>
          <cell r="WE7">
            <v>43765</v>
          </cell>
          <cell r="WH7" t="str">
            <v>輸入欄位</v>
          </cell>
          <cell r="WJ7">
            <v>43766</v>
          </cell>
          <cell r="WM7" t="str">
            <v>輸入欄位</v>
          </cell>
          <cell r="WO7">
            <v>43767</v>
          </cell>
          <cell r="WR7" t="str">
            <v>輸入欄位</v>
          </cell>
          <cell r="WT7">
            <v>43768</v>
          </cell>
          <cell r="WW7" t="str">
            <v>輸入欄位</v>
          </cell>
          <cell r="WY7">
            <v>43769</v>
          </cell>
          <cell r="XB7" t="str">
            <v>輸入欄位</v>
          </cell>
          <cell r="XD7">
            <v>43770</v>
          </cell>
          <cell r="XG7" t="str">
            <v>輸入欄位</v>
          </cell>
          <cell r="XI7">
            <v>43771</v>
          </cell>
          <cell r="XL7" t="str">
            <v>輸入欄位</v>
          </cell>
          <cell r="XN7">
            <v>43772</v>
          </cell>
          <cell r="XQ7" t="str">
            <v>輸入欄位</v>
          </cell>
          <cell r="XS7">
            <v>43773</v>
          </cell>
          <cell r="XV7" t="str">
            <v>輸入欄位</v>
          </cell>
          <cell r="XX7">
            <v>43774</v>
          </cell>
          <cell r="YA7" t="str">
            <v>輸入欄位</v>
          </cell>
          <cell r="YC7">
            <v>43775</v>
          </cell>
        </row>
        <row r="8">
          <cell r="A8" t="str">
            <v>項 次</v>
          </cell>
          <cell r="B8" t="str">
            <v>項  目  及  說  明</v>
          </cell>
          <cell r="C8" t="str">
            <v>單位</v>
          </cell>
          <cell r="D8" t="str">
            <v>數 量</v>
          </cell>
          <cell r="E8" t="str">
            <v>單 價</v>
          </cell>
          <cell r="F8" t="str">
            <v>複 價</v>
          </cell>
          <cell r="G8" t="str">
            <v>權重</v>
          </cell>
          <cell r="K8" t="str">
            <v>Quantity</v>
          </cell>
          <cell r="L8" t="str">
            <v>Cumulative Number</v>
          </cell>
          <cell r="M8" t="str">
            <v>Money</v>
          </cell>
          <cell r="N8" t="str">
            <v>Percentage</v>
          </cell>
          <cell r="O8" t="str">
            <v>Cumulative Percent</v>
          </cell>
          <cell r="P8" t="str">
            <v>Quantity</v>
          </cell>
          <cell r="Q8" t="str">
            <v>Cumulative Number</v>
          </cell>
          <cell r="R8" t="str">
            <v>Money</v>
          </cell>
          <cell r="S8" t="str">
            <v>Percentage</v>
          </cell>
          <cell r="T8" t="str">
            <v>Cumulative Percent</v>
          </cell>
          <cell r="U8" t="str">
            <v>Quantity</v>
          </cell>
          <cell r="V8" t="str">
            <v>Cumulative Number</v>
          </cell>
          <cell r="W8" t="str">
            <v>Money</v>
          </cell>
          <cell r="X8" t="str">
            <v>Percentage</v>
          </cell>
          <cell r="Y8" t="str">
            <v>Cumulative Percent</v>
          </cell>
          <cell r="Z8" t="str">
            <v>Quantity</v>
          </cell>
          <cell r="AA8" t="str">
            <v>Cumulative Number</v>
          </cell>
          <cell r="AB8" t="str">
            <v>Money</v>
          </cell>
          <cell r="AC8" t="str">
            <v>Percentage</v>
          </cell>
          <cell r="AD8" t="str">
            <v>Cumulative Percent</v>
          </cell>
          <cell r="AE8" t="str">
            <v>Quantity</v>
          </cell>
          <cell r="AF8" t="str">
            <v>Cumulative Number</v>
          </cell>
          <cell r="AG8" t="str">
            <v>Money</v>
          </cell>
          <cell r="AH8" t="str">
            <v>Percentage</v>
          </cell>
          <cell r="AI8" t="str">
            <v>Cumulative Percent</v>
          </cell>
          <cell r="AJ8" t="str">
            <v>Quantity</v>
          </cell>
          <cell r="AK8" t="str">
            <v>Cumulative Number</v>
          </cell>
          <cell r="AL8" t="str">
            <v>Money</v>
          </cell>
          <cell r="AM8" t="str">
            <v>Percentage</v>
          </cell>
          <cell r="AN8" t="str">
            <v>Cumulative Percent</v>
          </cell>
          <cell r="AO8" t="str">
            <v>Quantity</v>
          </cell>
          <cell r="AP8" t="str">
            <v>Cumulative Number</v>
          </cell>
          <cell r="AQ8" t="str">
            <v>Money</v>
          </cell>
          <cell r="AR8" t="str">
            <v>Percentage</v>
          </cell>
          <cell r="AS8" t="str">
            <v>Cumulative Percent</v>
          </cell>
          <cell r="AT8" t="str">
            <v>Quantity</v>
          </cell>
          <cell r="AU8" t="str">
            <v>Cumulative Number</v>
          </cell>
          <cell r="AV8" t="str">
            <v>Money</v>
          </cell>
          <cell r="AW8" t="str">
            <v>Percentage</v>
          </cell>
          <cell r="AX8" t="str">
            <v>Cumulative Percent</v>
          </cell>
          <cell r="AY8" t="str">
            <v>Quantity</v>
          </cell>
          <cell r="AZ8" t="str">
            <v>Cumulative Number</v>
          </cell>
          <cell r="BA8" t="str">
            <v>Money</v>
          </cell>
          <cell r="BB8" t="str">
            <v>Percentage</v>
          </cell>
          <cell r="BC8" t="str">
            <v>Cumulative Percent</v>
          </cell>
          <cell r="BD8" t="str">
            <v>Quantity</v>
          </cell>
          <cell r="BE8" t="str">
            <v>Cumulative Number</v>
          </cell>
          <cell r="BF8" t="str">
            <v>Money</v>
          </cell>
          <cell r="BG8" t="str">
            <v>Percentage</v>
          </cell>
          <cell r="BH8" t="str">
            <v>Cumulative Percent</v>
          </cell>
          <cell r="BI8" t="str">
            <v>Quantity</v>
          </cell>
          <cell r="BJ8" t="str">
            <v>Cumulative Number</v>
          </cell>
          <cell r="BK8" t="str">
            <v>Money</v>
          </cell>
          <cell r="BL8" t="str">
            <v>Percentage</v>
          </cell>
          <cell r="BM8" t="str">
            <v>Cumulative Percent</v>
          </cell>
          <cell r="BN8" t="str">
            <v>Quantity</v>
          </cell>
          <cell r="BO8" t="str">
            <v>Cumulative Number</v>
          </cell>
          <cell r="BP8" t="str">
            <v>Money</v>
          </cell>
          <cell r="BQ8" t="str">
            <v>Percentage</v>
          </cell>
          <cell r="BR8" t="str">
            <v>Cumulative Percent</v>
          </cell>
          <cell r="BS8" t="str">
            <v>Quantity</v>
          </cell>
          <cell r="BT8" t="str">
            <v>Cumulative Number</v>
          </cell>
          <cell r="BU8" t="str">
            <v>Money</v>
          </cell>
          <cell r="BV8" t="str">
            <v>Percentage</v>
          </cell>
          <cell r="BW8" t="str">
            <v>Cumulative Percent</v>
          </cell>
          <cell r="BX8" t="str">
            <v>Quantity</v>
          </cell>
          <cell r="BY8" t="str">
            <v>Cumulative Number</v>
          </cell>
          <cell r="BZ8" t="str">
            <v>Money</v>
          </cell>
          <cell r="CA8" t="str">
            <v>Percentage</v>
          </cell>
          <cell r="CB8" t="str">
            <v>Cumulative Percent</v>
          </cell>
          <cell r="CC8" t="str">
            <v>Quantity</v>
          </cell>
          <cell r="CD8" t="str">
            <v>Cumulative Number</v>
          </cell>
          <cell r="CE8" t="str">
            <v>Money</v>
          </cell>
          <cell r="CF8" t="str">
            <v>Percentage</v>
          </cell>
          <cell r="CG8" t="str">
            <v>Cumulative Percent</v>
          </cell>
          <cell r="CH8" t="str">
            <v>Quantity</v>
          </cell>
          <cell r="CI8" t="str">
            <v>Cumulative Number</v>
          </cell>
          <cell r="CJ8" t="str">
            <v>Money</v>
          </cell>
          <cell r="CK8" t="str">
            <v>Percentage</v>
          </cell>
          <cell r="CL8" t="str">
            <v>Cumulative Percent</v>
          </cell>
          <cell r="CM8" t="str">
            <v>Quantity</v>
          </cell>
          <cell r="CN8" t="str">
            <v>Cumulative Number</v>
          </cell>
          <cell r="CO8" t="str">
            <v>Money</v>
          </cell>
          <cell r="CP8" t="str">
            <v>Percentage</v>
          </cell>
          <cell r="CQ8" t="str">
            <v>Cumulative Percent</v>
          </cell>
          <cell r="CR8" t="str">
            <v>Quantity</v>
          </cell>
          <cell r="CS8" t="str">
            <v>Cumulative Number</v>
          </cell>
          <cell r="CT8" t="str">
            <v>Money</v>
          </cell>
          <cell r="CU8" t="str">
            <v>Percentage</v>
          </cell>
          <cell r="CV8" t="str">
            <v>Cumulative Percent</v>
          </cell>
          <cell r="CW8" t="str">
            <v>Quantity</v>
          </cell>
          <cell r="CX8" t="str">
            <v>Cumulative Number</v>
          </cell>
          <cell r="CY8" t="str">
            <v>Money</v>
          </cell>
          <cell r="CZ8" t="str">
            <v>Percentage</v>
          </cell>
          <cell r="DA8" t="str">
            <v>Cumulative Percent</v>
          </cell>
          <cell r="DB8" t="str">
            <v>Quantity</v>
          </cell>
          <cell r="DC8" t="str">
            <v>Cumulative Number</v>
          </cell>
          <cell r="DD8" t="str">
            <v>Money</v>
          </cell>
          <cell r="DE8" t="str">
            <v>Percentage</v>
          </cell>
          <cell r="DF8" t="str">
            <v>Cumulative Percent</v>
          </cell>
          <cell r="DG8" t="str">
            <v>Quantity</v>
          </cell>
          <cell r="DH8" t="str">
            <v>Cumulative Number</v>
          </cell>
          <cell r="DI8" t="str">
            <v>Money</v>
          </cell>
          <cell r="DJ8" t="str">
            <v>Percentage</v>
          </cell>
          <cell r="DK8" t="str">
            <v>Cumulative Percent</v>
          </cell>
          <cell r="DL8" t="str">
            <v>Quantity</v>
          </cell>
          <cell r="DM8" t="str">
            <v>Cumulative Number</v>
          </cell>
          <cell r="DN8" t="str">
            <v>Money</v>
          </cell>
          <cell r="DO8" t="str">
            <v>Percentage</v>
          </cell>
          <cell r="DP8" t="str">
            <v>Cumulative Percent</v>
          </cell>
          <cell r="DQ8" t="str">
            <v>Quantity</v>
          </cell>
          <cell r="DR8" t="str">
            <v>Cumulative Number</v>
          </cell>
          <cell r="DS8" t="str">
            <v>Money</v>
          </cell>
          <cell r="DT8" t="str">
            <v>Percentage</v>
          </cell>
          <cell r="DU8" t="str">
            <v>Cumulative Percent</v>
          </cell>
          <cell r="DV8" t="str">
            <v>Quantity</v>
          </cell>
          <cell r="DW8" t="str">
            <v>Cumulative Number</v>
          </cell>
          <cell r="DX8" t="str">
            <v>Money</v>
          </cell>
          <cell r="DY8" t="str">
            <v>Percentage</v>
          </cell>
          <cell r="DZ8" t="str">
            <v>Cumulative Percent</v>
          </cell>
          <cell r="EA8" t="str">
            <v>Quantity</v>
          </cell>
          <cell r="EB8" t="str">
            <v>Cumulative Number</v>
          </cell>
          <cell r="EC8" t="str">
            <v>Money</v>
          </cell>
          <cell r="ED8" t="str">
            <v>Percentage</v>
          </cell>
          <cell r="EE8" t="str">
            <v>Cumulative Percent</v>
          </cell>
          <cell r="EF8" t="str">
            <v>Quantity</v>
          </cell>
          <cell r="EG8" t="str">
            <v>Cumulative Number</v>
          </cell>
          <cell r="EH8" t="str">
            <v>Money</v>
          </cell>
          <cell r="EI8" t="str">
            <v>Percentage</v>
          </cell>
          <cell r="EJ8" t="str">
            <v>Cumulative Percent</v>
          </cell>
          <cell r="EK8" t="str">
            <v>Quantity</v>
          </cell>
          <cell r="EL8" t="str">
            <v>Cumulative Number</v>
          </cell>
          <cell r="EM8" t="str">
            <v>Money</v>
          </cell>
          <cell r="EN8" t="str">
            <v>Percentage</v>
          </cell>
          <cell r="EO8" t="str">
            <v>Cumulative Percent</v>
          </cell>
          <cell r="EP8" t="str">
            <v>Quantity</v>
          </cell>
          <cell r="EQ8" t="str">
            <v>Cumulative Number</v>
          </cell>
          <cell r="ER8" t="str">
            <v>Money</v>
          </cell>
          <cell r="ES8" t="str">
            <v>Percentage</v>
          </cell>
          <cell r="ET8" t="str">
            <v>Cumulative Percent</v>
          </cell>
          <cell r="EU8" t="str">
            <v>Quantity</v>
          </cell>
          <cell r="EV8" t="str">
            <v>Cumulative Number</v>
          </cell>
          <cell r="EW8" t="str">
            <v>Money</v>
          </cell>
          <cell r="EX8" t="str">
            <v>Percentage</v>
          </cell>
          <cell r="EY8" t="str">
            <v>Cumulative Percent</v>
          </cell>
          <cell r="EZ8" t="str">
            <v>Quantity</v>
          </cell>
          <cell r="FA8" t="str">
            <v>Cumulative Number</v>
          </cell>
          <cell r="FB8" t="str">
            <v>Money</v>
          </cell>
          <cell r="FC8" t="str">
            <v>Percentage</v>
          </cell>
          <cell r="FD8" t="str">
            <v>Cumulative Percent</v>
          </cell>
          <cell r="FE8" t="str">
            <v>Quantity</v>
          </cell>
          <cell r="FF8" t="str">
            <v>Cumulative Number</v>
          </cell>
          <cell r="FG8" t="str">
            <v>Money</v>
          </cell>
          <cell r="FH8" t="str">
            <v>Percentage</v>
          </cell>
          <cell r="FI8" t="str">
            <v>Cumulative Percent</v>
          </cell>
          <cell r="FJ8" t="str">
            <v>Quantity</v>
          </cell>
          <cell r="FK8" t="str">
            <v>Cumulative Number</v>
          </cell>
          <cell r="FL8" t="str">
            <v>Money</v>
          </cell>
          <cell r="FM8" t="str">
            <v>Percentage</v>
          </cell>
          <cell r="FN8" t="str">
            <v>Cumulative Percent</v>
          </cell>
          <cell r="FO8" t="str">
            <v>Quantity</v>
          </cell>
          <cell r="FP8" t="str">
            <v>Cumulative Number</v>
          </cell>
          <cell r="FQ8" t="str">
            <v>Money</v>
          </cell>
          <cell r="FR8" t="str">
            <v>Percentage</v>
          </cell>
          <cell r="FS8" t="str">
            <v>Cumulative Percent</v>
          </cell>
          <cell r="FT8" t="str">
            <v>Quantity</v>
          </cell>
          <cell r="FU8" t="str">
            <v>Cumulative Number</v>
          </cell>
          <cell r="FV8" t="str">
            <v>Money</v>
          </cell>
          <cell r="FW8" t="str">
            <v>Percentage</v>
          </cell>
          <cell r="FX8" t="str">
            <v>Cumulative Percent</v>
          </cell>
          <cell r="FY8" t="str">
            <v>Quantity</v>
          </cell>
          <cell r="FZ8" t="str">
            <v>Cumulative Number</v>
          </cell>
          <cell r="GA8" t="str">
            <v>Money</v>
          </cell>
          <cell r="GB8" t="str">
            <v>Percentage</v>
          </cell>
          <cell r="GC8" t="str">
            <v>Cumulative Percent</v>
          </cell>
          <cell r="GD8" t="str">
            <v>Quantity</v>
          </cell>
          <cell r="GE8" t="str">
            <v>Cumulative Number</v>
          </cell>
          <cell r="GF8" t="str">
            <v>Money</v>
          </cell>
          <cell r="GG8" t="str">
            <v>Percentage</v>
          </cell>
          <cell r="GH8" t="str">
            <v>Cumulative Percent</v>
          </cell>
          <cell r="GI8" t="str">
            <v>Quantity</v>
          </cell>
          <cell r="GJ8" t="str">
            <v>Cumulative Number</v>
          </cell>
          <cell r="GK8" t="str">
            <v>Money</v>
          </cell>
          <cell r="GL8" t="str">
            <v>Percentage</v>
          </cell>
          <cell r="GM8" t="str">
            <v>Cumulative Percent</v>
          </cell>
          <cell r="GN8" t="str">
            <v>Quantity</v>
          </cell>
          <cell r="GO8" t="str">
            <v>Cumulative Number</v>
          </cell>
          <cell r="GP8" t="str">
            <v>Money</v>
          </cell>
          <cell r="GQ8" t="str">
            <v>Percentage</v>
          </cell>
          <cell r="GR8" t="str">
            <v>Cumulative Percent</v>
          </cell>
          <cell r="GS8" t="str">
            <v>Quantity</v>
          </cell>
          <cell r="GT8" t="str">
            <v>Cumulative Number</v>
          </cell>
          <cell r="GU8" t="str">
            <v>Money</v>
          </cell>
          <cell r="GV8" t="str">
            <v>Percentage</v>
          </cell>
          <cell r="GW8" t="str">
            <v>Cumulative Percent</v>
          </cell>
          <cell r="GX8" t="str">
            <v>Quantity</v>
          </cell>
          <cell r="GY8" t="str">
            <v>Cumulative Number</v>
          </cell>
          <cell r="GZ8" t="str">
            <v>Money</v>
          </cell>
          <cell r="HA8" t="str">
            <v>Percentage</v>
          </cell>
          <cell r="HB8" t="str">
            <v>Cumulative Percent</v>
          </cell>
          <cell r="HC8" t="str">
            <v>Quantity</v>
          </cell>
          <cell r="HD8" t="str">
            <v>Cumulative Number</v>
          </cell>
          <cell r="HE8" t="str">
            <v>Money</v>
          </cell>
          <cell r="HF8" t="str">
            <v>Percentage</v>
          </cell>
          <cell r="HG8" t="str">
            <v>Cumulative Percent</v>
          </cell>
          <cell r="HH8" t="str">
            <v>Quantity</v>
          </cell>
          <cell r="HI8" t="str">
            <v>Cumulative Number</v>
          </cell>
          <cell r="HJ8" t="str">
            <v>Money</v>
          </cell>
          <cell r="HK8" t="str">
            <v>Percentage</v>
          </cell>
          <cell r="HL8" t="str">
            <v>Cumulative Percent</v>
          </cell>
          <cell r="HM8" t="str">
            <v>Quantity</v>
          </cell>
          <cell r="HN8" t="str">
            <v>Cumulative Number</v>
          </cell>
          <cell r="HO8" t="str">
            <v>Money</v>
          </cell>
          <cell r="HP8" t="str">
            <v>Percentage</v>
          </cell>
          <cell r="HQ8" t="str">
            <v>Cumulative Percent</v>
          </cell>
          <cell r="HR8" t="str">
            <v>Quantity</v>
          </cell>
          <cell r="HS8" t="str">
            <v>Cumulative Number</v>
          </cell>
          <cell r="HT8" t="str">
            <v>Money</v>
          </cell>
          <cell r="HU8" t="str">
            <v>Percentage</v>
          </cell>
          <cell r="HV8" t="str">
            <v>Cumulative Percent</v>
          </cell>
          <cell r="HW8" t="str">
            <v>Quantity</v>
          </cell>
          <cell r="HX8" t="str">
            <v>Cumulative Number</v>
          </cell>
          <cell r="HY8" t="str">
            <v>Money</v>
          </cell>
          <cell r="HZ8" t="str">
            <v>Percentage</v>
          </cell>
          <cell r="IA8" t="str">
            <v>Cumulative Percent</v>
          </cell>
          <cell r="IB8" t="str">
            <v>Quantity</v>
          </cell>
          <cell r="IC8" t="str">
            <v>Cumulative Number</v>
          </cell>
          <cell r="ID8" t="str">
            <v>Money</v>
          </cell>
          <cell r="IE8" t="str">
            <v>Percentage</v>
          </cell>
          <cell r="IF8" t="str">
            <v>Cumulative Percent</v>
          </cell>
          <cell r="IG8" t="str">
            <v>Quantity</v>
          </cell>
          <cell r="IH8" t="str">
            <v>Cumulative Number</v>
          </cell>
          <cell r="II8" t="str">
            <v>Money</v>
          </cell>
          <cell r="IJ8" t="str">
            <v>Percentage</v>
          </cell>
          <cell r="IK8" t="str">
            <v>Cumulative Percent</v>
          </cell>
          <cell r="IL8" t="str">
            <v>Quantity</v>
          </cell>
          <cell r="IM8" t="str">
            <v>Cumulative Number</v>
          </cell>
          <cell r="IN8" t="str">
            <v>Money</v>
          </cell>
          <cell r="IO8" t="str">
            <v>Percentage</v>
          </cell>
          <cell r="IP8" t="str">
            <v>Cumulative Percent</v>
          </cell>
          <cell r="IQ8" t="str">
            <v>Quantity</v>
          </cell>
          <cell r="IR8" t="str">
            <v>Cumulative Number</v>
          </cell>
          <cell r="IS8" t="str">
            <v>Money</v>
          </cell>
          <cell r="IT8" t="str">
            <v>Percentage</v>
          </cell>
          <cell r="IU8" t="str">
            <v>Cumulative Percent</v>
          </cell>
          <cell r="IV8" t="str">
            <v>Quantity</v>
          </cell>
          <cell r="IW8" t="str">
            <v>Cumulative Number</v>
          </cell>
          <cell r="IX8" t="str">
            <v>Money</v>
          </cell>
          <cell r="IY8" t="str">
            <v>Percentage</v>
          </cell>
          <cell r="IZ8" t="str">
            <v>Cumulative Percent</v>
          </cell>
          <cell r="JA8" t="str">
            <v>Quantity</v>
          </cell>
          <cell r="JB8" t="str">
            <v>Cumulative Number</v>
          </cell>
          <cell r="JC8" t="str">
            <v>Money</v>
          </cell>
          <cell r="JD8" t="str">
            <v>Percentage</v>
          </cell>
          <cell r="JE8" t="str">
            <v>Cumulative Percent</v>
          </cell>
          <cell r="JF8" t="str">
            <v>Quantity</v>
          </cell>
          <cell r="JG8" t="str">
            <v>Cumulative Number</v>
          </cell>
          <cell r="JH8" t="str">
            <v>Money</v>
          </cell>
          <cell r="JI8" t="str">
            <v>Percentage</v>
          </cell>
          <cell r="JJ8" t="str">
            <v>Cumulative Percent</v>
          </cell>
          <cell r="JK8" t="str">
            <v>Quantity</v>
          </cell>
          <cell r="JL8" t="str">
            <v>Cumulative Number</v>
          </cell>
          <cell r="JM8" t="str">
            <v>Money</v>
          </cell>
          <cell r="JN8" t="str">
            <v>Percentage</v>
          </cell>
          <cell r="JO8" t="str">
            <v>Cumulative Percent</v>
          </cell>
          <cell r="JP8" t="str">
            <v>Quantity</v>
          </cell>
          <cell r="JQ8" t="str">
            <v>Cumulative Number</v>
          </cell>
          <cell r="JR8" t="str">
            <v>Money</v>
          </cell>
          <cell r="JS8" t="str">
            <v>Percentage</v>
          </cell>
          <cell r="JT8" t="str">
            <v>Cumulative Percent</v>
          </cell>
          <cell r="JU8" t="str">
            <v>Quantity</v>
          </cell>
          <cell r="JV8" t="str">
            <v>Cumulative Number</v>
          </cell>
          <cell r="JW8" t="str">
            <v>Money</v>
          </cell>
          <cell r="JX8" t="str">
            <v>Percentage</v>
          </cell>
          <cell r="JY8" t="str">
            <v>Cumulative Percent</v>
          </cell>
          <cell r="JZ8" t="str">
            <v>Quantity</v>
          </cell>
          <cell r="KA8" t="str">
            <v>Cumulative Number</v>
          </cell>
          <cell r="KB8" t="str">
            <v>Money</v>
          </cell>
          <cell r="KC8" t="str">
            <v>Percentage</v>
          </cell>
          <cell r="KD8" t="str">
            <v>Cumulative Percent</v>
          </cell>
          <cell r="KE8" t="str">
            <v>Quantity</v>
          </cell>
          <cell r="KF8" t="str">
            <v>Cumulative Number</v>
          </cell>
          <cell r="KG8" t="str">
            <v>Money</v>
          </cell>
          <cell r="KH8" t="str">
            <v>Percentage</v>
          </cell>
          <cell r="KI8" t="str">
            <v>Cumulative Percent</v>
          </cell>
          <cell r="KJ8" t="str">
            <v>Quantity</v>
          </cell>
          <cell r="KK8" t="str">
            <v>Cumulative Number</v>
          </cell>
          <cell r="KL8" t="str">
            <v>Money</v>
          </cell>
          <cell r="KM8" t="str">
            <v>Percentage</v>
          </cell>
          <cell r="KN8" t="str">
            <v>Cumulative Percent</v>
          </cell>
          <cell r="KO8" t="str">
            <v>Quantity</v>
          </cell>
          <cell r="KP8" t="str">
            <v>Cumulative Number</v>
          </cell>
          <cell r="KQ8" t="str">
            <v>Money</v>
          </cell>
          <cell r="KR8" t="str">
            <v>Percentage</v>
          </cell>
          <cell r="KS8" t="str">
            <v>Cumulative Percent</v>
          </cell>
          <cell r="KT8" t="str">
            <v>Quantity</v>
          </cell>
          <cell r="KU8" t="str">
            <v>Cumulative Number</v>
          </cell>
          <cell r="KV8" t="str">
            <v>Money</v>
          </cell>
          <cell r="KW8" t="str">
            <v>Percentage</v>
          </cell>
          <cell r="KX8" t="str">
            <v>Cumulative Percent</v>
          </cell>
          <cell r="KY8" t="str">
            <v>Quantity</v>
          </cell>
          <cell r="KZ8" t="str">
            <v>Cumulative Number</v>
          </cell>
          <cell r="LA8" t="str">
            <v>Money</v>
          </cell>
          <cell r="LB8" t="str">
            <v>Percentage</v>
          </cell>
          <cell r="LC8" t="str">
            <v>Cumulative Percent</v>
          </cell>
          <cell r="LD8" t="str">
            <v>Quantity</v>
          </cell>
          <cell r="LE8" t="str">
            <v>Cumulative Number</v>
          </cell>
          <cell r="LF8" t="str">
            <v>Money</v>
          </cell>
          <cell r="LG8" t="str">
            <v>Percentage</v>
          </cell>
          <cell r="LH8" t="str">
            <v>Cumulative Percent</v>
          </cell>
          <cell r="LI8" t="str">
            <v>Quantity</v>
          </cell>
          <cell r="LJ8" t="str">
            <v>Cumulative Number</v>
          </cell>
          <cell r="LK8" t="str">
            <v>Money</v>
          </cell>
          <cell r="LL8" t="str">
            <v>Percentage</v>
          </cell>
          <cell r="LM8" t="str">
            <v>Cumulative Percent</v>
          </cell>
          <cell r="LN8" t="str">
            <v>Quantity</v>
          </cell>
          <cell r="LO8" t="str">
            <v>Cumulative Number</v>
          </cell>
          <cell r="LP8" t="str">
            <v>Money</v>
          </cell>
          <cell r="LQ8" t="str">
            <v>Percentage</v>
          </cell>
          <cell r="LR8" t="str">
            <v>Cumulative Percent</v>
          </cell>
          <cell r="LS8" t="str">
            <v>Quantity</v>
          </cell>
          <cell r="LT8" t="str">
            <v>Cumulative Number</v>
          </cell>
          <cell r="LU8" t="str">
            <v>Money</v>
          </cell>
          <cell r="LV8" t="str">
            <v>Percentage</v>
          </cell>
          <cell r="LW8" t="str">
            <v>Cumulative Percent</v>
          </cell>
          <cell r="LX8" t="str">
            <v>Quantity</v>
          </cell>
          <cell r="LY8" t="str">
            <v>Cumulative Number</v>
          </cell>
          <cell r="LZ8" t="str">
            <v>Money</v>
          </cell>
          <cell r="MA8" t="str">
            <v>Percentage</v>
          </cell>
          <cell r="MB8" t="str">
            <v>Cumulative Percent</v>
          </cell>
          <cell r="MC8" t="str">
            <v>Quantity</v>
          </cell>
          <cell r="MD8" t="str">
            <v>Cumulative Number</v>
          </cell>
          <cell r="ME8" t="str">
            <v>Money</v>
          </cell>
          <cell r="MF8" t="str">
            <v>Percentage</v>
          </cell>
          <cell r="MG8" t="str">
            <v>Cumulative Percent</v>
          </cell>
          <cell r="MH8" t="str">
            <v>Quantity</v>
          </cell>
          <cell r="MI8" t="str">
            <v>Cumulative Number</v>
          </cell>
          <cell r="MJ8" t="str">
            <v>Money</v>
          </cell>
          <cell r="MK8" t="str">
            <v>Percentage</v>
          </cell>
          <cell r="ML8" t="str">
            <v>Cumulative Percent</v>
          </cell>
          <cell r="MM8" t="str">
            <v>Quantity</v>
          </cell>
          <cell r="MN8" t="str">
            <v>Cumulative Number</v>
          </cell>
          <cell r="MO8" t="str">
            <v>Money</v>
          </cell>
          <cell r="MP8" t="str">
            <v>Percentage</v>
          </cell>
          <cell r="MQ8" t="str">
            <v>Cumulative Percent</v>
          </cell>
          <cell r="MR8" t="str">
            <v>Quantity</v>
          </cell>
          <cell r="MS8" t="str">
            <v>Cumulative Number</v>
          </cell>
          <cell r="MT8" t="str">
            <v>Money</v>
          </cell>
          <cell r="MU8" t="str">
            <v>Percentage</v>
          </cell>
          <cell r="MV8" t="str">
            <v>Cumulative Percent</v>
          </cell>
          <cell r="MW8" t="str">
            <v>Quantity</v>
          </cell>
          <cell r="MX8" t="str">
            <v>Cumulative Number</v>
          </cell>
          <cell r="MY8" t="str">
            <v>Money</v>
          </cell>
          <cell r="MZ8" t="str">
            <v>Percentage</v>
          </cell>
          <cell r="NA8" t="str">
            <v>Cumulative Percent</v>
          </cell>
          <cell r="NB8" t="str">
            <v>Quantity</v>
          </cell>
          <cell r="NC8" t="str">
            <v>Cumulative Number</v>
          </cell>
          <cell r="ND8" t="str">
            <v>Money</v>
          </cell>
          <cell r="NE8" t="str">
            <v>Percentage</v>
          </cell>
          <cell r="NF8" t="str">
            <v>Cumulative Percent</v>
          </cell>
          <cell r="NG8" t="str">
            <v>Quantity</v>
          </cell>
          <cell r="NH8" t="str">
            <v>Cumulative Number</v>
          </cell>
          <cell r="NI8" t="str">
            <v>Money</v>
          </cell>
          <cell r="NJ8" t="str">
            <v>Percentage</v>
          </cell>
          <cell r="NK8" t="str">
            <v>Cumulative Percent</v>
          </cell>
          <cell r="NL8" t="str">
            <v>Quantity</v>
          </cell>
          <cell r="NM8" t="str">
            <v>Cumulative Number</v>
          </cell>
          <cell r="NN8" t="str">
            <v>Money</v>
          </cell>
          <cell r="NO8" t="str">
            <v>Percentage</v>
          </cell>
          <cell r="NP8" t="str">
            <v>Cumulative Percent</v>
          </cell>
          <cell r="NQ8" t="str">
            <v>Quantity</v>
          </cell>
          <cell r="NR8" t="str">
            <v>Cumulative Number</v>
          </cell>
          <cell r="NS8" t="str">
            <v>Money</v>
          </cell>
          <cell r="NT8" t="str">
            <v>Percentage</v>
          </cell>
          <cell r="NU8" t="str">
            <v>Cumulative Percent</v>
          </cell>
          <cell r="NV8" t="str">
            <v>Quantity</v>
          </cell>
          <cell r="NW8" t="str">
            <v>Cumulative Number</v>
          </cell>
          <cell r="NX8" t="str">
            <v>Money</v>
          </cell>
          <cell r="NY8" t="str">
            <v>Percentage</v>
          </cell>
          <cell r="NZ8" t="str">
            <v>Cumulative Percent</v>
          </cell>
          <cell r="OA8" t="str">
            <v>Quantity</v>
          </cell>
          <cell r="OB8" t="str">
            <v>Cumulative Number</v>
          </cell>
          <cell r="OC8" t="str">
            <v>Money</v>
          </cell>
          <cell r="OD8" t="str">
            <v>Percentage</v>
          </cell>
          <cell r="OE8" t="str">
            <v>Cumulative Percent</v>
          </cell>
          <cell r="OF8" t="str">
            <v>Quantity</v>
          </cell>
          <cell r="OG8" t="str">
            <v>Cumulative Number</v>
          </cell>
          <cell r="OH8" t="str">
            <v>Money</v>
          </cell>
          <cell r="OI8" t="str">
            <v>Percentage</v>
          </cell>
          <cell r="OJ8" t="str">
            <v>Cumulative Percent</v>
          </cell>
          <cell r="OK8" t="str">
            <v>Quantity</v>
          </cell>
          <cell r="OL8" t="str">
            <v>Cumulative Number</v>
          </cell>
          <cell r="OM8" t="str">
            <v>Money</v>
          </cell>
          <cell r="ON8" t="str">
            <v>Percentage</v>
          </cell>
          <cell r="OO8" t="str">
            <v>Cumulative Percent</v>
          </cell>
          <cell r="OP8" t="str">
            <v>Quantity</v>
          </cell>
          <cell r="OQ8" t="str">
            <v>Cumulative Number</v>
          </cell>
          <cell r="OR8" t="str">
            <v>Money</v>
          </cell>
          <cell r="OS8" t="str">
            <v>Percentage</v>
          </cell>
          <cell r="OT8" t="str">
            <v>Cumulative Percent</v>
          </cell>
          <cell r="OU8" t="str">
            <v>Quantity</v>
          </cell>
          <cell r="OV8" t="str">
            <v>Cumulative Number</v>
          </cell>
          <cell r="OW8" t="str">
            <v>Money</v>
          </cell>
          <cell r="OX8" t="str">
            <v>Percentage</v>
          </cell>
          <cell r="OY8" t="str">
            <v>Cumulative Percent</v>
          </cell>
          <cell r="OZ8" t="str">
            <v>Quantity</v>
          </cell>
          <cell r="PA8" t="str">
            <v>Cumulative Number</v>
          </cell>
          <cell r="PB8" t="str">
            <v>Money</v>
          </cell>
          <cell r="PC8" t="str">
            <v>Percentage</v>
          </cell>
          <cell r="PD8" t="str">
            <v>Cumulative Percent</v>
          </cell>
          <cell r="PE8" t="str">
            <v>Quantity</v>
          </cell>
          <cell r="PF8" t="str">
            <v>Cumulative Number</v>
          </cell>
          <cell r="PG8" t="str">
            <v>Money</v>
          </cell>
          <cell r="PH8" t="str">
            <v>Percentage</v>
          </cell>
          <cell r="PI8" t="str">
            <v>Cumulative Percent</v>
          </cell>
          <cell r="PJ8" t="str">
            <v>Quantity</v>
          </cell>
          <cell r="PK8" t="str">
            <v>Cumulative Number</v>
          </cell>
          <cell r="PL8" t="str">
            <v>Money</v>
          </cell>
          <cell r="PM8" t="str">
            <v>Percentage</v>
          </cell>
          <cell r="PN8" t="str">
            <v>Cumulative Percent</v>
          </cell>
          <cell r="PO8" t="str">
            <v>Quantity</v>
          </cell>
          <cell r="PP8" t="str">
            <v>Cumulative Number</v>
          </cell>
          <cell r="PQ8" t="str">
            <v>Money</v>
          </cell>
          <cell r="PR8" t="str">
            <v>Percentage</v>
          </cell>
          <cell r="PS8" t="str">
            <v>Cumulative Percent</v>
          </cell>
          <cell r="PT8" t="str">
            <v>Quantity</v>
          </cell>
          <cell r="PU8" t="str">
            <v>Cumulative Number</v>
          </cell>
          <cell r="PV8" t="str">
            <v>Money</v>
          </cell>
          <cell r="PW8" t="str">
            <v>Percentage</v>
          </cell>
          <cell r="PX8" t="str">
            <v>Cumulative Percent</v>
          </cell>
          <cell r="PY8" t="str">
            <v>Quantity</v>
          </cell>
          <cell r="PZ8" t="str">
            <v>Cumulative Number</v>
          </cell>
          <cell r="QA8" t="str">
            <v>Money</v>
          </cell>
          <cell r="QB8" t="str">
            <v>Percentage</v>
          </cell>
          <cell r="QC8" t="str">
            <v>Cumulative Percent</v>
          </cell>
          <cell r="QD8" t="str">
            <v>Quantity</v>
          </cell>
          <cell r="QE8" t="str">
            <v>Cumulative Number</v>
          </cell>
          <cell r="QF8" t="str">
            <v>Money</v>
          </cell>
          <cell r="QG8" t="str">
            <v>Percentage</v>
          </cell>
          <cell r="QH8" t="str">
            <v>Cumulative Percent</v>
          </cell>
          <cell r="QI8" t="str">
            <v>Quantity</v>
          </cell>
          <cell r="QJ8" t="str">
            <v>Cumulative Number</v>
          </cell>
          <cell r="QK8" t="str">
            <v>Money</v>
          </cell>
          <cell r="QL8" t="str">
            <v>Percentage</v>
          </cell>
          <cell r="QM8" t="str">
            <v>Cumulative Percent</v>
          </cell>
          <cell r="QN8" t="str">
            <v>Quantity</v>
          </cell>
          <cell r="QO8" t="str">
            <v>Cumulative Number</v>
          </cell>
          <cell r="QP8" t="str">
            <v>Money</v>
          </cell>
          <cell r="QQ8" t="str">
            <v>Percentage</v>
          </cell>
          <cell r="QR8" t="str">
            <v>Cumulative Percent</v>
          </cell>
          <cell r="QS8" t="str">
            <v>Quantity</v>
          </cell>
          <cell r="QT8" t="str">
            <v>Cumulative Number</v>
          </cell>
          <cell r="QU8" t="str">
            <v>Money</v>
          </cell>
          <cell r="QV8" t="str">
            <v>Percentage</v>
          </cell>
          <cell r="QW8" t="str">
            <v>Cumulative Percent</v>
          </cell>
          <cell r="QX8" t="str">
            <v>Quantity</v>
          </cell>
          <cell r="QY8" t="str">
            <v>Cumulative Number</v>
          </cell>
          <cell r="QZ8" t="str">
            <v>Money</v>
          </cell>
          <cell r="RA8" t="str">
            <v>Percentage</v>
          </cell>
          <cell r="RB8" t="str">
            <v>Cumulative Percent</v>
          </cell>
          <cell r="RC8" t="str">
            <v>Quantity</v>
          </cell>
          <cell r="RD8" t="str">
            <v>Cumulative Number</v>
          </cell>
          <cell r="RE8" t="str">
            <v>Money</v>
          </cell>
          <cell r="RF8" t="str">
            <v>Percentage</v>
          </cell>
          <cell r="RG8" t="str">
            <v>Cumulative Percent</v>
          </cell>
          <cell r="RH8" t="str">
            <v>Quantity</v>
          </cell>
          <cell r="RI8" t="str">
            <v>Cumulative Number</v>
          </cell>
          <cell r="RJ8" t="str">
            <v>Money</v>
          </cell>
          <cell r="RK8" t="str">
            <v>Percentage</v>
          </cell>
          <cell r="RL8" t="str">
            <v>Cumulative Percent</v>
          </cell>
          <cell r="RM8" t="str">
            <v>Quantity</v>
          </cell>
          <cell r="RN8" t="str">
            <v>Cumulative Number</v>
          </cell>
          <cell r="RO8" t="str">
            <v>Money</v>
          </cell>
          <cell r="RP8" t="str">
            <v>Percentage</v>
          </cell>
          <cell r="RQ8" t="str">
            <v>Cumulative Percent</v>
          </cell>
          <cell r="RR8" t="str">
            <v>Quantity</v>
          </cell>
          <cell r="RS8" t="str">
            <v>Cumulative Number</v>
          </cell>
          <cell r="RT8" t="str">
            <v>Money</v>
          </cell>
          <cell r="RU8" t="str">
            <v>Percentage</v>
          </cell>
          <cell r="RV8" t="str">
            <v>Cumulative Percent</v>
          </cell>
          <cell r="RW8" t="str">
            <v>Quantity</v>
          </cell>
          <cell r="RX8" t="str">
            <v>Cumulative Number</v>
          </cell>
          <cell r="RY8" t="str">
            <v>Money</v>
          </cell>
          <cell r="RZ8" t="str">
            <v>Percentage</v>
          </cell>
          <cell r="SA8" t="str">
            <v>Cumulative Percent</v>
          </cell>
          <cell r="SB8" t="str">
            <v>Quantity</v>
          </cell>
          <cell r="SC8" t="str">
            <v>Cumulative Number</v>
          </cell>
          <cell r="SD8" t="str">
            <v>Money</v>
          </cell>
          <cell r="SE8" t="str">
            <v>Percentage</v>
          </cell>
          <cell r="SF8" t="str">
            <v>Cumulative Percent</v>
          </cell>
          <cell r="SG8" t="str">
            <v>Quantity</v>
          </cell>
          <cell r="SH8" t="str">
            <v>Cumulative Number</v>
          </cell>
          <cell r="SI8" t="str">
            <v>Money</v>
          </cell>
          <cell r="SJ8" t="str">
            <v>Percentage</v>
          </cell>
          <cell r="SK8" t="str">
            <v>Cumulative Percent</v>
          </cell>
          <cell r="SL8" t="str">
            <v>Quantity</v>
          </cell>
          <cell r="SM8" t="str">
            <v>Cumulative Number</v>
          </cell>
          <cell r="SN8" t="str">
            <v>Money</v>
          </cell>
          <cell r="SO8" t="str">
            <v>Percentage</v>
          </cell>
          <cell r="SP8" t="str">
            <v>Cumulative Percent</v>
          </cell>
          <cell r="SQ8" t="str">
            <v>Quantity</v>
          </cell>
          <cell r="SR8" t="str">
            <v>Cumulative Number</v>
          </cell>
          <cell r="SS8" t="str">
            <v>Money</v>
          </cell>
          <cell r="ST8" t="str">
            <v>Percentage</v>
          </cell>
          <cell r="SU8" t="str">
            <v>Cumulative Percent</v>
          </cell>
          <cell r="SV8" t="str">
            <v>Quantity</v>
          </cell>
          <cell r="SW8" t="str">
            <v>Cumulative Number</v>
          </cell>
          <cell r="SX8" t="str">
            <v>Money</v>
          </cell>
          <cell r="SY8" t="str">
            <v>Percentage</v>
          </cell>
          <cell r="SZ8" t="str">
            <v>Cumulative Percent</v>
          </cell>
          <cell r="TA8" t="str">
            <v>Quantity</v>
          </cell>
          <cell r="TB8" t="str">
            <v>Cumulative Number</v>
          </cell>
          <cell r="TC8" t="str">
            <v>Money</v>
          </cell>
          <cell r="TD8" t="str">
            <v>Percentage</v>
          </cell>
          <cell r="TE8" t="str">
            <v>Cumulative Percent</v>
          </cell>
          <cell r="TF8" t="str">
            <v>Quantity</v>
          </cell>
          <cell r="TG8" t="str">
            <v>Cumulative Number</v>
          </cell>
          <cell r="TH8" t="str">
            <v>Money</v>
          </cell>
          <cell r="TI8" t="str">
            <v>Percentage</v>
          </cell>
          <cell r="TJ8" t="str">
            <v>Cumulative Percent</v>
          </cell>
          <cell r="TK8" t="str">
            <v>Quantity</v>
          </cell>
          <cell r="TL8" t="str">
            <v>Cumulative Number</v>
          </cell>
          <cell r="TM8" t="str">
            <v>Money</v>
          </cell>
          <cell r="TN8" t="str">
            <v>Percentage</v>
          </cell>
          <cell r="TO8" t="str">
            <v>Cumulative Percent</v>
          </cell>
          <cell r="TP8" t="str">
            <v>Quantity</v>
          </cell>
          <cell r="TQ8" t="str">
            <v>Cumulative Number</v>
          </cell>
          <cell r="TR8" t="str">
            <v>Money</v>
          </cell>
          <cell r="TS8" t="str">
            <v>Percentage</v>
          </cell>
          <cell r="TT8" t="str">
            <v>Cumulative Percent</v>
          </cell>
          <cell r="TU8" t="str">
            <v>Quantity</v>
          </cell>
          <cell r="TV8" t="str">
            <v>Cumulative Number</v>
          </cell>
          <cell r="TW8" t="str">
            <v>Money</v>
          </cell>
          <cell r="TX8" t="str">
            <v>Percentage</v>
          </cell>
          <cell r="TY8" t="str">
            <v>Cumulative Percent</v>
          </cell>
          <cell r="TZ8" t="str">
            <v>Quantity</v>
          </cell>
          <cell r="UA8" t="str">
            <v>Cumulative Number</v>
          </cell>
          <cell r="UB8" t="str">
            <v>Money</v>
          </cell>
          <cell r="UC8" t="str">
            <v>Percentage</v>
          </cell>
          <cell r="UD8" t="str">
            <v>Cumulative Percent</v>
          </cell>
          <cell r="UE8" t="str">
            <v>Quantity</v>
          </cell>
          <cell r="UF8" t="str">
            <v>Cumulative Number</v>
          </cell>
          <cell r="UG8" t="str">
            <v>Money</v>
          </cell>
          <cell r="UH8" t="str">
            <v>Percentage</v>
          </cell>
          <cell r="UI8" t="str">
            <v>Cumulative Percent</v>
          </cell>
          <cell r="UJ8" t="str">
            <v>Quantity</v>
          </cell>
          <cell r="UK8" t="str">
            <v>Cumulative Number</v>
          </cell>
          <cell r="UL8" t="str">
            <v>Money</v>
          </cell>
          <cell r="UM8" t="str">
            <v>Percentage</v>
          </cell>
          <cell r="UN8" t="str">
            <v>Cumulative Percent</v>
          </cell>
          <cell r="UO8" t="str">
            <v>Quantity</v>
          </cell>
          <cell r="UP8" t="str">
            <v>Cumulative Number</v>
          </cell>
          <cell r="UQ8" t="str">
            <v>Money</v>
          </cell>
          <cell r="UR8" t="str">
            <v>Percentage</v>
          </cell>
          <cell r="US8" t="str">
            <v>Cumulative Percent</v>
          </cell>
          <cell r="UT8" t="str">
            <v>Quantity</v>
          </cell>
          <cell r="UU8" t="str">
            <v>Cumulative Number</v>
          </cell>
          <cell r="UV8" t="str">
            <v>Money</v>
          </cell>
          <cell r="UW8" t="str">
            <v>Percentage</v>
          </cell>
          <cell r="UX8" t="str">
            <v>Cumulative Percent</v>
          </cell>
          <cell r="UY8" t="str">
            <v>Quantity</v>
          </cell>
          <cell r="UZ8" t="str">
            <v>Cumulative Number</v>
          </cell>
          <cell r="VA8" t="str">
            <v>Money</v>
          </cell>
          <cell r="VB8" t="str">
            <v>Percentage</v>
          </cell>
          <cell r="VC8" t="str">
            <v>Cumulative Percent</v>
          </cell>
          <cell r="VD8" t="str">
            <v>Quantity</v>
          </cell>
          <cell r="VE8" t="str">
            <v>Cumulative Number</v>
          </cell>
          <cell r="VF8" t="str">
            <v>Money</v>
          </cell>
          <cell r="VG8" t="str">
            <v>Percentage</v>
          </cell>
          <cell r="VH8" t="str">
            <v>Cumulative Percent</v>
          </cell>
          <cell r="VI8" t="str">
            <v>Quantity</v>
          </cell>
          <cell r="VJ8" t="str">
            <v>Cumulative Number</v>
          </cell>
          <cell r="VK8" t="str">
            <v>Money</v>
          </cell>
          <cell r="VL8" t="str">
            <v>Percentage</v>
          </cell>
          <cell r="VM8" t="str">
            <v>Cumulative Percent</v>
          </cell>
          <cell r="VN8" t="str">
            <v>Quantity</v>
          </cell>
          <cell r="VO8" t="str">
            <v>Cumulative Number</v>
          </cell>
          <cell r="VP8" t="str">
            <v>Money</v>
          </cell>
          <cell r="VQ8" t="str">
            <v>Percentage</v>
          </cell>
          <cell r="VR8" t="str">
            <v>Cumulative Percent</v>
          </cell>
          <cell r="VS8" t="str">
            <v>Quantity</v>
          </cell>
          <cell r="VT8" t="str">
            <v>Cumulative Number</v>
          </cell>
          <cell r="VU8" t="str">
            <v>Money</v>
          </cell>
          <cell r="VV8" t="str">
            <v>Percentage</v>
          </cell>
          <cell r="VW8" t="str">
            <v>Cumulative Percent</v>
          </cell>
          <cell r="VX8" t="str">
            <v>Quantity</v>
          </cell>
          <cell r="VY8" t="str">
            <v>Cumulative Number</v>
          </cell>
          <cell r="VZ8" t="str">
            <v>Money</v>
          </cell>
          <cell r="WA8" t="str">
            <v>Percentage</v>
          </cell>
          <cell r="WB8" t="str">
            <v>Cumulative Percent</v>
          </cell>
          <cell r="WC8" t="str">
            <v>Quantity</v>
          </cell>
          <cell r="WD8" t="str">
            <v>Cumulative Number</v>
          </cell>
          <cell r="WE8" t="str">
            <v>Money</v>
          </cell>
          <cell r="WF8" t="str">
            <v>Percentage</v>
          </cell>
          <cell r="WG8" t="str">
            <v>Cumulative Percent</v>
          </cell>
          <cell r="WH8" t="str">
            <v>Quantity</v>
          </cell>
          <cell r="WI8" t="str">
            <v>Cumulative Number</v>
          </cell>
          <cell r="WJ8" t="str">
            <v>Money</v>
          </cell>
          <cell r="WK8" t="str">
            <v>Percentage</v>
          </cell>
          <cell r="WL8" t="str">
            <v>Cumulative Percent</v>
          </cell>
          <cell r="WM8" t="str">
            <v>Quantity</v>
          </cell>
          <cell r="WN8" t="str">
            <v>Cumulative Number</v>
          </cell>
          <cell r="WO8" t="str">
            <v>Money</v>
          </cell>
          <cell r="WP8" t="str">
            <v>Percentage</v>
          </cell>
          <cell r="WQ8" t="str">
            <v>Cumulative Percent</v>
          </cell>
          <cell r="WR8" t="str">
            <v>Quantity</v>
          </cell>
          <cell r="WS8" t="str">
            <v>Cumulative Number</v>
          </cell>
          <cell r="WT8" t="str">
            <v>Money</v>
          </cell>
          <cell r="WU8" t="str">
            <v>Percentage</v>
          </cell>
          <cell r="WV8" t="str">
            <v>Cumulative Percent</v>
          </cell>
          <cell r="WW8" t="str">
            <v>Quantity</v>
          </cell>
          <cell r="WX8" t="str">
            <v>Cumulative Number</v>
          </cell>
          <cell r="WY8" t="str">
            <v>Money</v>
          </cell>
          <cell r="WZ8" t="str">
            <v>Percentage</v>
          </cell>
          <cell r="XA8" t="str">
            <v>Cumulative Percent</v>
          </cell>
          <cell r="XB8" t="str">
            <v>Quantity</v>
          </cell>
          <cell r="XC8" t="str">
            <v>Cumulative Number</v>
          </cell>
          <cell r="XD8" t="str">
            <v>Money</v>
          </cell>
          <cell r="XE8" t="str">
            <v>Percentage</v>
          </cell>
          <cell r="XF8" t="str">
            <v>Cumulative Percent</v>
          </cell>
          <cell r="XG8" t="str">
            <v>Quantity</v>
          </cell>
          <cell r="XH8" t="str">
            <v>Cumulative Number</v>
          </cell>
          <cell r="XI8" t="str">
            <v>Money</v>
          </cell>
          <cell r="XJ8" t="str">
            <v>Percentage</v>
          </cell>
          <cell r="XK8" t="str">
            <v>Cumulative Percent</v>
          </cell>
          <cell r="XL8" t="str">
            <v>Quantity</v>
          </cell>
          <cell r="XM8" t="str">
            <v>Cumulative Number</v>
          </cell>
          <cell r="XN8" t="str">
            <v>Money</v>
          </cell>
          <cell r="XO8" t="str">
            <v>Percentage</v>
          </cell>
          <cell r="XP8" t="str">
            <v>Cumulative Percent</v>
          </cell>
          <cell r="XQ8" t="str">
            <v>Quantity</v>
          </cell>
          <cell r="XR8" t="str">
            <v>Cumulative Number</v>
          </cell>
          <cell r="XS8" t="str">
            <v>Money</v>
          </cell>
          <cell r="XT8" t="str">
            <v>Percentage</v>
          </cell>
          <cell r="XU8" t="str">
            <v>Cumulative Percent</v>
          </cell>
          <cell r="XV8" t="str">
            <v>Quantity</v>
          </cell>
          <cell r="XW8" t="str">
            <v>Cumulative Number</v>
          </cell>
          <cell r="XX8" t="str">
            <v>Money</v>
          </cell>
          <cell r="XY8" t="str">
            <v>Percentage</v>
          </cell>
          <cell r="XZ8" t="str">
            <v>Cumulative Percent</v>
          </cell>
          <cell r="YA8" t="str">
            <v>Quantity</v>
          </cell>
          <cell r="YB8" t="str">
            <v>Cumulative Number</v>
          </cell>
          <cell r="YC8" t="str">
            <v>Money</v>
          </cell>
          <cell r="YD8" t="str">
            <v>Percentage</v>
          </cell>
          <cell r="YE8" t="str">
            <v>Cumulative Percent</v>
          </cell>
        </row>
        <row r="9">
          <cell r="A9" t="str">
            <v>A</v>
          </cell>
          <cell r="B9" t="str">
            <v>發包工程</v>
          </cell>
          <cell r="C9" t="str">
            <v>式</v>
          </cell>
          <cell r="M9">
            <v>53725</v>
          </cell>
          <cell r="N9">
            <v>1.22</v>
          </cell>
          <cell r="O9">
            <v>1.22</v>
          </cell>
          <cell r="R9">
            <v>0</v>
          </cell>
          <cell r="S9">
            <v>0</v>
          </cell>
          <cell r="T9">
            <v>1.22</v>
          </cell>
          <cell r="W9">
            <v>4900</v>
          </cell>
          <cell r="X9">
            <v>0.11</v>
          </cell>
          <cell r="Y9">
            <v>1.33</v>
          </cell>
          <cell r="AB9">
            <v>15892.8</v>
          </cell>
          <cell r="AC9">
            <v>0.36</v>
          </cell>
          <cell r="AD9">
            <v>1.69</v>
          </cell>
          <cell r="AG9">
            <v>15892.8</v>
          </cell>
          <cell r="AH9">
            <v>0.36</v>
          </cell>
          <cell r="AI9">
            <v>2.0499999999999998</v>
          </cell>
          <cell r="AL9">
            <v>48440</v>
          </cell>
          <cell r="AM9">
            <v>1.1000000000000001</v>
          </cell>
          <cell r="AN9">
            <v>3.15</v>
          </cell>
          <cell r="AQ9">
            <v>15892.8</v>
          </cell>
          <cell r="AR9">
            <v>0.36</v>
          </cell>
          <cell r="AS9">
            <v>3.51</v>
          </cell>
          <cell r="AV9">
            <v>15892.8</v>
          </cell>
          <cell r="AW9">
            <v>0.36</v>
          </cell>
          <cell r="AX9">
            <v>3.8699999999999997</v>
          </cell>
          <cell r="BA9">
            <v>0</v>
          </cell>
          <cell r="BB9">
            <v>0</v>
          </cell>
          <cell r="BC9">
            <v>3.8699999999999997</v>
          </cell>
          <cell r="BF9">
            <v>0</v>
          </cell>
          <cell r="BG9">
            <v>0</v>
          </cell>
          <cell r="BH9">
            <v>3.8699999999999997</v>
          </cell>
          <cell r="BK9">
            <v>40112.800000000003</v>
          </cell>
          <cell r="BL9">
            <v>0.91</v>
          </cell>
          <cell r="BM9">
            <v>4.7799999999999994</v>
          </cell>
          <cell r="BP9">
            <v>32852.300000000003</v>
          </cell>
          <cell r="BQ9">
            <v>0.75</v>
          </cell>
          <cell r="BR9">
            <v>5.5299999999999994</v>
          </cell>
          <cell r="BU9">
            <v>56197</v>
          </cell>
          <cell r="BV9">
            <v>1.28</v>
          </cell>
          <cell r="BW9">
            <v>6.81</v>
          </cell>
          <cell r="BZ9">
            <v>56197</v>
          </cell>
          <cell r="CA9">
            <v>1.28</v>
          </cell>
          <cell r="CB9">
            <v>8.09</v>
          </cell>
          <cell r="CE9">
            <v>36330</v>
          </cell>
          <cell r="CF9">
            <v>0.83000000000000007</v>
          </cell>
          <cell r="CG9">
            <v>8.92</v>
          </cell>
          <cell r="CJ9">
            <v>28492.799999999999</v>
          </cell>
          <cell r="CK9">
            <v>0.64999999999999991</v>
          </cell>
          <cell r="CL9">
            <v>9.57</v>
          </cell>
          <cell r="CO9">
            <v>33918</v>
          </cell>
          <cell r="CP9">
            <v>0.77</v>
          </cell>
          <cell r="CQ9">
            <v>10.34</v>
          </cell>
          <cell r="CT9">
            <v>96918</v>
          </cell>
          <cell r="CU9">
            <v>2.2000000000000002</v>
          </cell>
          <cell r="CV9">
            <v>12.54</v>
          </cell>
          <cell r="CY9">
            <v>15892.8</v>
          </cell>
          <cell r="CZ9">
            <v>0.36</v>
          </cell>
          <cell r="DA9">
            <v>12.899999999999999</v>
          </cell>
          <cell r="DD9">
            <v>12110</v>
          </cell>
          <cell r="DE9">
            <v>0.28000000000000003</v>
          </cell>
          <cell r="DF9">
            <v>13.179999999999998</v>
          </cell>
          <cell r="DI9">
            <v>21318</v>
          </cell>
          <cell r="DJ9">
            <v>0.48</v>
          </cell>
          <cell r="DK9">
            <v>13.659999999999998</v>
          </cell>
          <cell r="DN9">
            <v>12110</v>
          </cell>
          <cell r="DO9">
            <v>0.28000000000000003</v>
          </cell>
          <cell r="DP9">
            <v>13.939999999999998</v>
          </cell>
          <cell r="DS9">
            <v>0</v>
          </cell>
          <cell r="DT9">
            <v>0</v>
          </cell>
          <cell r="DU9">
            <v>13.939999999999998</v>
          </cell>
          <cell r="DX9">
            <v>4844</v>
          </cell>
          <cell r="DY9">
            <v>0.11</v>
          </cell>
          <cell r="DZ9">
            <v>14.049999999999997</v>
          </cell>
          <cell r="EC9">
            <v>7266</v>
          </cell>
          <cell r="ED9">
            <v>0.15000000000000002</v>
          </cell>
          <cell r="EE9">
            <v>14.199999999999998</v>
          </cell>
          <cell r="EH9">
            <v>58200</v>
          </cell>
          <cell r="EI9">
            <v>1.32</v>
          </cell>
          <cell r="EJ9">
            <v>15.519999999999998</v>
          </cell>
          <cell r="EM9">
            <v>81839</v>
          </cell>
          <cell r="EN9">
            <v>1.85</v>
          </cell>
          <cell r="EO9">
            <v>17.369999999999997</v>
          </cell>
          <cell r="ER9">
            <v>31785.599999999999</v>
          </cell>
          <cell r="ES9">
            <v>0.73000000000000043</v>
          </cell>
          <cell r="ET9">
            <v>18.099999999999998</v>
          </cell>
          <cell r="EW9">
            <v>511106</v>
          </cell>
          <cell r="EX9">
            <v>11.62</v>
          </cell>
          <cell r="EY9">
            <v>29.72</v>
          </cell>
          <cell r="FB9">
            <v>0</v>
          </cell>
          <cell r="FC9">
            <v>0</v>
          </cell>
          <cell r="FD9">
            <v>29.72</v>
          </cell>
          <cell r="FG9">
            <v>73255</v>
          </cell>
          <cell r="FH9">
            <v>1.6800000000000004</v>
          </cell>
          <cell r="FI9">
            <v>31.4</v>
          </cell>
          <cell r="FL9">
            <v>0</v>
          </cell>
          <cell r="FM9">
            <v>0</v>
          </cell>
          <cell r="FN9">
            <v>31.4</v>
          </cell>
          <cell r="FQ9">
            <v>0</v>
          </cell>
          <cell r="FR9">
            <v>0</v>
          </cell>
          <cell r="FS9">
            <v>31.4</v>
          </cell>
          <cell r="FV9">
            <v>0</v>
          </cell>
          <cell r="FW9">
            <v>0</v>
          </cell>
          <cell r="FX9">
            <v>31.4</v>
          </cell>
          <cell r="GA9">
            <v>0</v>
          </cell>
          <cell r="GB9">
            <v>0</v>
          </cell>
          <cell r="GC9">
            <v>31.4</v>
          </cell>
          <cell r="GF9">
            <v>20382</v>
          </cell>
          <cell r="GG9">
            <v>0.46</v>
          </cell>
          <cell r="GH9">
            <v>31.86</v>
          </cell>
          <cell r="GK9">
            <v>0</v>
          </cell>
          <cell r="GL9">
            <v>0</v>
          </cell>
          <cell r="GM9">
            <v>31.86</v>
          </cell>
          <cell r="GP9">
            <v>0</v>
          </cell>
          <cell r="GQ9">
            <v>0</v>
          </cell>
          <cell r="GR9">
            <v>31.86</v>
          </cell>
          <cell r="GU9">
            <v>0</v>
          </cell>
          <cell r="GV9">
            <v>0</v>
          </cell>
          <cell r="GW9">
            <v>31.86</v>
          </cell>
          <cell r="GZ9">
            <v>0</v>
          </cell>
          <cell r="HA9">
            <v>0</v>
          </cell>
          <cell r="HB9">
            <v>31.86</v>
          </cell>
          <cell r="HE9">
            <v>0</v>
          </cell>
          <cell r="HF9">
            <v>0</v>
          </cell>
          <cell r="HG9">
            <v>31.86</v>
          </cell>
          <cell r="HJ9">
            <v>0</v>
          </cell>
          <cell r="HK9">
            <v>0</v>
          </cell>
          <cell r="HL9">
            <v>31.86</v>
          </cell>
          <cell r="HO9">
            <v>0</v>
          </cell>
          <cell r="HP9">
            <v>0</v>
          </cell>
          <cell r="HQ9">
            <v>31.86</v>
          </cell>
          <cell r="HT9">
            <v>0</v>
          </cell>
          <cell r="HU9">
            <v>0</v>
          </cell>
          <cell r="HV9">
            <v>31.86</v>
          </cell>
          <cell r="HY9">
            <v>0</v>
          </cell>
          <cell r="HZ9">
            <v>0</v>
          </cell>
          <cell r="IA9">
            <v>31.86</v>
          </cell>
          <cell r="ID9">
            <v>0</v>
          </cell>
          <cell r="IE9">
            <v>0</v>
          </cell>
          <cell r="IF9">
            <v>31.86</v>
          </cell>
          <cell r="II9">
            <v>0</v>
          </cell>
          <cell r="IJ9">
            <v>0</v>
          </cell>
          <cell r="IK9">
            <v>31.86</v>
          </cell>
          <cell r="IN9">
            <v>0</v>
          </cell>
          <cell r="IO9">
            <v>0</v>
          </cell>
          <cell r="IP9">
            <v>31.86</v>
          </cell>
          <cell r="IS9">
            <v>0</v>
          </cell>
          <cell r="IT9">
            <v>0</v>
          </cell>
          <cell r="IU9">
            <v>31.86</v>
          </cell>
          <cell r="IX9">
            <v>0</v>
          </cell>
          <cell r="IY9">
            <v>0</v>
          </cell>
          <cell r="IZ9">
            <v>31.86</v>
          </cell>
          <cell r="JC9">
            <v>0</v>
          </cell>
          <cell r="JD9">
            <v>0</v>
          </cell>
          <cell r="JE9">
            <v>31.86</v>
          </cell>
          <cell r="JH9">
            <v>0</v>
          </cell>
          <cell r="JI9">
            <v>0</v>
          </cell>
          <cell r="JJ9">
            <v>31.86</v>
          </cell>
          <cell r="JM9">
            <v>0</v>
          </cell>
          <cell r="JN9">
            <v>0</v>
          </cell>
          <cell r="JO9">
            <v>31.86</v>
          </cell>
          <cell r="JR9">
            <v>0</v>
          </cell>
          <cell r="JS9">
            <v>0</v>
          </cell>
          <cell r="JT9">
            <v>31.86</v>
          </cell>
          <cell r="JW9">
            <v>0</v>
          </cell>
          <cell r="JX9">
            <v>0</v>
          </cell>
          <cell r="JY9">
            <v>31.86</v>
          </cell>
          <cell r="KB9">
            <v>0</v>
          </cell>
          <cell r="KC9">
            <v>0</v>
          </cell>
          <cell r="KD9">
            <v>31.86</v>
          </cell>
          <cell r="KG9">
            <v>0</v>
          </cell>
          <cell r="KH9">
            <v>0</v>
          </cell>
          <cell r="KI9">
            <v>31.86</v>
          </cell>
          <cell r="KL9">
            <v>0</v>
          </cell>
          <cell r="KM9">
            <v>0</v>
          </cell>
          <cell r="KN9">
            <v>31.86</v>
          </cell>
          <cell r="KQ9">
            <v>0</v>
          </cell>
          <cell r="KR9">
            <v>0</v>
          </cell>
          <cell r="KS9">
            <v>31.86</v>
          </cell>
          <cell r="KV9">
            <v>0</v>
          </cell>
          <cell r="KW9">
            <v>0</v>
          </cell>
          <cell r="KX9">
            <v>31.86</v>
          </cell>
          <cell r="LA9">
            <v>0</v>
          </cell>
          <cell r="LB9">
            <v>0</v>
          </cell>
          <cell r="LC9">
            <v>31.86</v>
          </cell>
          <cell r="LF9">
            <v>0</v>
          </cell>
          <cell r="LG9">
            <v>0</v>
          </cell>
          <cell r="LH9">
            <v>31.86</v>
          </cell>
          <cell r="LK9">
            <v>0</v>
          </cell>
          <cell r="LL9">
            <v>0</v>
          </cell>
          <cell r="LM9">
            <v>31.86</v>
          </cell>
          <cell r="LP9">
            <v>0</v>
          </cell>
          <cell r="LQ9">
            <v>0</v>
          </cell>
          <cell r="LR9">
            <v>31.86</v>
          </cell>
          <cell r="LU9">
            <v>0</v>
          </cell>
          <cell r="LV9">
            <v>0</v>
          </cell>
          <cell r="LW9">
            <v>31.86</v>
          </cell>
          <cell r="LZ9">
            <v>0</v>
          </cell>
          <cell r="MA9">
            <v>0</v>
          </cell>
          <cell r="MB9">
            <v>31.86</v>
          </cell>
          <cell r="ME9">
            <v>0</v>
          </cell>
          <cell r="MF9">
            <v>0</v>
          </cell>
          <cell r="MG9">
            <v>31.86</v>
          </cell>
          <cell r="MJ9">
            <v>0</v>
          </cell>
          <cell r="MK9">
            <v>0</v>
          </cell>
          <cell r="ML9">
            <v>31.86</v>
          </cell>
          <cell r="MO9">
            <v>0</v>
          </cell>
          <cell r="MP9">
            <v>0</v>
          </cell>
          <cell r="MQ9">
            <v>31.86</v>
          </cell>
          <cell r="MT9">
            <v>0</v>
          </cell>
          <cell r="MU9">
            <v>0</v>
          </cell>
          <cell r="MV9">
            <v>31.86</v>
          </cell>
          <cell r="MY9">
            <v>0</v>
          </cell>
          <cell r="MZ9">
            <v>0</v>
          </cell>
          <cell r="NA9">
            <v>31.86</v>
          </cell>
          <cell r="ND9">
            <v>0</v>
          </cell>
          <cell r="NE9">
            <v>0</v>
          </cell>
          <cell r="NF9">
            <v>31.86</v>
          </cell>
          <cell r="NI9">
            <v>0</v>
          </cell>
          <cell r="NJ9">
            <v>0</v>
          </cell>
          <cell r="NK9">
            <v>31.86</v>
          </cell>
          <cell r="NN9">
            <v>0</v>
          </cell>
          <cell r="NO9">
            <v>0</v>
          </cell>
          <cell r="NP9">
            <v>31.86</v>
          </cell>
          <cell r="NS9">
            <v>0</v>
          </cell>
          <cell r="NT9">
            <v>0</v>
          </cell>
          <cell r="NU9">
            <v>31.86</v>
          </cell>
          <cell r="NX9">
            <v>0</v>
          </cell>
          <cell r="NY9">
            <v>0</v>
          </cell>
          <cell r="NZ9">
            <v>31.86</v>
          </cell>
          <cell r="OC9">
            <v>0</v>
          </cell>
          <cell r="OD9">
            <v>0</v>
          </cell>
          <cell r="OE9">
            <v>31.86</v>
          </cell>
          <cell r="OH9">
            <v>0</v>
          </cell>
          <cell r="OI9">
            <v>0</v>
          </cell>
          <cell r="OJ9">
            <v>31.86</v>
          </cell>
          <cell r="OM9">
            <v>0</v>
          </cell>
          <cell r="ON9">
            <v>0</v>
          </cell>
          <cell r="OO9">
            <v>31.86</v>
          </cell>
          <cell r="OR9">
            <v>0</v>
          </cell>
          <cell r="OS9">
            <v>0</v>
          </cell>
          <cell r="OT9">
            <v>31.86</v>
          </cell>
          <cell r="OW9">
            <v>0</v>
          </cell>
          <cell r="OX9">
            <v>0</v>
          </cell>
          <cell r="OY9">
            <v>31.86</v>
          </cell>
          <cell r="PB9">
            <v>0</v>
          </cell>
          <cell r="PC9">
            <v>0</v>
          </cell>
          <cell r="PD9">
            <v>31.86</v>
          </cell>
          <cell r="PG9">
            <v>0</v>
          </cell>
          <cell r="PH9">
            <v>0</v>
          </cell>
          <cell r="PI9">
            <v>31.86</v>
          </cell>
          <cell r="PL9">
            <v>0</v>
          </cell>
          <cell r="PM9">
            <v>0</v>
          </cell>
          <cell r="PN9">
            <v>31.86</v>
          </cell>
          <cell r="PQ9">
            <v>0</v>
          </cell>
          <cell r="PR9">
            <v>0</v>
          </cell>
          <cell r="PS9">
            <v>31.86</v>
          </cell>
          <cell r="PV9">
            <v>0</v>
          </cell>
          <cell r="PW9">
            <v>0</v>
          </cell>
          <cell r="PX9">
            <v>31.86</v>
          </cell>
          <cell r="QA9">
            <v>0</v>
          </cell>
          <cell r="QB9">
            <v>0</v>
          </cell>
          <cell r="QC9">
            <v>31.86</v>
          </cell>
          <cell r="QF9">
            <v>0</v>
          </cell>
          <cell r="QG9">
            <v>0</v>
          </cell>
          <cell r="QH9">
            <v>31.86</v>
          </cell>
          <cell r="QK9">
            <v>0</v>
          </cell>
          <cell r="QL9">
            <v>0</v>
          </cell>
          <cell r="QM9">
            <v>31.86</v>
          </cell>
          <cell r="QP9">
            <v>0</v>
          </cell>
          <cell r="QQ9">
            <v>0</v>
          </cell>
          <cell r="QR9">
            <v>31.86</v>
          </cell>
          <cell r="QU9">
            <v>0</v>
          </cell>
          <cell r="QV9">
            <v>0</v>
          </cell>
          <cell r="QW9">
            <v>31.86</v>
          </cell>
          <cell r="QZ9">
            <v>0</v>
          </cell>
          <cell r="RA9">
            <v>0</v>
          </cell>
          <cell r="RB9">
            <v>31.86</v>
          </cell>
          <cell r="RE9">
            <v>0</v>
          </cell>
          <cell r="RF9">
            <v>0</v>
          </cell>
          <cell r="RG9">
            <v>31.86</v>
          </cell>
          <cell r="RJ9">
            <v>0</v>
          </cell>
          <cell r="RK9">
            <v>0</v>
          </cell>
          <cell r="RL9">
            <v>31.86</v>
          </cell>
          <cell r="RO9">
            <v>0</v>
          </cell>
          <cell r="RP9">
            <v>0</v>
          </cell>
          <cell r="RQ9">
            <v>31.86</v>
          </cell>
          <cell r="RT9">
            <v>0</v>
          </cell>
          <cell r="RU9">
            <v>0</v>
          </cell>
          <cell r="RV9">
            <v>31.86</v>
          </cell>
          <cell r="RY9">
            <v>0</v>
          </cell>
          <cell r="RZ9">
            <v>0</v>
          </cell>
          <cell r="SA9">
            <v>31.86</v>
          </cell>
          <cell r="SD9">
            <v>0</v>
          </cell>
          <cell r="SE9">
            <v>0</v>
          </cell>
          <cell r="SF9">
            <v>31.86</v>
          </cell>
          <cell r="SI9">
            <v>0</v>
          </cell>
          <cell r="SJ9">
            <v>0</v>
          </cell>
          <cell r="SK9">
            <v>31.86</v>
          </cell>
          <cell r="SN9">
            <v>0</v>
          </cell>
          <cell r="SO9">
            <v>0</v>
          </cell>
          <cell r="SP9">
            <v>31.86</v>
          </cell>
          <cell r="SS9">
            <v>0</v>
          </cell>
          <cell r="ST9">
            <v>0</v>
          </cell>
          <cell r="SU9">
            <v>31.86</v>
          </cell>
          <cell r="SX9">
            <v>0</v>
          </cell>
          <cell r="SY9">
            <v>0</v>
          </cell>
          <cell r="SZ9">
            <v>31.86</v>
          </cell>
          <cell r="TC9">
            <v>0</v>
          </cell>
          <cell r="TD9">
            <v>0</v>
          </cell>
          <cell r="TE9">
            <v>31.86</v>
          </cell>
          <cell r="TH9">
            <v>0</v>
          </cell>
          <cell r="TI9">
            <v>0</v>
          </cell>
          <cell r="TJ9">
            <v>31.86</v>
          </cell>
          <cell r="TM9">
            <v>0</v>
          </cell>
          <cell r="TN9">
            <v>0</v>
          </cell>
          <cell r="TO9">
            <v>31.86</v>
          </cell>
          <cell r="TR9">
            <v>0</v>
          </cell>
          <cell r="TS9">
            <v>0</v>
          </cell>
          <cell r="TT9">
            <v>31.86</v>
          </cell>
          <cell r="TW9">
            <v>0</v>
          </cell>
          <cell r="TX9">
            <v>0</v>
          </cell>
          <cell r="TY9">
            <v>31.86</v>
          </cell>
          <cell r="UB9">
            <v>0</v>
          </cell>
          <cell r="UC9">
            <v>0</v>
          </cell>
          <cell r="UD9">
            <v>31.86</v>
          </cell>
          <cell r="UG9">
            <v>0</v>
          </cell>
          <cell r="UH9">
            <v>0</v>
          </cell>
          <cell r="UI9">
            <v>31.86</v>
          </cell>
          <cell r="UL9">
            <v>0</v>
          </cell>
          <cell r="UM9">
            <v>0</v>
          </cell>
          <cell r="UN9">
            <v>31.86</v>
          </cell>
          <cell r="UQ9">
            <v>0</v>
          </cell>
          <cell r="UR9">
            <v>0</v>
          </cell>
          <cell r="US9">
            <v>31.86</v>
          </cell>
          <cell r="UV9">
            <v>0</v>
          </cell>
          <cell r="UW9">
            <v>0</v>
          </cell>
          <cell r="UX9">
            <v>31.86</v>
          </cell>
          <cell r="VA9">
            <v>0</v>
          </cell>
          <cell r="VB9">
            <v>0</v>
          </cell>
          <cell r="VC9">
            <v>31.86</v>
          </cell>
          <cell r="VF9">
            <v>0</v>
          </cell>
          <cell r="VG9">
            <v>0</v>
          </cell>
          <cell r="VH9">
            <v>31.86</v>
          </cell>
          <cell r="VK9">
            <v>0</v>
          </cell>
          <cell r="VL9">
            <v>0</v>
          </cell>
          <cell r="VM9">
            <v>31.86</v>
          </cell>
          <cell r="VP9">
            <v>0</v>
          </cell>
          <cell r="VQ9">
            <v>0</v>
          </cell>
          <cell r="VR9">
            <v>31.86</v>
          </cell>
          <cell r="VU9">
            <v>0</v>
          </cell>
          <cell r="VV9">
            <v>0</v>
          </cell>
          <cell r="VW9">
            <v>31.86</v>
          </cell>
          <cell r="VZ9">
            <v>0</v>
          </cell>
          <cell r="WA9">
            <v>0</v>
          </cell>
          <cell r="WB9">
            <v>31.86</v>
          </cell>
          <cell r="WE9">
            <v>0</v>
          </cell>
          <cell r="WF9">
            <v>0</v>
          </cell>
          <cell r="WG9">
            <v>31.86</v>
          </cell>
          <cell r="WJ9">
            <v>0</v>
          </cell>
          <cell r="WK9">
            <v>0</v>
          </cell>
          <cell r="WL9">
            <v>31.86</v>
          </cell>
          <cell r="WO9">
            <v>0</v>
          </cell>
          <cell r="WP9">
            <v>0</v>
          </cell>
          <cell r="WQ9">
            <v>31.86</v>
          </cell>
          <cell r="WT9">
            <v>0</v>
          </cell>
          <cell r="WU9">
            <v>0</v>
          </cell>
          <cell r="WV9">
            <v>31.86</v>
          </cell>
          <cell r="WY9">
            <v>0</v>
          </cell>
          <cell r="WZ9">
            <v>0</v>
          </cell>
          <cell r="XA9">
            <v>31.86</v>
          </cell>
          <cell r="XD9">
            <v>0</v>
          </cell>
          <cell r="XE9">
            <v>0</v>
          </cell>
          <cell r="XF9">
            <v>31.86</v>
          </cell>
          <cell r="XI9">
            <v>0</v>
          </cell>
          <cell r="XJ9">
            <v>0</v>
          </cell>
          <cell r="XK9">
            <v>31.86</v>
          </cell>
          <cell r="XN9">
            <v>0</v>
          </cell>
          <cell r="XO9">
            <v>0</v>
          </cell>
          <cell r="XP9">
            <v>31.86</v>
          </cell>
          <cell r="XS9">
            <v>0</v>
          </cell>
          <cell r="XT9">
            <v>0</v>
          </cell>
          <cell r="XU9">
            <v>31.86</v>
          </cell>
          <cell r="XX9">
            <v>0</v>
          </cell>
          <cell r="XY9">
            <v>0</v>
          </cell>
          <cell r="XZ9">
            <v>31.86</v>
          </cell>
          <cell r="YC9">
            <v>0</v>
          </cell>
          <cell r="YD9">
            <v>0</v>
          </cell>
          <cell r="YE9">
            <v>31.86</v>
          </cell>
        </row>
        <row r="10">
          <cell r="A10" t="str">
            <v>壹</v>
          </cell>
          <cell r="B10" t="str">
            <v>直接工程費</v>
          </cell>
          <cell r="C10" t="str">
            <v>式</v>
          </cell>
        </row>
        <row r="11">
          <cell r="A11">
            <v>1</v>
          </cell>
          <cell r="B11" t="str">
            <v>工程告示牌，長120x寬75cm(租用)</v>
          </cell>
          <cell r="C11" t="str">
            <v>面</v>
          </cell>
          <cell r="D11">
            <v>1</v>
          </cell>
          <cell r="E11">
            <v>1454</v>
          </cell>
          <cell r="F11">
            <v>1454</v>
          </cell>
          <cell r="G11">
            <v>0.03</v>
          </cell>
          <cell r="K11">
            <v>1</v>
          </cell>
          <cell r="L11">
            <v>1</v>
          </cell>
          <cell r="M11">
            <v>1454</v>
          </cell>
          <cell r="N11">
            <v>0.03</v>
          </cell>
          <cell r="O11">
            <v>0.03</v>
          </cell>
          <cell r="Q11">
            <v>1</v>
          </cell>
          <cell r="R11">
            <v>0</v>
          </cell>
          <cell r="S11">
            <v>0</v>
          </cell>
          <cell r="T11">
            <v>0.03</v>
          </cell>
          <cell r="V11">
            <v>1</v>
          </cell>
          <cell r="W11">
            <v>0</v>
          </cell>
          <cell r="X11">
            <v>0</v>
          </cell>
          <cell r="Y11">
            <v>0.03</v>
          </cell>
          <cell r="AA11">
            <v>1</v>
          </cell>
          <cell r="AB11">
            <v>0</v>
          </cell>
          <cell r="AC11">
            <v>0</v>
          </cell>
          <cell r="AD11">
            <v>0.03</v>
          </cell>
          <cell r="AF11">
            <v>1</v>
          </cell>
          <cell r="AG11">
            <v>0</v>
          </cell>
          <cell r="AH11">
            <v>0</v>
          </cell>
          <cell r="AI11">
            <v>0.03</v>
          </cell>
          <cell r="AK11">
            <v>1</v>
          </cell>
          <cell r="AL11">
            <v>0</v>
          </cell>
          <cell r="AM11">
            <v>0</v>
          </cell>
          <cell r="AN11">
            <v>0.03</v>
          </cell>
          <cell r="AP11">
            <v>1</v>
          </cell>
          <cell r="AQ11">
            <v>0</v>
          </cell>
          <cell r="AR11">
            <v>0</v>
          </cell>
          <cell r="AS11">
            <v>0.03</v>
          </cell>
          <cell r="AU11">
            <v>1</v>
          </cell>
          <cell r="AV11">
            <v>0</v>
          </cell>
          <cell r="AW11">
            <v>0</v>
          </cell>
          <cell r="AX11">
            <v>0.03</v>
          </cell>
          <cell r="AZ11">
            <v>1</v>
          </cell>
          <cell r="BA11">
            <v>0</v>
          </cell>
          <cell r="BB11">
            <v>0</v>
          </cell>
          <cell r="BC11">
            <v>0.03</v>
          </cell>
          <cell r="BE11">
            <v>1</v>
          </cell>
          <cell r="BF11">
            <v>0</v>
          </cell>
          <cell r="BG11">
            <v>0</v>
          </cell>
          <cell r="BH11">
            <v>0.03</v>
          </cell>
          <cell r="BJ11">
            <v>1</v>
          </cell>
          <cell r="BK11">
            <v>0</v>
          </cell>
          <cell r="BL11">
            <v>0</v>
          </cell>
          <cell r="BM11">
            <v>0.03</v>
          </cell>
          <cell r="BO11">
            <v>1</v>
          </cell>
          <cell r="BP11">
            <v>0</v>
          </cell>
          <cell r="BQ11">
            <v>0</v>
          </cell>
          <cell r="BR11">
            <v>0.03</v>
          </cell>
          <cell r="BT11">
            <v>1</v>
          </cell>
          <cell r="BU11">
            <v>0</v>
          </cell>
          <cell r="BV11">
            <v>0</v>
          </cell>
          <cell r="BW11">
            <v>0.03</v>
          </cell>
          <cell r="BY11">
            <v>1</v>
          </cell>
          <cell r="BZ11">
            <v>0</v>
          </cell>
          <cell r="CA11">
            <v>0</v>
          </cell>
          <cell r="CB11">
            <v>0.03</v>
          </cell>
          <cell r="CD11">
            <v>1</v>
          </cell>
          <cell r="CE11">
            <v>0</v>
          </cell>
          <cell r="CF11">
            <v>0</v>
          </cell>
          <cell r="CG11">
            <v>0.03</v>
          </cell>
          <cell r="CI11">
            <v>1</v>
          </cell>
          <cell r="CJ11">
            <v>0</v>
          </cell>
          <cell r="CK11">
            <v>0</v>
          </cell>
          <cell r="CL11">
            <v>0.03</v>
          </cell>
          <cell r="CN11">
            <v>1</v>
          </cell>
          <cell r="CO11">
            <v>0</v>
          </cell>
          <cell r="CP11">
            <v>0</v>
          </cell>
          <cell r="CQ11">
            <v>0.03</v>
          </cell>
          <cell r="CS11">
            <v>1</v>
          </cell>
          <cell r="CT11">
            <v>0</v>
          </cell>
          <cell r="CU11">
            <v>0</v>
          </cell>
          <cell r="CV11">
            <v>0.03</v>
          </cell>
          <cell r="CX11">
            <v>1</v>
          </cell>
          <cell r="CY11">
            <v>0</v>
          </cell>
          <cell r="CZ11">
            <v>0</v>
          </cell>
          <cell r="DA11">
            <v>0.03</v>
          </cell>
          <cell r="DC11">
            <v>1</v>
          </cell>
          <cell r="DD11">
            <v>0</v>
          </cell>
          <cell r="DE11">
            <v>0</v>
          </cell>
          <cell r="DF11">
            <v>0.03</v>
          </cell>
          <cell r="DH11">
            <v>1</v>
          </cell>
          <cell r="DI11">
            <v>0</v>
          </cell>
          <cell r="DJ11">
            <v>0</v>
          </cell>
          <cell r="DK11">
            <v>0.03</v>
          </cell>
          <cell r="DM11">
            <v>1</v>
          </cell>
          <cell r="DN11">
            <v>0</v>
          </cell>
          <cell r="DO11">
            <v>0</v>
          </cell>
          <cell r="DP11">
            <v>0.03</v>
          </cell>
          <cell r="DR11">
            <v>1</v>
          </cell>
          <cell r="DS11">
            <v>0</v>
          </cell>
          <cell r="DT11">
            <v>0</v>
          </cell>
          <cell r="DU11">
            <v>0.03</v>
          </cell>
          <cell r="DW11">
            <v>1</v>
          </cell>
          <cell r="DX11">
            <v>0</v>
          </cell>
          <cell r="DY11">
            <v>0</v>
          </cell>
          <cell r="DZ11">
            <v>0.03</v>
          </cell>
          <cell r="EB11">
            <v>1</v>
          </cell>
          <cell r="EC11">
            <v>0</v>
          </cell>
          <cell r="ED11">
            <v>0</v>
          </cell>
          <cell r="EE11">
            <v>0.03</v>
          </cell>
          <cell r="EG11">
            <v>1</v>
          </cell>
          <cell r="EH11">
            <v>0</v>
          </cell>
          <cell r="EI11">
            <v>0</v>
          </cell>
          <cell r="EJ11">
            <v>0.03</v>
          </cell>
          <cell r="EL11">
            <v>1</v>
          </cell>
          <cell r="EM11">
            <v>0</v>
          </cell>
          <cell r="EN11">
            <v>0</v>
          </cell>
          <cell r="EO11">
            <v>0.03</v>
          </cell>
          <cell r="EQ11">
            <v>1</v>
          </cell>
          <cell r="ER11">
            <v>0</v>
          </cell>
          <cell r="ES11">
            <v>0</v>
          </cell>
          <cell r="ET11">
            <v>0.03</v>
          </cell>
          <cell r="EV11">
            <v>1</v>
          </cell>
          <cell r="EW11">
            <v>0</v>
          </cell>
          <cell r="EX11">
            <v>0</v>
          </cell>
          <cell r="EY11">
            <v>0.03</v>
          </cell>
          <cell r="FA11">
            <v>1</v>
          </cell>
          <cell r="FB11">
            <v>0</v>
          </cell>
          <cell r="FC11">
            <v>0</v>
          </cell>
          <cell r="FD11">
            <v>0.03</v>
          </cell>
          <cell r="FF11">
            <v>1</v>
          </cell>
          <cell r="FG11">
            <v>0</v>
          </cell>
          <cell r="FH11">
            <v>0</v>
          </cell>
          <cell r="FI11">
            <v>0.03</v>
          </cell>
          <cell r="FK11">
            <v>1</v>
          </cell>
          <cell r="FL11">
            <v>0</v>
          </cell>
          <cell r="FM11">
            <v>0</v>
          </cell>
          <cell r="FN11">
            <v>0.03</v>
          </cell>
          <cell r="FP11">
            <v>1</v>
          </cell>
          <cell r="FQ11">
            <v>0</v>
          </cell>
          <cell r="FR11">
            <v>0</v>
          </cell>
          <cell r="FS11">
            <v>0.03</v>
          </cell>
          <cell r="FU11">
            <v>1</v>
          </cell>
          <cell r="FV11">
            <v>0</v>
          </cell>
          <cell r="FW11">
            <v>0</v>
          </cell>
          <cell r="FX11">
            <v>0.03</v>
          </cell>
          <cell r="FZ11">
            <v>1</v>
          </cell>
          <cell r="GA11">
            <v>0</v>
          </cell>
          <cell r="GB11">
            <v>0</v>
          </cell>
          <cell r="GC11">
            <v>0.03</v>
          </cell>
          <cell r="GE11">
            <v>1</v>
          </cell>
          <cell r="GF11">
            <v>0</v>
          </cell>
          <cell r="GG11">
            <v>0</v>
          </cell>
          <cell r="GH11">
            <v>0.03</v>
          </cell>
          <cell r="GJ11">
            <v>1</v>
          </cell>
          <cell r="GK11">
            <v>0</v>
          </cell>
          <cell r="GL11">
            <v>0</v>
          </cell>
          <cell r="GM11">
            <v>0.03</v>
          </cell>
          <cell r="GO11">
            <v>1</v>
          </cell>
          <cell r="GP11">
            <v>0</v>
          </cell>
          <cell r="GQ11">
            <v>0</v>
          </cell>
          <cell r="GR11">
            <v>0.03</v>
          </cell>
          <cell r="GT11">
            <v>1</v>
          </cell>
          <cell r="GU11">
            <v>0</v>
          </cell>
          <cell r="GV11">
            <v>0</v>
          </cell>
          <cell r="GW11">
            <v>0.03</v>
          </cell>
          <cell r="GY11">
            <v>1</v>
          </cell>
          <cell r="GZ11">
            <v>0</v>
          </cell>
          <cell r="HA11">
            <v>0</v>
          </cell>
          <cell r="HB11">
            <v>0.03</v>
          </cell>
          <cell r="HD11">
            <v>1</v>
          </cell>
          <cell r="HE11">
            <v>0</v>
          </cell>
          <cell r="HF11">
            <v>0</v>
          </cell>
          <cell r="HG11">
            <v>0.03</v>
          </cell>
          <cell r="HI11">
            <v>1</v>
          </cell>
          <cell r="HJ11">
            <v>0</v>
          </cell>
          <cell r="HK11">
            <v>0</v>
          </cell>
          <cell r="HL11">
            <v>0.03</v>
          </cell>
          <cell r="HN11">
            <v>1</v>
          </cell>
          <cell r="HO11">
            <v>0</v>
          </cell>
          <cell r="HP11">
            <v>0</v>
          </cell>
          <cell r="HQ11">
            <v>0.03</v>
          </cell>
          <cell r="HS11">
            <v>1</v>
          </cell>
          <cell r="HT11">
            <v>0</v>
          </cell>
          <cell r="HU11">
            <v>0</v>
          </cell>
          <cell r="HV11">
            <v>0.03</v>
          </cell>
          <cell r="HX11">
            <v>1</v>
          </cell>
          <cell r="HY11">
            <v>0</v>
          </cell>
          <cell r="HZ11">
            <v>0</v>
          </cell>
          <cell r="IA11">
            <v>0.03</v>
          </cell>
          <cell r="IC11">
            <v>1</v>
          </cell>
          <cell r="ID11">
            <v>0</v>
          </cell>
          <cell r="IE11">
            <v>0</v>
          </cell>
          <cell r="IF11">
            <v>0.03</v>
          </cell>
          <cell r="IH11">
            <v>1</v>
          </cell>
          <cell r="II11">
            <v>0</v>
          </cell>
          <cell r="IJ11">
            <v>0</v>
          </cell>
          <cell r="IK11">
            <v>0.03</v>
          </cell>
          <cell r="IM11">
            <v>1</v>
          </cell>
          <cell r="IN11">
            <v>0</v>
          </cell>
          <cell r="IO11">
            <v>0</v>
          </cell>
          <cell r="IP11">
            <v>0.03</v>
          </cell>
          <cell r="IR11">
            <v>1</v>
          </cell>
          <cell r="IS11">
            <v>0</v>
          </cell>
          <cell r="IT11">
            <v>0</v>
          </cell>
          <cell r="IU11">
            <v>0.03</v>
          </cell>
          <cell r="IW11">
            <v>1</v>
          </cell>
          <cell r="IX11">
            <v>0</v>
          </cell>
          <cell r="IY11">
            <v>0</v>
          </cell>
          <cell r="IZ11">
            <v>0.03</v>
          </cell>
          <cell r="JB11">
            <v>1</v>
          </cell>
          <cell r="JC11">
            <v>0</v>
          </cell>
          <cell r="JD11">
            <v>0</v>
          </cell>
          <cell r="JE11">
            <v>0.03</v>
          </cell>
          <cell r="JG11">
            <v>1</v>
          </cell>
          <cell r="JH11">
            <v>0</v>
          </cell>
          <cell r="JI11">
            <v>0</v>
          </cell>
          <cell r="JJ11">
            <v>0.03</v>
          </cell>
          <cell r="JL11">
            <v>1</v>
          </cell>
          <cell r="JM11">
            <v>0</v>
          </cell>
          <cell r="JN11">
            <v>0</v>
          </cell>
          <cell r="JO11">
            <v>0.03</v>
          </cell>
          <cell r="JQ11">
            <v>1</v>
          </cell>
          <cell r="JR11">
            <v>0</v>
          </cell>
          <cell r="JS11">
            <v>0</v>
          </cell>
          <cell r="JT11">
            <v>0.03</v>
          </cell>
          <cell r="JV11">
            <v>1</v>
          </cell>
          <cell r="JW11">
            <v>0</v>
          </cell>
          <cell r="JX11">
            <v>0</v>
          </cell>
          <cell r="JY11">
            <v>0.03</v>
          </cell>
          <cell r="KA11">
            <v>1</v>
          </cell>
          <cell r="KB11">
            <v>0</v>
          </cell>
          <cell r="KC11">
            <v>0</v>
          </cell>
          <cell r="KD11">
            <v>0.03</v>
          </cell>
          <cell r="KF11">
            <v>1</v>
          </cell>
          <cell r="KG11">
            <v>0</v>
          </cell>
          <cell r="KH11">
            <v>0</v>
          </cell>
          <cell r="KI11">
            <v>0.03</v>
          </cell>
          <cell r="KK11">
            <v>1</v>
          </cell>
          <cell r="KL11">
            <v>0</v>
          </cell>
          <cell r="KM11">
            <v>0</v>
          </cell>
          <cell r="KN11">
            <v>0.03</v>
          </cell>
          <cell r="KP11">
            <v>1</v>
          </cell>
          <cell r="KQ11">
            <v>0</v>
          </cell>
          <cell r="KR11">
            <v>0</v>
          </cell>
          <cell r="KS11">
            <v>0.03</v>
          </cell>
          <cell r="KU11">
            <v>1</v>
          </cell>
          <cell r="KV11">
            <v>0</v>
          </cell>
          <cell r="KW11">
            <v>0</v>
          </cell>
          <cell r="KX11">
            <v>0.03</v>
          </cell>
          <cell r="KZ11">
            <v>1</v>
          </cell>
          <cell r="LA11">
            <v>0</v>
          </cell>
          <cell r="LB11">
            <v>0</v>
          </cell>
          <cell r="LC11">
            <v>0.03</v>
          </cell>
          <cell r="LE11">
            <v>1</v>
          </cell>
          <cell r="LF11">
            <v>0</v>
          </cell>
          <cell r="LG11">
            <v>0</v>
          </cell>
          <cell r="LH11">
            <v>0.03</v>
          </cell>
          <cell r="LJ11">
            <v>1</v>
          </cell>
          <cell r="LK11">
            <v>0</v>
          </cell>
          <cell r="LL11">
            <v>0</v>
          </cell>
          <cell r="LM11">
            <v>0.03</v>
          </cell>
          <cell r="LO11">
            <v>1</v>
          </cell>
          <cell r="LP11">
            <v>0</v>
          </cell>
          <cell r="LQ11">
            <v>0</v>
          </cell>
          <cell r="LR11">
            <v>0.03</v>
          </cell>
          <cell r="LT11">
            <v>1</v>
          </cell>
          <cell r="LU11">
            <v>0</v>
          </cell>
          <cell r="LV11">
            <v>0</v>
          </cell>
          <cell r="LW11">
            <v>0.03</v>
          </cell>
          <cell r="LY11">
            <v>1</v>
          </cell>
          <cell r="LZ11">
            <v>0</v>
          </cell>
          <cell r="MA11">
            <v>0</v>
          </cell>
          <cell r="MB11">
            <v>0.03</v>
          </cell>
          <cell r="MD11">
            <v>1</v>
          </cell>
          <cell r="ME11">
            <v>0</v>
          </cell>
          <cell r="MF11">
            <v>0</v>
          </cell>
          <cell r="MG11">
            <v>0.03</v>
          </cell>
          <cell r="MI11">
            <v>1</v>
          </cell>
          <cell r="MJ11">
            <v>0</v>
          </cell>
          <cell r="MK11">
            <v>0</v>
          </cell>
          <cell r="ML11">
            <v>0.03</v>
          </cell>
          <cell r="MN11">
            <v>1</v>
          </cell>
          <cell r="MO11">
            <v>0</v>
          </cell>
          <cell r="MP11">
            <v>0</v>
          </cell>
          <cell r="MQ11">
            <v>0.03</v>
          </cell>
          <cell r="MS11">
            <v>1</v>
          </cell>
          <cell r="MT11">
            <v>0</v>
          </cell>
          <cell r="MU11">
            <v>0</v>
          </cell>
          <cell r="MV11">
            <v>0.03</v>
          </cell>
          <cell r="MX11">
            <v>1</v>
          </cell>
          <cell r="MY11">
            <v>0</v>
          </cell>
          <cell r="MZ11">
            <v>0</v>
          </cell>
          <cell r="NA11">
            <v>0.03</v>
          </cell>
          <cell r="NC11">
            <v>1</v>
          </cell>
          <cell r="ND11">
            <v>0</v>
          </cell>
          <cell r="NE11">
            <v>0</v>
          </cell>
          <cell r="NF11">
            <v>0.03</v>
          </cell>
          <cell r="NH11">
            <v>1</v>
          </cell>
          <cell r="NI11">
            <v>0</v>
          </cell>
          <cell r="NJ11">
            <v>0</v>
          </cell>
          <cell r="NK11">
            <v>0.03</v>
          </cell>
          <cell r="NM11">
            <v>1</v>
          </cell>
          <cell r="NN11">
            <v>0</v>
          </cell>
          <cell r="NO11">
            <v>0</v>
          </cell>
          <cell r="NP11">
            <v>0.03</v>
          </cell>
          <cell r="NR11">
            <v>1</v>
          </cell>
          <cell r="NS11">
            <v>0</v>
          </cell>
          <cell r="NT11">
            <v>0</v>
          </cell>
          <cell r="NU11">
            <v>0.03</v>
          </cell>
          <cell r="NW11">
            <v>1</v>
          </cell>
          <cell r="NX11">
            <v>0</v>
          </cell>
          <cell r="NY11">
            <v>0</v>
          </cell>
          <cell r="NZ11">
            <v>0.03</v>
          </cell>
          <cell r="OB11">
            <v>1</v>
          </cell>
          <cell r="OC11">
            <v>0</v>
          </cell>
          <cell r="OD11">
            <v>0</v>
          </cell>
          <cell r="OE11">
            <v>0.03</v>
          </cell>
          <cell r="OG11">
            <v>1</v>
          </cell>
          <cell r="OH11">
            <v>0</v>
          </cell>
          <cell r="OI11">
            <v>0</v>
          </cell>
          <cell r="OJ11">
            <v>0.03</v>
          </cell>
          <cell r="OL11">
            <v>1</v>
          </cell>
          <cell r="OM11">
            <v>0</v>
          </cell>
          <cell r="ON11">
            <v>0</v>
          </cell>
          <cell r="OO11">
            <v>0.03</v>
          </cell>
          <cell r="OQ11">
            <v>1</v>
          </cell>
          <cell r="OR11">
            <v>0</v>
          </cell>
          <cell r="OS11">
            <v>0</v>
          </cell>
          <cell r="OT11">
            <v>0.03</v>
          </cell>
          <cell r="OV11">
            <v>1</v>
          </cell>
          <cell r="OW11">
            <v>0</v>
          </cell>
          <cell r="OX11">
            <v>0</v>
          </cell>
          <cell r="OY11">
            <v>0.03</v>
          </cell>
          <cell r="PA11">
            <v>1</v>
          </cell>
          <cell r="PB11">
            <v>0</v>
          </cell>
          <cell r="PC11">
            <v>0</v>
          </cell>
          <cell r="PD11">
            <v>0.03</v>
          </cell>
          <cell r="PF11">
            <v>1</v>
          </cell>
          <cell r="PG11">
            <v>0</v>
          </cell>
          <cell r="PH11">
            <v>0</v>
          </cell>
          <cell r="PI11">
            <v>0.03</v>
          </cell>
          <cell r="PK11">
            <v>1</v>
          </cell>
          <cell r="PL11">
            <v>0</v>
          </cell>
          <cell r="PM11">
            <v>0</v>
          </cell>
          <cell r="PN11">
            <v>0.03</v>
          </cell>
          <cell r="PP11">
            <v>1</v>
          </cell>
          <cell r="PQ11">
            <v>0</v>
          </cell>
          <cell r="PR11">
            <v>0</v>
          </cell>
          <cell r="PS11">
            <v>0.03</v>
          </cell>
          <cell r="PU11">
            <v>1</v>
          </cell>
          <cell r="PV11">
            <v>0</v>
          </cell>
          <cell r="PW11">
            <v>0</v>
          </cell>
          <cell r="PX11">
            <v>0.03</v>
          </cell>
          <cell r="PZ11">
            <v>1</v>
          </cell>
          <cell r="QA11">
            <v>0</v>
          </cell>
          <cell r="QB11">
            <v>0</v>
          </cell>
          <cell r="QC11">
            <v>0.03</v>
          </cell>
          <cell r="QE11">
            <v>1</v>
          </cell>
          <cell r="QF11">
            <v>0</v>
          </cell>
          <cell r="QG11">
            <v>0</v>
          </cell>
          <cell r="QH11">
            <v>0.03</v>
          </cell>
          <cell r="QJ11">
            <v>1</v>
          </cell>
          <cell r="QK11">
            <v>0</v>
          </cell>
          <cell r="QL11">
            <v>0</v>
          </cell>
          <cell r="QM11">
            <v>0.03</v>
          </cell>
          <cell r="QO11">
            <v>1</v>
          </cell>
          <cell r="QP11">
            <v>0</v>
          </cell>
          <cell r="QQ11">
            <v>0</v>
          </cell>
          <cell r="QR11">
            <v>0.03</v>
          </cell>
          <cell r="QT11">
            <v>1</v>
          </cell>
          <cell r="QU11">
            <v>0</v>
          </cell>
          <cell r="QV11">
            <v>0</v>
          </cell>
          <cell r="QW11">
            <v>0.03</v>
          </cell>
          <cell r="QY11">
            <v>1</v>
          </cell>
          <cell r="QZ11">
            <v>0</v>
          </cell>
          <cell r="RA11">
            <v>0</v>
          </cell>
          <cell r="RB11">
            <v>0.03</v>
          </cell>
          <cell r="RD11">
            <v>1</v>
          </cell>
          <cell r="RE11">
            <v>0</v>
          </cell>
          <cell r="RF11">
            <v>0</v>
          </cell>
          <cell r="RG11">
            <v>0.03</v>
          </cell>
          <cell r="RI11">
            <v>1</v>
          </cell>
          <cell r="RJ11">
            <v>0</v>
          </cell>
          <cell r="RK11">
            <v>0</v>
          </cell>
          <cell r="RL11">
            <v>0.03</v>
          </cell>
          <cell r="RN11">
            <v>1</v>
          </cell>
          <cell r="RO11">
            <v>0</v>
          </cell>
          <cell r="RP11">
            <v>0</v>
          </cell>
          <cell r="RQ11">
            <v>0.03</v>
          </cell>
          <cell r="RS11">
            <v>1</v>
          </cell>
          <cell r="RT11">
            <v>0</v>
          </cell>
          <cell r="RU11">
            <v>0</v>
          </cell>
          <cell r="RV11">
            <v>0.03</v>
          </cell>
          <cell r="RX11">
            <v>1</v>
          </cell>
          <cell r="RY11">
            <v>0</v>
          </cell>
          <cell r="RZ11">
            <v>0</v>
          </cell>
          <cell r="SA11">
            <v>0.03</v>
          </cell>
          <cell r="SC11">
            <v>1</v>
          </cell>
          <cell r="SD11">
            <v>0</v>
          </cell>
          <cell r="SE11">
            <v>0</v>
          </cell>
          <cell r="SF11">
            <v>0.03</v>
          </cell>
          <cell r="SH11">
            <v>1</v>
          </cell>
          <cell r="SI11">
            <v>0</v>
          </cell>
          <cell r="SJ11">
            <v>0</v>
          </cell>
          <cell r="SK11">
            <v>0.03</v>
          </cell>
          <cell r="SM11">
            <v>1</v>
          </cell>
          <cell r="SN11">
            <v>0</v>
          </cell>
          <cell r="SO11">
            <v>0</v>
          </cell>
          <cell r="SP11">
            <v>0.03</v>
          </cell>
          <cell r="SR11">
            <v>1</v>
          </cell>
          <cell r="SS11">
            <v>0</v>
          </cell>
          <cell r="ST11">
            <v>0</v>
          </cell>
          <cell r="SU11">
            <v>0.03</v>
          </cell>
          <cell r="SW11">
            <v>1</v>
          </cell>
          <cell r="SX11">
            <v>0</v>
          </cell>
          <cell r="SY11">
            <v>0</v>
          </cell>
          <cell r="SZ11">
            <v>0.03</v>
          </cell>
          <cell r="TB11">
            <v>1</v>
          </cell>
          <cell r="TC11">
            <v>0</v>
          </cell>
          <cell r="TD11">
            <v>0</v>
          </cell>
          <cell r="TE11">
            <v>0.03</v>
          </cell>
          <cell r="TG11">
            <v>1</v>
          </cell>
          <cell r="TH11">
            <v>0</v>
          </cell>
          <cell r="TI11">
            <v>0</v>
          </cell>
          <cell r="TJ11">
            <v>0.03</v>
          </cell>
          <cell r="TL11">
            <v>1</v>
          </cell>
          <cell r="TM11">
            <v>0</v>
          </cell>
          <cell r="TN11">
            <v>0</v>
          </cell>
          <cell r="TO11">
            <v>0.03</v>
          </cell>
          <cell r="TQ11">
            <v>1</v>
          </cell>
          <cell r="TR11">
            <v>0</v>
          </cell>
          <cell r="TS11">
            <v>0</v>
          </cell>
          <cell r="TT11">
            <v>0.03</v>
          </cell>
          <cell r="TV11">
            <v>1</v>
          </cell>
          <cell r="TW11">
            <v>0</v>
          </cell>
          <cell r="TX11">
            <v>0</v>
          </cell>
          <cell r="TY11">
            <v>0.03</v>
          </cell>
          <cell r="UA11">
            <v>1</v>
          </cell>
          <cell r="UB11">
            <v>0</v>
          </cell>
          <cell r="UC11">
            <v>0</v>
          </cell>
          <cell r="UD11">
            <v>0.03</v>
          </cell>
          <cell r="UF11">
            <v>1</v>
          </cell>
          <cell r="UG11">
            <v>0</v>
          </cell>
          <cell r="UH11">
            <v>0</v>
          </cell>
          <cell r="UI11">
            <v>0.03</v>
          </cell>
          <cell r="UK11">
            <v>1</v>
          </cell>
          <cell r="UL11">
            <v>0</v>
          </cell>
          <cell r="UM11">
            <v>0</v>
          </cell>
          <cell r="UN11">
            <v>0.03</v>
          </cell>
          <cell r="UP11">
            <v>1</v>
          </cell>
          <cell r="UQ11">
            <v>0</v>
          </cell>
          <cell r="UR11">
            <v>0</v>
          </cell>
          <cell r="US11">
            <v>0.03</v>
          </cell>
          <cell r="UU11">
            <v>1</v>
          </cell>
          <cell r="UV11">
            <v>0</v>
          </cell>
          <cell r="UW11">
            <v>0</v>
          </cell>
          <cell r="UX11">
            <v>0.03</v>
          </cell>
          <cell r="UZ11">
            <v>1</v>
          </cell>
          <cell r="VA11">
            <v>0</v>
          </cell>
          <cell r="VB11">
            <v>0</v>
          </cell>
          <cell r="VC11">
            <v>0.03</v>
          </cell>
          <cell r="VE11">
            <v>1</v>
          </cell>
          <cell r="VF11">
            <v>0</v>
          </cell>
          <cell r="VG11">
            <v>0</v>
          </cell>
          <cell r="VH11">
            <v>0.03</v>
          </cell>
          <cell r="VJ11">
            <v>1</v>
          </cell>
          <cell r="VK11">
            <v>0</v>
          </cell>
          <cell r="VL11">
            <v>0</v>
          </cell>
          <cell r="VM11">
            <v>0.03</v>
          </cell>
          <cell r="VO11">
            <v>1</v>
          </cell>
          <cell r="VP11">
            <v>0</v>
          </cell>
          <cell r="VQ11">
            <v>0</v>
          </cell>
          <cell r="VR11">
            <v>0.03</v>
          </cell>
          <cell r="VT11">
            <v>1</v>
          </cell>
          <cell r="VU11">
            <v>0</v>
          </cell>
          <cell r="VV11">
            <v>0</v>
          </cell>
          <cell r="VW11">
            <v>0.03</v>
          </cell>
          <cell r="VY11">
            <v>1</v>
          </cell>
          <cell r="VZ11">
            <v>0</v>
          </cell>
          <cell r="WA11">
            <v>0</v>
          </cell>
          <cell r="WB11">
            <v>0.03</v>
          </cell>
          <cell r="WD11">
            <v>1</v>
          </cell>
          <cell r="WE11">
            <v>0</v>
          </cell>
          <cell r="WF11">
            <v>0</v>
          </cell>
          <cell r="WG11">
            <v>0.03</v>
          </cell>
          <cell r="WI11">
            <v>1</v>
          </cell>
          <cell r="WJ11">
            <v>0</v>
          </cell>
          <cell r="WK11">
            <v>0</v>
          </cell>
          <cell r="WL11">
            <v>0.03</v>
          </cell>
          <cell r="WN11">
            <v>1</v>
          </cell>
          <cell r="WO11">
            <v>0</v>
          </cell>
          <cell r="WP11">
            <v>0</v>
          </cell>
          <cell r="WQ11">
            <v>0.03</v>
          </cell>
          <cell r="WS11">
            <v>1</v>
          </cell>
          <cell r="WT11">
            <v>0</v>
          </cell>
          <cell r="WU11">
            <v>0</v>
          </cell>
          <cell r="WV11">
            <v>0.03</v>
          </cell>
          <cell r="WX11">
            <v>1</v>
          </cell>
          <cell r="WY11">
            <v>0</v>
          </cell>
          <cell r="WZ11">
            <v>0</v>
          </cell>
          <cell r="XA11">
            <v>0.03</v>
          </cell>
          <cell r="XC11">
            <v>1</v>
          </cell>
          <cell r="XD11">
            <v>0</v>
          </cell>
          <cell r="XE11">
            <v>0</v>
          </cell>
          <cell r="XF11">
            <v>0.03</v>
          </cell>
          <cell r="XH11">
            <v>1</v>
          </cell>
          <cell r="XI11">
            <v>0</v>
          </cell>
          <cell r="XJ11">
            <v>0</v>
          </cell>
          <cell r="XK11">
            <v>0.03</v>
          </cell>
          <cell r="XM11">
            <v>1</v>
          </cell>
          <cell r="XN11">
            <v>0</v>
          </cell>
          <cell r="XO11">
            <v>0</v>
          </cell>
          <cell r="XP11">
            <v>0.03</v>
          </cell>
          <cell r="XR11">
            <v>1</v>
          </cell>
          <cell r="XS11">
            <v>0</v>
          </cell>
          <cell r="XT11">
            <v>0</v>
          </cell>
          <cell r="XU11">
            <v>0.03</v>
          </cell>
          <cell r="XW11">
            <v>1</v>
          </cell>
          <cell r="XX11">
            <v>0</v>
          </cell>
          <cell r="XY11">
            <v>0</v>
          </cell>
          <cell r="XZ11">
            <v>0.03</v>
          </cell>
          <cell r="YB11">
            <v>1</v>
          </cell>
          <cell r="YC11">
            <v>0</v>
          </cell>
          <cell r="YD11">
            <v>0</v>
          </cell>
          <cell r="YE11">
            <v>0.03</v>
          </cell>
        </row>
        <row r="12">
          <cell r="A12">
            <v>2</v>
          </cell>
          <cell r="B12" t="str">
            <v>施工圍籬(含警示帶,交通錐,警示燈,租用)</v>
          </cell>
          <cell r="C12" t="str">
            <v>式</v>
          </cell>
          <cell r="D12">
            <v>1</v>
          </cell>
          <cell r="E12">
            <v>52271</v>
          </cell>
          <cell r="F12">
            <v>52271</v>
          </cell>
          <cell r="G12">
            <v>1.19</v>
          </cell>
          <cell r="K12">
            <v>1</v>
          </cell>
          <cell r="L12">
            <v>1</v>
          </cell>
          <cell r="M12">
            <v>52271</v>
          </cell>
          <cell r="N12">
            <v>1.19</v>
          </cell>
          <cell r="O12">
            <v>1.19</v>
          </cell>
          <cell r="Q12">
            <v>1</v>
          </cell>
          <cell r="R12">
            <v>0</v>
          </cell>
          <cell r="S12">
            <v>0</v>
          </cell>
          <cell r="T12">
            <v>1.19</v>
          </cell>
          <cell r="V12">
            <v>1</v>
          </cell>
          <cell r="W12">
            <v>0</v>
          </cell>
          <cell r="X12">
            <v>0</v>
          </cell>
          <cell r="Y12">
            <v>1.19</v>
          </cell>
          <cell r="AA12">
            <v>1</v>
          </cell>
          <cell r="AB12">
            <v>0</v>
          </cell>
          <cell r="AC12">
            <v>0</v>
          </cell>
          <cell r="AD12">
            <v>1.19</v>
          </cell>
          <cell r="AF12">
            <v>1</v>
          </cell>
          <cell r="AG12">
            <v>0</v>
          </cell>
          <cell r="AH12">
            <v>0</v>
          </cell>
          <cell r="AI12">
            <v>1.19</v>
          </cell>
          <cell r="AK12">
            <v>1</v>
          </cell>
          <cell r="AL12">
            <v>0</v>
          </cell>
          <cell r="AM12">
            <v>0</v>
          </cell>
          <cell r="AN12">
            <v>1.19</v>
          </cell>
          <cell r="AP12">
            <v>1</v>
          </cell>
          <cell r="AQ12">
            <v>0</v>
          </cell>
          <cell r="AR12">
            <v>0</v>
          </cell>
          <cell r="AS12">
            <v>1.19</v>
          </cell>
          <cell r="AU12">
            <v>1</v>
          </cell>
          <cell r="AV12">
            <v>0</v>
          </cell>
          <cell r="AW12">
            <v>0</v>
          </cell>
          <cell r="AX12">
            <v>1.19</v>
          </cell>
          <cell r="AZ12">
            <v>1</v>
          </cell>
          <cell r="BA12">
            <v>0</v>
          </cell>
          <cell r="BB12">
            <v>0</v>
          </cell>
          <cell r="BC12">
            <v>1.19</v>
          </cell>
          <cell r="BE12">
            <v>1</v>
          </cell>
          <cell r="BF12">
            <v>0</v>
          </cell>
          <cell r="BG12">
            <v>0</v>
          </cell>
          <cell r="BH12">
            <v>1.19</v>
          </cell>
          <cell r="BJ12">
            <v>1</v>
          </cell>
          <cell r="BK12">
            <v>0</v>
          </cell>
          <cell r="BL12">
            <v>0</v>
          </cell>
          <cell r="BM12">
            <v>1.19</v>
          </cell>
          <cell r="BO12">
            <v>1</v>
          </cell>
          <cell r="BP12">
            <v>0</v>
          </cell>
          <cell r="BQ12">
            <v>0</v>
          </cell>
          <cell r="BR12">
            <v>1.19</v>
          </cell>
          <cell r="BT12">
            <v>1</v>
          </cell>
          <cell r="BU12">
            <v>0</v>
          </cell>
          <cell r="BV12">
            <v>0</v>
          </cell>
          <cell r="BW12">
            <v>1.19</v>
          </cell>
          <cell r="BY12">
            <v>1</v>
          </cell>
          <cell r="BZ12">
            <v>0</v>
          </cell>
          <cell r="CA12">
            <v>0</v>
          </cell>
          <cell r="CB12">
            <v>1.19</v>
          </cell>
          <cell r="CD12">
            <v>1</v>
          </cell>
          <cell r="CE12">
            <v>0</v>
          </cell>
          <cell r="CF12">
            <v>0</v>
          </cell>
          <cell r="CG12">
            <v>1.19</v>
          </cell>
          <cell r="CI12">
            <v>1</v>
          </cell>
          <cell r="CJ12">
            <v>0</v>
          </cell>
          <cell r="CK12">
            <v>0</v>
          </cell>
          <cell r="CL12">
            <v>1.19</v>
          </cell>
          <cell r="CN12">
            <v>1</v>
          </cell>
          <cell r="CO12">
            <v>0</v>
          </cell>
          <cell r="CP12">
            <v>0</v>
          </cell>
          <cell r="CQ12">
            <v>1.19</v>
          </cell>
          <cell r="CS12">
            <v>1</v>
          </cell>
          <cell r="CT12">
            <v>0</v>
          </cell>
          <cell r="CU12">
            <v>0</v>
          </cell>
          <cell r="CV12">
            <v>1.19</v>
          </cell>
          <cell r="CX12">
            <v>1</v>
          </cell>
          <cell r="CY12">
            <v>0</v>
          </cell>
          <cell r="CZ12">
            <v>0</v>
          </cell>
          <cell r="DA12">
            <v>1.19</v>
          </cell>
          <cell r="DC12">
            <v>1</v>
          </cell>
          <cell r="DD12">
            <v>0</v>
          </cell>
          <cell r="DE12">
            <v>0</v>
          </cell>
          <cell r="DF12">
            <v>1.19</v>
          </cell>
          <cell r="DH12">
            <v>1</v>
          </cell>
          <cell r="DI12">
            <v>0</v>
          </cell>
          <cell r="DJ12">
            <v>0</v>
          </cell>
          <cell r="DK12">
            <v>1.19</v>
          </cell>
          <cell r="DM12">
            <v>1</v>
          </cell>
          <cell r="DN12">
            <v>0</v>
          </cell>
          <cell r="DO12">
            <v>0</v>
          </cell>
          <cell r="DP12">
            <v>1.19</v>
          </cell>
          <cell r="DR12">
            <v>1</v>
          </cell>
          <cell r="DS12">
            <v>0</v>
          </cell>
          <cell r="DT12">
            <v>0</v>
          </cell>
          <cell r="DU12">
            <v>1.19</v>
          </cell>
          <cell r="DW12">
            <v>1</v>
          </cell>
          <cell r="DX12">
            <v>0</v>
          </cell>
          <cell r="DY12">
            <v>0</v>
          </cell>
          <cell r="DZ12">
            <v>1.19</v>
          </cell>
          <cell r="EB12">
            <v>1</v>
          </cell>
          <cell r="EC12">
            <v>0</v>
          </cell>
          <cell r="ED12">
            <v>0</v>
          </cell>
          <cell r="EE12">
            <v>1.19</v>
          </cell>
          <cell r="EG12">
            <v>1</v>
          </cell>
          <cell r="EH12">
            <v>0</v>
          </cell>
          <cell r="EI12">
            <v>0</v>
          </cell>
          <cell r="EJ12">
            <v>1.19</v>
          </cell>
          <cell r="EL12">
            <v>1</v>
          </cell>
          <cell r="EM12">
            <v>0</v>
          </cell>
          <cell r="EN12">
            <v>0</v>
          </cell>
          <cell r="EO12">
            <v>1.19</v>
          </cell>
          <cell r="EQ12">
            <v>1</v>
          </cell>
          <cell r="ER12">
            <v>0</v>
          </cell>
          <cell r="ES12">
            <v>0</v>
          </cell>
          <cell r="ET12">
            <v>1.19</v>
          </cell>
          <cell r="EV12">
            <v>1</v>
          </cell>
          <cell r="EW12">
            <v>0</v>
          </cell>
          <cell r="EX12">
            <v>0</v>
          </cell>
          <cell r="EY12">
            <v>1.19</v>
          </cell>
          <cell r="FA12">
            <v>1</v>
          </cell>
          <cell r="FB12">
            <v>0</v>
          </cell>
          <cell r="FC12">
            <v>0</v>
          </cell>
          <cell r="FD12">
            <v>1.19</v>
          </cell>
          <cell r="FF12">
            <v>1</v>
          </cell>
          <cell r="FG12">
            <v>0</v>
          </cell>
          <cell r="FH12">
            <v>0</v>
          </cell>
          <cell r="FI12">
            <v>1.19</v>
          </cell>
          <cell r="FK12">
            <v>1</v>
          </cell>
          <cell r="FL12">
            <v>0</v>
          </cell>
          <cell r="FM12">
            <v>0</v>
          </cell>
          <cell r="FN12">
            <v>1.19</v>
          </cell>
          <cell r="FP12">
            <v>1</v>
          </cell>
          <cell r="FQ12">
            <v>0</v>
          </cell>
          <cell r="FR12">
            <v>0</v>
          </cell>
          <cell r="FS12">
            <v>1.19</v>
          </cell>
          <cell r="FU12">
            <v>1</v>
          </cell>
          <cell r="FV12">
            <v>0</v>
          </cell>
          <cell r="FW12">
            <v>0</v>
          </cell>
          <cell r="FX12">
            <v>1.19</v>
          </cell>
          <cell r="FZ12">
            <v>1</v>
          </cell>
          <cell r="GA12">
            <v>0</v>
          </cell>
          <cell r="GB12">
            <v>0</v>
          </cell>
          <cell r="GC12">
            <v>1.19</v>
          </cell>
          <cell r="GE12">
            <v>1</v>
          </cell>
          <cell r="GF12">
            <v>0</v>
          </cell>
          <cell r="GG12">
            <v>0</v>
          </cell>
          <cell r="GH12">
            <v>1.19</v>
          </cell>
          <cell r="GJ12">
            <v>1</v>
          </cell>
          <cell r="GK12">
            <v>0</v>
          </cell>
          <cell r="GL12">
            <v>0</v>
          </cell>
          <cell r="GM12">
            <v>1.19</v>
          </cell>
          <cell r="GO12">
            <v>1</v>
          </cell>
          <cell r="GP12">
            <v>0</v>
          </cell>
          <cell r="GQ12">
            <v>0</v>
          </cell>
          <cell r="GR12">
            <v>1.19</v>
          </cell>
          <cell r="GT12">
            <v>1</v>
          </cell>
          <cell r="GU12">
            <v>0</v>
          </cell>
          <cell r="GV12">
            <v>0</v>
          </cell>
          <cell r="GW12">
            <v>1.19</v>
          </cell>
          <cell r="GY12">
            <v>1</v>
          </cell>
          <cell r="GZ12">
            <v>0</v>
          </cell>
          <cell r="HA12">
            <v>0</v>
          </cell>
          <cell r="HB12">
            <v>1.19</v>
          </cell>
          <cell r="HD12">
            <v>1</v>
          </cell>
          <cell r="HE12">
            <v>0</v>
          </cell>
          <cell r="HF12">
            <v>0</v>
          </cell>
          <cell r="HG12">
            <v>1.19</v>
          </cell>
          <cell r="HI12">
            <v>1</v>
          </cell>
          <cell r="HJ12">
            <v>0</v>
          </cell>
          <cell r="HK12">
            <v>0</v>
          </cell>
          <cell r="HL12">
            <v>1.19</v>
          </cell>
          <cell r="HN12">
            <v>1</v>
          </cell>
          <cell r="HO12">
            <v>0</v>
          </cell>
          <cell r="HP12">
            <v>0</v>
          </cell>
          <cell r="HQ12">
            <v>1.19</v>
          </cell>
          <cell r="HS12">
            <v>1</v>
          </cell>
          <cell r="HT12">
            <v>0</v>
          </cell>
          <cell r="HU12">
            <v>0</v>
          </cell>
          <cell r="HV12">
            <v>1.19</v>
          </cell>
          <cell r="HX12">
            <v>1</v>
          </cell>
          <cell r="HY12">
            <v>0</v>
          </cell>
          <cell r="HZ12">
            <v>0</v>
          </cell>
          <cell r="IA12">
            <v>1.19</v>
          </cell>
          <cell r="IC12">
            <v>1</v>
          </cell>
          <cell r="ID12">
            <v>0</v>
          </cell>
          <cell r="IE12">
            <v>0</v>
          </cell>
          <cell r="IF12">
            <v>1.19</v>
          </cell>
          <cell r="IH12">
            <v>1</v>
          </cell>
          <cell r="II12">
            <v>0</v>
          </cell>
          <cell r="IJ12">
            <v>0</v>
          </cell>
          <cell r="IK12">
            <v>1.19</v>
          </cell>
          <cell r="IM12">
            <v>1</v>
          </cell>
          <cell r="IN12">
            <v>0</v>
          </cell>
          <cell r="IO12">
            <v>0</v>
          </cell>
          <cell r="IP12">
            <v>1.19</v>
          </cell>
          <cell r="IR12">
            <v>1</v>
          </cell>
          <cell r="IS12">
            <v>0</v>
          </cell>
          <cell r="IT12">
            <v>0</v>
          </cell>
          <cell r="IU12">
            <v>1.19</v>
          </cell>
          <cell r="IW12">
            <v>1</v>
          </cell>
          <cell r="IX12">
            <v>0</v>
          </cell>
          <cell r="IY12">
            <v>0</v>
          </cell>
          <cell r="IZ12">
            <v>1.19</v>
          </cell>
          <cell r="JB12">
            <v>1</v>
          </cell>
          <cell r="JC12">
            <v>0</v>
          </cell>
          <cell r="JD12">
            <v>0</v>
          </cell>
          <cell r="JE12">
            <v>1.19</v>
          </cell>
          <cell r="JG12">
            <v>1</v>
          </cell>
          <cell r="JH12">
            <v>0</v>
          </cell>
          <cell r="JI12">
            <v>0</v>
          </cell>
          <cell r="JJ12">
            <v>1.19</v>
          </cell>
          <cell r="JL12">
            <v>1</v>
          </cell>
          <cell r="JM12">
            <v>0</v>
          </cell>
          <cell r="JN12">
            <v>0</v>
          </cell>
          <cell r="JO12">
            <v>1.19</v>
          </cell>
          <cell r="JQ12">
            <v>1</v>
          </cell>
          <cell r="JR12">
            <v>0</v>
          </cell>
          <cell r="JS12">
            <v>0</v>
          </cell>
          <cell r="JT12">
            <v>1.19</v>
          </cell>
          <cell r="JV12">
            <v>1</v>
          </cell>
          <cell r="JW12">
            <v>0</v>
          </cell>
          <cell r="JX12">
            <v>0</v>
          </cell>
          <cell r="JY12">
            <v>1.19</v>
          </cell>
          <cell r="KA12">
            <v>1</v>
          </cell>
          <cell r="KB12">
            <v>0</v>
          </cell>
          <cell r="KC12">
            <v>0</v>
          </cell>
          <cell r="KD12">
            <v>1.19</v>
          </cell>
          <cell r="KF12">
            <v>1</v>
          </cell>
          <cell r="KG12">
            <v>0</v>
          </cell>
          <cell r="KH12">
            <v>0</v>
          </cell>
          <cell r="KI12">
            <v>1.19</v>
          </cell>
          <cell r="KK12">
            <v>1</v>
          </cell>
          <cell r="KL12">
            <v>0</v>
          </cell>
          <cell r="KM12">
            <v>0</v>
          </cell>
          <cell r="KN12">
            <v>1.19</v>
          </cell>
          <cell r="KP12">
            <v>1</v>
          </cell>
          <cell r="KQ12">
            <v>0</v>
          </cell>
          <cell r="KR12">
            <v>0</v>
          </cell>
          <cell r="KS12">
            <v>1.19</v>
          </cell>
          <cell r="KU12">
            <v>1</v>
          </cell>
          <cell r="KV12">
            <v>0</v>
          </cell>
          <cell r="KW12">
            <v>0</v>
          </cell>
          <cell r="KX12">
            <v>1.19</v>
          </cell>
          <cell r="KZ12">
            <v>1</v>
          </cell>
          <cell r="LA12">
            <v>0</v>
          </cell>
          <cell r="LB12">
            <v>0</v>
          </cell>
          <cell r="LC12">
            <v>1.19</v>
          </cell>
          <cell r="LE12">
            <v>1</v>
          </cell>
          <cell r="LF12">
            <v>0</v>
          </cell>
          <cell r="LG12">
            <v>0</v>
          </cell>
          <cell r="LH12">
            <v>1.19</v>
          </cell>
          <cell r="LJ12">
            <v>1</v>
          </cell>
          <cell r="LK12">
            <v>0</v>
          </cell>
          <cell r="LL12">
            <v>0</v>
          </cell>
          <cell r="LM12">
            <v>1.19</v>
          </cell>
          <cell r="LO12">
            <v>1</v>
          </cell>
          <cell r="LP12">
            <v>0</v>
          </cell>
          <cell r="LQ12">
            <v>0</v>
          </cell>
          <cell r="LR12">
            <v>1.19</v>
          </cell>
          <cell r="LT12">
            <v>1</v>
          </cell>
          <cell r="LU12">
            <v>0</v>
          </cell>
          <cell r="LV12">
            <v>0</v>
          </cell>
          <cell r="LW12">
            <v>1.19</v>
          </cell>
          <cell r="LY12">
            <v>1</v>
          </cell>
          <cell r="LZ12">
            <v>0</v>
          </cell>
          <cell r="MA12">
            <v>0</v>
          </cell>
          <cell r="MB12">
            <v>1.19</v>
          </cell>
          <cell r="MD12">
            <v>1</v>
          </cell>
          <cell r="ME12">
            <v>0</v>
          </cell>
          <cell r="MF12">
            <v>0</v>
          </cell>
          <cell r="MG12">
            <v>1.19</v>
          </cell>
          <cell r="MI12">
            <v>1</v>
          </cell>
          <cell r="MJ12">
            <v>0</v>
          </cell>
          <cell r="MK12">
            <v>0</v>
          </cell>
          <cell r="ML12">
            <v>1.19</v>
          </cell>
          <cell r="MN12">
            <v>1</v>
          </cell>
          <cell r="MO12">
            <v>0</v>
          </cell>
          <cell r="MP12">
            <v>0</v>
          </cell>
          <cell r="MQ12">
            <v>1.19</v>
          </cell>
          <cell r="MS12">
            <v>1</v>
          </cell>
          <cell r="MT12">
            <v>0</v>
          </cell>
          <cell r="MU12">
            <v>0</v>
          </cell>
          <cell r="MV12">
            <v>1.19</v>
          </cell>
          <cell r="MX12">
            <v>1</v>
          </cell>
          <cell r="MY12">
            <v>0</v>
          </cell>
          <cell r="MZ12">
            <v>0</v>
          </cell>
          <cell r="NA12">
            <v>1.19</v>
          </cell>
          <cell r="NC12">
            <v>1</v>
          </cell>
          <cell r="ND12">
            <v>0</v>
          </cell>
          <cell r="NE12">
            <v>0</v>
          </cell>
          <cell r="NF12">
            <v>1.19</v>
          </cell>
          <cell r="NH12">
            <v>1</v>
          </cell>
          <cell r="NI12">
            <v>0</v>
          </cell>
          <cell r="NJ12">
            <v>0</v>
          </cell>
          <cell r="NK12">
            <v>1.19</v>
          </cell>
          <cell r="NM12">
            <v>1</v>
          </cell>
          <cell r="NN12">
            <v>0</v>
          </cell>
          <cell r="NO12">
            <v>0</v>
          </cell>
          <cell r="NP12">
            <v>1.19</v>
          </cell>
          <cell r="NR12">
            <v>1</v>
          </cell>
          <cell r="NS12">
            <v>0</v>
          </cell>
          <cell r="NT12">
            <v>0</v>
          </cell>
          <cell r="NU12">
            <v>1.19</v>
          </cell>
          <cell r="NW12">
            <v>1</v>
          </cell>
          <cell r="NX12">
            <v>0</v>
          </cell>
          <cell r="NY12">
            <v>0</v>
          </cell>
          <cell r="NZ12">
            <v>1.19</v>
          </cell>
          <cell r="OB12">
            <v>1</v>
          </cell>
          <cell r="OC12">
            <v>0</v>
          </cell>
          <cell r="OD12">
            <v>0</v>
          </cell>
          <cell r="OE12">
            <v>1.19</v>
          </cell>
          <cell r="OG12">
            <v>1</v>
          </cell>
          <cell r="OH12">
            <v>0</v>
          </cell>
          <cell r="OI12">
            <v>0</v>
          </cell>
          <cell r="OJ12">
            <v>1.19</v>
          </cell>
          <cell r="OL12">
            <v>1</v>
          </cell>
          <cell r="OM12">
            <v>0</v>
          </cell>
          <cell r="ON12">
            <v>0</v>
          </cell>
          <cell r="OO12">
            <v>1.19</v>
          </cell>
          <cell r="OQ12">
            <v>1</v>
          </cell>
          <cell r="OR12">
            <v>0</v>
          </cell>
          <cell r="OS12">
            <v>0</v>
          </cell>
          <cell r="OT12">
            <v>1.19</v>
          </cell>
          <cell r="OV12">
            <v>1</v>
          </cell>
          <cell r="OW12">
            <v>0</v>
          </cell>
          <cell r="OX12">
            <v>0</v>
          </cell>
          <cell r="OY12">
            <v>1.19</v>
          </cell>
          <cell r="PA12">
            <v>1</v>
          </cell>
          <cell r="PB12">
            <v>0</v>
          </cell>
          <cell r="PC12">
            <v>0</v>
          </cell>
          <cell r="PD12">
            <v>1.19</v>
          </cell>
          <cell r="PF12">
            <v>1</v>
          </cell>
          <cell r="PG12">
            <v>0</v>
          </cell>
          <cell r="PH12">
            <v>0</v>
          </cell>
          <cell r="PI12">
            <v>1.19</v>
          </cell>
          <cell r="PK12">
            <v>1</v>
          </cell>
          <cell r="PL12">
            <v>0</v>
          </cell>
          <cell r="PM12">
            <v>0</v>
          </cell>
          <cell r="PN12">
            <v>1.19</v>
          </cell>
          <cell r="PP12">
            <v>1</v>
          </cell>
          <cell r="PQ12">
            <v>0</v>
          </cell>
          <cell r="PR12">
            <v>0</v>
          </cell>
          <cell r="PS12">
            <v>1.19</v>
          </cell>
          <cell r="PU12">
            <v>1</v>
          </cell>
          <cell r="PV12">
            <v>0</v>
          </cell>
          <cell r="PW12">
            <v>0</v>
          </cell>
          <cell r="PX12">
            <v>1.19</v>
          </cell>
          <cell r="PZ12">
            <v>1</v>
          </cell>
          <cell r="QA12">
            <v>0</v>
          </cell>
          <cell r="QB12">
            <v>0</v>
          </cell>
          <cell r="QC12">
            <v>1.19</v>
          </cell>
          <cell r="QE12">
            <v>1</v>
          </cell>
          <cell r="QF12">
            <v>0</v>
          </cell>
          <cell r="QG12">
            <v>0</v>
          </cell>
          <cell r="QH12">
            <v>1.19</v>
          </cell>
          <cell r="QJ12">
            <v>1</v>
          </cell>
          <cell r="QK12">
            <v>0</v>
          </cell>
          <cell r="QL12">
            <v>0</v>
          </cell>
          <cell r="QM12">
            <v>1.19</v>
          </cell>
          <cell r="QO12">
            <v>1</v>
          </cell>
          <cell r="QP12">
            <v>0</v>
          </cell>
          <cell r="QQ12">
            <v>0</v>
          </cell>
          <cell r="QR12">
            <v>1.19</v>
          </cell>
          <cell r="QT12">
            <v>1</v>
          </cell>
          <cell r="QU12">
            <v>0</v>
          </cell>
          <cell r="QV12">
            <v>0</v>
          </cell>
          <cell r="QW12">
            <v>1.19</v>
          </cell>
          <cell r="QY12">
            <v>1</v>
          </cell>
          <cell r="QZ12">
            <v>0</v>
          </cell>
          <cell r="RA12">
            <v>0</v>
          </cell>
          <cell r="RB12">
            <v>1.19</v>
          </cell>
          <cell r="RD12">
            <v>1</v>
          </cell>
          <cell r="RE12">
            <v>0</v>
          </cell>
          <cell r="RF12">
            <v>0</v>
          </cell>
          <cell r="RG12">
            <v>1.19</v>
          </cell>
          <cell r="RI12">
            <v>1</v>
          </cell>
          <cell r="RJ12">
            <v>0</v>
          </cell>
          <cell r="RK12">
            <v>0</v>
          </cell>
          <cell r="RL12">
            <v>1.19</v>
          </cell>
          <cell r="RN12">
            <v>1</v>
          </cell>
          <cell r="RO12">
            <v>0</v>
          </cell>
          <cell r="RP12">
            <v>0</v>
          </cell>
          <cell r="RQ12">
            <v>1.19</v>
          </cell>
          <cell r="RS12">
            <v>1</v>
          </cell>
          <cell r="RT12">
            <v>0</v>
          </cell>
          <cell r="RU12">
            <v>0</v>
          </cell>
          <cell r="RV12">
            <v>1.19</v>
          </cell>
          <cell r="RX12">
            <v>1</v>
          </cell>
          <cell r="RY12">
            <v>0</v>
          </cell>
          <cell r="RZ12">
            <v>0</v>
          </cell>
          <cell r="SA12">
            <v>1.19</v>
          </cell>
          <cell r="SC12">
            <v>1</v>
          </cell>
          <cell r="SD12">
            <v>0</v>
          </cell>
          <cell r="SE12">
            <v>0</v>
          </cell>
          <cell r="SF12">
            <v>1.19</v>
          </cell>
          <cell r="SH12">
            <v>1</v>
          </cell>
          <cell r="SI12">
            <v>0</v>
          </cell>
          <cell r="SJ12">
            <v>0</v>
          </cell>
          <cell r="SK12">
            <v>1.19</v>
          </cell>
          <cell r="SM12">
            <v>1</v>
          </cell>
          <cell r="SN12">
            <v>0</v>
          </cell>
          <cell r="SO12">
            <v>0</v>
          </cell>
          <cell r="SP12">
            <v>1.19</v>
          </cell>
          <cell r="SR12">
            <v>1</v>
          </cell>
          <cell r="SS12">
            <v>0</v>
          </cell>
          <cell r="ST12">
            <v>0</v>
          </cell>
          <cell r="SU12">
            <v>1.19</v>
          </cell>
          <cell r="SW12">
            <v>1</v>
          </cell>
          <cell r="SX12">
            <v>0</v>
          </cell>
          <cell r="SY12">
            <v>0</v>
          </cell>
          <cell r="SZ12">
            <v>1.19</v>
          </cell>
          <cell r="TB12">
            <v>1</v>
          </cell>
          <cell r="TC12">
            <v>0</v>
          </cell>
          <cell r="TD12">
            <v>0</v>
          </cell>
          <cell r="TE12">
            <v>1.19</v>
          </cell>
          <cell r="TG12">
            <v>1</v>
          </cell>
          <cell r="TH12">
            <v>0</v>
          </cell>
          <cell r="TI12">
            <v>0</v>
          </cell>
          <cell r="TJ12">
            <v>1.19</v>
          </cell>
          <cell r="TL12">
            <v>1</v>
          </cell>
          <cell r="TM12">
            <v>0</v>
          </cell>
          <cell r="TN12">
            <v>0</v>
          </cell>
          <cell r="TO12">
            <v>1.19</v>
          </cell>
          <cell r="TQ12">
            <v>1</v>
          </cell>
          <cell r="TR12">
            <v>0</v>
          </cell>
          <cell r="TS12">
            <v>0</v>
          </cell>
          <cell r="TT12">
            <v>1.19</v>
          </cell>
          <cell r="TV12">
            <v>1</v>
          </cell>
          <cell r="TW12">
            <v>0</v>
          </cell>
          <cell r="TX12">
            <v>0</v>
          </cell>
          <cell r="TY12">
            <v>1.19</v>
          </cell>
          <cell r="UA12">
            <v>1</v>
          </cell>
          <cell r="UB12">
            <v>0</v>
          </cell>
          <cell r="UC12">
            <v>0</v>
          </cell>
          <cell r="UD12">
            <v>1.19</v>
          </cell>
          <cell r="UF12">
            <v>1</v>
          </cell>
          <cell r="UG12">
            <v>0</v>
          </cell>
          <cell r="UH12">
            <v>0</v>
          </cell>
          <cell r="UI12">
            <v>1.19</v>
          </cell>
          <cell r="UK12">
            <v>1</v>
          </cell>
          <cell r="UL12">
            <v>0</v>
          </cell>
          <cell r="UM12">
            <v>0</v>
          </cell>
          <cell r="UN12">
            <v>1.19</v>
          </cell>
          <cell r="UP12">
            <v>1</v>
          </cell>
          <cell r="UQ12">
            <v>0</v>
          </cell>
          <cell r="UR12">
            <v>0</v>
          </cell>
          <cell r="US12">
            <v>1.19</v>
          </cell>
          <cell r="UU12">
            <v>1</v>
          </cell>
          <cell r="UV12">
            <v>0</v>
          </cell>
          <cell r="UW12">
            <v>0</v>
          </cell>
          <cell r="UX12">
            <v>1.19</v>
          </cell>
          <cell r="UZ12">
            <v>1</v>
          </cell>
          <cell r="VA12">
            <v>0</v>
          </cell>
          <cell r="VB12">
            <v>0</v>
          </cell>
          <cell r="VC12">
            <v>1.19</v>
          </cell>
          <cell r="VE12">
            <v>1</v>
          </cell>
          <cell r="VF12">
            <v>0</v>
          </cell>
          <cell r="VG12">
            <v>0</v>
          </cell>
          <cell r="VH12">
            <v>1.19</v>
          </cell>
          <cell r="VJ12">
            <v>1</v>
          </cell>
          <cell r="VK12">
            <v>0</v>
          </cell>
          <cell r="VL12">
            <v>0</v>
          </cell>
          <cell r="VM12">
            <v>1.19</v>
          </cell>
          <cell r="VO12">
            <v>1</v>
          </cell>
          <cell r="VP12">
            <v>0</v>
          </cell>
          <cell r="VQ12">
            <v>0</v>
          </cell>
          <cell r="VR12">
            <v>1.19</v>
          </cell>
          <cell r="VT12">
            <v>1</v>
          </cell>
          <cell r="VU12">
            <v>0</v>
          </cell>
          <cell r="VV12">
            <v>0</v>
          </cell>
          <cell r="VW12">
            <v>1.19</v>
          </cell>
          <cell r="VY12">
            <v>1</v>
          </cell>
          <cell r="VZ12">
            <v>0</v>
          </cell>
          <cell r="WA12">
            <v>0</v>
          </cell>
          <cell r="WB12">
            <v>1.19</v>
          </cell>
          <cell r="WD12">
            <v>1</v>
          </cell>
          <cell r="WE12">
            <v>0</v>
          </cell>
          <cell r="WF12">
            <v>0</v>
          </cell>
          <cell r="WG12">
            <v>1.19</v>
          </cell>
          <cell r="WI12">
            <v>1</v>
          </cell>
          <cell r="WJ12">
            <v>0</v>
          </cell>
          <cell r="WK12">
            <v>0</v>
          </cell>
          <cell r="WL12">
            <v>1.19</v>
          </cell>
          <cell r="WN12">
            <v>1</v>
          </cell>
          <cell r="WO12">
            <v>0</v>
          </cell>
          <cell r="WP12">
            <v>0</v>
          </cell>
          <cell r="WQ12">
            <v>1.19</v>
          </cell>
          <cell r="WS12">
            <v>1</v>
          </cell>
          <cell r="WT12">
            <v>0</v>
          </cell>
          <cell r="WU12">
            <v>0</v>
          </cell>
          <cell r="WV12">
            <v>1.19</v>
          </cell>
          <cell r="WX12">
            <v>1</v>
          </cell>
          <cell r="WY12">
            <v>0</v>
          </cell>
          <cell r="WZ12">
            <v>0</v>
          </cell>
          <cell r="XA12">
            <v>1.19</v>
          </cell>
          <cell r="XC12">
            <v>1</v>
          </cell>
          <cell r="XD12">
            <v>0</v>
          </cell>
          <cell r="XE12">
            <v>0</v>
          </cell>
          <cell r="XF12">
            <v>1.19</v>
          </cell>
          <cell r="XH12">
            <v>1</v>
          </cell>
          <cell r="XI12">
            <v>0</v>
          </cell>
          <cell r="XJ12">
            <v>0</v>
          </cell>
          <cell r="XK12">
            <v>1.19</v>
          </cell>
          <cell r="XM12">
            <v>1</v>
          </cell>
          <cell r="XN12">
            <v>0</v>
          </cell>
          <cell r="XO12">
            <v>0</v>
          </cell>
          <cell r="XP12">
            <v>1.19</v>
          </cell>
          <cell r="XR12">
            <v>1</v>
          </cell>
          <cell r="XS12">
            <v>0</v>
          </cell>
          <cell r="XT12">
            <v>0</v>
          </cell>
          <cell r="XU12">
            <v>1.19</v>
          </cell>
          <cell r="XW12">
            <v>1</v>
          </cell>
          <cell r="XX12">
            <v>0</v>
          </cell>
          <cell r="XY12">
            <v>0</v>
          </cell>
          <cell r="XZ12">
            <v>1.19</v>
          </cell>
          <cell r="YB12">
            <v>1</v>
          </cell>
          <cell r="YC12">
            <v>0</v>
          </cell>
          <cell r="YD12">
            <v>0</v>
          </cell>
          <cell r="YE12">
            <v>1.19</v>
          </cell>
        </row>
        <row r="13">
          <cell r="A13">
            <v>3</v>
          </cell>
          <cell r="B13" t="str">
            <v>施工動線開闢與損壞復原，既有設備、構造物、障礙物拆除、或遷移與復原，斷樹頭挖除，跑道未端增築RC基礎</v>
          </cell>
          <cell r="C13" t="str">
            <v>式</v>
          </cell>
          <cell r="D13">
            <v>1</v>
          </cell>
          <cell r="E13">
            <v>33919</v>
          </cell>
          <cell r="F13">
            <v>33919</v>
          </cell>
          <cell r="G13">
            <v>0.77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0.5</v>
          </cell>
          <cell r="BO13">
            <v>0.5</v>
          </cell>
          <cell r="BP13">
            <v>16959.5</v>
          </cell>
          <cell r="BQ13">
            <v>0.39</v>
          </cell>
          <cell r="BR13">
            <v>0.39</v>
          </cell>
          <cell r="BT13">
            <v>0.5</v>
          </cell>
          <cell r="BU13">
            <v>0</v>
          </cell>
          <cell r="BV13">
            <v>0</v>
          </cell>
          <cell r="BW13">
            <v>0.39</v>
          </cell>
          <cell r="BY13">
            <v>0.5</v>
          </cell>
          <cell r="BZ13">
            <v>0</v>
          </cell>
          <cell r="CA13">
            <v>0</v>
          </cell>
          <cell r="CB13">
            <v>0.39</v>
          </cell>
          <cell r="CD13">
            <v>0.5</v>
          </cell>
          <cell r="CE13">
            <v>0</v>
          </cell>
          <cell r="CF13">
            <v>0</v>
          </cell>
          <cell r="CG13">
            <v>0.39</v>
          </cell>
          <cell r="CI13">
            <v>0.5</v>
          </cell>
          <cell r="CJ13">
            <v>0</v>
          </cell>
          <cell r="CK13">
            <v>0</v>
          </cell>
          <cell r="CL13">
            <v>0.39</v>
          </cell>
          <cell r="CN13">
            <v>0.5</v>
          </cell>
          <cell r="CO13">
            <v>0</v>
          </cell>
          <cell r="CP13">
            <v>0</v>
          </cell>
          <cell r="CQ13">
            <v>0.39</v>
          </cell>
          <cell r="CS13">
            <v>0.5</v>
          </cell>
          <cell r="CT13">
            <v>0</v>
          </cell>
          <cell r="CU13">
            <v>0</v>
          </cell>
          <cell r="CV13">
            <v>0.39</v>
          </cell>
          <cell r="CX13">
            <v>0.5</v>
          </cell>
          <cell r="CY13">
            <v>0</v>
          </cell>
          <cell r="CZ13">
            <v>0</v>
          </cell>
          <cell r="DA13">
            <v>0.39</v>
          </cell>
          <cell r="DC13">
            <v>0.5</v>
          </cell>
          <cell r="DD13">
            <v>0</v>
          </cell>
          <cell r="DE13">
            <v>0</v>
          </cell>
          <cell r="DF13">
            <v>0.39</v>
          </cell>
          <cell r="DH13">
            <v>0.5</v>
          </cell>
          <cell r="DI13">
            <v>0</v>
          </cell>
          <cell r="DJ13">
            <v>0</v>
          </cell>
          <cell r="DK13">
            <v>0.39</v>
          </cell>
          <cell r="DM13">
            <v>0.5</v>
          </cell>
          <cell r="DN13">
            <v>0</v>
          </cell>
          <cell r="DO13">
            <v>0</v>
          </cell>
          <cell r="DP13">
            <v>0.39</v>
          </cell>
          <cell r="DR13">
            <v>0.5</v>
          </cell>
          <cell r="DS13">
            <v>0</v>
          </cell>
          <cell r="DT13">
            <v>0</v>
          </cell>
          <cell r="DU13">
            <v>0.39</v>
          </cell>
          <cell r="DW13">
            <v>0.5</v>
          </cell>
          <cell r="DX13">
            <v>0</v>
          </cell>
          <cell r="DY13">
            <v>0</v>
          </cell>
          <cell r="DZ13">
            <v>0.39</v>
          </cell>
          <cell r="EB13">
            <v>0.5</v>
          </cell>
          <cell r="EC13">
            <v>0</v>
          </cell>
          <cell r="ED13">
            <v>0</v>
          </cell>
          <cell r="EE13">
            <v>0.39</v>
          </cell>
          <cell r="EG13">
            <v>0.5</v>
          </cell>
          <cell r="EH13">
            <v>0</v>
          </cell>
          <cell r="EI13">
            <v>0</v>
          </cell>
          <cell r="EJ13">
            <v>0.39</v>
          </cell>
          <cell r="EL13">
            <v>0.5</v>
          </cell>
          <cell r="EM13">
            <v>0</v>
          </cell>
          <cell r="EN13">
            <v>0</v>
          </cell>
          <cell r="EO13">
            <v>0.39</v>
          </cell>
          <cell r="EQ13">
            <v>0.5</v>
          </cell>
          <cell r="ER13">
            <v>0</v>
          </cell>
          <cell r="ES13">
            <v>0</v>
          </cell>
          <cell r="ET13">
            <v>0.39</v>
          </cell>
          <cell r="EV13">
            <v>0.5</v>
          </cell>
          <cell r="EW13">
            <v>0</v>
          </cell>
          <cell r="EX13">
            <v>0</v>
          </cell>
          <cell r="EY13">
            <v>0.39</v>
          </cell>
          <cell r="FA13">
            <v>0.5</v>
          </cell>
          <cell r="FB13">
            <v>0</v>
          </cell>
          <cell r="FC13">
            <v>0</v>
          </cell>
          <cell r="FD13">
            <v>0.39</v>
          </cell>
          <cell r="FF13">
            <v>0.5</v>
          </cell>
          <cell r="FG13">
            <v>0</v>
          </cell>
          <cell r="FH13">
            <v>0</v>
          </cell>
          <cell r="FI13">
            <v>0.39</v>
          </cell>
          <cell r="FK13">
            <v>0.5</v>
          </cell>
          <cell r="FL13">
            <v>0</v>
          </cell>
          <cell r="FM13">
            <v>0</v>
          </cell>
          <cell r="FN13">
            <v>0.39</v>
          </cell>
          <cell r="FP13">
            <v>0.5</v>
          </cell>
          <cell r="FQ13">
            <v>0</v>
          </cell>
          <cell r="FR13">
            <v>0</v>
          </cell>
          <cell r="FS13">
            <v>0.39</v>
          </cell>
          <cell r="FU13">
            <v>0.5</v>
          </cell>
          <cell r="FV13">
            <v>0</v>
          </cell>
          <cell r="FW13">
            <v>0</v>
          </cell>
          <cell r="FX13">
            <v>0.39</v>
          </cell>
          <cell r="FZ13">
            <v>0.5</v>
          </cell>
          <cell r="GA13">
            <v>0</v>
          </cell>
          <cell r="GB13">
            <v>0</v>
          </cell>
          <cell r="GC13">
            <v>0.39</v>
          </cell>
          <cell r="GE13">
            <v>0.5</v>
          </cell>
          <cell r="GF13">
            <v>0</v>
          </cell>
          <cell r="GG13">
            <v>0</v>
          </cell>
          <cell r="GH13">
            <v>0.39</v>
          </cell>
          <cell r="GJ13">
            <v>0.5</v>
          </cell>
          <cell r="GK13">
            <v>0</v>
          </cell>
          <cell r="GL13">
            <v>0</v>
          </cell>
          <cell r="GM13">
            <v>0.39</v>
          </cell>
          <cell r="GO13">
            <v>0.5</v>
          </cell>
          <cell r="GP13">
            <v>0</v>
          </cell>
          <cell r="GQ13">
            <v>0</v>
          </cell>
          <cell r="GR13">
            <v>0.39</v>
          </cell>
          <cell r="GT13">
            <v>0.5</v>
          </cell>
          <cell r="GU13">
            <v>0</v>
          </cell>
          <cell r="GV13">
            <v>0</v>
          </cell>
          <cell r="GW13">
            <v>0.39</v>
          </cell>
          <cell r="GY13">
            <v>0.5</v>
          </cell>
          <cell r="GZ13">
            <v>0</v>
          </cell>
          <cell r="HA13">
            <v>0</v>
          </cell>
          <cell r="HB13">
            <v>0.39</v>
          </cell>
          <cell r="HD13">
            <v>0.5</v>
          </cell>
          <cell r="HE13">
            <v>0</v>
          </cell>
          <cell r="HF13">
            <v>0</v>
          </cell>
          <cell r="HG13">
            <v>0.39</v>
          </cell>
          <cell r="HI13">
            <v>0.5</v>
          </cell>
          <cell r="HJ13">
            <v>0</v>
          </cell>
          <cell r="HK13">
            <v>0</v>
          </cell>
          <cell r="HL13">
            <v>0.39</v>
          </cell>
          <cell r="HN13">
            <v>0.5</v>
          </cell>
          <cell r="HO13">
            <v>0</v>
          </cell>
          <cell r="HP13">
            <v>0</v>
          </cell>
          <cell r="HQ13">
            <v>0.39</v>
          </cell>
          <cell r="HS13">
            <v>0.5</v>
          </cell>
          <cell r="HT13">
            <v>0</v>
          </cell>
          <cell r="HU13">
            <v>0</v>
          </cell>
          <cell r="HV13">
            <v>0.39</v>
          </cell>
          <cell r="HX13">
            <v>0.5</v>
          </cell>
          <cell r="HY13">
            <v>0</v>
          </cell>
          <cell r="HZ13">
            <v>0</v>
          </cell>
          <cell r="IA13">
            <v>0.39</v>
          </cell>
          <cell r="IC13">
            <v>0.5</v>
          </cell>
          <cell r="ID13">
            <v>0</v>
          </cell>
          <cell r="IE13">
            <v>0</v>
          </cell>
          <cell r="IF13">
            <v>0.39</v>
          </cell>
          <cell r="IH13">
            <v>0.5</v>
          </cell>
          <cell r="II13">
            <v>0</v>
          </cell>
          <cell r="IJ13">
            <v>0</v>
          </cell>
          <cell r="IK13">
            <v>0.39</v>
          </cell>
          <cell r="IM13">
            <v>0.5</v>
          </cell>
          <cell r="IN13">
            <v>0</v>
          </cell>
          <cell r="IO13">
            <v>0</v>
          </cell>
          <cell r="IP13">
            <v>0.39</v>
          </cell>
          <cell r="IR13">
            <v>0.5</v>
          </cell>
          <cell r="IS13">
            <v>0</v>
          </cell>
          <cell r="IT13">
            <v>0</v>
          </cell>
          <cell r="IU13">
            <v>0.39</v>
          </cell>
          <cell r="IW13">
            <v>0.5</v>
          </cell>
          <cell r="IX13">
            <v>0</v>
          </cell>
          <cell r="IY13">
            <v>0</v>
          </cell>
          <cell r="IZ13">
            <v>0.39</v>
          </cell>
          <cell r="JB13">
            <v>0.5</v>
          </cell>
          <cell r="JC13">
            <v>0</v>
          </cell>
          <cell r="JD13">
            <v>0</v>
          </cell>
          <cell r="JE13">
            <v>0.39</v>
          </cell>
          <cell r="JG13">
            <v>0.5</v>
          </cell>
          <cell r="JH13">
            <v>0</v>
          </cell>
          <cell r="JI13">
            <v>0</v>
          </cell>
          <cell r="JJ13">
            <v>0.39</v>
          </cell>
          <cell r="JL13">
            <v>0.5</v>
          </cell>
          <cell r="JM13">
            <v>0</v>
          </cell>
          <cell r="JN13">
            <v>0</v>
          </cell>
          <cell r="JO13">
            <v>0.39</v>
          </cell>
          <cell r="JQ13">
            <v>0.5</v>
          </cell>
          <cell r="JR13">
            <v>0</v>
          </cell>
          <cell r="JS13">
            <v>0</v>
          </cell>
          <cell r="JT13">
            <v>0.39</v>
          </cell>
          <cell r="JV13">
            <v>0.5</v>
          </cell>
          <cell r="JW13">
            <v>0</v>
          </cell>
          <cell r="JX13">
            <v>0</v>
          </cell>
          <cell r="JY13">
            <v>0.39</v>
          </cell>
          <cell r="KA13">
            <v>0.5</v>
          </cell>
          <cell r="KB13">
            <v>0</v>
          </cell>
          <cell r="KC13">
            <v>0</v>
          </cell>
          <cell r="KD13">
            <v>0.39</v>
          </cell>
          <cell r="KF13">
            <v>0.5</v>
          </cell>
          <cell r="KG13">
            <v>0</v>
          </cell>
          <cell r="KH13">
            <v>0</v>
          </cell>
          <cell r="KI13">
            <v>0.39</v>
          </cell>
          <cell r="KK13">
            <v>0.5</v>
          </cell>
          <cell r="KL13">
            <v>0</v>
          </cell>
          <cell r="KM13">
            <v>0</v>
          </cell>
          <cell r="KN13">
            <v>0.39</v>
          </cell>
          <cell r="KP13">
            <v>0.5</v>
          </cell>
          <cell r="KQ13">
            <v>0</v>
          </cell>
          <cell r="KR13">
            <v>0</v>
          </cell>
          <cell r="KS13">
            <v>0.39</v>
          </cell>
          <cell r="KU13">
            <v>0.5</v>
          </cell>
          <cell r="KV13">
            <v>0</v>
          </cell>
          <cell r="KW13">
            <v>0</v>
          </cell>
          <cell r="KX13">
            <v>0.39</v>
          </cell>
          <cell r="KZ13">
            <v>0.5</v>
          </cell>
          <cell r="LA13">
            <v>0</v>
          </cell>
          <cell r="LB13">
            <v>0</v>
          </cell>
          <cell r="LC13">
            <v>0.39</v>
          </cell>
          <cell r="LE13">
            <v>0.5</v>
          </cell>
          <cell r="LF13">
            <v>0</v>
          </cell>
          <cell r="LG13">
            <v>0</v>
          </cell>
          <cell r="LH13">
            <v>0.39</v>
          </cell>
          <cell r="LJ13">
            <v>0.5</v>
          </cell>
          <cell r="LK13">
            <v>0</v>
          </cell>
          <cell r="LL13">
            <v>0</v>
          </cell>
          <cell r="LM13">
            <v>0.39</v>
          </cell>
          <cell r="LO13">
            <v>0.5</v>
          </cell>
          <cell r="LP13">
            <v>0</v>
          </cell>
          <cell r="LQ13">
            <v>0</v>
          </cell>
          <cell r="LR13">
            <v>0.39</v>
          </cell>
          <cell r="LT13">
            <v>0.5</v>
          </cell>
          <cell r="LU13">
            <v>0</v>
          </cell>
          <cell r="LV13">
            <v>0</v>
          </cell>
          <cell r="LW13">
            <v>0.39</v>
          </cell>
          <cell r="LY13">
            <v>0.5</v>
          </cell>
          <cell r="LZ13">
            <v>0</v>
          </cell>
          <cell r="MA13">
            <v>0</v>
          </cell>
          <cell r="MB13">
            <v>0.39</v>
          </cell>
          <cell r="MD13">
            <v>0.5</v>
          </cell>
          <cell r="ME13">
            <v>0</v>
          </cell>
          <cell r="MF13">
            <v>0</v>
          </cell>
          <cell r="MG13">
            <v>0.39</v>
          </cell>
          <cell r="MI13">
            <v>0.5</v>
          </cell>
          <cell r="MJ13">
            <v>0</v>
          </cell>
          <cell r="MK13">
            <v>0</v>
          </cell>
          <cell r="ML13">
            <v>0.39</v>
          </cell>
          <cell r="MN13">
            <v>0.5</v>
          </cell>
          <cell r="MO13">
            <v>0</v>
          </cell>
          <cell r="MP13">
            <v>0</v>
          </cell>
          <cell r="MQ13">
            <v>0.39</v>
          </cell>
          <cell r="MS13">
            <v>0.5</v>
          </cell>
          <cell r="MT13">
            <v>0</v>
          </cell>
          <cell r="MU13">
            <v>0</v>
          </cell>
          <cell r="MV13">
            <v>0.39</v>
          </cell>
          <cell r="MX13">
            <v>0.5</v>
          </cell>
          <cell r="MY13">
            <v>0</v>
          </cell>
          <cell r="MZ13">
            <v>0</v>
          </cell>
          <cell r="NA13">
            <v>0.39</v>
          </cell>
          <cell r="NC13">
            <v>0.5</v>
          </cell>
          <cell r="ND13">
            <v>0</v>
          </cell>
          <cell r="NE13">
            <v>0</v>
          </cell>
          <cell r="NF13">
            <v>0.39</v>
          </cell>
          <cell r="NH13">
            <v>0.5</v>
          </cell>
          <cell r="NI13">
            <v>0</v>
          </cell>
          <cell r="NJ13">
            <v>0</v>
          </cell>
          <cell r="NK13">
            <v>0.39</v>
          </cell>
          <cell r="NM13">
            <v>0.5</v>
          </cell>
          <cell r="NN13">
            <v>0</v>
          </cell>
          <cell r="NO13">
            <v>0</v>
          </cell>
          <cell r="NP13">
            <v>0.39</v>
          </cell>
          <cell r="NR13">
            <v>0.5</v>
          </cell>
          <cell r="NS13">
            <v>0</v>
          </cell>
          <cell r="NT13">
            <v>0</v>
          </cell>
          <cell r="NU13">
            <v>0.39</v>
          </cell>
          <cell r="NW13">
            <v>0.5</v>
          </cell>
          <cell r="NX13">
            <v>0</v>
          </cell>
          <cell r="NY13">
            <v>0</v>
          </cell>
          <cell r="NZ13">
            <v>0.39</v>
          </cell>
          <cell r="OB13">
            <v>0.5</v>
          </cell>
          <cell r="OC13">
            <v>0</v>
          </cell>
          <cell r="OD13">
            <v>0</v>
          </cell>
          <cell r="OE13">
            <v>0.39</v>
          </cell>
          <cell r="OG13">
            <v>0.5</v>
          </cell>
          <cell r="OH13">
            <v>0</v>
          </cell>
          <cell r="OI13">
            <v>0</v>
          </cell>
          <cell r="OJ13">
            <v>0.39</v>
          </cell>
          <cell r="OL13">
            <v>0.5</v>
          </cell>
          <cell r="OM13">
            <v>0</v>
          </cell>
          <cell r="ON13">
            <v>0</v>
          </cell>
          <cell r="OO13">
            <v>0.39</v>
          </cell>
          <cell r="OQ13">
            <v>0.5</v>
          </cell>
          <cell r="OR13">
            <v>0</v>
          </cell>
          <cell r="OS13">
            <v>0</v>
          </cell>
          <cell r="OT13">
            <v>0.39</v>
          </cell>
          <cell r="OV13">
            <v>0.5</v>
          </cell>
          <cell r="OW13">
            <v>0</v>
          </cell>
          <cell r="OX13">
            <v>0</v>
          </cell>
          <cell r="OY13">
            <v>0.39</v>
          </cell>
          <cell r="PA13">
            <v>0.5</v>
          </cell>
          <cell r="PB13">
            <v>0</v>
          </cell>
          <cell r="PC13">
            <v>0</v>
          </cell>
          <cell r="PD13">
            <v>0.39</v>
          </cell>
          <cell r="PF13">
            <v>0.5</v>
          </cell>
          <cell r="PG13">
            <v>0</v>
          </cell>
          <cell r="PH13">
            <v>0</v>
          </cell>
          <cell r="PI13">
            <v>0.39</v>
          </cell>
          <cell r="PK13">
            <v>0.5</v>
          </cell>
          <cell r="PL13">
            <v>0</v>
          </cell>
          <cell r="PM13">
            <v>0</v>
          </cell>
          <cell r="PN13">
            <v>0.39</v>
          </cell>
          <cell r="PP13">
            <v>0.5</v>
          </cell>
          <cell r="PQ13">
            <v>0</v>
          </cell>
          <cell r="PR13">
            <v>0</v>
          </cell>
          <cell r="PS13">
            <v>0.39</v>
          </cell>
          <cell r="PU13">
            <v>0.5</v>
          </cell>
          <cell r="PV13">
            <v>0</v>
          </cell>
          <cell r="PW13">
            <v>0</v>
          </cell>
          <cell r="PX13">
            <v>0.39</v>
          </cell>
          <cell r="PZ13">
            <v>0.5</v>
          </cell>
          <cell r="QA13">
            <v>0</v>
          </cell>
          <cell r="QB13">
            <v>0</v>
          </cell>
          <cell r="QC13">
            <v>0.39</v>
          </cell>
          <cell r="QE13">
            <v>0.5</v>
          </cell>
          <cell r="QF13">
            <v>0</v>
          </cell>
          <cell r="QG13">
            <v>0</v>
          </cell>
          <cell r="QH13">
            <v>0.39</v>
          </cell>
          <cell r="QJ13">
            <v>0.5</v>
          </cell>
          <cell r="QK13">
            <v>0</v>
          </cell>
          <cell r="QL13">
            <v>0</v>
          </cell>
          <cell r="QM13">
            <v>0.39</v>
          </cell>
          <cell r="QO13">
            <v>0.5</v>
          </cell>
          <cell r="QP13">
            <v>0</v>
          </cell>
          <cell r="QQ13">
            <v>0</v>
          </cell>
          <cell r="QR13">
            <v>0.39</v>
          </cell>
          <cell r="QT13">
            <v>0.5</v>
          </cell>
          <cell r="QU13">
            <v>0</v>
          </cell>
          <cell r="QV13">
            <v>0</v>
          </cell>
          <cell r="QW13">
            <v>0.39</v>
          </cell>
          <cell r="QY13">
            <v>0.5</v>
          </cell>
          <cell r="QZ13">
            <v>0</v>
          </cell>
          <cell r="RA13">
            <v>0</v>
          </cell>
          <cell r="RB13">
            <v>0.39</v>
          </cell>
          <cell r="RD13">
            <v>0.5</v>
          </cell>
          <cell r="RE13">
            <v>0</v>
          </cell>
          <cell r="RF13">
            <v>0</v>
          </cell>
          <cell r="RG13">
            <v>0.39</v>
          </cell>
          <cell r="RI13">
            <v>0.5</v>
          </cell>
          <cell r="RJ13">
            <v>0</v>
          </cell>
          <cell r="RK13">
            <v>0</v>
          </cell>
          <cell r="RL13">
            <v>0.39</v>
          </cell>
          <cell r="RN13">
            <v>0.5</v>
          </cell>
          <cell r="RO13">
            <v>0</v>
          </cell>
          <cell r="RP13">
            <v>0</v>
          </cell>
          <cell r="RQ13">
            <v>0.39</v>
          </cell>
          <cell r="RS13">
            <v>0.5</v>
          </cell>
          <cell r="RT13">
            <v>0</v>
          </cell>
          <cell r="RU13">
            <v>0</v>
          </cell>
          <cell r="RV13">
            <v>0.39</v>
          </cell>
          <cell r="RX13">
            <v>0.5</v>
          </cell>
          <cell r="RY13">
            <v>0</v>
          </cell>
          <cell r="RZ13">
            <v>0</v>
          </cell>
          <cell r="SA13">
            <v>0.39</v>
          </cell>
          <cell r="SC13">
            <v>0.5</v>
          </cell>
          <cell r="SD13">
            <v>0</v>
          </cell>
          <cell r="SE13">
            <v>0</v>
          </cell>
          <cell r="SF13">
            <v>0.39</v>
          </cell>
          <cell r="SH13">
            <v>0.5</v>
          </cell>
          <cell r="SI13">
            <v>0</v>
          </cell>
          <cell r="SJ13">
            <v>0</v>
          </cell>
          <cell r="SK13">
            <v>0.39</v>
          </cell>
          <cell r="SM13">
            <v>0.5</v>
          </cell>
          <cell r="SN13">
            <v>0</v>
          </cell>
          <cell r="SO13">
            <v>0</v>
          </cell>
          <cell r="SP13">
            <v>0.39</v>
          </cell>
          <cell r="SR13">
            <v>0.5</v>
          </cell>
          <cell r="SS13">
            <v>0</v>
          </cell>
          <cell r="ST13">
            <v>0</v>
          </cell>
          <cell r="SU13">
            <v>0.39</v>
          </cell>
          <cell r="SW13">
            <v>0.5</v>
          </cell>
          <cell r="SX13">
            <v>0</v>
          </cell>
          <cell r="SY13">
            <v>0</v>
          </cell>
          <cell r="SZ13">
            <v>0.39</v>
          </cell>
          <cell r="TB13">
            <v>0.5</v>
          </cell>
          <cell r="TC13">
            <v>0</v>
          </cell>
          <cell r="TD13">
            <v>0</v>
          </cell>
          <cell r="TE13">
            <v>0.39</v>
          </cell>
          <cell r="TG13">
            <v>0.5</v>
          </cell>
          <cell r="TH13">
            <v>0</v>
          </cell>
          <cell r="TI13">
            <v>0</v>
          </cell>
          <cell r="TJ13">
            <v>0.39</v>
          </cell>
          <cell r="TL13">
            <v>0.5</v>
          </cell>
          <cell r="TM13">
            <v>0</v>
          </cell>
          <cell r="TN13">
            <v>0</v>
          </cell>
          <cell r="TO13">
            <v>0.39</v>
          </cell>
          <cell r="TQ13">
            <v>0.5</v>
          </cell>
          <cell r="TR13">
            <v>0</v>
          </cell>
          <cell r="TS13">
            <v>0</v>
          </cell>
          <cell r="TT13">
            <v>0.39</v>
          </cell>
          <cell r="TV13">
            <v>0.5</v>
          </cell>
          <cell r="TW13">
            <v>0</v>
          </cell>
          <cell r="TX13">
            <v>0</v>
          </cell>
          <cell r="TY13">
            <v>0.39</v>
          </cell>
          <cell r="UA13">
            <v>0.5</v>
          </cell>
          <cell r="UB13">
            <v>0</v>
          </cell>
          <cell r="UC13">
            <v>0</v>
          </cell>
          <cell r="UD13">
            <v>0.39</v>
          </cell>
          <cell r="UF13">
            <v>0.5</v>
          </cell>
          <cell r="UG13">
            <v>0</v>
          </cell>
          <cell r="UH13">
            <v>0</v>
          </cell>
          <cell r="UI13">
            <v>0.39</v>
          </cell>
          <cell r="UK13">
            <v>0.5</v>
          </cell>
          <cell r="UL13">
            <v>0</v>
          </cell>
          <cell r="UM13">
            <v>0</v>
          </cell>
          <cell r="UN13">
            <v>0.39</v>
          </cell>
          <cell r="UP13">
            <v>0.5</v>
          </cell>
          <cell r="UQ13">
            <v>0</v>
          </cell>
          <cell r="UR13">
            <v>0</v>
          </cell>
          <cell r="US13">
            <v>0.39</v>
          </cell>
          <cell r="UU13">
            <v>0.5</v>
          </cell>
          <cell r="UV13">
            <v>0</v>
          </cell>
          <cell r="UW13">
            <v>0</v>
          </cell>
          <cell r="UX13">
            <v>0.39</v>
          </cell>
          <cell r="UZ13">
            <v>0.5</v>
          </cell>
          <cell r="VA13">
            <v>0</v>
          </cell>
          <cell r="VB13">
            <v>0</v>
          </cell>
          <cell r="VC13">
            <v>0.39</v>
          </cell>
          <cell r="VE13">
            <v>0.5</v>
          </cell>
          <cell r="VF13">
            <v>0</v>
          </cell>
          <cell r="VG13">
            <v>0</v>
          </cell>
          <cell r="VH13">
            <v>0.39</v>
          </cell>
          <cell r="VJ13">
            <v>0.5</v>
          </cell>
          <cell r="VK13">
            <v>0</v>
          </cell>
          <cell r="VL13">
            <v>0</v>
          </cell>
          <cell r="VM13">
            <v>0.39</v>
          </cell>
          <cell r="VO13">
            <v>0.5</v>
          </cell>
          <cell r="VP13">
            <v>0</v>
          </cell>
          <cell r="VQ13">
            <v>0</v>
          </cell>
          <cell r="VR13">
            <v>0.39</v>
          </cell>
          <cell r="VT13">
            <v>0.5</v>
          </cell>
          <cell r="VU13">
            <v>0</v>
          </cell>
          <cell r="VV13">
            <v>0</v>
          </cell>
          <cell r="VW13">
            <v>0.39</v>
          </cell>
          <cell r="VY13">
            <v>0.5</v>
          </cell>
          <cell r="VZ13">
            <v>0</v>
          </cell>
          <cell r="WA13">
            <v>0</v>
          </cell>
          <cell r="WB13">
            <v>0.39</v>
          </cell>
          <cell r="WD13">
            <v>0.5</v>
          </cell>
          <cell r="WE13">
            <v>0</v>
          </cell>
          <cell r="WF13">
            <v>0</v>
          </cell>
          <cell r="WG13">
            <v>0.39</v>
          </cell>
          <cell r="WI13">
            <v>0.5</v>
          </cell>
          <cell r="WJ13">
            <v>0</v>
          </cell>
          <cell r="WK13">
            <v>0</v>
          </cell>
          <cell r="WL13">
            <v>0.39</v>
          </cell>
          <cell r="WN13">
            <v>0.5</v>
          </cell>
          <cell r="WO13">
            <v>0</v>
          </cell>
          <cell r="WP13">
            <v>0</v>
          </cell>
          <cell r="WQ13">
            <v>0.39</v>
          </cell>
          <cell r="WS13">
            <v>0.5</v>
          </cell>
          <cell r="WT13">
            <v>0</v>
          </cell>
          <cell r="WU13">
            <v>0</v>
          </cell>
          <cell r="WV13">
            <v>0.39</v>
          </cell>
          <cell r="WX13">
            <v>0.5</v>
          </cell>
          <cell r="WY13">
            <v>0</v>
          </cell>
          <cell r="WZ13">
            <v>0</v>
          </cell>
          <cell r="XA13">
            <v>0.39</v>
          </cell>
          <cell r="XC13">
            <v>0.5</v>
          </cell>
          <cell r="XD13">
            <v>0</v>
          </cell>
          <cell r="XE13">
            <v>0</v>
          </cell>
          <cell r="XF13">
            <v>0.39</v>
          </cell>
          <cell r="XH13">
            <v>0.5</v>
          </cell>
          <cell r="XI13">
            <v>0</v>
          </cell>
          <cell r="XJ13">
            <v>0</v>
          </cell>
          <cell r="XK13">
            <v>0.39</v>
          </cell>
          <cell r="XM13">
            <v>0.5</v>
          </cell>
          <cell r="XN13">
            <v>0</v>
          </cell>
          <cell r="XO13">
            <v>0</v>
          </cell>
          <cell r="XP13">
            <v>0.39</v>
          </cell>
          <cell r="XR13">
            <v>0.5</v>
          </cell>
          <cell r="XS13">
            <v>0</v>
          </cell>
          <cell r="XT13">
            <v>0</v>
          </cell>
          <cell r="XU13">
            <v>0.39</v>
          </cell>
          <cell r="XW13">
            <v>0.5</v>
          </cell>
          <cell r="XX13">
            <v>0</v>
          </cell>
          <cell r="XY13">
            <v>0</v>
          </cell>
          <cell r="XZ13">
            <v>0.39</v>
          </cell>
          <cell r="YB13">
            <v>0.5</v>
          </cell>
          <cell r="YC13">
            <v>0</v>
          </cell>
          <cell r="YD13">
            <v>0</v>
          </cell>
          <cell r="YE13">
            <v>0.39</v>
          </cell>
        </row>
        <row r="14">
          <cell r="A14">
            <v>4</v>
          </cell>
          <cell r="B14" t="str">
            <v>水溝清淤</v>
          </cell>
          <cell r="C14" t="str">
            <v>M</v>
          </cell>
          <cell r="D14">
            <v>351</v>
          </cell>
          <cell r="E14">
            <v>49</v>
          </cell>
          <cell r="F14">
            <v>17199</v>
          </cell>
          <cell r="G14">
            <v>0.39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100</v>
          </cell>
          <cell r="V14">
            <v>100</v>
          </cell>
          <cell r="W14">
            <v>4900</v>
          </cell>
          <cell r="X14">
            <v>0.11</v>
          </cell>
          <cell r="Y14">
            <v>0.11</v>
          </cell>
          <cell r="AA14">
            <v>100</v>
          </cell>
          <cell r="AB14">
            <v>0</v>
          </cell>
          <cell r="AC14">
            <v>0</v>
          </cell>
          <cell r="AD14">
            <v>0.11</v>
          </cell>
          <cell r="AF14">
            <v>100</v>
          </cell>
          <cell r="AG14">
            <v>0</v>
          </cell>
          <cell r="AH14">
            <v>0</v>
          </cell>
          <cell r="AI14">
            <v>0.11</v>
          </cell>
          <cell r="AK14">
            <v>100</v>
          </cell>
          <cell r="AL14">
            <v>0</v>
          </cell>
          <cell r="AM14">
            <v>0</v>
          </cell>
          <cell r="AN14">
            <v>0.11</v>
          </cell>
          <cell r="AP14">
            <v>100</v>
          </cell>
          <cell r="AQ14">
            <v>0</v>
          </cell>
          <cell r="AR14">
            <v>0</v>
          </cell>
          <cell r="AS14">
            <v>0.11</v>
          </cell>
          <cell r="AU14">
            <v>100</v>
          </cell>
          <cell r="AV14">
            <v>0</v>
          </cell>
          <cell r="AW14">
            <v>0</v>
          </cell>
          <cell r="AX14">
            <v>0.11</v>
          </cell>
          <cell r="AZ14">
            <v>100</v>
          </cell>
          <cell r="BA14">
            <v>0</v>
          </cell>
          <cell r="BB14">
            <v>0</v>
          </cell>
          <cell r="BC14">
            <v>0.11</v>
          </cell>
          <cell r="BE14">
            <v>100</v>
          </cell>
          <cell r="BF14">
            <v>0</v>
          </cell>
          <cell r="BG14">
            <v>0</v>
          </cell>
          <cell r="BH14">
            <v>0.11</v>
          </cell>
          <cell r="BJ14">
            <v>100</v>
          </cell>
          <cell r="BK14">
            <v>0</v>
          </cell>
          <cell r="BL14">
            <v>0</v>
          </cell>
          <cell r="BM14">
            <v>0.11</v>
          </cell>
          <cell r="BO14">
            <v>100</v>
          </cell>
          <cell r="BP14">
            <v>0</v>
          </cell>
          <cell r="BQ14">
            <v>0</v>
          </cell>
          <cell r="BR14">
            <v>0.11</v>
          </cell>
          <cell r="BT14">
            <v>100</v>
          </cell>
          <cell r="BU14">
            <v>0</v>
          </cell>
          <cell r="BV14">
            <v>0</v>
          </cell>
          <cell r="BW14">
            <v>0.11</v>
          </cell>
          <cell r="BY14">
            <v>100</v>
          </cell>
          <cell r="BZ14">
            <v>0</v>
          </cell>
          <cell r="CA14">
            <v>0</v>
          </cell>
          <cell r="CB14">
            <v>0.11</v>
          </cell>
          <cell r="CD14">
            <v>100</v>
          </cell>
          <cell r="CE14">
            <v>0</v>
          </cell>
          <cell r="CF14">
            <v>0</v>
          </cell>
          <cell r="CG14">
            <v>0.11</v>
          </cell>
          <cell r="CI14">
            <v>100</v>
          </cell>
          <cell r="CJ14">
            <v>0</v>
          </cell>
          <cell r="CK14">
            <v>0</v>
          </cell>
          <cell r="CL14">
            <v>0.11</v>
          </cell>
          <cell r="CN14">
            <v>100</v>
          </cell>
          <cell r="CO14">
            <v>0</v>
          </cell>
          <cell r="CP14">
            <v>0</v>
          </cell>
          <cell r="CQ14">
            <v>0.11</v>
          </cell>
          <cell r="CS14">
            <v>100</v>
          </cell>
          <cell r="CT14">
            <v>0</v>
          </cell>
          <cell r="CU14">
            <v>0</v>
          </cell>
          <cell r="CV14">
            <v>0.11</v>
          </cell>
          <cell r="CX14">
            <v>100</v>
          </cell>
          <cell r="CY14">
            <v>0</v>
          </cell>
          <cell r="CZ14">
            <v>0</v>
          </cell>
          <cell r="DA14">
            <v>0.11</v>
          </cell>
          <cell r="DC14">
            <v>100</v>
          </cell>
          <cell r="DD14">
            <v>0</v>
          </cell>
          <cell r="DE14">
            <v>0</v>
          </cell>
          <cell r="DF14">
            <v>0.11</v>
          </cell>
          <cell r="DH14">
            <v>100</v>
          </cell>
          <cell r="DI14">
            <v>0</v>
          </cell>
          <cell r="DJ14">
            <v>0</v>
          </cell>
          <cell r="DK14">
            <v>0.11</v>
          </cell>
          <cell r="DM14">
            <v>100</v>
          </cell>
          <cell r="DN14">
            <v>0</v>
          </cell>
          <cell r="DO14">
            <v>0</v>
          </cell>
          <cell r="DP14">
            <v>0.11</v>
          </cell>
          <cell r="DR14">
            <v>100</v>
          </cell>
          <cell r="DS14">
            <v>0</v>
          </cell>
          <cell r="DT14">
            <v>0</v>
          </cell>
          <cell r="DU14">
            <v>0.11</v>
          </cell>
          <cell r="DW14">
            <v>100</v>
          </cell>
          <cell r="DX14">
            <v>0</v>
          </cell>
          <cell r="DY14">
            <v>0</v>
          </cell>
          <cell r="DZ14">
            <v>0.11</v>
          </cell>
          <cell r="EB14">
            <v>100</v>
          </cell>
          <cell r="EC14">
            <v>0</v>
          </cell>
          <cell r="ED14">
            <v>0</v>
          </cell>
          <cell r="EE14">
            <v>0.11</v>
          </cell>
          <cell r="EG14">
            <v>100</v>
          </cell>
          <cell r="EH14">
            <v>0</v>
          </cell>
          <cell r="EI14">
            <v>0</v>
          </cell>
          <cell r="EJ14">
            <v>0.11</v>
          </cell>
          <cell r="EK14">
            <v>251</v>
          </cell>
          <cell r="EL14">
            <v>351</v>
          </cell>
          <cell r="EM14">
            <v>12299</v>
          </cell>
          <cell r="EN14">
            <v>0.28000000000000003</v>
          </cell>
          <cell r="EO14">
            <v>0.39</v>
          </cell>
          <cell r="EQ14">
            <v>351</v>
          </cell>
          <cell r="ER14">
            <v>0</v>
          </cell>
          <cell r="ES14">
            <v>0</v>
          </cell>
          <cell r="ET14">
            <v>0.39</v>
          </cell>
          <cell r="EV14">
            <v>351</v>
          </cell>
          <cell r="EW14">
            <v>0</v>
          </cell>
          <cell r="EX14">
            <v>0</v>
          </cell>
          <cell r="EY14">
            <v>0.39</v>
          </cell>
          <cell r="FA14">
            <v>351</v>
          </cell>
          <cell r="FB14">
            <v>0</v>
          </cell>
          <cell r="FC14">
            <v>0</v>
          </cell>
          <cell r="FD14">
            <v>0.39</v>
          </cell>
          <cell r="FF14">
            <v>351</v>
          </cell>
          <cell r="FG14">
            <v>0</v>
          </cell>
          <cell r="FH14">
            <v>0</v>
          </cell>
          <cell r="FI14">
            <v>0.39</v>
          </cell>
          <cell r="FK14">
            <v>351</v>
          </cell>
          <cell r="FL14">
            <v>0</v>
          </cell>
          <cell r="FM14">
            <v>0</v>
          </cell>
          <cell r="FN14">
            <v>0.39</v>
          </cell>
          <cell r="FP14">
            <v>351</v>
          </cell>
          <cell r="FQ14">
            <v>0</v>
          </cell>
          <cell r="FR14">
            <v>0</v>
          </cell>
          <cell r="FS14">
            <v>0.39</v>
          </cell>
          <cell r="FU14">
            <v>351</v>
          </cell>
          <cell r="FV14">
            <v>0</v>
          </cell>
          <cell r="FW14">
            <v>0</v>
          </cell>
          <cell r="FX14">
            <v>0.39</v>
          </cell>
          <cell r="FZ14">
            <v>351</v>
          </cell>
          <cell r="GA14">
            <v>0</v>
          </cell>
          <cell r="GB14">
            <v>0</v>
          </cell>
          <cell r="GC14">
            <v>0.39</v>
          </cell>
          <cell r="GE14">
            <v>351</v>
          </cell>
          <cell r="GF14">
            <v>0</v>
          </cell>
          <cell r="GG14">
            <v>0</v>
          </cell>
          <cell r="GH14">
            <v>0.39</v>
          </cell>
          <cell r="GJ14">
            <v>351</v>
          </cell>
          <cell r="GK14">
            <v>0</v>
          </cell>
          <cell r="GL14">
            <v>0</v>
          </cell>
          <cell r="GM14">
            <v>0.39</v>
          </cell>
          <cell r="GO14">
            <v>351</v>
          </cell>
          <cell r="GP14">
            <v>0</v>
          </cell>
          <cell r="GQ14">
            <v>0</v>
          </cell>
          <cell r="GR14">
            <v>0.39</v>
          </cell>
          <cell r="GT14">
            <v>351</v>
          </cell>
          <cell r="GU14">
            <v>0</v>
          </cell>
          <cell r="GV14">
            <v>0</v>
          </cell>
          <cell r="GW14">
            <v>0.39</v>
          </cell>
          <cell r="GY14">
            <v>351</v>
          </cell>
          <cell r="GZ14">
            <v>0</v>
          </cell>
          <cell r="HA14">
            <v>0</v>
          </cell>
          <cell r="HB14">
            <v>0.39</v>
          </cell>
          <cell r="HD14">
            <v>351</v>
          </cell>
          <cell r="HE14">
            <v>0</v>
          </cell>
          <cell r="HF14">
            <v>0</v>
          </cell>
          <cell r="HG14">
            <v>0.39</v>
          </cell>
          <cell r="HI14">
            <v>351</v>
          </cell>
          <cell r="HJ14">
            <v>0</v>
          </cell>
          <cell r="HK14">
            <v>0</v>
          </cell>
          <cell r="HL14">
            <v>0.39</v>
          </cell>
          <cell r="HN14">
            <v>351</v>
          </cell>
          <cell r="HO14">
            <v>0</v>
          </cell>
          <cell r="HP14">
            <v>0</v>
          </cell>
          <cell r="HQ14">
            <v>0.39</v>
          </cell>
          <cell r="HS14">
            <v>351</v>
          </cell>
          <cell r="HT14">
            <v>0</v>
          </cell>
          <cell r="HU14">
            <v>0</v>
          </cell>
          <cell r="HV14">
            <v>0.39</v>
          </cell>
          <cell r="HX14">
            <v>351</v>
          </cell>
          <cell r="HY14">
            <v>0</v>
          </cell>
          <cell r="HZ14">
            <v>0</v>
          </cell>
          <cell r="IA14">
            <v>0.39</v>
          </cell>
          <cell r="IC14">
            <v>351</v>
          </cell>
          <cell r="ID14">
            <v>0</v>
          </cell>
          <cell r="IE14">
            <v>0</v>
          </cell>
          <cell r="IF14">
            <v>0.39</v>
          </cell>
          <cell r="IH14">
            <v>351</v>
          </cell>
          <cell r="II14">
            <v>0</v>
          </cell>
          <cell r="IJ14">
            <v>0</v>
          </cell>
          <cell r="IK14">
            <v>0.39</v>
          </cell>
          <cell r="IM14">
            <v>351</v>
          </cell>
          <cell r="IN14">
            <v>0</v>
          </cell>
          <cell r="IO14">
            <v>0</v>
          </cell>
          <cell r="IP14">
            <v>0.39</v>
          </cell>
          <cell r="IR14">
            <v>351</v>
          </cell>
          <cell r="IS14">
            <v>0</v>
          </cell>
          <cell r="IT14">
            <v>0</v>
          </cell>
          <cell r="IU14">
            <v>0.39</v>
          </cell>
          <cell r="IW14">
            <v>351</v>
          </cell>
          <cell r="IX14">
            <v>0</v>
          </cell>
          <cell r="IY14">
            <v>0</v>
          </cell>
          <cell r="IZ14">
            <v>0.39</v>
          </cell>
          <cell r="JB14">
            <v>351</v>
          </cell>
          <cell r="JC14">
            <v>0</v>
          </cell>
          <cell r="JD14">
            <v>0</v>
          </cell>
          <cell r="JE14">
            <v>0.39</v>
          </cell>
          <cell r="JG14">
            <v>351</v>
          </cell>
          <cell r="JH14">
            <v>0</v>
          </cell>
          <cell r="JI14">
            <v>0</v>
          </cell>
          <cell r="JJ14">
            <v>0.39</v>
          </cell>
          <cell r="JL14">
            <v>351</v>
          </cell>
          <cell r="JM14">
            <v>0</v>
          </cell>
          <cell r="JN14">
            <v>0</v>
          </cell>
          <cell r="JO14">
            <v>0.39</v>
          </cell>
          <cell r="JQ14">
            <v>351</v>
          </cell>
          <cell r="JR14">
            <v>0</v>
          </cell>
          <cell r="JS14">
            <v>0</v>
          </cell>
          <cell r="JT14">
            <v>0.39</v>
          </cell>
          <cell r="JV14">
            <v>351</v>
          </cell>
          <cell r="JW14">
            <v>0</v>
          </cell>
          <cell r="JX14">
            <v>0</v>
          </cell>
          <cell r="JY14">
            <v>0.39</v>
          </cell>
          <cell r="KA14">
            <v>351</v>
          </cell>
          <cell r="KB14">
            <v>0</v>
          </cell>
          <cell r="KC14">
            <v>0</v>
          </cell>
          <cell r="KD14">
            <v>0.39</v>
          </cell>
          <cell r="KF14">
            <v>351</v>
          </cell>
          <cell r="KG14">
            <v>0</v>
          </cell>
          <cell r="KH14">
            <v>0</v>
          </cell>
          <cell r="KI14">
            <v>0.39</v>
          </cell>
          <cell r="KK14">
            <v>351</v>
          </cell>
          <cell r="KL14">
            <v>0</v>
          </cell>
          <cell r="KM14">
            <v>0</v>
          </cell>
          <cell r="KN14">
            <v>0.39</v>
          </cell>
          <cell r="KP14">
            <v>351</v>
          </cell>
          <cell r="KQ14">
            <v>0</v>
          </cell>
          <cell r="KR14">
            <v>0</v>
          </cell>
          <cell r="KS14">
            <v>0.39</v>
          </cell>
          <cell r="KU14">
            <v>351</v>
          </cell>
          <cell r="KV14">
            <v>0</v>
          </cell>
          <cell r="KW14">
            <v>0</v>
          </cell>
          <cell r="KX14">
            <v>0.39</v>
          </cell>
          <cell r="KZ14">
            <v>351</v>
          </cell>
          <cell r="LA14">
            <v>0</v>
          </cell>
          <cell r="LB14">
            <v>0</v>
          </cell>
          <cell r="LC14">
            <v>0.39</v>
          </cell>
          <cell r="LE14">
            <v>351</v>
          </cell>
          <cell r="LF14">
            <v>0</v>
          </cell>
          <cell r="LG14">
            <v>0</v>
          </cell>
          <cell r="LH14">
            <v>0.39</v>
          </cell>
          <cell r="LJ14">
            <v>351</v>
          </cell>
          <cell r="LK14">
            <v>0</v>
          </cell>
          <cell r="LL14">
            <v>0</v>
          </cell>
          <cell r="LM14">
            <v>0.39</v>
          </cell>
          <cell r="LO14">
            <v>351</v>
          </cell>
          <cell r="LP14">
            <v>0</v>
          </cell>
          <cell r="LQ14">
            <v>0</v>
          </cell>
          <cell r="LR14">
            <v>0.39</v>
          </cell>
          <cell r="LT14">
            <v>351</v>
          </cell>
          <cell r="LU14">
            <v>0</v>
          </cell>
          <cell r="LV14">
            <v>0</v>
          </cell>
          <cell r="LW14">
            <v>0.39</v>
          </cell>
          <cell r="LY14">
            <v>351</v>
          </cell>
          <cell r="LZ14">
            <v>0</v>
          </cell>
          <cell r="MA14">
            <v>0</v>
          </cell>
          <cell r="MB14">
            <v>0.39</v>
          </cell>
          <cell r="MD14">
            <v>351</v>
          </cell>
          <cell r="ME14">
            <v>0</v>
          </cell>
          <cell r="MF14">
            <v>0</v>
          </cell>
          <cell r="MG14">
            <v>0.39</v>
          </cell>
          <cell r="MI14">
            <v>351</v>
          </cell>
          <cell r="MJ14">
            <v>0</v>
          </cell>
          <cell r="MK14">
            <v>0</v>
          </cell>
          <cell r="ML14">
            <v>0.39</v>
          </cell>
          <cell r="MN14">
            <v>351</v>
          </cell>
          <cell r="MO14">
            <v>0</v>
          </cell>
          <cell r="MP14">
            <v>0</v>
          </cell>
          <cell r="MQ14">
            <v>0.39</v>
          </cell>
          <cell r="MS14">
            <v>351</v>
          </cell>
          <cell r="MT14">
            <v>0</v>
          </cell>
          <cell r="MU14">
            <v>0</v>
          </cell>
          <cell r="MV14">
            <v>0.39</v>
          </cell>
          <cell r="MX14">
            <v>351</v>
          </cell>
          <cell r="MY14">
            <v>0</v>
          </cell>
          <cell r="MZ14">
            <v>0</v>
          </cell>
          <cell r="NA14">
            <v>0.39</v>
          </cell>
          <cell r="NC14">
            <v>351</v>
          </cell>
          <cell r="ND14">
            <v>0</v>
          </cell>
          <cell r="NE14">
            <v>0</v>
          </cell>
          <cell r="NF14">
            <v>0.39</v>
          </cell>
          <cell r="NH14">
            <v>351</v>
          </cell>
          <cell r="NI14">
            <v>0</v>
          </cell>
          <cell r="NJ14">
            <v>0</v>
          </cell>
          <cell r="NK14">
            <v>0.39</v>
          </cell>
          <cell r="NM14">
            <v>351</v>
          </cell>
          <cell r="NN14">
            <v>0</v>
          </cell>
          <cell r="NO14">
            <v>0</v>
          </cell>
          <cell r="NP14">
            <v>0.39</v>
          </cell>
          <cell r="NR14">
            <v>351</v>
          </cell>
          <cell r="NS14">
            <v>0</v>
          </cell>
          <cell r="NT14">
            <v>0</v>
          </cell>
          <cell r="NU14">
            <v>0.39</v>
          </cell>
          <cell r="NW14">
            <v>351</v>
          </cell>
          <cell r="NX14">
            <v>0</v>
          </cell>
          <cell r="NY14">
            <v>0</v>
          </cell>
          <cell r="NZ14">
            <v>0.39</v>
          </cell>
          <cell r="OB14">
            <v>351</v>
          </cell>
          <cell r="OC14">
            <v>0</v>
          </cell>
          <cell r="OD14">
            <v>0</v>
          </cell>
          <cell r="OE14">
            <v>0.39</v>
          </cell>
          <cell r="OG14">
            <v>351</v>
          </cell>
          <cell r="OH14">
            <v>0</v>
          </cell>
          <cell r="OI14">
            <v>0</v>
          </cell>
          <cell r="OJ14">
            <v>0.39</v>
          </cell>
          <cell r="OL14">
            <v>351</v>
          </cell>
          <cell r="OM14">
            <v>0</v>
          </cell>
          <cell r="ON14">
            <v>0</v>
          </cell>
          <cell r="OO14">
            <v>0.39</v>
          </cell>
          <cell r="OQ14">
            <v>351</v>
          </cell>
          <cell r="OR14">
            <v>0</v>
          </cell>
          <cell r="OS14">
            <v>0</v>
          </cell>
          <cell r="OT14">
            <v>0.39</v>
          </cell>
          <cell r="OV14">
            <v>351</v>
          </cell>
          <cell r="OW14">
            <v>0</v>
          </cell>
          <cell r="OX14">
            <v>0</v>
          </cell>
          <cell r="OY14">
            <v>0.39</v>
          </cell>
          <cell r="PA14">
            <v>351</v>
          </cell>
          <cell r="PB14">
            <v>0</v>
          </cell>
          <cell r="PC14">
            <v>0</v>
          </cell>
          <cell r="PD14">
            <v>0.39</v>
          </cell>
          <cell r="PF14">
            <v>351</v>
          </cell>
          <cell r="PG14">
            <v>0</v>
          </cell>
          <cell r="PH14">
            <v>0</v>
          </cell>
          <cell r="PI14">
            <v>0.39</v>
          </cell>
          <cell r="PK14">
            <v>351</v>
          </cell>
          <cell r="PL14">
            <v>0</v>
          </cell>
          <cell r="PM14">
            <v>0</v>
          </cell>
          <cell r="PN14">
            <v>0.39</v>
          </cell>
          <cell r="PP14">
            <v>351</v>
          </cell>
          <cell r="PQ14">
            <v>0</v>
          </cell>
          <cell r="PR14">
            <v>0</v>
          </cell>
          <cell r="PS14">
            <v>0.39</v>
          </cell>
          <cell r="PU14">
            <v>351</v>
          </cell>
          <cell r="PV14">
            <v>0</v>
          </cell>
          <cell r="PW14">
            <v>0</v>
          </cell>
          <cell r="PX14">
            <v>0.39</v>
          </cell>
          <cell r="PZ14">
            <v>351</v>
          </cell>
          <cell r="QA14">
            <v>0</v>
          </cell>
          <cell r="QB14">
            <v>0</v>
          </cell>
          <cell r="QC14">
            <v>0.39</v>
          </cell>
          <cell r="QE14">
            <v>351</v>
          </cell>
          <cell r="QF14">
            <v>0</v>
          </cell>
          <cell r="QG14">
            <v>0</v>
          </cell>
          <cell r="QH14">
            <v>0.39</v>
          </cell>
          <cell r="QJ14">
            <v>351</v>
          </cell>
          <cell r="QK14">
            <v>0</v>
          </cell>
          <cell r="QL14">
            <v>0</v>
          </cell>
          <cell r="QM14">
            <v>0.39</v>
          </cell>
          <cell r="QO14">
            <v>351</v>
          </cell>
          <cell r="QP14">
            <v>0</v>
          </cell>
          <cell r="QQ14">
            <v>0</v>
          </cell>
          <cell r="QR14">
            <v>0.39</v>
          </cell>
          <cell r="QT14">
            <v>351</v>
          </cell>
          <cell r="QU14">
            <v>0</v>
          </cell>
          <cell r="QV14">
            <v>0</v>
          </cell>
          <cell r="QW14">
            <v>0.39</v>
          </cell>
          <cell r="QY14">
            <v>351</v>
          </cell>
          <cell r="QZ14">
            <v>0</v>
          </cell>
          <cell r="RA14">
            <v>0</v>
          </cell>
          <cell r="RB14">
            <v>0.39</v>
          </cell>
          <cell r="RD14">
            <v>351</v>
          </cell>
          <cell r="RE14">
            <v>0</v>
          </cell>
          <cell r="RF14">
            <v>0</v>
          </cell>
          <cell r="RG14">
            <v>0.39</v>
          </cell>
          <cell r="RI14">
            <v>351</v>
          </cell>
          <cell r="RJ14">
            <v>0</v>
          </cell>
          <cell r="RK14">
            <v>0</v>
          </cell>
          <cell r="RL14">
            <v>0.39</v>
          </cell>
          <cell r="RN14">
            <v>351</v>
          </cell>
          <cell r="RO14">
            <v>0</v>
          </cell>
          <cell r="RP14">
            <v>0</v>
          </cell>
          <cell r="RQ14">
            <v>0.39</v>
          </cell>
          <cell r="RS14">
            <v>351</v>
          </cell>
          <cell r="RT14">
            <v>0</v>
          </cell>
          <cell r="RU14">
            <v>0</v>
          </cell>
          <cell r="RV14">
            <v>0.39</v>
          </cell>
          <cell r="RX14">
            <v>351</v>
          </cell>
          <cell r="RY14">
            <v>0</v>
          </cell>
          <cell r="RZ14">
            <v>0</v>
          </cell>
          <cell r="SA14">
            <v>0.39</v>
          </cell>
          <cell r="SC14">
            <v>351</v>
          </cell>
          <cell r="SD14">
            <v>0</v>
          </cell>
          <cell r="SE14">
            <v>0</v>
          </cell>
          <cell r="SF14">
            <v>0.39</v>
          </cell>
          <cell r="SH14">
            <v>351</v>
          </cell>
          <cell r="SI14">
            <v>0</v>
          </cell>
          <cell r="SJ14">
            <v>0</v>
          </cell>
          <cell r="SK14">
            <v>0.39</v>
          </cell>
          <cell r="SM14">
            <v>351</v>
          </cell>
          <cell r="SN14">
            <v>0</v>
          </cell>
          <cell r="SO14">
            <v>0</v>
          </cell>
          <cell r="SP14">
            <v>0.39</v>
          </cell>
          <cell r="SR14">
            <v>351</v>
          </cell>
          <cell r="SS14">
            <v>0</v>
          </cell>
          <cell r="ST14">
            <v>0</v>
          </cell>
          <cell r="SU14">
            <v>0.39</v>
          </cell>
          <cell r="SW14">
            <v>351</v>
          </cell>
          <cell r="SX14">
            <v>0</v>
          </cell>
          <cell r="SY14">
            <v>0</v>
          </cell>
          <cell r="SZ14">
            <v>0.39</v>
          </cell>
          <cell r="TB14">
            <v>351</v>
          </cell>
          <cell r="TC14">
            <v>0</v>
          </cell>
          <cell r="TD14">
            <v>0</v>
          </cell>
          <cell r="TE14">
            <v>0.39</v>
          </cell>
          <cell r="TG14">
            <v>351</v>
          </cell>
          <cell r="TH14">
            <v>0</v>
          </cell>
          <cell r="TI14">
            <v>0</v>
          </cell>
          <cell r="TJ14">
            <v>0.39</v>
          </cell>
          <cell r="TL14">
            <v>351</v>
          </cell>
          <cell r="TM14">
            <v>0</v>
          </cell>
          <cell r="TN14">
            <v>0</v>
          </cell>
          <cell r="TO14">
            <v>0.39</v>
          </cell>
          <cell r="TQ14">
            <v>351</v>
          </cell>
          <cell r="TR14">
            <v>0</v>
          </cell>
          <cell r="TS14">
            <v>0</v>
          </cell>
          <cell r="TT14">
            <v>0.39</v>
          </cell>
          <cell r="TV14">
            <v>351</v>
          </cell>
          <cell r="TW14">
            <v>0</v>
          </cell>
          <cell r="TX14">
            <v>0</v>
          </cell>
          <cell r="TY14">
            <v>0.39</v>
          </cell>
          <cell r="UA14">
            <v>351</v>
          </cell>
          <cell r="UB14">
            <v>0</v>
          </cell>
          <cell r="UC14">
            <v>0</v>
          </cell>
          <cell r="UD14">
            <v>0.39</v>
          </cell>
          <cell r="UF14">
            <v>351</v>
          </cell>
          <cell r="UG14">
            <v>0</v>
          </cell>
          <cell r="UH14">
            <v>0</v>
          </cell>
          <cell r="UI14">
            <v>0.39</v>
          </cell>
          <cell r="UK14">
            <v>351</v>
          </cell>
          <cell r="UL14">
            <v>0</v>
          </cell>
          <cell r="UM14">
            <v>0</v>
          </cell>
          <cell r="UN14">
            <v>0.39</v>
          </cell>
          <cell r="UP14">
            <v>351</v>
          </cell>
          <cell r="UQ14">
            <v>0</v>
          </cell>
          <cell r="UR14">
            <v>0</v>
          </cell>
          <cell r="US14">
            <v>0.39</v>
          </cell>
          <cell r="UU14">
            <v>351</v>
          </cell>
          <cell r="UV14">
            <v>0</v>
          </cell>
          <cell r="UW14">
            <v>0</v>
          </cell>
          <cell r="UX14">
            <v>0.39</v>
          </cell>
          <cell r="UZ14">
            <v>351</v>
          </cell>
          <cell r="VA14">
            <v>0</v>
          </cell>
          <cell r="VB14">
            <v>0</v>
          </cell>
          <cell r="VC14">
            <v>0.39</v>
          </cell>
          <cell r="VE14">
            <v>351</v>
          </cell>
          <cell r="VF14">
            <v>0</v>
          </cell>
          <cell r="VG14">
            <v>0</v>
          </cell>
          <cell r="VH14">
            <v>0.39</v>
          </cell>
          <cell r="VJ14">
            <v>351</v>
          </cell>
          <cell r="VK14">
            <v>0</v>
          </cell>
          <cell r="VL14">
            <v>0</v>
          </cell>
          <cell r="VM14">
            <v>0.39</v>
          </cell>
          <cell r="VO14">
            <v>351</v>
          </cell>
          <cell r="VP14">
            <v>0</v>
          </cell>
          <cell r="VQ14">
            <v>0</v>
          </cell>
          <cell r="VR14">
            <v>0.39</v>
          </cell>
          <cell r="VT14">
            <v>351</v>
          </cell>
          <cell r="VU14">
            <v>0</v>
          </cell>
          <cell r="VV14">
            <v>0</v>
          </cell>
          <cell r="VW14">
            <v>0.39</v>
          </cell>
          <cell r="VY14">
            <v>351</v>
          </cell>
          <cell r="VZ14">
            <v>0</v>
          </cell>
          <cell r="WA14">
            <v>0</v>
          </cell>
          <cell r="WB14">
            <v>0.39</v>
          </cell>
          <cell r="WD14">
            <v>351</v>
          </cell>
          <cell r="WE14">
            <v>0</v>
          </cell>
          <cell r="WF14">
            <v>0</v>
          </cell>
          <cell r="WG14">
            <v>0.39</v>
          </cell>
          <cell r="WI14">
            <v>351</v>
          </cell>
          <cell r="WJ14">
            <v>0</v>
          </cell>
          <cell r="WK14">
            <v>0</v>
          </cell>
          <cell r="WL14">
            <v>0.39</v>
          </cell>
          <cell r="WN14">
            <v>351</v>
          </cell>
          <cell r="WO14">
            <v>0</v>
          </cell>
          <cell r="WP14">
            <v>0</v>
          </cell>
          <cell r="WQ14">
            <v>0.39</v>
          </cell>
          <cell r="WS14">
            <v>351</v>
          </cell>
          <cell r="WT14">
            <v>0</v>
          </cell>
          <cell r="WU14">
            <v>0</v>
          </cell>
          <cell r="WV14">
            <v>0.39</v>
          </cell>
          <cell r="WX14">
            <v>351</v>
          </cell>
          <cell r="WY14">
            <v>0</v>
          </cell>
          <cell r="WZ14">
            <v>0</v>
          </cell>
          <cell r="XA14">
            <v>0.39</v>
          </cell>
          <cell r="XC14">
            <v>351</v>
          </cell>
          <cell r="XD14">
            <v>0</v>
          </cell>
          <cell r="XE14">
            <v>0</v>
          </cell>
          <cell r="XF14">
            <v>0.39</v>
          </cell>
          <cell r="XH14">
            <v>351</v>
          </cell>
          <cell r="XI14">
            <v>0</v>
          </cell>
          <cell r="XJ14">
            <v>0</v>
          </cell>
          <cell r="XK14">
            <v>0.39</v>
          </cell>
          <cell r="XM14">
            <v>351</v>
          </cell>
          <cell r="XN14">
            <v>0</v>
          </cell>
          <cell r="XO14">
            <v>0</v>
          </cell>
          <cell r="XP14">
            <v>0.39</v>
          </cell>
          <cell r="XR14">
            <v>351</v>
          </cell>
          <cell r="XS14">
            <v>0</v>
          </cell>
          <cell r="XT14">
            <v>0</v>
          </cell>
          <cell r="XU14">
            <v>0.39</v>
          </cell>
          <cell r="XW14">
            <v>351</v>
          </cell>
          <cell r="XX14">
            <v>0</v>
          </cell>
          <cell r="XY14">
            <v>0</v>
          </cell>
          <cell r="XZ14">
            <v>0.39</v>
          </cell>
          <cell r="YB14">
            <v>351</v>
          </cell>
          <cell r="YC14">
            <v>0</v>
          </cell>
          <cell r="YD14">
            <v>0</v>
          </cell>
          <cell r="YE14">
            <v>0.39</v>
          </cell>
        </row>
        <row r="15">
          <cell r="A15">
            <v>5</v>
          </cell>
          <cell r="B15" t="str">
            <v>施工測量，工地放樣</v>
          </cell>
          <cell r="C15" t="str">
            <v>式</v>
          </cell>
          <cell r="D15">
            <v>1</v>
          </cell>
          <cell r="E15">
            <v>5815</v>
          </cell>
          <cell r="F15">
            <v>5815</v>
          </cell>
          <cell r="G15">
            <v>0.13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H15">
            <v>0</v>
          </cell>
          <cell r="DI15">
            <v>0</v>
          </cell>
          <cell r="DJ15">
            <v>0</v>
          </cell>
          <cell r="DK15">
            <v>0</v>
          </cell>
          <cell r="DM15">
            <v>0</v>
          </cell>
          <cell r="DN15">
            <v>0</v>
          </cell>
          <cell r="DO15">
            <v>0</v>
          </cell>
          <cell r="DP15">
            <v>0</v>
          </cell>
          <cell r="DR15">
            <v>0</v>
          </cell>
          <cell r="DS15">
            <v>0</v>
          </cell>
          <cell r="DT15">
            <v>0</v>
          </cell>
          <cell r="DU15">
            <v>0</v>
          </cell>
          <cell r="DW15">
            <v>0</v>
          </cell>
          <cell r="DX15">
            <v>0</v>
          </cell>
          <cell r="DY15">
            <v>0</v>
          </cell>
          <cell r="DZ15">
            <v>0</v>
          </cell>
          <cell r="EB15">
            <v>0</v>
          </cell>
          <cell r="EC15">
            <v>0</v>
          </cell>
          <cell r="ED15">
            <v>0</v>
          </cell>
          <cell r="EE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L15">
            <v>0</v>
          </cell>
          <cell r="EM15">
            <v>0</v>
          </cell>
          <cell r="EN15">
            <v>0</v>
          </cell>
          <cell r="EO15">
            <v>0</v>
          </cell>
          <cell r="EQ15">
            <v>0</v>
          </cell>
          <cell r="ER15">
            <v>0</v>
          </cell>
          <cell r="ES15">
            <v>0</v>
          </cell>
          <cell r="ET15">
            <v>0</v>
          </cell>
          <cell r="EV15">
            <v>0</v>
          </cell>
          <cell r="EW15">
            <v>0</v>
          </cell>
          <cell r="EX15">
            <v>0</v>
          </cell>
          <cell r="EY15">
            <v>0</v>
          </cell>
          <cell r="FA15">
            <v>0</v>
          </cell>
          <cell r="FB15">
            <v>0</v>
          </cell>
          <cell r="FC15">
            <v>0</v>
          </cell>
          <cell r="FD15">
            <v>0</v>
          </cell>
          <cell r="FF15">
            <v>0</v>
          </cell>
          <cell r="FG15">
            <v>0</v>
          </cell>
          <cell r="FH15">
            <v>0</v>
          </cell>
          <cell r="FI15">
            <v>0</v>
          </cell>
          <cell r="FK15">
            <v>0</v>
          </cell>
          <cell r="FL15">
            <v>0</v>
          </cell>
          <cell r="FM15">
            <v>0</v>
          </cell>
          <cell r="FN15">
            <v>0</v>
          </cell>
          <cell r="FP15">
            <v>0</v>
          </cell>
          <cell r="FQ15">
            <v>0</v>
          </cell>
          <cell r="FR15">
            <v>0</v>
          </cell>
          <cell r="FS15">
            <v>0</v>
          </cell>
          <cell r="FU15">
            <v>0</v>
          </cell>
          <cell r="FV15">
            <v>0</v>
          </cell>
          <cell r="FW15">
            <v>0</v>
          </cell>
          <cell r="FX15">
            <v>0</v>
          </cell>
          <cell r="FZ15">
            <v>0</v>
          </cell>
          <cell r="GA15">
            <v>0</v>
          </cell>
          <cell r="GB15">
            <v>0</v>
          </cell>
          <cell r="GC15">
            <v>0</v>
          </cell>
          <cell r="GE15">
            <v>0</v>
          </cell>
          <cell r="GF15">
            <v>0</v>
          </cell>
          <cell r="GG15">
            <v>0</v>
          </cell>
          <cell r="GH15">
            <v>0</v>
          </cell>
          <cell r="GJ15">
            <v>0</v>
          </cell>
          <cell r="GK15">
            <v>0</v>
          </cell>
          <cell r="GL15">
            <v>0</v>
          </cell>
          <cell r="GM15">
            <v>0</v>
          </cell>
          <cell r="GO15">
            <v>0</v>
          </cell>
          <cell r="GP15">
            <v>0</v>
          </cell>
          <cell r="GQ15">
            <v>0</v>
          </cell>
          <cell r="GR15">
            <v>0</v>
          </cell>
          <cell r="GT15">
            <v>0</v>
          </cell>
          <cell r="GU15">
            <v>0</v>
          </cell>
          <cell r="GV15">
            <v>0</v>
          </cell>
          <cell r="GW15">
            <v>0</v>
          </cell>
          <cell r="GY15">
            <v>0</v>
          </cell>
          <cell r="GZ15">
            <v>0</v>
          </cell>
          <cell r="HA15">
            <v>0</v>
          </cell>
          <cell r="HB15">
            <v>0</v>
          </cell>
          <cell r="HD15">
            <v>0</v>
          </cell>
          <cell r="HE15">
            <v>0</v>
          </cell>
          <cell r="HF15">
            <v>0</v>
          </cell>
          <cell r="HG15">
            <v>0</v>
          </cell>
          <cell r="HI15">
            <v>0</v>
          </cell>
          <cell r="HJ15">
            <v>0</v>
          </cell>
          <cell r="HK15">
            <v>0</v>
          </cell>
          <cell r="HL15">
            <v>0</v>
          </cell>
          <cell r="HN15">
            <v>0</v>
          </cell>
          <cell r="HO15">
            <v>0</v>
          </cell>
          <cell r="HP15">
            <v>0</v>
          </cell>
          <cell r="HQ15">
            <v>0</v>
          </cell>
          <cell r="HS15">
            <v>0</v>
          </cell>
          <cell r="HT15">
            <v>0</v>
          </cell>
          <cell r="HU15">
            <v>0</v>
          </cell>
          <cell r="HV15">
            <v>0</v>
          </cell>
          <cell r="HX15">
            <v>0</v>
          </cell>
          <cell r="HY15">
            <v>0</v>
          </cell>
          <cell r="HZ15">
            <v>0</v>
          </cell>
          <cell r="IA15">
            <v>0</v>
          </cell>
          <cell r="IC15">
            <v>0</v>
          </cell>
          <cell r="ID15">
            <v>0</v>
          </cell>
          <cell r="IE15">
            <v>0</v>
          </cell>
          <cell r="IF15">
            <v>0</v>
          </cell>
          <cell r="IH15">
            <v>0</v>
          </cell>
          <cell r="II15">
            <v>0</v>
          </cell>
          <cell r="IJ15">
            <v>0</v>
          </cell>
          <cell r="IK15">
            <v>0</v>
          </cell>
          <cell r="IM15">
            <v>0</v>
          </cell>
          <cell r="IN15">
            <v>0</v>
          </cell>
          <cell r="IO15">
            <v>0</v>
          </cell>
          <cell r="IP15">
            <v>0</v>
          </cell>
          <cell r="IR15">
            <v>0</v>
          </cell>
          <cell r="IS15">
            <v>0</v>
          </cell>
          <cell r="IT15">
            <v>0</v>
          </cell>
          <cell r="IU15">
            <v>0</v>
          </cell>
          <cell r="IW15">
            <v>0</v>
          </cell>
          <cell r="IX15">
            <v>0</v>
          </cell>
          <cell r="IY15">
            <v>0</v>
          </cell>
          <cell r="IZ15">
            <v>0</v>
          </cell>
          <cell r="JB15">
            <v>0</v>
          </cell>
          <cell r="JC15">
            <v>0</v>
          </cell>
          <cell r="JD15">
            <v>0</v>
          </cell>
          <cell r="JE15">
            <v>0</v>
          </cell>
          <cell r="JG15">
            <v>0</v>
          </cell>
          <cell r="JH15">
            <v>0</v>
          </cell>
          <cell r="JI15">
            <v>0</v>
          </cell>
          <cell r="JJ15">
            <v>0</v>
          </cell>
          <cell r="JL15">
            <v>0</v>
          </cell>
          <cell r="JM15">
            <v>0</v>
          </cell>
          <cell r="JN15">
            <v>0</v>
          </cell>
          <cell r="JO15">
            <v>0</v>
          </cell>
          <cell r="JQ15">
            <v>0</v>
          </cell>
          <cell r="JR15">
            <v>0</v>
          </cell>
          <cell r="JS15">
            <v>0</v>
          </cell>
          <cell r="JT15">
            <v>0</v>
          </cell>
          <cell r="JV15">
            <v>0</v>
          </cell>
          <cell r="JW15">
            <v>0</v>
          </cell>
          <cell r="JX15">
            <v>0</v>
          </cell>
          <cell r="JY15">
            <v>0</v>
          </cell>
          <cell r="KA15">
            <v>0</v>
          </cell>
          <cell r="KB15">
            <v>0</v>
          </cell>
          <cell r="KC15">
            <v>0</v>
          </cell>
          <cell r="KD15">
            <v>0</v>
          </cell>
          <cell r="KF15">
            <v>0</v>
          </cell>
          <cell r="KG15">
            <v>0</v>
          </cell>
          <cell r="KH15">
            <v>0</v>
          </cell>
          <cell r="KI15">
            <v>0</v>
          </cell>
          <cell r="KK15">
            <v>0</v>
          </cell>
          <cell r="KL15">
            <v>0</v>
          </cell>
          <cell r="KM15">
            <v>0</v>
          </cell>
          <cell r="KN15">
            <v>0</v>
          </cell>
          <cell r="KP15">
            <v>0</v>
          </cell>
          <cell r="KQ15">
            <v>0</v>
          </cell>
          <cell r="KR15">
            <v>0</v>
          </cell>
          <cell r="KS15">
            <v>0</v>
          </cell>
          <cell r="KU15">
            <v>0</v>
          </cell>
          <cell r="KV15">
            <v>0</v>
          </cell>
          <cell r="KW15">
            <v>0</v>
          </cell>
          <cell r="KX15">
            <v>0</v>
          </cell>
          <cell r="KZ15">
            <v>0</v>
          </cell>
          <cell r="LA15">
            <v>0</v>
          </cell>
          <cell r="LB15">
            <v>0</v>
          </cell>
          <cell r="LC15">
            <v>0</v>
          </cell>
          <cell r="LE15">
            <v>0</v>
          </cell>
          <cell r="LF15">
            <v>0</v>
          </cell>
          <cell r="LG15">
            <v>0</v>
          </cell>
          <cell r="LH15">
            <v>0</v>
          </cell>
          <cell r="LJ15">
            <v>0</v>
          </cell>
          <cell r="LK15">
            <v>0</v>
          </cell>
          <cell r="LL15">
            <v>0</v>
          </cell>
          <cell r="LM15">
            <v>0</v>
          </cell>
          <cell r="LO15">
            <v>0</v>
          </cell>
          <cell r="LP15">
            <v>0</v>
          </cell>
          <cell r="LQ15">
            <v>0</v>
          </cell>
          <cell r="LR15">
            <v>0</v>
          </cell>
          <cell r="LT15">
            <v>0</v>
          </cell>
          <cell r="LU15">
            <v>0</v>
          </cell>
          <cell r="LV15">
            <v>0</v>
          </cell>
          <cell r="LW15">
            <v>0</v>
          </cell>
          <cell r="LY15">
            <v>0</v>
          </cell>
          <cell r="LZ15">
            <v>0</v>
          </cell>
          <cell r="MA15">
            <v>0</v>
          </cell>
          <cell r="MB15">
            <v>0</v>
          </cell>
          <cell r="MD15">
            <v>0</v>
          </cell>
          <cell r="ME15">
            <v>0</v>
          </cell>
          <cell r="MF15">
            <v>0</v>
          </cell>
          <cell r="MG15">
            <v>0</v>
          </cell>
          <cell r="MI15">
            <v>0</v>
          </cell>
          <cell r="MJ15">
            <v>0</v>
          </cell>
          <cell r="MK15">
            <v>0</v>
          </cell>
          <cell r="ML15">
            <v>0</v>
          </cell>
          <cell r="MN15">
            <v>0</v>
          </cell>
          <cell r="MO15">
            <v>0</v>
          </cell>
          <cell r="MP15">
            <v>0</v>
          </cell>
          <cell r="MQ15">
            <v>0</v>
          </cell>
          <cell r="MS15">
            <v>0</v>
          </cell>
          <cell r="MT15">
            <v>0</v>
          </cell>
          <cell r="MU15">
            <v>0</v>
          </cell>
          <cell r="MV15">
            <v>0</v>
          </cell>
          <cell r="MX15">
            <v>0</v>
          </cell>
          <cell r="MY15">
            <v>0</v>
          </cell>
          <cell r="MZ15">
            <v>0</v>
          </cell>
          <cell r="NA15">
            <v>0</v>
          </cell>
          <cell r="NC15">
            <v>0</v>
          </cell>
          <cell r="ND15">
            <v>0</v>
          </cell>
          <cell r="NE15">
            <v>0</v>
          </cell>
          <cell r="NF15">
            <v>0</v>
          </cell>
          <cell r="NH15">
            <v>0</v>
          </cell>
          <cell r="NI15">
            <v>0</v>
          </cell>
          <cell r="NJ15">
            <v>0</v>
          </cell>
          <cell r="NK15">
            <v>0</v>
          </cell>
          <cell r="NM15">
            <v>0</v>
          </cell>
          <cell r="NN15">
            <v>0</v>
          </cell>
          <cell r="NO15">
            <v>0</v>
          </cell>
          <cell r="NP15">
            <v>0</v>
          </cell>
          <cell r="NR15">
            <v>0</v>
          </cell>
          <cell r="NS15">
            <v>0</v>
          </cell>
          <cell r="NT15">
            <v>0</v>
          </cell>
          <cell r="NU15">
            <v>0</v>
          </cell>
          <cell r="NW15">
            <v>0</v>
          </cell>
          <cell r="NX15">
            <v>0</v>
          </cell>
          <cell r="NY15">
            <v>0</v>
          </cell>
          <cell r="NZ15">
            <v>0</v>
          </cell>
          <cell r="OB15">
            <v>0</v>
          </cell>
          <cell r="OC15">
            <v>0</v>
          </cell>
          <cell r="OD15">
            <v>0</v>
          </cell>
          <cell r="OE15">
            <v>0</v>
          </cell>
          <cell r="OG15">
            <v>0</v>
          </cell>
          <cell r="OH15">
            <v>0</v>
          </cell>
          <cell r="OI15">
            <v>0</v>
          </cell>
          <cell r="OJ15">
            <v>0</v>
          </cell>
          <cell r="OL15">
            <v>0</v>
          </cell>
          <cell r="OM15">
            <v>0</v>
          </cell>
          <cell r="ON15">
            <v>0</v>
          </cell>
          <cell r="OO15">
            <v>0</v>
          </cell>
          <cell r="OQ15">
            <v>0</v>
          </cell>
          <cell r="OR15">
            <v>0</v>
          </cell>
          <cell r="OS15">
            <v>0</v>
          </cell>
          <cell r="OT15">
            <v>0</v>
          </cell>
          <cell r="OV15">
            <v>0</v>
          </cell>
          <cell r="OW15">
            <v>0</v>
          </cell>
          <cell r="OX15">
            <v>0</v>
          </cell>
          <cell r="OY15">
            <v>0</v>
          </cell>
          <cell r="PA15">
            <v>0</v>
          </cell>
          <cell r="PB15">
            <v>0</v>
          </cell>
          <cell r="PC15">
            <v>0</v>
          </cell>
          <cell r="PD15">
            <v>0</v>
          </cell>
          <cell r="PF15">
            <v>0</v>
          </cell>
          <cell r="PG15">
            <v>0</v>
          </cell>
          <cell r="PH15">
            <v>0</v>
          </cell>
          <cell r="PI15">
            <v>0</v>
          </cell>
          <cell r="PK15">
            <v>0</v>
          </cell>
          <cell r="PL15">
            <v>0</v>
          </cell>
          <cell r="PM15">
            <v>0</v>
          </cell>
          <cell r="PN15">
            <v>0</v>
          </cell>
          <cell r="PP15">
            <v>0</v>
          </cell>
          <cell r="PQ15">
            <v>0</v>
          </cell>
          <cell r="PR15">
            <v>0</v>
          </cell>
          <cell r="PS15">
            <v>0</v>
          </cell>
          <cell r="PU15">
            <v>0</v>
          </cell>
          <cell r="PV15">
            <v>0</v>
          </cell>
          <cell r="PW15">
            <v>0</v>
          </cell>
          <cell r="PX15">
            <v>0</v>
          </cell>
          <cell r="PZ15">
            <v>0</v>
          </cell>
          <cell r="QA15">
            <v>0</v>
          </cell>
          <cell r="QB15">
            <v>0</v>
          </cell>
          <cell r="QC15">
            <v>0</v>
          </cell>
          <cell r="QE15">
            <v>0</v>
          </cell>
          <cell r="QF15">
            <v>0</v>
          </cell>
          <cell r="QG15">
            <v>0</v>
          </cell>
          <cell r="QH15">
            <v>0</v>
          </cell>
          <cell r="QJ15">
            <v>0</v>
          </cell>
          <cell r="QK15">
            <v>0</v>
          </cell>
          <cell r="QL15">
            <v>0</v>
          </cell>
          <cell r="QM15">
            <v>0</v>
          </cell>
          <cell r="QO15">
            <v>0</v>
          </cell>
          <cell r="QP15">
            <v>0</v>
          </cell>
          <cell r="QQ15">
            <v>0</v>
          </cell>
          <cell r="QR15">
            <v>0</v>
          </cell>
          <cell r="QT15">
            <v>0</v>
          </cell>
          <cell r="QU15">
            <v>0</v>
          </cell>
          <cell r="QV15">
            <v>0</v>
          </cell>
          <cell r="QW15">
            <v>0</v>
          </cell>
          <cell r="QY15">
            <v>0</v>
          </cell>
          <cell r="QZ15">
            <v>0</v>
          </cell>
          <cell r="RA15">
            <v>0</v>
          </cell>
          <cell r="RB15">
            <v>0</v>
          </cell>
          <cell r="RD15">
            <v>0</v>
          </cell>
          <cell r="RE15">
            <v>0</v>
          </cell>
          <cell r="RF15">
            <v>0</v>
          </cell>
          <cell r="RG15">
            <v>0</v>
          </cell>
          <cell r="RI15">
            <v>0</v>
          </cell>
          <cell r="RJ15">
            <v>0</v>
          </cell>
          <cell r="RK15">
            <v>0</v>
          </cell>
          <cell r="RL15">
            <v>0</v>
          </cell>
          <cell r="RN15">
            <v>0</v>
          </cell>
          <cell r="RO15">
            <v>0</v>
          </cell>
          <cell r="RP15">
            <v>0</v>
          </cell>
          <cell r="RQ15">
            <v>0</v>
          </cell>
          <cell r="RS15">
            <v>0</v>
          </cell>
          <cell r="RT15">
            <v>0</v>
          </cell>
          <cell r="RU15">
            <v>0</v>
          </cell>
          <cell r="RV15">
            <v>0</v>
          </cell>
          <cell r="RX15">
            <v>0</v>
          </cell>
          <cell r="RY15">
            <v>0</v>
          </cell>
          <cell r="RZ15">
            <v>0</v>
          </cell>
          <cell r="SA15">
            <v>0</v>
          </cell>
          <cell r="SC15">
            <v>0</v>
          </cell>
          <cell r="SD15">
            <v>0</v>
          </cell>
          <cell r="SE15">
            <v>0</v>
          </cell>
          <cell r="SF15">
            <v>0</v>
          </cell>
          <cell r="SH15">
            <v>0</v>
          </cell>
          <cell r="SI15">
            <v>0</v>
          </cell>
          <cell r="SJ15">
            <v>0</v>
          </cell>
          <cell r="SK15">
            <v>0</v>
          </cell>
          <cell r="SM15">
            <v>0</v>
          </cell>
          <cell r="SN15">
            <v>0</v>
          </cell>
          <cell r="SO15">
            <v>0</v>
          </cell>
          <cell r="SP15">
            <v>0</v>
          </cell>
          <cell r="SR15">
            <v>0</v>
          </cell>
          <cell r="SS15">
            <v>0</v>
          </cell>
          <cell r="ST15">
            <v>0</v>
          </cell>
          <cell r="SU15">
            <v>0</v>
          </cell>
          <cell r="SW15">
            <v>0</v>
          </cell>
          <cell r="SX15">
            <v>0</v>
          </cell>
          <cell r="SY15">
            <v>0</v>
          </cell>
          <cell r="SZ15">
            <v>0</v>
          </cell>
          <cell r="TB15">
            <v>0</v>
          </cell>
          <cell r="TC15">
            <v>0</v>
          </cell>
          <cell r="TD15">
            <v>0</v>
          </cell>
          <cell r="TE15">
            <v>0</v>
          </cell>
          <cell r="TG15">
            <v>0</v>
          </cell>
          <cell r="TH15">
            <v>0</v>
          </cell>
          <cell r="TI15">
            <v>0</v>
          </cell>
          <cell r="TJ15">
            <v>0</v>
          </cell>
          <cell r="TL15">
            <v>0</v>
          </cell>
          <cell r="TM15">
            <v>0</v>
          </cell>
          <cell r="TN15">
            <v>0</v>
          </cell>
          <cell r="TO15">
            <v>0</v>
          </cell>
          <cell r="TQ15">
            <v>0</v>
          </cell>
          <cell r="TR15">
            <v>0</v>
          </cell>
          <cell r="TS15">
            <v>0</v>
          </cell>
          <cell r="TT15">
            <v>0</v>
          </cell>
          <cell r="TV15">
            <v>0</v>
          </cell>
          <cell r="TW15">
            <v>0</v>
          </cell>
          <cell r="TX15">
            <v>0</v>
          </cell>
          <cell r="TY15">
            <v>0</v>
          </cell>
          <cell r="UA15">
            <v>0</v>
          </cell>
          <cell r="UB15">
            <v>0</v>
          </cell>
          <cell r="UC15">
            <v>0</v>
          </cell>
          <cell r="UD15">
            <v>0</v>
          </cell>
          <cell r="UF15">
            <v>0</v>
          </cell>
          <cell r="UG15">
            <v>0</v>
          </cell>
          <cell r="UH15">
            <v>0</v>
          </cell>
          <cell r="UI15">
            <v>0</v>
          </cell>
          <cell r="UK15">
            <v>0</v>
          </cell>
          <cell r="UL15">
            <v>0</v>
          </cell>
          <cell r="UM15">
            <v>0</v>
          </cell>
          <cell r="UN15">
            <v>0</v>
          </cell>
          <cell r="UP15">
            <v>0</v>
          </cell>
          <cell r="UQ15">
            <v>0</v>
          </cell>
          <cell r="UR15">
            <v>0</v>
          </cell>
          <cell r="US15">
            <v>0</v>
          </cell>
          <cell r="UU15">
            <v>0</v>
          </cell>
          <cell r="UV15">
            <v>0</v>
          </cell>
          <cell r="UW15">
            <v>0</v>
          </cell>
          <cell r="UX15">
            <v>0</v>
          </cell>
          <cell r="UZ15">
            <v>0</v>
          </cell>
          <cell r="VA15">
            <v>0</v>
          </cell>
          <cell r="VB15">
            <v>0</v>
          </cell>
          <cell r="VC15">
            <v>0</v>
          </cell>
          <cell r="VE15">
            <v>0</v>
          </cell>
          <cell r="VF15">
            <v>0</v>
          </cell>
          <cell r="VG15">
            <v>0</v>
          </cell>
          <cell r="VH15">
            <v>0</v>
          </cell>
          <cell r="VJ15">
            <v>0</v>
          </cell>
          <cell r="VK15">
            <v>0</v>
          </cell>
          <cell r="VL15">
            <v>0</v>
          </cell>
          <cell r="VM15">
            <v>0</v>
          </cell>
          <cell r="VO15">
            <v>0</v>
          </cell>
          <cell r="VP15">
            <v>0</v>
          </cell>
          <cell r="VQ15">
            <v>0</v>
          </cell>
          <cell r="VR15">
            <v>0</v>
          </cell>
          <cell r="VT15">
            <v>0</v>
          </cell>
          <cell r="VU15">
            <v>0</v>
          </cell>
          <cell r="VV15">
            <v>0</v>
          </cell>
          <cell r="VW15">
            <v>0</v>
          </cell>
          <cell r="VY15">
            <v>0</v>
          </cell>
          <cell r="VZ15">
            <v>0</v>
          </cell>
          <cell r="WA15">
            <v>0</v>
          </cell>
          <cell r="WB15">
            <v>0</v>
          </cell>
          <cell r="WD15">
            <v>0</v>
          </cell>
          <cell r="WE15">
            <v>0</v>
          </cell>
          <cell r="WF15">
            <v>0</v>
          </cell>
          <cell r="WG15">
            <v>0</v>
          </cell>
          <cell r="WI15">
            <v>0</v>
          </cell>
          <cell r="WJ15">
            <v>0</v>
          </cell>
          <cell r="WK15">
            <v>0</v>
          </cell>
          <cell r="WL15">
            <v>0</v>
          </cell>
          <cell r="WN15">
            <v>0</v>
          </cell>
          <cell r="WO15">
            <v>0</v>
          </cell>
          <cell r="WP15">
            <v>0</v>
          </cell>
          <cell r="WQ15">
            <v>0</v>
          </cell>
          <cell r="WS15">
            <v>0</v>
          </cell>
          <cell r="WT15">
            <v>0</v>
          </cell>
          <cell r="WU15">
            <v>0</v>
          </cell>
          <cell r="WV15">
            <v>0</v>
          </cell>
          <cell r="WX15">
            <v>0</v>
          </cell>
          <cell r="WY15">
            <v>0</v>
          </cell>
          <cell r="WZ15">
            <v>0</v>
          </cell>
          <cell r="XA15">
            <v>0</v>
          </cell>
          <cell r="XC15">
            <v>0</v>
          </cell>
          <cell r="XD15">
            <v>0</v>
          </cell>
          <cell r="XE15">
            <v>0</v>
          </cell>
          <cell r="XF15">
            <v>0</v>
          </cell>
          <cell r="XH15">
            <v>0</v>
          </cell>
          <cell r="XI15">
            <v>0</v>
          </cell>
          <cell r="XJ15">
            <v>0</v>
          </cell>
          <cell r="XK15">
            <v>0</v>
          </cell>
          <cell r="XM15">
            <v>0</v>
          </cell>
          <cell r="XN15">
            <v>0</v>
          </cell>
          <cell r="XO15">
            <v>0</v>
          </cell>
          <cell r="XP15">
            <v>0</v>
          </cell>
          <cell r="XR15">
            <v>0</v>
          </cell>
          <cell r="XS15">
            <v>0</v>
          </cell>
          <cell r="XT15">
            <v>0</v>
          </cell>
          <cell r="XU15">
            <v>0</v>
          </cell>
          <cell r="XW15">
            <v>0</v>
          </cell>
          <cell r="XX15">
            <v>0</v>
          </cell>
          <cell r="XY15">
            <v>0</v>
          </cell>
          <cell r="XZ15">
            <v>0</v>
          </cell>
          <cell r="YB15">
            <v>0</v>
          </cell>
          <cell r="YC15">
            <v>0</v>
          </cell>
          <cell r="YD15">
            <v>0</v>
          </cell>
          <cell r="YE15">
            <v>0</v>
          </cell>
        </row>
        <row r="16">
          <cell r="A16">
            <v>6</v>
          </cell>
          <cell r="B16" t="str">
            <v>刨除與運棄既有跑道面層，刨除AC面層1~3公分，破損處補平</v>
          </cell>
          <cell r="C16" t="str">
            <v>式</v>
          </cell>
          <cell r="D16">
            <v>1</v>
          </cell>
          <cell r="E16">
            <v>158928</v>
          </cell>
          <cell r="F16">
            <v>158928</v>
          </cell>
          <cell r="G16">
            <v>3.61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0.1</v>
          </cell>
          <cell r="AA16">
            <v>0.1</v>
          </cell>
          <cell r="AB16">
            <v>15892.8</v>
          </cell>
          <cell r="AC16">
            <v>0.36</v>
          </cell>
          <cell r="AD16">
            <v>0.36</v>
          </cell>
          <cell r="AE16">
            <v>0.1</v>
          </cell>
          <cell r="AF16">
            <v>0.2</v>
          </cell>
          <cell r="AG16">
            <v>15892.8</v>
          </cell>
          <cell r="AH16">
            <v>0.36</v>
          </cell>
          <cell r="AI16">
            <v>0.72</v>
          </cell>
          <cell r="AK16">
            <v>0.2</v>
          </cell>
          <cell r="AL16">
            <v>0</v>
          </cell>
          <cell r="AM16">
            <v>0</v>
          </cell>
          <cell r="AN16">
            <v>0.72</v>
          </cell>
          <cell r="AO16">
            <v>0.1</v>
          </cell>
          <cell r="AP16">
            <v>0.30000000000000004</v>
          </cell>
          <cell r="AQ16">
            <v>15892.8</v>
          </cell>
          <cell r="AR16">
            <v>0.36</v>
          </cell>
          <cell r="AS16">
            <v>1.08</v>
          </cell>
          <cell r="AT16">
            <v>0.1</v>
          </cell>
          <cell r="AU16">
            <v>0.4</v>
          </cell>
          <cell r="AV16">
            <v>15892.8</v>
          </cell>
          <cell r="AW16">
            <v>0.36</v>
          </cell>
          <cell r="AX16">
            <v>1.44</v>
          </cell>
          <cell r="AZ16">
            <v>0.4</v>
          </cell>
          <cell r="BA16">
            <v>0</v>
          </cell>
          <cell r="BB16">
            <v>0</v>
          </cell>
          <cell r="BC16">
            <v>1.44</v>
          </cell>
          <cell r="BE16">
            <v>0.4</v>
          </cell>
          <cell r="BF16">
            <v>0</v>
          </cell>
          <cell r="BG16">
            <v>0</v>
          </cell>
          <cell r="BH16">
            <v>1.44</v>
          </cell>
          <cell r="BI16">
            <v>0.1</v>
          </cell>
          <cell r="BJ16">
            <v>0.5</v>
          </cell>
          <cell r="BK16">
            <v>15892.8</v>
          </cell>
          <cell r="BL16">
            <v>0.36</v>
          </cell>
          <cell r="BM16">
            <v>1.7999999999999998</v>
          </cell>
          <cell r="BN16">
            <v>0.1</v>
          </cell>
          <cell r="BO16">
            <v>0.6</v>
          </cell>
          <cell r="BP16">
            <v>15892.8</v>
          </cell>
          <cell r="BQ16">
            <v>0.36</v>
          </cell>
          <cell r="BR16">
            <v>2.1599999999999997</v>
          </cell>
          <cell r="BT16">
            <v>0.6</v>
          </cell>
          <cell r="BU16">
            <v>0</v>
          </cell>
          <cell r="BV16">
            <v>0</v>
          </cell>
          <cell r="BW16">
            <v>2.1599999999999997</v>
          </cell>
          <cell r="BY16">
            <v>0.6</v>
          </cell>
          <cell r="BZ16">
            <v>0</v>
          </cell>
          <cell r="CA16">
            <v>0</v>
          </cell>
          <cell r="CB16">
            <v>2.1599999999999997</v>
          </cell>
          <cell r="CD16">
            <v>0.6</v>
          </cell>
          <cell r="CE16">
            <v>0</v>
          </cell>
          <cell r="CF16">
            <v>0</v>
          </cell>
          <cell r="CG16">
            <v>2.1599999999999997</v>
          </cell>
          <cell r="CH16">
            <v>0.1</v>
          </cell>
          <cell r="CI16">
            <v>0.7</v>
          </cell>
          <cell r="CJ16">
            <v>15892.8</v>
          </cell>
          <cell r="CK16">
            <v>0.36</v>
          </cell>
          <cell r="CL16">
            <v>2.5199999999999996</v>
          </cell>
          <cell r="CN16">
            <v>0.7</v>
          </cell>
          <cell r="CO16">
            <v>0</v>
          </cell>
          <cell r="CP16">
            <v>0</v>
          </cell>
          <cell r="CQ16">
            <v>2.5199999999999996</v>
          </cell>
          <cell r="CS16">
            <v>0.7</v>
          </cell>
          <cell r="CT16">
            <v>0</v>
          </cell>
          <cell r="CU16">
            <v>0</v>
          </cell>
          <cell r="CV16">
            <v>2.5199999999999996</v>
          </cell>
          <cell r="CW16">
            <v>0.1</v>
          </cell>
          <cell r="CX16">
            <v>0.79999999999999993</v>
          </cell>
          <cell r="CY16">
            <v>15892.8</v>
          </cell>
          <cell r="CZ16">
            <v>0.36</v>
          </cell>
          <cell r="DA16">
            <v>2.8799999999999994</v>
          </cell>
          <cell r="DC16">
            <v>0.79999999999999993</v>
          </cell>
          <cell r="DD16">
            <v>0</v>
          </cell>
          <cell r="DE16">
            <v>0</v>
          </cell>
          <cell r="DF16">
            <v>2.8799999999999994</v>
          </cell>
          <cell r="DH16">
            <v>0.79999999999999993</v>
          </cell>
          <cell r="DI16">
            <v>0</v>
          </cell>
          <cell r="DJ16">
            <v>0</v>
          </cell>
          <cell r="DK16">
            <v>2.8799999999999994</v>
          </cell>
          <cell r="DM16">
            <v>0.79999999999999993</v>
          </cell>
          <cell r="DN16">
            <v>0</v>
          </cell>
          <cell r="DO16">
            <v>0</v>
          </cell>
          <cell r="DP16">
            <v>2.8799999999999994</v>
          </cell>
          <cell r="DR16">
            <v>0.79999999999999993</v>
          </cell>
          <cell r="DS16">
            <v>0</v>
          </cell>
          <cell r="DT16">
            <v>0</v>
          </cell>
          <cell r="DU16">
            <v>2.8799999999999994</v>
          </cell>
          <cell r="DW16">
            <v>0.79999999999999993</v>
          </cell>
          <cell r="DX16">
            <v>0</v>
          </cell>
          <cell r="DY16">
            <v>0</v>
          </cell>
          <cell r="DZ16">
            <v>2.8799999999999994</v>
          </cell>
          <cell r="EB16">
            <v>0.79999999999999993</v>
          </cell>
          <cell r="EC16">
            <v>0</v>
          </cell>
          <cell r="ED16">
            <v>0</v>
          </cell>
          <cell r="EE16">
            <v>2.8799999999999994</v>
          </cell>
          <cell r="EG16">
            <v>0.79999999999999993</v>
          </cell>
          <cell r="EH16">
            <v>0</v>
          </cell>
          <cell r="EI16">
            <v>0</v>
          </cell>
          <cell r="EJ16">
            <v>2.8799999999999994</v>
          </cell>
          <cell r="EL16">
            <v>0.79999999999999993</v>
          </cell>
          <cell r="EM16">
            <v>0</v>
          </cell>
          <cell r="EN16">
            <v>0</v>
          </cell>
          <cell r="EO16">
            <v>2.8799999999999994</v>
          </cell>
          <cell r="EP16">
            <v>0.2</v>
          </cell>
          <cell r="EQ16">
            <v>1</v>
          </cell>
          <cell r="ER16">
            <v>31785.599999999999</v>
          </cell>
          <cell r="ES16">
            <v>0.73000000000000043</v>
          </cell>
          <cell r="ET16">
            <v>3.61</v>
          </cell>
          <cell r="EV16">
            <v>1</v>
          </cell>
          <cell r="EW16">
            <v>0</v>
          </cell>
          <cell r="EX16">
            <v>0</v>
          </cell>
          <cell r="EY16">
            <v>3.61</v>
          </cell>
          <cell r="FA16">
            <v>1</v>
          </cell>
          <cell r="FB16">
            <v>0</v>
          </cell>
          <cell r="FC16">
            <v>0</v>
          </cell>
          <cell r="FD16">
            <v>3.61</v>
          </cell>
          <cell r="FF16">
            <v>1</v>
          </cell>
          <cell r="FG16">
            <v>0</v>
          </cell>
          <cell r="FH16">
            <v>0</v>
          </cell>
          <cell r="FI16">
            <v>3.61</v>
          </cell>
          <cell r="FK16">
            <v>1</v>
          </cell>
          <cell r="FL16">
            <v>0</v>
          </cell>
          <cell r="FM16">
            <v>0</v>
          </cell>
          <cell r="FN16">
            <v>3.61</v>
          </cell>
          <cell r="FP16">
            <v>1</v>
          </cell>
          <cell r="FQ16">
            <v>0</v>
          </cell>
          <cell r="FR16">
            <v>0</v>
          </cell>
          <cell r="FS16">
            <v>3.61</v>
          </cell>
          <cell r="FU16">
            <v>1</v>
          </cell>
          <cell r="FV16">
            <v>0</v>
          </cell>
          <cell r="FW16">
            <v>0</v>
          </cell>
          <cell r="FX16">
            <v>3.61</v>
          </cell>
          <cell r="FZ16">
            <v>1</v>
          </cell>
          <cell r="GA16">
            <v>0</v>
          </cell>
          <cell r="GB16">
            <v>0</v>
          </cell>
          <cell r="GC16">
            <v>3.61</v>
          </cell>
          <cell r="GE16">
            <v>1</v>
          </cell>
          <cell r="GF16">
            <v>0</v>
          </cell>
          <cell r="GG16">
            <v>0</v>
          </cell>
          <cell r="GH16">
            <v>3.61</v>
          </cell>
          <cell r="GJ16">
            <v>1</v>
          </cell>
          <cell r="GK16">
            <v>0</v>
          </cell>
          <cell r="GL16">
            <v>0</v>
          </cell>
          <cell r="GM16">
            <v>3.61</v>
          </cell>
          <cell r="GO16">
            <v>1</v>
          </cell>
          <cell r="GP16">
            <v>0</v>
          </cell>
          <cell r="GQ16">
            <v>0</v>
          </cell>
          <cell r="GR16">
            <v>3.61</v>
          </cell>
          <cell r="GT16">
            <v>1</v>
          </cell>
          <cell r="GU16">
            <v>0</v>
          </cell>
          <cell r="GV16">
            <v>0</v>
          </cell>
          <cell r="GW16">
            <v>3.61</v>
          </cell>
          <cell r="GY16">
            <v>1</v>
          </cell>
          <cell r="GZ16">
            <v>0</v>
          </cell>
          <cell r="HA16">
            <v>0</v>
          </cell>
          <cell r="HB16">
            <v>3.61</v>
          </cell>
          <cell r="HD16">
            <v>1</v>
          </cell>
          <cell r="HE16">
            <v>0</v>
          </cell>
          <cell r="HF16">
            <v>0</v>
          </cell>
          <cell r="HG16">
            <v>3.61</v>
          </cell>
          <cell r="HI16">
            <v>1</v>
          </cell>
          <cell r="HJ16">
            <v>0</v>
          </cell>
          <cell r="HK16">
            <v>0</v>
          </cell>
          <cell r="HL16">
            <v>3.61</v>
          </cell>
          <cell r="HN16">
            <v>1</v>
          </cell>
          <cell r="HO16">
            <v>0</v>
          </cell>
          <cell r="HP16">
            <v>0</v>
          </cell>
          <cell r="HQ16">
            <v>3.61</v>
          </cell>
          <cell r="HS16">
            <v>1</v>
          </cell>
          <cell r="HT16">
            <v>0</v>
          </cell>
          <cell r="HU16">
            <v>0</v>
          </cell>
          <cell r="HV16">
            <v>3.61</v>
          </cell>
          <cell r="HX16">
            <v>1</v>
          </cell>
          <cell r="HY16">
            <v>0</v>
          </cell>
          <cell r="HZ16">
            <v>0</v>
          </cell>
          <cell r="IA16">
            <v>3.61</v>
          </cell>
          <cell r="IC16">
            <v>1</v>
          </cell>
          <cell r="ID16">
            <v>0</v>
          </cell>
          <cell r="IE16">
            <v>0</v>
          </cell>
          <cell r="IF16">
            <v>3.61</v>
          </cell>
          <cell r="IH16">
            <v>1</v>
          </cell>
          <cell r="II16">
            <v>0</v>
          </cell>
          <cell r="IJ16">
            <v>0</v>
          </cell>
          <cell r="IK16">
            <v>3.61</v>
          </cell>
          <cell r="IM16">
            <v>1</v>
          </cell>
          <cell r="IN16">
            <v>0</v>
          </cell>
          <cell r="IO16">
            <v>0</v>
          </cell>
          <cell r="IP16">
            <v>3.61</v>
          </cell>
          <cell r="IR16">
            <v>1</v>
          </cell>
          <cell r="IS16">
            <v>0</v>
          </cell>
          <cell r="IT16">
            <v>0</v>
          </cell>
          <cell r="IU16">
            <v>3.61</v>
          </cell>
          <cell r="IW16">
            <v>1</v>
          </cell>
          <cell r="IX16">
            <v>0</v>
          </cell>
          <cell r="IY16">
            <v>0</v>
          </cell>
          <cell r="IZ16">
            <v>3.61</v>
          </cell>
          <cell r="JB16">
            <v>1</v>
          </cell>
          <cell r="JC16">
            <v>0</v>
          </cell>
          <cell r="JD16">
            <v>0</v>
          </cell>
          <cell r="JE16">
            <v>3.61</v>
          </cell>
          <cell r="JG16">
            <v>1</v>
          </cell>
          <cell r="JH16">
            <v>0</v>
          </cell>
          <cell r="JI16">
            <v>0</v>
          </cell>
          <cell r="JJ16">
            <v>3.61</v>
          </cell>
          <cell r="JL16">
            <v>1</v>
          </cell>
          <cell r="JM16">
            <v>0</v>
          </cell>
          <cell r="JN16">
            <v>0</v>
          </cell>
          <cell r="JO16">
            <v>3.61</v>
          </cell>
          <cell r="JQ16">
            <v>1</v>
          </cell>
          <cell r="JR16">
            <v>0</v>
          </cell>
          <cell r="JS16">
            <v>0</v>
          </cell>
          <cell r="JT16">
            <v>3.61</v>
          </cell>
          <cell r="JV16">
            <v>1</v>
          </cell>
          <cell r="JW16">
            <v>0</v>
          </cell>
          <cell r="JX16">
            <v>0</v>
          </cell>
          <cell r="JY16">
            <v>3.61</v>
          </cell>
          <cell r="KA16">
            <v>1</v>
          </cell>
          <cell r="KB16">
            <v>0</v>
          </cell>
          <cell r="KC16">
            <v>0</v>
          </cell>
          <cell r="KD16">
            <v>3.61</v>
          </cell>
          <cell r="KF16">
            <v>1</v>
          </cell>
          <cell r="KG16">
            <v>0</v>
          </cell>
          <cell r="KH16">
            <v>0</v>
          </cell>
          <cell r="KI16">
            <v>3.61</v>
          </cell>
          <cell r="KK16">
            <v>1</v>
          </cell>
          <cell r="KL16">
            <v>0</v>
          </cell>
          <cell r="KM16">
            <v>0</v>
          </cell>
          <cell r="KN16">
            <v>3.61</v>
          </cell>
          <cell r="KP16">
            <v>1</v>
          </cell>
          <cell r="KQ16">
            <v>0</v>
          </cell>
          <cell r="KR16">
            <v>0</v>
          </cell>
          <cell r="KS16">
            <v>3.61</v>
          </cell>
          <cell r="KU16">
            <v>1</v>
          </cell>
          <cell r="KV16">
            <v>0</v>
          </cell>
          <cell r="KW16">
            <v>0</v>
          </cell>
          <cell r="KX16">
            <v>3.61</v>
          </cell>
          <cell r="KZ16">
            <v>1</v>
          </cell>
          <cell r="LA16">
            <v>0</v>
          </cell>
          <cell r="LB16">
            <v>0</v>
          </cell>
          <cell r="LC16">
            <v>3.61</v>
          </cell>
          <cell r="LE16">
            <v>1</v>
          </cell>
          <cell r="LF16">
            <v>0</v>
          </cell>
          <cell r="LG16">
            <v>0</v>
          </cell>
          <cell r="LH16">
            <v>3.61</v>
          </cell>
          <cell r="LJ16">
            <v>1</v>
          </cell>
          <cell r="LK16">
            <v>0</v>
          </cell>
          <cell r="LL16">
            <v>0</v>
          </cell>
          <cell r="LM16">
            <v>3.61</v>
          </cell>
          <cell r="LO16">
            <v>1</v>
          </cell>
          <cell r="LP16">
            <v>0</v>
          </cell>
          <cell r="LQ16">
            <v>0</v>
          </cell>
          <cell r="LR16">
            <v>3.61</v>
          </cell>
          <cell r="LT16">
            <v>1</v>
          </cell>
          <cell r="LU16">
            <v>0</v>
          </cell>
          <cell r="LV16">
            <v>0</v>
          </cell>
          <cell r="LW16">
            <v>3.61</v>
          </cell>
          <cell r="LY16">
            <v>1</v>
          </cell>
          <cell r="LZ16">
            <v>0</v>
          </cell>
          <cell r="MA16">
            <v>0</v>
          </cell>
          <cell r="MB16">
            <v>3.61</v>
          </cell>
          <cell r="MD16">
            <v>1</v>
          </cell>
          <cell r="ME16">
            <v>0</v>
          </cell>
          <cell r="MF16">
            <v>0</v>
          </cell>
          <cell r="MG16">
            <v>3.61</v>
          </cell>
          <cell r="MI16">
            <v>1</v>
          </cell>
          <cell r="MJ16">
            <v>0</v>
          </cell>
          <cell r="MK16">
            <v>0</v>
          </cell>
          <cell r="ML16">
            <v>3.61</v>
          </cell>
          <cell r="MN16">
            <v>1</v>
          </cell>
          <cell r="MO16">
            <v>0</v>
          </cell>
          <cell r="MP16">
            <v>0</v>
          </cell>
          <cell r="MQ16">
            <v>3.61</v>
          </cell>
          <cell r="MS16">
            <v>1</v>
          </cell>
          <cell r="MT16">
            <v>0</v>
          </cell>
          <cell r="MU16">
            <v>0</v>
          </cell>
          <cell r="MV16">
            <v>3.61</v>
          </cell>
          <cell r="MX16">
            <v>1</v>
          </cell>
          <cell r="MY16">
            <v>0</v>
          </cell>
          <cell r="MZ16">
            <v>0</v>
          </cell>
          <cell r="NA16">
            <v>3.61</v>
          </cell>
          <cell r="NC16">
            <v>1</v>
          </cell>
          <cell r="ND16">
            <v>0</v>
          </cell>
          <cell r="NE16">
            <v>0</v>
          </cell>
          <cell r="NF16">
            <v>3.61</v>
          </cell>
          <cell r="NH16">
            <v>1</v>
          </cell>
          <cell r="NI16">
            <v>0</v>
          </cell>
          <cell r="NJ16">
            <v>0</v>
          </cell>
          <cell r="NK16">
            <v>3.61</v>
          </cell>
          <cell r="NM16">
            <v>1</v>
          </cell>
          <cell r="NN16">
            <v>0</v>
          </cell>
          <cell r="NO16">
            <v>0</v>
          </cell>
          <cell r="NP16">
            <v>3.61</v>
          </cell>
          <cell r="NR16">
            <v>1</v>
          </cell>
          <cell r="NS16">
            <v>0</v>
          </cell>
          <cell r="NT16">
            <v>0</v>
          </cell>
          <cell r="NU16">
            <v>3.61</v>
          </cell>
          <cell r="NW16">
            <v>1</v>
          </cell>
          <cell r="NX16">
            <v>0</v>
          </cell>
          <cell r="NY16">
            <v>0</v>
          </cell>
          <cell r="NZ16">
            <v>3.61</v>
          </cell>
          <cell r="OB16">
            <v>1</v>
          </cell>
          <cell r="OC16">
            <v>0</v>
          </cell>
          <cell r="OD16">
            <v>0</v>
          </cell>
          <cell r="OE16">
            <v>3.61</v>
          </cell>
          <cell r="OG16">
            <v>1</v>
          </cell>
          <cell r="OH16">
            <v>0</v>
          </cell>
          <cell r="OI16">
            <v>0</v>
          </cell>
          <cell r="OJ16">
            <v>3.61</v>
          </cell>
          <cell r="OL16">
            <v>1</v>
          </cell>
          <cell r="OM16">
            <v>0</v>
          </cell>
          <cell r="ON16">
            <v>0</v>
          </cell>
          <cell r="OO16">
            <v>3.61</v>
          </cell>
          <cell r="OQ16">
            <v>1</v>
          </cell>
          <cell r="OR16">
            <v>0</v>
          </cell>
          <cell r="OS16">
            <v>0</v>
          </cell>
          <cell r="OT16">
            <v>3.61</v>
          </cell>
          <cell r="OV16">
            <v>1</v>
          </cell>
          <cell r="OW16">
            <v>0</v>
          </cell>
          <cell r="OX16">
            <v>0</v>
          </cell>
          <cell r="OY16">
            <v>3.61</v>
          </cell>
          <cell r="PA16">
            <v>1</v>
          </cell>
          <cell r="PB16">
            <v>0</v>
          </cell>
          <cell r="PC16">
            <v>0</v>
          </cell>
          <cell r="PD16">
            <v>3.61</v>
          </cell>
          <cell r="PF16">
            <v>1</v>
          </cell>
          <cell r="PG16">
            <v>0</v>
          </cell>
          <cell r="PH16">
            <v>0</v>
          </cell>
          <cell r="PI16">
            <v>3.61</v>
          </cell>
          <cell r="PK16">
            <v>1</v>
          </cell>
          <cell r="PL16">
            <v>0</v>
          </cell>
          <cell r="PM16">
            <v>0</v>
          </cell>
          <cell r="PN16">
            <v>3.61</v>
          </cell>
          <cell r="PP16">
            <v>1</v>
          </cell>
          <cell r="PQ16">
            <v>0</v>
          </cell>
          <cell r="PR16">
            <v>0</v>
          </cell>
          <cell r="PS16">
            <v>3.61</v>
          </cell>
          <cell r="PU16">
            <v>1</v>
          </cell>
          <cell r="PV16">
            <v>0</v>
          </cell>
          <cell r="PW16">
            <v>0</v>
          </cell>
          <cell r="PX16">
            <v>3.61</v>
          </cell>
          <cell r="PZ16">
            <v>1</v>
          </cell>
          <cell r="QA16">
            <v>0</v>
          </cell>
          <cell r="QB16">
            <v>0</v>
          </cell>
          <cell r="QC16">
            <v>3.61</v>
          </cell>
          <cell r="QE16">
            <v>1</v>
          </cell>
          <cell r="QF16">
            <v>0</v>
          </cell>
          <cell r="QG16">
            <v>0</v>
          </cell>
          <cell r="QH16">
            <v>3.61</v>
          </cell>
          <cell r="QJ16">
            <v>1</v>
          </cell>
          <cell r="QK16">
            <v>0</v>
          </cell>
          <cell r="QL16">
            <v>0</v>
          </cell>
          <cell r="QM16">
            <v>3.61</v>
          </cell>
          <cell r="QO16">
            <v>1</v>
          </cell>
          <cell r="QP16">
            <v>0</v>
          </cell>
          <cell r="QQ16">
            <v>0</v>
          </cell>
          <cell r="QR16">
            <v>3.61</v>
          </cell>
          <cell r="QT16">
            <v>1</v>
          </cell>
          <cell r="QU16">
            <v>0</v>
          </cell>
          <cell r="QV16">
            <v>0</v>
          </cell>
          <cell r="QW16">
            <v>3.61</v>
          </cell>
          <cell r="QY16">
            <v>1</v>
          </cell>
          <cell r="QZ16">
            <v>0</v>
          </cell>
          <cell r="RA16">
            <v>0</v>
          </cell>
          <cell r="RB16">
            <v>3.61</v>
          </cell>
          <cell r="RD16">
            <v>1</v>
          </cell>
          <cell r="RE16">
            <v>0</v>
          </cell>
          <cell r="RF16">
            <v>0</v>
          </cell>
          <cell r="RG16">
            <v>3.61</v>
          </cell>
          <cell r="RI16">
            <v>1</v>
          </cell>
          <cell r="RJ16">
            <v>0</v>
          </cell>
          <cell r="RK16">
            <v>0</v>
          </cell>
          <cell r="RL16">
            <v>3.61</v>
          </cell>
          <cell r="RN16">
            <v>1</v>
          </cell>
          <cell r="RO16">
            <v>0</v>
          </cell>
          <cell r="RP16">
            <v>0</v>
          </cell>
          <cell r="RQ16">
            <v>3.61</v>
          </cell>
          <cell r="RS16">
            <v>1</v>
          </cell>
          <cell r="RT16">
            <v>0</v>
          </cell>
          <cell r="RU16">
            <v>0</v>
          </cell>
          <cell r="RV16">
            <v>3.61</v>
          </cell>
          <cell r="RX16">
            <v>1</v>
          </cell>
          <cell r="RY16">
            <v>0</v>
          </cell>
          <cell r="RZ16">
            <v>0</v>
          </cell>
          <cell r="SA16">
            <v>3.61</v>
          </cell>
          <cell r="SC16">
            <v>1</v>
          </cell>
          <cell r="SD16">
            <v>0</v>
          </cell>
          <cell r="SE16">
            <v>0</v>
          </cell>
          <cell r="SF16">
            <v>3.61</v>
          </cell>
          <cell r="SH16">
            <v>1</v>
          </cell>
          <cell r="SI16">
            <v>0</v>
          </cell>
          <cell r="SJ16">
            <v>0</v>
          </cell>
          <cell r="SK16">
            <v>3.61</v>
          </cell>
          <cell r="SM16">
            <v>1</v>
          </cell>
          <cell r="SN16">
            <v>0</v>
          </cell>
          <cell r="SO16">
            <v>0</v>
          </cell>
          <cell r="SP16">
            <v>3.61</v>
          </cell>
          <cell r="SR16">
            <v>1</v>
          </cell>
          <cell r="SS16">
            <v>0</v>
          </cell>
          <cell r="ST16">
            <v>0</v>
          </cell>
          <cell r="SU16">
            <v>3.61</v>
          </cell>
          <cell r="SW16">
            <v>1</v>
          </cell>
          <cell r="SX16">
            <v>0</v>
          </cell>
          <cell r="SY16">
            <v>0</v>
          </cell>
          <cell r="SZ16">
            <v>3.61</v>
          </cell>
          <cell r="TB16">
            <v>1</v>
          </cell>
          <cell r="TC16">
            <v>0</v>
          </cell>
          <cell r="TD16">
            <v>0</v>
          </cell>
          <cell r="TE16">
            <v>3.61</v>
          </cell>
          <cell r="TG16">
            <v>1</v>
          </cell>
          <cell r="TH16">
            <v>0</v>
          </cell>
          <cell r="TI16">
            <v>0</v>
          </cell>
          <cell r="TJ16">
            <v>3.61</v>
          </cell>
          <cell r="TL16">
            <v>1</v>
          </cell>
          <cell r="TM16">
            <v>0</v>
          </cell>
          <cell r="TN16">
            <v>0</v>
          </cell>
          <cell r="TO16">
            <v>3.61</v>
          </cell>
          <cell r="TQ16">
            <v>1</v>
          </cell>
          <cell r="TR16">
            <v>0</v>
          </cell>
          <cell r="TS16">
            <v>0</v>
          </cell>
          <cell r="TT16">
            <v>3.61</v>
          </cell>
          <cell r="TV16">
            <v>1</v>
          </cell>
          <cell r="TW16">
            <v>0</v>
          </cell>
          <cell r="TX16">
            <v>0</v>
          </cell>
          <cell r="TY16">
            <v>3.61</v>
          </cell>
          <cell r="UA16">
            <v>1</v>
          </cell>
          <cell r="UB16">
            <v>0</v>
          </cell>
          <cell r="UC16">
            <v>0</v>
          </cell>
          <cell r="UD16">
            <v>3.61</v>
          </cell>
          <cell r="UF16">
            <v>1</v>
          </cell>
          <cell r="UG16">
            <v>0</v>
          </cell>
          <cell r="UH16">
            <v>0</v>
          </cell>
          <cell r="UI16">
            <v>3.61</v>
          </cell>
          <cell r="UK16">
            <v>1</v>
          </cell>
          <cell r="UL16">
            <v>0</v>
          </cell>
          <cell r="UM16">
            <v>0</v>
          </cell>
          <cell r="UN16">
            <v>3.61</v>
          </cell>
          <cell r="UP16">
            <v>1</v>
          </cell>
          <cell r="UQ16">
            <v>0</v>
          </cell>
          <cell r="UR16">
            <v>0</v>
          </cell>
          <cell r="US16">
            <v>3.61</v>
          </cell>
          <cell r="UU16">
            <v>1</v>
          </cell>
          <cell r="UV16">
            <v>0</v>
          </cell>
          <cell r="UW16">
            <v>0</v>
          </cell>
          <cell r="UX16">
            <v>3.61</v>
          </cell>
          <cell r="UZ16">
            <v>1</v>
          </cell>
          <cell r="VA16">
            <v>0</v>
          </cell>
          <cell r="VB16">
            <v>0</v>
          </cell>
          <cell r="VC16">
            <v>3.61</v>
          </cell>
          <cell r="VE16">
            <v>1</v>
          </cell>
          <cell r="VF16">
            <v>0</v>
          </cell>
          <cell r="VG16">
            <v>0</v>
          </cell>
          <cell r="VH16">
            <v>3.61</v>
          </cell>
          <cell r="VJ16">
            <v>1</v>
          </cell>
          <cell r="VK16">
            <v>0</v>
          </cell>
          <cell r="VL16">
            <v>0</v>
          </cell>
          <cell r="VM16">
            <v>3.61</v>
          </cell>
          <cell r="VO16">
            <v>1</v>
          </cell>
          <cell r="VP16">
            <v>0</v>
          </cell>
          <cell r="VQ16">
            <v>0</v>
          </cell>
          <cell r="VR16">
            <v>3.61</v>
          </cell>
          <cell r="VT16">
            <v>1</v>
          </cell>
          <cell r="VU16">
            <v>0</v>
          </cell>
          <cell r="VV16">
            <v>0</v>
          </cell>
          <cell r="VW16">
            <v>3.61</v>
          </cell>
          <cell r="VY16">
            <v>1</v>
          </cell>
          <cell r="VZ16">
            <v>0</v>
          </cell>
          <cell r="WA16">
            <v>0</v>
          </cell>
          <cell r="WB16">
            <v>3.61</v>
          </cell>
          <cell r="WD16">
            <v>1</v>
          </cell>
          <cell r="WE16">
            <v>0</v>
          </cell>
          <cell r="WF16">
            <v>0</v>
          </cell>
          <cell r="WG16">
            <v>3.61</v>
          </cell>
          <cell r="WI16">
            <v>1</v>
          </cell>
          <cell r="WJ16">
            <v>0</v>
          </cell>
          <cell r="WK16">
            <v>0</v>
          </cell>
          <cell r="WL16">
            <v>3.61</v>
          </cell>
          <cell r="WN16">
            <v>1</v>
          </cell>
          <cell r="WO16">
            <v>0</v>
          </cell>
          <cell r="WP16">
            <v>0</v>
          </cell>
          <cell r="WQ16">
            <v>3.61</v>
          </cell>
          <cell r="WS16">
            <v>1</v>
          </cell>
          <cell r="WT16">
            <v>0</v>
          </cell>
          <cell r="WU16">
            <v>0</v>
          </cell>
          <cell r="WV16">
            <v>3.61</v>
          </cell>
          <cell r="WX16">
            <v>1</v>
          </cell>
          <cell r="WY16">
            <v>0</v>
          </cell>
          <cell r="WZ16">
            <v>0</v>
          </cell>
          <cell r="XA16">
            <v>3.61</v>
          </cell>
          <cell r="XC16">
            <v>1</v>
          </cell>
          <cell r="XD16">
            <v>0</v>
          </cell>
          <cell r="XE16">
            <v>0</v>
          </cell>
          <cell r="XF16">
            <v>3.61</v>
          </cell>
          <cell r="XH16">
            <v>1</v>
          </cell>
          <cell r="XI16">
            <v>0</v>
          </cell>
          <cell r="XJ16">
            <v>0</v>
          </cell>
          <cell r="XK16">
            <v>3.61</v>
          </cell>
          <cell r="XM16">
            <v>1</v>
          </cell>
          <cell r="XN16">
            <v>0</v>
          </cell>
          <cell r="XO16">
            <v>0</v>
          </cell>
          <cell r="XP16">
            <v>3.61</v>
          </cell>
          <cell r="XR16">
            <v>1</v>
          </cell>
          <cell r="XS16">
            <v>0</v>
          </cell>
          <cell r="XT16">
            <v>0</v>
          </cell>
          <cell r="XU16">
            <v>3.61</v>
          </cell>
          <cell r="XW16">
            <v>1</v>
          </cell>
          <cell r="XX16">
            <v>0</v>
          </cell>
          <cell r="XY16">
            <v>0</v>
          </cell>
          <cell r="XZ16">
            <v>3.61</v>
          </cell>
          <cell r="YB16">
            <v>1</v>
          </cell>
          <cell r="YC16">
            <v>0</v>
          </cell>
          <cell r="YD16">
            <v>0</v>
          </cell>
          <cell r="YE16">
            <v>3.61</v>
          </cell>
        </row>
        <row r="17">
          <cell r="A17">
            <v>7</v>
          </cell>
          <cell r="B17" t="str">
            <v>設置PC阻根牆(W20cm,H120cm)</v>
          </cell>
          <cell r="C17" t="str">
            <v>M</v>
          </cell>
          <cell r="D17">
            <v>89</v>
          </cell>
          <cell r="E17">
            <v>1260</v>
          </cell>
          <cell r="F17">
            <v>112140</v>
          </cell>
          <cell r="G17">
            <v>2.5499999999999998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10</v>
          </cell>
          <cell r="CI17">
            <v>10</v>
          </cell>
          <cell r="CJ17">
            <v>12600</v>
          </cell>
          <cell r="CK17">
            <v>0.28999999999999998</v>
          </cell>
          <cell r="CL17">
            <v>0.28999999999999998</v>
          </cell>
          <cell r="CM17">
            <v>10</v>
          </cell>
          <cell r="CN17">
            <v>20</v>
          </cell>
          <cell r="CO17">
            <v>12600</v>
          </cell>
          <cell r="CP17">
            <v>0.28999999999999998</v>
          </cell>
          <cell r="CQ17">
            <v>0.57999999999999996</v>
          </cell>
          <cell r="CR17">
            <v>60</v>
          </cell>
          <cell r="CS17">
            <v>80</v>
          </cell>
          <cell r="CT17">
            <v>75600</v>
          </cell>
          <cell r="CU17">
            <v>1.72</v>
          </cell>
          <cell r="CV17">
            <v>2.2999999999999998</v>
          </cell>
          <cell r="CX17">
            <v>80</v>
          </cell>
          <cell r="CY17">
            <v>0</v>
          </cell>
          <cell r="CZ17">
            <v>0</v>
          </cell>
          <cell r="DA17">
            <v>2.2999999999999998</v>
          </cell>
          <cell r="DC17">
            <v>80</v>
          </cell>
          <cell r="DD17">
            <v>0</v>
          </cell>
          <cell r="DE17">
            <v>0</v>
          </cell>
          <cell r="DF17">
            <v>2.2999999999999998</v>
          </cell>
          <cell r="DH17">
            <v>80</v>
          </cell>
          <cell r="DI17">
            <v>0</v>
          </cell>
          <cell r="DJ17">
            <v>0</v>
          </cell>
          <cell r="DK17">
            <v>2.2999999999999998</v>
          </cell>
          <cell r="DM17">
            <v>80</v>
          </cell>
          <cell r="DN17">
            <v>0</v>
          </cell>
          <cell r="DO17">
            <v>0</v>
          </cell>
          <cell r="DP17">
            <v>2.2999999999999998</v>
          </cell>
          <cell r="DR17">
            <v>80</v>
          </cell>
          <cell r="DS17">
            <v>0</v>
          </cell>
          <cell r="DT17">
            <v>0</v>
          </cell>
          <cell r="DU17">
            <v>2.2999999999999998</v>
          </cell>
          <cell r="DW17">
            <v>80</v>
          </cell>
          <cell r="DX17">
            <v>0</v>
          </cell>
          <cell r="DY17">
            <v>0</v>
          </cell>
          <cell r="DZ17">
            <v>2.2999999999999998</v>
          </cell>
          <cell r="EB17">
            <v>80</v>
          </cell>
          <cell r="EC17">
            <v>0</v>
          </cell>
          <cell r="ED17">
            <v>0</v>
          </cell>
          <cell r="EE17">
            <v>2.2999999999999998</v>
          </cell>
          <cell r="EG17">
            <v>80</v>
          </cell>
          <cell r="EH17">
            <v>0</v>
          </cell>
          <cell r="EI17">
            <v>0</v>
          </cell>
          <cell r="EJ17">
            <v>2.2999999999999998</v>
          </cell>
          <cell r="EK17">
            <v>9</v>
          </cell>
          <cell r="EL17">
            <v>89</v>
          </cell>
          <cell r="EM17">
            <v>11340</v>
          </cell>
          <cell r="EN17">
            <v>0.25</v>
          </cell>
          <cell r="EO17">
            <v>2.5499999999999998</v>
          </cell>
          <cell r="EQ17">
            <v>89</v>
          </cell>
          <cell r="ER17">
            <v>0</v>
          </cell>
          <cell r="ES17">
            <v>0</v>
          </cell>
          <cell r="ET17">
            <v>2.5499999999999998</v>
          </cell>
          <cell r="EV17">
            <v>89</v>
          </cell>
          <cell r="EW17">
            <v>0</v>
          </cell>
          <cell r="EX17">
            <v>0</v>
          </cell>
          <cell r="EY17">
            <v>2.5499999999999998</v>
          </cell>
          <cell r="FA17">
            <v>89</v>
          </cell>
          <cell r="FB17">
            <v>0</v>
          </cell>
          <cell r="FC17">
            <v>0</v>
          </cell>
          <cell r="FD17">
            <v>2.5499999999999998</v>
          </cell>
          <cell r="FF17">
            <v>89</v>
          </cell>
          <cell r="FG17">
            <v>0</v>
          </cell>
          <cell r="FH17">
            <v>0</v>
          </cell>
          <cell r="FI17">
            <v>2.5499999999999998</v>
          </cell>
          <cell r="FK17">
            <v>89</v>
          </cell>
          <cell r="FL17">
            <v>0</v>
          </cell>
          <cell r="FM17">
            <v>0</v>
          </cell>
          <cell r="FN17">
            <v>2.5499999999999998</v>
          </cell>
          <cell r="FP17">
            <v>89</v>
          </cell>
          <cell r="FQ17">
            <v>0</v>
          </cell>
          <cell r="FR17">
            <v>0</v>
          </cell>
          <cell r="FS17">
            <v>2.5499999999999998</v>
          </cell>
          <cell r="FU17">
            <v>89</v>
          </cell>
          <cell r="FV17">
            <v>0</v>
          </cell>
          <cell r="FW17">
            <v>0</v>
          </cell>
          <cell r="FX17">
            <v>2.5499999999999998</v>
          </cell>
          <cell r="FZ17">
            <v>89</v>
          </cell>
          <cell r="GA17">
            <v>0</v>
          </cell>
          <cell r="GB17">
            <v>0</v>
          </cell>
          <cell r="GC17">
            <v>2.5499999999999998</v>
          </cell>
          <cell r="GE17">
            <v>89</v>
          </cell>
          <cell r="GF17">
            <v>0</v>
          </cell>
          <cell r="GG17">
            <v>0</v>
          </cell>
          <cell r="GH17">
            <v>2.5499999999999998</v>
          </cell>
          <cell r="GJ17">
            <v>89</v>
          </cell>
          <cell r="GK17">
            <v>0</v>
          </cell>
          <cell r="GL17">
            <v>0</v>
          </cell>
          <cell r="GM17">
            <v>2.5499999999999998</v>
          </cell>
          <cell r="GO17">
            <v>89</v>
          </cell>
          <cell r="GP17">
            <v>0</v>
          </cell>
          <cell r="GQ17">
            <v>0</v>
          </cell>
          <cell r="GR17">
            <v>2.5499999999999998</v>
          </cell>
          <cell r="GT17">
            <v>89</v>
          </cell>
          <cell r="GU17">
            <v>0</v>
          </cell>
          <cell r="GV17">
            <v>0</v>
          </cell>
          <cell r="GW17">
            <v>2.5499999999999998</v>
          </cell>
          <cell r="GY17">
            <v>89</v>
          </cell>
          <cell r="GZ17">
            <v>0</v>
          </cell>
          <cell r="HA17">
            <v>0</v>
          </cell>
          <cell r="HB17">
            <v>2.5499999999999998</v>
          </cell>
          <cell r="HD17">
            <v>89</v>
          </cell>
          <cell r="HE17">
            <v>0</v>
          </cell>
          <cell r="HF17">
            <v>0</v>
          </cell>
          <cell r="HG17">
            <v>2.5499999999999998</v>
          </cell>
          <cell r="HI17">
            <v>89</v>
          </cell>
          <cell r="HJ17">
            <v>0</v>
          </cell>
          <cell r="HK17">
            <v>0</v>
          </cell>
          <cell r="HL17">
            <v>2.5499999999999998</v>
          </cell>
          <cell r="HN17">
            <v>89</v>
          </cell>
          <cell r="HO17">
            <v>0</v>
          </cell>
          <cell r="HP17">
            <v>0</v>
          </cell>
          <cell r="HQ17">
            <v>2.5499999999999998</v>
          </cell>
          <cell r="HS17">
            <v>89</v>
          </cell>
          <cell r="HT17">
            <v>0</v>
          </cell>
          <cell r="HU17">
            <v>0</v>
          </cell>
          <cell r="HV17">
            <v>2.5499999999999998</v>
          </cell>
          <cell r="HX17">
            <v>89</v>
          </cell>
          <cell r="HY17">
            <v>0</v>
          </cell>
          <cell r="HZ17">
            <v>0</v>
          </cell>
          <cell r="IA17">
            <v>2.5499999999999998</v>
          </cell>
          <cell r="IC17">
            <v>89</v>
          </cell>
          <cell r="ID17">
            <v>0</v>
          </cell>
          <cell r="IE17">
            <v>0</v>
          </cell>
          <cell r="IF17">
            <v>2.5499999999999998</v>
          </cell>
          <cell r="IH17">
            <v>89</v>
          </cell>
          <cell r="II17">
            <v>0</v>
          </cell>
          <cell r="IJ17">
            <v>0</v>
          </cell>
          <cell r="IK17">
            <v>2.5499999999999998</v>
          </cell>
          <cell r="IM17">
            <v>89</v>
          </cell>
          <cell r="IN17">
            <v>0</v>
          </cell>
          <cell r="IO17">
            <v>0</v>
          </cell>
          <cell r="IP17">
            <v>2.5499999999999998</v>
          </cell>
          <cell r="IR17">
            <v>89</v>
          </cell>
          <cell r="IS17">
            <v>0</v>
          </cell>
          <cell r="IT17">
            <v>0</v>
          </cell>
          <cell r="IU17">
            <v>2.5499999999999998</v>
          </cell>
          <cell r="IW17">
            <v>89</v>
          </cell>
          <cell r="IX17">
            <v>0</v>
          </cell>
          <cell r="IY17">
            <v>0</v>
          </cell>
          <cell r="IZ17">
            <v>2.5499999999999998</v>
          </cell>
          <cell r="JB17">
            <v>89</v>
          </cell>
          <cell r="JC17">
            <v>0</v>
          </cell>
          <cell r="JD17">
            <v>0</v>
          </cell>
          <cell r="JE17">
            <v>2.5499999999999998</v>
          </cell>
          <cell r="JG17">
            <v>89</v>
          </cell>
          <cell r="JH17">
            <v>0</v>
          </cell>
          <cell r="JI17">
            <v>0</v>
          </cell>
          <cell r="JJ17">
            <v>2.5499999999999998</v>
          </cell>
          <cell r="JL17">
            <v>89</v>
          </cell>
          <cell r="JM17">
            <v>0</v>
          </cell>
          <cell r="JN17">
            <v>0</v>
          </cell>
          <cell r="JO17">
            <v>2.5499999999999998</v>
          </cell>
          <cell r="JQ17">
            <v>89</v>
          </cell>
          <cell r="JR17">
            <v>0</v>
          </cell>
          <cell r="JS17">
            <v>0</v>
          </cell>
          <cell r="JT17">
            <v>2.5499999999999998</v>
          </cell>
          <cell r="JV17">
            <v>89</v>
          </cell>
          <cell r="JW17">
            <v>0</v>
          </cell>
          <cell r="JX17">
            <v>0</v>
          </cell>
          <cell r="JY17">
            <v>2.5499999999999998</v>
          </cell>
          <cell r="KA17">
            <v>89</v>
          </cell>
          <cell r="KB17">
            <v>0</v>
          </cell>
          <cell r="KC17">
            <v>0</v>
          </cell>
          <cell r="KD17">
            <v>2.5499999999999998</v>
          </cell>
          <cell r="KF17">
            <v>89</v>
          </cell>
          <cell r="KG17">
            <v>0</v>
          </cell>
          <cell r="KH17">
            <v>0</v>
          </cell>
          <cell r="KI17">
            <v>2.5499999999999998</v>
          </cell>
          <cell r="KK17">
            <v>89</v>
          </cell>
          <cell r="KL17">
            <v>0</v>
          </cell>
          <cell r="KM17">
            <v>0</v>
          </cell>
          <cell r="KN17">
            <v>2.5499999999999998</v>
          </cell>
          <cell r="KP17">
            <v>89</v>
          </cell>
          <cell r="KQ17">
            <v>0</v>
          </cell>
          <cell r="KR17">
            <v>0</v>
          </cell>
          <cell r="KS17">
            <v>2.5499999999999998</v>
          </cell>
          <cell r="KU17">
            <v>89</v>
          </cell>
          <cell r="KV17">
            <v>0</v>
          </cell>
          <cell r="KW17">
            <v>0</v>
          </cell>
          <cell r="KX17">
            <v>2.5499999999999998</v>
          </cell>
          <cell r="KZ17">
            <v>89</v>
          </cell>
          <cell r="LA17">
            <v>0</v>
          </cell>
          <cell r="LB17">
            <v>0</v>
          </cell>
          <cell r="LC17">
            <v>2.5499999999999998</v>
          </cell>
          <cell r="LE17">
            <v>89</v>
          </cell>
          <cell r="LF17">
            <v>0</v>
          </cell>
          <cell r="LG17">
            <v>0</v>
          </cell>
          <cell r="LH17">
            <v>2.5499999999999998</v>
          </cell>
          <cell r="LJ17">
            <v>89</v>
          </cell>
          <cell r="LK17">
            <v>0</v>
          </cell>
          <cell r="LL17">
            <v>0</v>
          </cell>
          <cell r="LM17">
            <v>2.5499999999999998</v>
          </cell>
          <cell r="LO17">
            <v>89</v>
          </cell>
          <cell r="LP17">
            <v>0</v>
          </cell>
          <cell r="LQ17">
            <v>0</v>
          </cell>
          <cell r="LR17">
            <v>2.5499999999999998</v>
          </cell>
          <cell r="LT17">
            <v>89</v>
          </cell>
          <cell r="LU17">
            <v>0</v>
          </cell>
          <cell r="LV17">
            <v>0</v>
          </cell>
          <cell r="LW17">
            <v>2.5499999999999998</v>
          </cell>
          <cell r="LY17">
            <v>89</v>
          </cell>
          <cell r="LZ17">
            <v>0</v>
          </cell>
          <cell r="MA17">
            <v>0</v>
          </cell>
          <cell r="MB17">
            <v>2.5499999999999998</v>
          </cell>
          <cell r="MD17">
            <v>89</v>
          </cell>
          <cell r="ME17">
            <v>0</v>
          </cell>
          <cell r="MF17">
            <v>0</v>
          </cell>
          <cell r="MG17">
            <v>2.5499999999999998</v>
          </cell>
          <cell r="MI17">
            <v>89</v>
          </cell>
          <cell r="MJ17">
            <v>0</v>
          </cell>
          <cell r="MK17">
            <v>0</v>
          </cell>
          <cell r="ML17">
            <v>2.5499999999999998</v>
          </cell>
          <cell r="MN17">
            <v>89</v>
          </cell>
          <cell r="MO17">
            <v>0</v>
          </cell>
          <cell r="MP17">
            <v>0</v>
          </cell>
          <cell r="MQ17">
            <v>2.5499999999999998</v>
          </cell>
          <cell r="MS17">
            <v>89</v>
          </cell>
          <cell r="MT17">
            <v>0</v>
          </cell>
          <cell r="MU17">
            <v>0</v>
          </cell>
          <cell r="MV17">
            <v>2.5499999999999998</v>
          </cell>
          <cell r="MX17">
            <v>89</v>
          </cell>
          <cell r="MY17">
            <v>0</v>
          </cell>
          <cell r="MZ17">
            <v>0</v>
          </cell>
          <cell r="NA17">
            <v>2.5499999999999998</v>
          </cell>
          <cell r="NC17">
            <v>89</v>
          </cell>
          <cell r="ND17">
            <v>0</v>
          </cell>
          <cell r="NE17">
            <v>0</v>
          </cell>
          <cell r="NF17">
            <v>2.5499999999999998</v>
          </cell>
          <cell r="NH17">
            <v>89</v>
          </cell>
          <cell r="NI17">
            <v>0</v>
          </cell>
          <cell r="NJ17">
            <v>0</v>
          </cell>
          <cell r="NK17">
            <v>2.5499999999999998</v>
          </cell>
          <cell r="NM17">
            <v>89</v>
          </cell>
          <cell r="NN17">
            <v>0</v>
          </cell>
          <cell r="NO17">
            <v>0</v>
          </cell>
          <cell r="NP17">
            <v>2.5499999999999998</v>
          </cell>
          <cell r="NR17">
            <v>89</v>
          </cell>
          <cell r="NS17">
            <v>0</v>
          </cell>
          <cell r="NT17">
            <v>0</v>
          </cell>
          <cell r="NU17">
            <v>2.5499999999999998</v>
          </cell>
          <cell r="NW17">
            <v>89</v>
          </cell>
          <cell r="NX17">
            <v>0</v>
          </cell>
          <cell r="NY17">
            <v>0</v>
          </cell>
          <cell r="NZ17">
            <v>2.5499999999999998</v>
          </cell>
          <cell r="OB17">
            <v>89</v>
          </cell>
          <cell r="OC17">
            <v>0</v>
          </cell>
          <cell r="OD17">
            <v>0</v>
          </cell>
          <cell r="OE17">
            <v>2.5499999999999998</v>
          </cell>
          <cell r="OG17">
            <v>89</v>
          </cell>
          <cell r="OH17">
            <v>0</v>
          </cell>
          <cell r="OI17">
            <v>0</v>
          </cell>
          <cell r="OJ17">
            <v>2.5499999999999998</v>
          </cell>
          <cell r="OL17">
            <v>89</v>
          </cell>
          <cell r="OM17">
            <v>0</v>
          </cell>
          <cell r="ON17">
            <v>0</v>
          </cell>
          <cell r="OO17">
            <v>2.5499999999999998</v>
          </cell>
          <cell r="OQ17">
            <v>89</v>
          </cell>
          <cell r="OR17">
            <v>0</v>
          </cell>
          <cell r="OS17">
            <v>0</v>
          </cell>
          <cell r="OT17">
            <v>2.5499999999999998</v>
          </cell>
          <cell r="OV17">
            <v>89</v>
          </cell>
          <cell r="OW17">
            <v>0</v>
          </cell>
          <cell r="OX17">
            <v>0</v>
          </cell>
          <cell r="OY17">
            <v>2.5499999999999998</v>
          </cell>
          <cell r="PA17">
            <v>89</v>
          </cell>
          <cell r="PB17">
            <v>0</v>
          </cell>
          <cell r="PC17">
            <v>0</v>
          </cell>
          <cell r="PD17">
            <v>2.5499999999999998</v>
          </cell>
          <cell r="PF17">
            <v>89</v>
          </cell>
          <cell r="PG17">
            <v>0</v>
          </cell>
          <cell r="PH17">
            <v>0</v>
          </cell>
          <cell r="PI17">
            <v>2.5499999999999998</v>
          </cell>
          <cell r="PK17">
            <v>89</v>
          </cell>
          <cell r="PL17">
            <v>0</v>
          </cell>
          <cell r="PM17">
            <v>0</v>
          </cell>
          <cell r="PN17">
            <v>2.5499999999999998</v>
          </cell>
          <cell r="PP17">
            <v>89</v>
          </cell>
          <cell r="PQ17">
            <v>0</v>
          </cell>
          <cell r="PR17">
            <v>0</v>
          </cell>
          <cell r="PS17">
            <v>2.5499999999999998</v>
          </cell>
          <cell r="PU17">
            <v>89</v>
          </cell>
          <cell r="PV17">
            <v>0</v>
          </cell>
          <cell r="PW17">
            <v>0</v>
          </cell>
          <cell r="PX17">
            <v>2.5499999999999998</v>
          </cell>
          <cell r="PZ17">
            <v>89</v>
          </cell>
          <cell r="QA17">
            <v>0</v>
          </cell>
          <cell r="QB17">
            <v>0</v>
          </cell>
          <cell r="QC17">
            <v>2.5499999999999998</v>
          </cell>
          <cell r="QE17">
            <v>89</v>
          </cell>
          <cell r="QF17">
            <v>0</v>
          </cell>
          <cell r="QG17">
            <v>0</v>
          </cell>
          <cell r="QH17">
            <v>2.5499999999999998</v>
          </cell>
          <cell r="QJ17">
            <v>89</v>
          </cell>
          <cell r="QK17">
            <v>0</v>
          </cell>
          <cell r="QL17">
            <v>0</v>
          </cell>
          <cell r="QM17">
            <v>2.5499999999999998</v>
          </cell>
          <cell r="QO17">
            <v>89</v>
          </cell>
          <cell r="QP17">
            <v>0</v>
          </cell>
          <cell r="QQ17">
            <v>0</v>
          </cell>
          <cell r="QR17">
            <v>2.5499999999999998</v>
          </cell>
          <cell r="QT17">
            <v>89</v>
          </cell>
          <cell r="QU17">
            <v>0</v>
          </cell>
          <cell r="QV17">
            <v>0</v>
          </cell>
          <cell r="QW17">
            <v>2.5499999999999998</v>
          </cell>
          <cell r="QY17">
            <v>89</v>
          </cell>
          <cell r="QZ17">
            <v>0</v>
          </cell>
          <cell r="RA17">
            <v>0</v>
          </cell>
          <cell r="RB17">
            <v>2.5499999999999998</v>
          </cell>
          <cell r="RD17">
            <v>89</v>
          </cell>
          <cell r="RE17">
            <v>0</v>
          </cell>
          <cell r="RF17">
            <v>0</v>
          </cell>
          <cell r="RG17">
            <v>2.5499999999999998</v>
          </cell>
          <cell r="RI17">
            <v>89</v>
          </cell>
          <cell r="RJ17">
            <v>0</v>
          </cell>
          <cell r="RK17">
            <v>0</v>
          </cell>
          <cell r="RL17">
            <v>2.5499999999999998</v>
          </cell>
          <cell r="RN17">
            <v>89</v>
          </cell>
          <cell r="RO17">
            <v>0</v>
          </cell>
          <cell r="RP17">
            <v>0</v>
          </cell>
          <cell r="RQ17">
            <v>2.5499999999999998</v>
          </cell>
          <cell r="RS17">
            <v>89</v>
          </cell>
          <cell r="RT17">
            <v>0</v>
          </cell>
          <cell r="RU17">
            <v>0</v>
          </cell>
          <cell r="RV17">
            <v>2.5499999999999998</v>
          </cell>
          <cell r="RX17">
            <v>89</v>
          </cell>
          <cell r="RY17">
            <v>0</v>
          </cell>
          <cell r="RZ17">
            <v>0</v>
          </cell>
          <cell r="SA17">
            <v>2.5499999999999998</v>
          </cell>
          <cell r="SC17">
            <v>89</v>
          </cell>
          <cell r="SD17">
            <v>0</v>
          </cell>
          <cell r="SE17">
            <v>0</v>
          </cell>
          <cell r="SF17">
            <v>2.5499999999999998</v>
          </cell>
          <cell r="SH17">
            <v>89</v>
          </cell>
          <cell r="SI17">
            <v>0</v>
          </cell>
          <cell r="SJ17">
            <v>0</v>
          </cell>
          <cell r="SK17">
            <v>2.5499999999999998</v>
          </cell>
          <cell r="SM17">
            <v>89</v>
          </cell>
          <cell r="SN17">
            <v>0</v>
          </cell>
          <cell r="SO17">
            <v>0</v>
          </cell>
          <cell r="SP17">
            <v>2.5499999999999998</v>
          </cell>
          <cell r="SR17">
            <v>89</v>
          </cell>
          <cell r="SS17">
            <v>0</v>
          </cell>
          <cell r="ST17">
            <v>0</v>
          </cell>
          <cell r="SU17">
            <v>2.5499999999999998</v>
          </cell>
          <cell r="SW17">
            <v>89</v>
          </cell>
          <cell r="SX17">
            <v>0</v>
          </cell>
          <cell r="SY17">
            <v>0</v>
          </cell>
          <cell r="SZ17">
            <v>2.5499999999999998</v>
          </cell>
          <cell r="TB17">
            <v>89</v>
          </cell>
          <cell r="TC17">
            <v>0</v>
          </cell>
          <cell r="TD17">
            <v>0</v>
          </cell>
          <cell r="TE17">
            <v>2.5499999999999998</v>
          </cell>
          <cell r="TG17">
            <v>89</v>
          </cell>
          <cell r="TH17">
            <v>0</v>
          </cell>
          <cell r="TI17">
            <v>0</v>
          </cell>
          <cell r="TJ17">
            <v>2.5499999999999998</v>
          </cell>
          <cell r="TL17">
            <v>89</v>
          </cell>
          <cell r="TM17">
            <v>0</v>
          </cell>
          <cell r="TN17">
            <v>0</v>
          </cell>
          <cell r="TO17">
            <v>2.5499999999999998</v>
          </cell>
          <cell r="TQ17">
            <v>89</v>
          </cell>
          <cell r="TR17">
            <v>0</v>
          </cell>
          <cell r="TS17">
            <v>0</v>
          </cell>
          <cell r="TT17">
            <v>2.5499999999999998</v>
          </cell>
          <cell r="TV17">
            <v>89</v>
          </cell>
          <cell r="TW17">
            <v>0</v>
          </cell>
          <cell r="TX17">
            <v>0</v>
          </cell>
          <cell r="TY17">
            <v>2.5499999999999998</v>
          </cell>
          <cell r="UA17">
            <v>89</v>
          </cell>
          <cell r="UB17">
            <v>0</v>
          </cell>
          <cell r="UC17">
            <v>0</v>
          </cell>
          <cell r="UD17">
            <v>2.5499999999999998</v>
          </cell>
          <cell r="UF17">
            <v>89</v>
          </cell>
          <cell r="UG17">
            <v>0</v>
          </cell>
          <cell r="UH17">
            <v>0</v>
          </cell>
          <cell r="UI17">
            <v>2.5499999999999998</v>
          </cell>
          <cell r="UK17">
            <v>89</v>
          </cell>
          <cell r="UL17">
            <v>0</v>
          </cell>
          <cell r="UM17">
            <v>0</v>
          </cell>
          <cell r="UN17">
            <v>2.5499999999999998</v>
          </cell>
          <cell r="UP17">
            <v>89</v>
          </cell>
          <cell r="UQ17">
            <v>0</v>
          </cell>
          <cell r="UR17">
            <v>0</v>
          </cell>
          <cell r="US17">
            <v>2.5499999999999998</v>
          </cell>
          <cell r="UU17">
            <v>89</v>
          </cell>
          <cell r="UV17">
            <v>0</v>
          </cell>
          <cell r="UW17">
            <v>0</v>
          </cell>
          <cell r="UX17">
            <v>2.5499999999999998</v>
          </cell>
          <cell r="UZ17">
            <v>89</v>
          </cell>
          <cell r="VA17">
            <v>0</v>
          </cell>
          <cell r="VB17">
            <v>0</v>
          </cell>
          <cell r="VC17">
            <v>2.5499999999999998</v>
          </cell>
          <cell r="VE17">
            <v>89</v>
          </cell>
          <cell r="VF17">
            <v>0</v>
          </cell>
          <cell r="VG17">
            <v>0</v>
          </cell>
          <cell r="VH17">
            <v>2.5499999999999998</v>
          </cell>
          <cell r="VJ17">
            <v>89</v>
          </cell>
          <cell r="VK17">
            <v>0</v>
          </cell>
          <cell r="VL17">
            <v>0</v>
          </cell>
          <cell r="VM17">
            <v>2.5499999999999998</v>
          </cell>
          <cell r="VO17">
            <v>89</v>
          </cell>
          <cell r="VP17">
            <v>0</v>
          </cell>
          <cell r="VQ17">
            <v>0</v>
          </cell>
          <cell r="VR17">
            <v>2.5499999999999998</v>
          </cell>
          <cell r="VT17">
            <v>89</v>
          </cell>
          <cell r="VU17">
            <v>0</v>
          </cell>
          <cell r="VV17">
            <v>0</v>
          </cell>
          <cell r="VW17">
            <v>2.5499999999999998</v>
          </cell>
          <cell r="VY17">
            <v>89</v>
          </cell>
          <cell r="VZ17">
            <v>0</v>
          </cell>
          <cell r="WA17">
            <v>0</v>
          </cell>
          <cell r="WB17">
            <v>2.5499999999999998</v>
          </cell>
          <cell r="WD17">
            <v>89</v>
          </cell>
          <cell r="WE17">
            <v>0</v>
          </cell>
          <cell r="WF17">
            <v>0</v>
          </cell>
          <cell r="WG17">
            <v>2.5499999999999998</v>
          </cell>
          <cell r="WI17">
            <v>89</v>
          </cell>
          <cell r="WJ17">
            <v>0</v>
          </cell>
          <cell r="WK17">
            <v>0</v>
          </cell>
          <cell r="WL17">
            <v>2.5499999999999998</v>
          </cell>
          <cell r="WN17">
            <v>89</v>
          </cell>
          <cell r="WO17">
            <v>0</v>
          </cell>
          <cell r="WP17">
            <v>0</v>
          </cell>
          <cell r="WQ17">
            <v>2.5499999999999998</v>
          </cell>
          <cell r="WS17">
            <v>89</v>
          </cell>
          <cell r="WT17">
            <v>0</v>
          </cell>
          <cell r="WU17">
            <v>0</v>
          </cell>
          <cell r="WV17">
            <v>2.5499999999999998</v>
          </cell>
          <cell r="WX17">
            <v>89</v>
          </cell>
          <cell r="WY17">
            <v>0</v>
          </cell>
          <cell r="WZ17">
            <v>0</v>
          </cell>
          <cell r="XA17">
            <v>2.5499999999999998</v>
          </cell>
          <cell r="XC17">
            <v>89</v>
          </cell>
          <cell r="XD17">
            <v>0</v>
          </cell>
          <cell r="XE17">
            <v>0</v>
          </cell>
          <cell r="XF17">
            <v>2.5499999999999998</v>
          </cell>
          <cell r="XH17">
            <v>89</v>
          </cell>
          <cell r="XI17">
            <v>0</v>
          </cell>
          <cell r="XJ17">
            <v>0</v>
          </cell>
          <cell r="XK17">
            <v>2.5499999999999998</v>
          </cell>
          <cell r="XM17">
            <v>89</v>
          </cell>
          <cell r="XN17">
            <v>0</v>
          </cell>
          <cell r="XO17">
            <v>0</v>
          </cell>
          <cell r="XP17">
            <v>2.5499999999999998</v>
          </cell>
          <cell r="XR17">
            <v>89</v>
          </cell>
          <cell r="XS17">
            <v>0</v>
          </cell>
          <cell r="XT17">
            <v>0</v>
          </cell>
          <cell r="XU17">
            <v>2.5499999999999998</v>
          </cell>
          <cell r="XW17">
            <v>89</v>
          </cell>
          <cell r="XX17">
            <v>0</v>
          </cell>
          <cell r="XY17">
            <v>0</v>
          </cell>
          <cell r="XZ17">
            <v>2.5499999999999998</v>
          </cell>
          <cell r="YB17">
            <v>89</v>
          </cell>
          <cell r="YC17">
            <v>0</v>
          </cell>
          <cell r="YD17">
            <v>0</v>
          </cell>
          <cell r="YE17">
            <v>2.5499999999999998</v>
          </cell>
        </row>
        <row r="18">
          <cell r="A18">
            <v>8</v>
          </cell>
          <cell r="B18" t="str">
            <v>新設預鑄RC陰井(淨50*50*90cm以上)</v>
          </cell>
          <cell r="C18" t="str">
            <v>座</v>
          </cell>
          <cell r="D18">
            <v>17</v>
          </cell>
          <cell r="E18">
            <v>10659</v>
          </cell>
          <cell r="F18">
            <v>181203</v>
          </cell>
          <cell r="G18">
            <v>4.12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3</v>
          </cell>
          <cell r="BT18">
            <v>3</v>
          </cell>
          <cell r="BU18">
            <v>31977</v>
          </cell>
          <cell r="BV18">
            <v>0.73</v>
          </cell>
          <cell r="BW18">
            <v>0.73</v>
          </cell>
          <cell r="BX18">
            <v>3</v>
          </cell>
          <cell r="BY18">
            <v>6</v>
          </cell>
          <cell r="BZ18">
            <v>31977</v>
          </cell>
          <cell r="CA18">
            <v>0.73</v>
          </cell>
          <cell r="CB18">
            <v>1.46</v>
          </cell>
          <cell r="CD18">
            <v>6</v>
          </cell>
          <cell r="CE18">
            <v>0</v>
          </cell>
          <cell r="CF18">
            <v>0</v>
          </cell>
          <cell r="CG18">
            <v>1.46</v>
          </cell>
          <cell r="CI18">
            <v>6</v>
          </cell>
          <cell r="CJ18">
            <v>0</v>
          </cell>
          <cell r="CK18">
            <v>0</v>
          </cell>
          <cell r="CL18">
            <v>1.46</v>
          </cell>
          <cell r="CM18">
            <v>2</v>
          </cell>
          <cell r="CN18">
            <v>8</v>
          </cell>
          <cell r="CO18">
            <v>21318</v>
          </cell>
          <cell r="CP18">
            <v>0.48</v>
          </cell>
          <cell r="CQ18">
            <v>1.94</v>
          </cell>
          <cell r="CR18">
            <v>2</v>
          </cell>
          <cell r="CS18">
            <v>10</v>
          </cell>
          <cell r="CT18">
            <v>21318</v>
          </cell>
          <cell r="CU18">
            <v>0.48</v>
          </cell>
          <cell r="CV18">
            <v>2.42</v>
          </cell>
          <cell r="CX18">
            <v>10</v>
          </cell>
          <cell r="CY18">
            <v>0</v>
          </cell>
          <cell r="CZ18">
            <v>0</v>
          </cell>
          <cell r="DA18">
            <v>2.42</v>
          </cell>
          <cell r="DC18">
            <v>10</v>
          </cell>
          <cell r="DD18">
            <v>0</v>
          </cell>
          <cell r="DE18">
            <v>0</v>
          </cell>
          <cell r="DF18">
            <v>2.42</v>
          </cell>
          <cell r="DG18">
            <v>2</v>
          </cell>
          <cell r="DH18">
            <v>12</v>
          </cell>
          <cell r="DI18">
            <v>21318</v>
          </cell>
          <cell r="DJ18">
            <v>0.48</v>
          </cell>
          <cell r="DK18">
            <v>2.9</v>
          </cell>
          <cell r="DM18">
            <v>12</v>
          </cell>
          <cell r="DN18">
            <v>0</v>
          </cell>
          <cell r="DO18">
            <v>0</v>
          </cell>
          <cell r="DP18">
            <v>2.9</v>
          </cell>
          <cell r="DR18">
            <v>12</v>
          </cell>
          <cell r="DS18">
            <v>0</v>
          </cell>
          <cell r="DT18">
            <v>0</v>
          </cell>
          <cell r="DU18">
            <v>2.9</v>
          </cell>
          <cell r="DW18">
            <v>12</v>
          </cell>
          <cell r="DX18">
            <v>0</v>
          </cell>
          <cell r="DY18">
            <v>0</v>
          </cell>
          <cell r="DZ18">
            <v>2.9</v>
          </cell>
          <cell r="EB18">
            <v>12</v>
          </cell>
          <cell r="EC18">
            <v>0</v>
          </cell>
          <cell r="ED18">
            <v>0</v>
          </cell>
          <cell r="EE18">
            <v>2.9</v>
          </cell>
          <cell r="EG18">
            <v>12</v>
          </cell>
          <cell r="EH18">
            <v>0</v>
          </cell>
          <cell r="EI18">
            <v>0</v>
          </cell>
          <cell r="EJ18">
            <v>2.9</v>
          </cell>
          <cell r="EL18">
            <v>12</v>
          </cell>
          <cell r="EM18">
            <v>0</v>
          </cell>
          <cell r="EN18">
            <v>0</v>
          </cell>
          <cell r="EO18">
            <v>2.9</v>
          </cell>
          <cell r="EQ18">
            <v>12</v>
          </cell>
          <cell r="ER18">
            <v>0</v>
          </cell>
          <cell r="ES18">
            <v>0</v>
          </cell>
          <cell r="ET18">
            <v>2.9</v>
          </cell>
          <cell r="EV18">
            <v>12</v>
          </cell>
          <cell r="EW18">
            <v>0</v>
          </cell>
          <cell r="EX18">
            <v>0</v>
          </cell>
          <cell r="EY18">
            <v>2.9</v>
          </cell>
          <cell r="FA18">
            <v>12</v>
          </cell>
          <cell r="FB18">
            <v>0</v>
          </cell>
          <cell r="FC18">
            <v>0</v>
          </cell>
          <cell r="FD18">
            <v>2.9</v>
          </cell>
          <cell r="FE18">
            <v>5</v>
          </cell>
          <cell r="FF18">
            <v>17</v>
          </cell>
          <cell r="FG18">
            <v>53295</v>
          </cell>
          <cell r="FH18">
            <v>1.2200000000000002</v>
          </cell>
          <cell r="FI18">
            <v>4.12</v>
          </cell>
          <cell r="FK18">
            <v>17</v>
          </cell>
          <cell r="FL18">
            <v>0</v>
          </cell>
          <cell r="FM18">
            <v>0</v>
          </cell>
          <cell r="FN18">
            <v>4.12</v>
          </cell>
          <cell r="FP18">
            <v>17</v>
          </cell>
          <cell r="FQ18">
            <v>0</v>
          </cell>
          <cell r="FR18">
            <v>0</v>
          </cell>
          <cell r="FS18">
            <v>4.12</v>
          </cell>
          <cell r="FU18">
            <v>17</v>
          </cell>
          <cell r="FV18">
            <v>0</v>
          </cell>
          <cell r="FW18">
            <v>0</v>
          </cell>
          <cell r="FX18">
            <v>4.12</v>
          </cell>
          <cell r="FZ18">
            <v>17</v>
          </cell>
          <cell r="GA18">
            <v>0</v>
          </cell>
          <cell r="GB18">
            <v>0</v>
          </cell>
          <cell r="GC18">
            <v>4.12</v>
          </cell>
          <cell r="GE18">
            <v>17</v>
          </cell>
          <cell r="GF18">
            <v>0</v>
          </cell>
          <cell r="GG18">
            <v>0</v>
          </cell>
          <cell r="GH18">
            <v>4.12</v>
          </cell>
          <cell r="GJ18">
            <v>17</v>
          </cell>
          <cell r="GK18">
            <v>0</v>
          </cell>
          <cell r="GL18">
            <v>0</v>
          </cell>
          <cell r="GM18">
            <v>4.12</v>
          </cell>
          <cell r="GO18">
            <v>17</v>
          </cell>
          <cell r="GP18">
            <v>0</v>
          </cell>
          <cell r="GQ18">
            <v>0</v>
          </cell>
          <cell r="GR18">
            <v>4.12</v>
          </cell>
          <cell r="GT18">
            <v>17</v>
          </cell>
          <cell r="GU18">
            <v>0</v>
          </cell>
          <cell r="GV18">
            <v>0</v>
          </cell>
          <cell r="GW18">
            <v>4.12</v>
          </cell>
          <cell r="GY18">
            <v>17</v>
          </cell>
          <cell r="GZ18">
            <v>0</v>
          </cell>
          <cell r="HA18">
            <v>0</v>
          </cell>
          <cell r="HB18">
            <v>4.12</v>
          </cell>
          <cell r="HD18">
            <v>17</v>
          </cell>
          <cell r="HE18">
            <v>0</v>
          </cell>
          <cell r="HF18">
            <v>0</v>
          </cell>
          <cell r="HG18">
            <v>4.12</v>
          </cell>
          <cell r="HI18">
            <v>17</v>
          </cell>
          <cell r="HJ18">
            <v>0</v>
          </cell>
          <cell r="HK18">
            <v>0</v>
          </cell>
          <cell r="HL18">
            <v>4.12</v>
          </cell>
          <cell r="HN18">
            <v>17</v>
          </cell>
          <cell r="HO18">
            <v>0</v>
          </cell>
          <cell r="HP18">
            <v>0</v>
          </cell>
          <cell r="HQ18">
            <v>4.12</v>
          </cell>
          <cell r="HS18">
            <v>17</v>
          </cell>
          <cell r="HT18">
            <v>0</v>
          </cell>
          <cell r="HU18">
            <v>0</v>
          </cell>
          <cell r="HV18">
            <v>4.12</v>
          </cell>
          <cell r="HX18">
            <v>17</v>
          </cell>
          <cell r="HY18">
            <v>0</v>
          </cell>
          <cell r="HZ18">
            <v>0</v>
          </cell>
          <cell r="IA18">
            <v>4.12</v>
          </cell>
          <cell r="IC18">
            <v>17</v>
          </cell>
          <cell r="ID18">
            <v>0</v>
          </cell>
          <cell r="IE18">
            <v>0</v>
          </cell>
          <cell r="IF18">
            <v>4.12</v>
          </cell>
          <cell r="IH18">
            <v>17</v>
          </cell>
          <cell r="II18">
            <v>0</v>
          </cell>
          <cell r="IJ18">
            <v>0</v>
          </cell>
          <cell r="IK18">
            <v>4.12</v>
          </cell>
          <cell r="IM18">
            <v>17</v>
          </cell>
          <cell r="IN18">
            <v>0</v>
          </cell>
          <cell r="IO18">
            <v>0</v>
          </cell>
          <cell r="IP18">
            <v>4.12</v>
          </cell>
          <cell r="IR18">
            <v>17</v>
          </cell>
          <cell r="IS18">
            <v>0</v>
          </cell>
          <cell r="IT18">
            <v>0</v>
          </cell>
          <cell r="IU18">
            <v>4.12</v>
          </cell>
          <cell r="IW18">
            <v>17</v>
          </cell>
          <cell r="IX18">
            <v>0</v>
          </cell>
          <cell r="IY18">
            <v>0</v>
          </cell>
          <cell r="IZ18">
            <v>4.12</v>
          </cell>
          <cell r="JB18">
            <v>17</v>
          </cell>
          <cell r="JC18">
            <v>0</v>
          </cell>
          <cell r="JD18">
            <v>0</v>
          </cell>
          <cell r="JE18">
            <v>4.12</v>
          </cell>
          <cell r="JG18">
            <v>17</v>
          </cell>
          <cell r="JH18">
            <v>0</v>
          </cell>
          <cell r="JI18">
            <v>0</v>
          </cell>
          <cell r="JJ18">
            <v>4.12</v>
          </cell>
          <cell r="JL18">
            <v>17</v>
          </cell>
          <cell r="JM18">
            <v>0</v>
          </cell>
          <cell r="JN18">
            <v>0</v>
          </cell>
          <cell r="JO18">
            <v>4.12</v>
          </cell>
          <cell r="JQ18">
            <v>17</v>
          </cell>
          <cell r="JR18">
            <v>0</v>
          </cell>
          <cell r="JS18">
            <v>0</v>
          </cell>
          <cell r="JT18">
            <v>4.12</v>
          </cell>
          <cell r="JV18">
            <v>17</v>
          </cell>
          <cell r="JW18">
            <v>0</v>
          </cell>
          <cell r="JX18">
            <v>0</v>
          </cell>
          <cell r="JY18">
            <v>4.12</v>
          </cell>
          <cell r="KA18">
            <v>17</v>
          </cell>
          <cell r="KB18">
            <v>0</v>
          </cell>
          <cell r="KC18">
            <v>0</v>
          </cell>
          <cell r="KD18">
            <v>4.12</v>
          </cell>
          <cell r="KF18">
            <v>17</v>
          </cell>
          <cell r="KG18">
            <v>0</v>
          </cell>
          <cell r="KH18">
            <v>0</v>
          </cell>
          <cell r="KI18">
            <v>4.12</v>
          </cell>
          <cell r="KK18">
            <v>17</v>
          </cell>
          <cell r="KL18">
            <v>0</v>
          </cell>
          <cell r="KM18">
            <v>0</v>
          </cell>
          <cell r="KN18">
            <v>4.12</v>
          </cell>
          <cell r="KP18">
            <v>17</v>
          </cell>
          <cell r="KQ18">
            <v>0</v>
          </cell>
          <cell r="KR18">
            <v>0</v>
          </cell>
          <cell r="KS18">
            <v>4.12</v>
          </cell>
          <cell r="KU18">
            <v>17</v>
          </cell>
          <cell r="KV18">
            <v>0</v>
          </cell>
          <cell r="KW18">
            <v>0</v>
          </cell>
          <cell r="KX18">
            <v>4.12</v>
          </cell>
          <cell r="KZ18">
            <v>17</v>
          </cell>
          <cell r="LA18">
            <v>0</v>
          </cell>
          <cell r="LB18">
            <v>0</v>
          </cell>
          <cell r="LC18">
            <v>4.12</v>
          </cell>
          <cell r="LE18">
            <v>17</v>
          </cell>
          <cell r="LF18">
            <v>0</v>
          </cell>
          <cell r="LG18">
            <v>0</v>
          </cell>
          <cell r="LH18">
            <v>4.12</v>
          </cell>
          <cell r="LJ18">
            <v>17</v>
          </cell>
          <cell r="LK18">
            <v>0</v>
          </cell>
          <cell r="LL18">
            <v>0</v>
          </cell>
          <cell r="LM18">
            <v>4.12</v>
          </cell>
          <cell r="LO18">
            <v>17</v>
          </cell>
          <cell r="LP18">
            <v>0</v>
          </cell>
          <cell r="LQ18">
            <v>0</v>
          </cell>
          <cell r="LR18">
            <v>4.12</v>
          </cell>
          <cell r="LT18">
            <v>17</v>
          </cell>
          <cell r="LU18">
            <v>0</v>
          </cell>
          <cell r="LV18">
            <v>0</v>
          </cell>
          <cell r="LW18">
            <v>4.12</v>
          </cell>
          <cell r="LY18">
            <v>17</v>
          </cell>
          <cell r="LZ18">
            <v>0</v>
          </cell>
          <cell r="MA18">
            <v>0</v>
          </cell>
          <cell r="MB18">
            <v>4.12</v>
          </cell>
          <cell r="MD18">
            <v>17</v>
          </cell>
          <cell r="ME18">
            <v>0</v>
          </cell>
          <cell r="MF18">
            <v>0</v>
          </cell>
          <cell r="MG18">
            <v>4.12</v>
          </cell>
          <cell r="MI18">
            <v>17</v>
          </cell>
          <cell r="MJ18">
            <v>0</v>
          </cell>
          <cell r="MK18">
            <v>0</v>
          </cell>
          <cell r="ML18">
            <v>4.12</v>
          </cell>
          <cell r="MN18">
            <v>17</v>
          </cell>
          <cell r="MO18">
            <v>0</v>
          </cell>
          <cell r="MP18">
            <v>0</v>
          </cell>
          <cell r="MQ18">
            <v>4.12</v>
          </cell>
          <cell r="MS18">
            <v>17</v>
          </cell>
          <cell r="MT18">
            <v>0</v>
          </cell>
          <cell r="MU18">
            <v>0</v>
          </cell>
          <cell r="MV18">
            <v>4.12</v>
          </cell>
          <cell r="MX18">
            <v>17</v>
          </cell>
          <cell r="MY18">
            <v>0</v>
          </cell>
          <cell r="MZ18">
            <v>0</v>
          </cell>
          <cell r="NA18">
            <v>4.12</v>
          </cell>
          <cell r="NC18">
            <v>17</v>
          </cell>
          <cell r="ND18">
            <v>0</v>
          </cell>
          <cell r="NE18">
            <v>0</v>
          </cell>
          <cell r="NF18">
            <v>4.12</v>
          </cell>
          <cell r="NH18">
            <v>17</v>
          </cell>
          <cell r="NI18">
            <v>0</v>
          </cell>
          <cell r="NJ18">
            <v>0</v>
          </cell>
          <cell r="NK18">
            <v>4.12</v>
          </cell>
          <cell r="NM18">
            <v>17</v>
          </cell>
          <cell r="NN18">
            <v>0</v>
          </cell>
          <cell r="NO18">
            <v>0</v>
          </cell>
          <cell r="NP18">
            <v>4.12</v>
          </cell>
          <cell r="NR18">
            <v>17</v>
          </cell>
          <cell r="NS18">
            <v>0</v>
          </cell>
          <cell r="NT18">
            <v>0</v>
          </cell>
          <cell r="NU18">
            <v>4.12</v>
          </cell>
          <cell r="NW18">
            <v>17</v>
          </cell>
          <cell r="NX18">
            <v>0</v>
          </cell>
          <cell r="NY18">
            <v>0</v>
          </cell>
          <cell r="NZ18">
            <v>4.12</v>
          </cell>
          <cell r="OB18">
            <v>17</v>
          </cell>
          <cell r="OC18">
            <v>0</v>
          </cell>
          <cell r="OD18">
            <v>0</v>
          </cell>
          <cell r="OE18">
            <v>4.12</v>
          </cell>
          <cell r="OG18">
            <v>17</v>
          </cell>
          <cell r="OH18">
            <v>0</v>
          </cell>
          <cell r="OI18">
            <v>0</v>
          </cell>
          <cell r="OJ18">
            <v>4.12</v>
          </cell>
          <cell r="OL18">
            <v>17</v>
          </cell>
          <cell r="OM18">
            <v>0</v>
          </cell>
          <cell r="ON18">
            <v>0</v>
          </cell>
          <cell r="OO18">
            <v>4.12</v>
          </cell>
          <cell r="OQ18">
            <v>17</v>
          </cell>
          <cell r="OR18">
            <v>0</v>
          </cell>
          <cell r="OS18">
            <v>0</v>
          </cell>
          <cell r="OT18">
            <v>4.12</v>
          </cell>
          <cell r="OV18">
            <v>17</v>
          </cell>
          <cell r="OW18">
            <v>0</v>
          </cell>
          <cell r="OX18">
            <v>0</v>
          </cell>
          <cell r="OY18">
            <v>4.12</v>
          </cell>
          <cell r="PA18">
            <v>17</v>
          </cell>
          <cell r="PB18">
            <v>0</v>
          </cell>
          <cell r="PC18">
            <v>0</v>
          </cell>
          <cell r="PD18">
            <v>4.12</v>
          </cell>
          <cell r="PF18">
            <v>17</v>
          </cell>
          <cell r="PG18">
            <v>0</v>
          </cell>
          <cell r="PH18">
            <v>0</v>
          </cell>
          <cell r="PI18">
            <v>4.12</v>
          </cell>
          <cell r="PK18">
            <v>17</v>
          </cell>
          <cell r="PL18">
            <v>0</v>
          </cell>
          <cell r="PM18">
            <v>0</v>
          </cell>
          <cell r="PN18">
            <v>4.12</v>
          </cell>
          <cell r="PP18">
            <v>17</v>
          </cell>
          <cell r="PQ18">
            <v>0</v>
          </cell>
          <cell r="PR18">
            <v>0</v>
          </cell>
          <cell r="PS18">
            <v>4.12</v>
          </cell>
          <cell r="PU18">
            <v>17</v>
          </cell>
          <cell r="PV18">
            <v>0</v>
          </cell>
          <cell r="PW18">
            <v>0</v>
          </cell>
          <cell r="PX18">
            <v>4.12</v>
          </cell>
          <cell r="PZ18">
            <v>17</v>
          </cell>
          <cell r="QA18">
            <v>0</v>
          </cell>
          <cell r="QB18">
            <v>0</v>
          </cell>
          <cell r="QC18">
            <v>4.12</v>
          </cell>
          <cell r="QE18">
            <v>17</v>
          </cell>
          <cell r="QF18">
            <v>0</v>
          </cell>
          <cell r="QG18">
            <v>0</v>
          </cell>
          <cell r="QH18">
            <v>4.12</v>
          </cell>
          <cell r="QJ18">
            <v>17</v>
          </cell>
          <cell r="QK18">
            <v>0</v>
          </cell>
          <cell r="QL18">
            <v>0</v>
          </cell>
          <cell r="QM18">
            <v>4.12</v>
          </cell>
          <cell r="QO18">
            <v>17</v>
          </cell>
          <cell r="QP18">
            <v>0</v>
          </cell>
          <cell r="QQ18">
            <v>0</v>
          </cell>
          <cell r="QR18">
            <v>4.12</v>
          </cell>
          <cell r="QT18">
            <v>17</v>
          </cell>
          <cell r="QU18">
            <v>0</v>
          </cell>
          <cell r="QV18">
            <v>0</v>
          </cell>
          <cell r="QW18">
            <v>4.12</v>
          </cell>
          <cell r="QY18">
            <v>17</v>
          </cell>
          <cell r="QZ18">
            <v>0</v>
          </cell>
          <cell r="RA18">
            <v>0</v>
          </cell>
          <cell r="RB18">
            <v>4.12</v>
          </cell>
          <cell r="RD18">
            <v>17</v>
          </cell>
          <cell r="RE18">
            <v>0</v>
          </cell>
          <cell r="RF18">
            <v>0</v>
          </cell>
          <cell r="RG18">
            <v>4.12</v>
          </cell>
          <cell r="RI18">
            <v>17</v>
          </cell>
          <cell r="RJ18">
            <v>0</v>
          </cell>
          <cell r="RK18">
            <v>0</v>
          </cell>
          <cell r="RL18">
            <v>4.12</v>
          </cell>
          <cell r="RN18">
            <v>17</v>
          </cell>
          <cell r="RO18">
            <v>0</v>
          </cell>
          <cell r="RP18">
            <v>0</v>
          </cell>
          <cell r="RQ18">
            <v>4.12</v>
          </cell>
          <cell r="RS18">
            <v>17</v>
          </cell>
          <cell r="RT18">
            <v>0</v>
          </cell>
          <cell r="RU18">
            <v>0</v>
          </cell>
          <cell r="RV18">
            <v>4.12</v>
          </cell>
          <cell r="RX18">
            <v>17</v>
          </cell>
          <cell r="RY18">
            <v>0</v>
          </cell>
          <cell r="RZ18">
            <v>0</v>
          </cell>
          <cell r="SA18">
            <v>4.12</v>
          </cell>
          <cell r="SC18">
            <v>17</v>
          </cell>
          <cell r="SD18">
            <v>0</v>
          </cell>
          <cell r="SE18">
            <v>0</v>
          </cell>
          <cell r="SF18">
            <v>4.12</v>
          </cell>
          <cell r="SH18">
            <v>17</v>
          </cell>
          <cell r="SI18">
            <v>0</v>
          </cell>
          <cell r="SJ18">
            <v>0</v>
          </cell>
          <cell r="SK18">
            <v>4.12</v>
          </cell>
          <cell r="SM18">
            <v>17</v>
          </cell>
          <cell r="SN18">
            <v>0</v>
          </cell>
          <cell r="SO18">
            <v>0</v>
          </cell>
          <cell r="SP18">
            <v>4.12</v>
          </cell>
          <cell r="SR18">
            <v>17</v>
          </cell>
          <cell r="SS18">
            <v>0</v>
          </cell>
          <cell r="ST18">
            <v>0</v>
          </cell>
          <cell r="SU18">
            <v>4.12</v>
          </cell>
          <cell r="SW18">
            <v>17</v>
          </cell>
          <cell r="SX18">
            <v>0</v>
          </cell>
          <cell r="SY18">
            <v>0</v>
          </cell>
          <cell r="SZ18">
            <v>4.12</v>
          </cell>
          <cell r="TB18">
            <v>17</v>
          </cell>
          <cell r="TC18">
            <v>0</v>
          </cell>
          <cell r="TD18">
            <v>0</v>
          </cell>
          <cell r="TE18">
            <v>4.12</v>
          </cell>
          <cell r="TG18">
            <v>17</v>
          </cell>
          <cell r="TH18">
            <v>0</v>
          </cell>
          <cell r="TI18">
            <v>0</v>
          </cell>
          <cell r="TJ18">
            <v>4.12</v>
          </cell>
          <cell r="TL18">
            <v>17</v>
          </cell>
          <cell r="TM18">
            <v>0</v>
          </cell>
          <cell r="TN18">
            <v>0</v>
          </cell>
          <cell r="TO18">
            <v>4.12</v>
          </cell>
          <cell r="TQ18">
            <v>17</v>
          </cell>
          <cell r="TR18">
            <v>0</v>
          </cell>
          <cell r="TS18">
            <v>0</v>
          </cell>
          <cell r="TT18">
            <v>4.12</v>
          </cell>
          <cell r="TV18">
            <v>17</v>
          </cell>
          <cell r="TW18">
            <v>0</v>
          </cell>
          <cell r="TX18">
            <v>0</v>
          </cell>
          <cell r="TY18">
            <v>4.12</v>
          </cell>
          <cell r="UA18">
            <v>17</v>
          </cell>
          <cell r="UB18">
            <v>0</v>
          </cell>
          <cell r="UC18">
            <v>0</v>
          </cell>
          <cell r="UD18">
            <v>4.12</v>
          </cell>
          <cell r="UF18">
            <v>17</v>
          </cell>
          <cell r="UG18">
            <v>0</v>
          </cell>
          <cell r="UH18">
            <v>0</v>
          </cell>
          <cell r="UI18">
            <v>4.12</v>
          </cell>
          <cell r="UK18">
            <v>17</v>
          </cell>
          <cell r="UL18">
            <v>0</v>
          </cell>
          <cell r="UM18">
            <v>0</v>
          </cell>
          <cell r="UN18">
            <v>4.12</v>
          </cell>
          <cell r="UP18">
            <v>17</v>
          </cell>
          <cell r="UQ18">
            <v>0</v>
          </cell>
          <cell r="UR18">
            <v>0</v>
          </cell>
          <cell r="US18">
            <v>4.12</v>
          </cell>
          <cell r="UU18">
            <v>17</v>
          </cell>
          <cell r="UV18">
            <v>0</v>
          </cell>
          <cell r="UW18">
            <v>0</v>
          </cell>
          <cell r="UX18">
            <v>4.12</v>
          </cell>
          <cell r="UZ18">
            <v>17</v>
          </cell>
          <cell r="VA18">
            <v>0</v>
          </cell>
          <cell r="VB18">
            <v>0</v>
          </cell>
          <cell r="VC18">
            <v>4.12</v>
          </cell>
          <cell r="VE18">
            <v>17</v>
          </cell>
          <cell r="VF18">
            <v>0</v>
          </cell>
          <cell r="VG18">
            <v>0</v>
          </cell>
          <cell r="VH18">
            <v>4.12</v>
          </cell>
          <cell r="VJ18">
            <v>17</v>
          </cell>
          <cell r="VK18">
            <v>0</v>
          </cell>
          <cell r="VL18">
            <v>0</v>
          </cell>
          <cell r="VM18">
            <v>4.12</v>
          </cell>
          <cell r="VO18">
            <v>17</v>
          </cell>
          <cell r="VP18">
            <v>0</v>
          </cell>
          <cell r="VQ18">
            <v>0</v>
          </cell>
          <cell r="VR18">
            <v>4.12</v>
          </cell>
          <cell r="VT18">
            <v>17</v>
          </cell>
          <cell r="VU18">
            <v>0</v>
          </cell>
          <cell r="VV18">
            <v>0</v>
          </cell>
          <cell r="VW18">
            <v>4.12</v>
          </cell>
          <cell r="VY18">
            <v>17</v>
          </cell>
          <cell r="VZ18">
            <v>0</v>
          </cell>
          <cell r="WA18">
            <v>0</v>
          </cell>
          <cell r="WB18">
            <v>4.12</v>
          </cell>
          <cell r="WD18">
            <v>17</v>
          </cell>
          <cell r="WE18">
            <v>0</v>
          </cell>
          <cell r="WF18">
            <v>0</v>
          </cell>
          <cell r="WG18">
            <v>4.12</v>
          </cell>
          <cell r="WI18">
            <v>17</v>
          </cell>
          <cell r="WJ18">
            <v>0</v>
          </cell>
          <cell r="WK18">
            <v>0</v>
          </cell>
          <cell r="WL18">
            <v>4.12</v>
          </cell>
          <cell r="WN18">
            <v>17</v>
          </cell>
          <cell r="WO18">
            <v>0</v>
          </cell>
          <cell r="WP18">
            <v>0</v>
          </cell>
          <cell r="WQ18">
            <v>4.12</v>
          </cell>
          <cell r="WS18">
            <v>17</v>
          </cell>
          <cell r="WT18">
            <v>0</v>
          </cell>
          <cell r="WU18">
            <v>0</v>
          </cell>
          <cell r="WV18">
            <v>4.12</v>
          </cell>
          <cell r="WX18">
            <v>17</v>
          </cell>
          <cell r="WY18">
            <v>0</v>
          </cell>
          <cell r="WZ18">
            <v>0</v>
          </cell>
          <cell r="XA18">
            <v>4.12</v>
          </cell>
          <cell r="XC18">
            <v>17</v>
          </cell>
          <cell r="XD18">
            <v>0</v>
          </cell>
          <cell r="XE18">
            <v>0</v>
          </cell>
          <cell r="XF18">
            <v>4.12</v>
          </cell>
          <cell r="XH18">
            <v>17</v>
          </cell>
          <cell r="XI18">
            <v>0</v>
          </cell>
          <cell r="XJ18">
            <v>0</v>
          </cell>
          <cell r="XK18">
            <v>4.12</v>
          </cell>
          <cell r="XM18">
            <v>17</v>
          </cell>
          <cell r="XN18">
            <v>0</v>
          </cell>
          <cell r="XO18">
            <v>0</v>
          </cell>
          <cell r="XP18">
            <v>4.12</v>
          </cell>
          <cell r="XR18">
            <v>17</v>
          </cell>
          <cell r="XS18">
            <v>0</v>
          </cell>
          <cell r="XT18">
            <v>0</v>
          </cell>
          <cell r="XU18">
            <v>4.12</v>
          </cell>
          <cell r="XW18">
            <v>17</v>
          </cell>
          <cell r="XX18">
            <v>0</v>
          </cell>
          <cell r="XY18">
            <v>0</v>
          </cell>
          <cell r="XZ18">
            <v>4.12</v>
          </cell>
          <cell r="YB18">
            <v>17</v>
          </cell>
          <cell r="YC18">
            <v>0</v>
          </cell>
          <cell r="YD18">
            <v>0</v>
          </cell>
          <cell r="YE18">
            <v>4.12</v>
          </cell>
        </row>
        <row r="19">
          <cell r="A19">
            <v>9</v>
          </cell>
          <cell r="B19" t="str">
            <v>新設PVC排水暗管(∮8",10m/m以上)</v>
          </cell>
          <cell r="C19" t="str">
            <v>M</v>
          </cell>
          <cell r="D19">
            <v>65</v>
          </cell>
          <cell r="E19">
            <v>2422</v>
          </cell>
          <cell r="F19">
            <v>157430</v>
          </cell>
          <cell r="G19">
            <v>3.58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20</v>
          </cell>
          <cell r="AK19">
            <v>20</v>
          </cell>
          <cell r="AL19">
            <v>48440</v>
          </cell>
          <cell r="AM19">
            <v>1.1000000000000001</v>
          </cell>
          <cell r="AN19">
            <v>1.1000000000000001</v>
          </cell>
          <cell r="AP19">
            <v>20</v>
          </cell>
          <cell r="AQ19">
            <v>0</v>
          </cell>
          <cell r="AR19">
            <v>0</v>
          </cell>
          <cell r="AS19">
            <v>1.1000000000000001</v>
          </cell>
          <cell r="AU19">
            <v>20</v>
          </cell>
          <cell r="AV19">
            <v>0</v>
          </cell>
          <cell r="AW19">
            <v>0</v>
          </cell>
          <cell r="AX19">
            <v>1.1000000000000001</v>
          </cell>
          <cell r="AZ19">
            <v>20</v>
          </cell>
          <cell r="BA19">
            <v>0</v>
          </cell>
          <cell r="BB19">
            <v>0</v>
          </cell>
          <cell r="BC19">
            <v>1.1000000000000001</v>
          </cell>
          <cell r="BE19">
            <v>20</v>
          </cell>
          <cell r="BF19">
            <v>0</v>
          </cell>
          <cell r="BG19">
            <v>0</v>
          </cell>
          <cell r="BH19">
            <v>1.1000000000000001</v>
          </cell>
          <cell r="BI19">
            <v>10</v>
          </cell>
          <cell r="BJ19">
            <v>30</v>
          </cell>
          <cell r="BK19">
            <v>24220</v>
          </cell>
          <cell r="BL19">
            <v>0.55000000000000004</v>
          </cell>
          <cell r="BM19">
            <v>1.6500000000000001</v>
          </cell>
          <cell r="BO19">
            <v>30</v>
          </cell>
          <cell r="BP19">
            <v>0</v>
          </cell>
          <cell r="BQ19">
            <v>0</v>
          </cell>
          <cell r="BR19">
            <v>1.6500000000000001</v>
          </cell>
          <cell r="BS19">
            <v>10</v>
          </cell>
          <cell r="BT19">
            <v>40</v>
          </cell>
          <cell r="BU19">
            <v>24220</v>
          </cell>
          <cell r="BV19">
            <v>0.55000000000000004</v>
          </cell>
          <cell r="BW19">
            <v>2.2000000000000002</v>
          </cell>
          <cell r="BX19">
            <v>10</v>
          </cell>
          <cell r="BY19">
            <v>50</v>
          </cell>
          <cell r="BZ19">
            <v>24220</v>
          </cell>
          <cell r="CA19">
            <v>0.55000000000000004</v>
          </cell>
          <cell r="CB19">
            <v>2.75</v>
          </cell>
          <cell r="CC19">
            <v>10</v>
          </cell>
          <cell r="CD19">
            <v>60</v>
          </cell>
          <cell r="CE19">
            <v>24220</v>
          </cell>
          <cell r="CF19">
            <v>0.55000000000000004</v>
          </cell>
          <cell r="CG19">
            <v>3.3</v>
          </cell>
          <cell r="CI19">
            <v>60</v>
          </cell>
          <cell r="CJ19">
            <v>0</v>
          </cell>
          <cell r="CK19">
            <v>0</v>
          </cell>
          <cell r="CL19">
            <v>3.3</v>
          </cell>
          <cell r="CN19">
            <v>60</v>
          </cell>
          <cell r="CO19">
            <v>0</v>
          </cell>
          <cell r="CP19">
            <v>0</v>
          </cell>
          <cell r="CQ19">
            <v>3.3</v>
          </cell>
          <cell r="CS19">
            <v>60</v>
          </cell>
          <cell r="CT19">
            <v>0</v>
          </cell>
          <cell r="CU19">
            <v>0</v>
          </cell>
          <cell r="CV19">
            <v>3.3</v>
          </cell>
          <cell r="CX19">
            <v>60</v>
          </cell>
          <cell r="CY19">
            <v>0</v>
          </cell>
          <cell r="CZ19">
            <v>0</v>
          </cell>
          <cell r="DA19">
            <v>3.3</v>
          </cell>
          <cell r="DC19">
            <v>60</v>
          </cell>
          <cell r="DD19">
            <v>0</v>
          </cell>
          <cell r="DE19">
            <v>0</v>
          </cell>
          <cell r="DF19">
            <v>3.3</v>
          </cell>
          <cell r="DH19">
            <v>60</v>
          </cell>
          <cell r="DI19">
            <v>0</v>
          </cell>
          <cell r="DJ19">
            <v>0</v>
          </cell>
          <cell r="DK19">
            <v>3.3</v>
          </cell>
          <cell r="DM19">
            <v>60</v>
          </cell>
          <cell r="DN19">
            <v>0</v>
          </cell>
          <cell r="DO19">
            <v>0</v>
          </cell>
          <cell r="DP19">
            <v>3.3</v>
          </cell>
          <cell r="DR19">
            <v>60</v>
          </cell>
          <cell r="DS19">
            <v>0</v>
          </cell>
          <cell r="DT19">
            <v>0</v>
          </cell>
          <cell r="DU19">
            <v>3.3</v>
          </cell>
          <cell r="DW19">
            <v>60</v>
          </cell>
          <cell r="DX19">
            <v>0</v>
          </cell>
          <cell r="DY19">
            <v>0</v>
          </cell>
          <cell r="DZ19">
            <v>3.3</v>
          </cell>
          <cell r="EB19">
            <v>60</v>
          </cell>
          <cell r="EC19">
            <v>0</v>
          </cell>
          <cell r="ED19">
            <v>0</v>
          </cell>
          <cell r="EE19">
            <v>3.3</v>
          </cell>
          <cell r="EG19">
            <v>60</v>
          </cell>
          <cell r="EH19">
            <v>0</v>
          </cell>
          <cell r="EI19">
            <v>0</v>
          </cell>
          <cell r="EJ19">
            <v>3.3</v>
          </cell>
          <cell r="EL19">
            <v>60</v>
          </cell>
          <cell r="EM19">
            <v>0</v>
          </cell>
          <cell r="EN19">
            <v>0</v>
          </cell>
          <cell r="EO19">
            <v>3.3</v>
          </cell>
          <cell r="EQ19">
            <v>60</v>
          </cell>
          <cell r="ER19">
            <v>0</v>
          </cell>
          <cell r="ES19">
            <v>0</v>
          </cell>
          <cell r="ET19">
            <v>3.3</v>
          </cell>
          <cell r="EV19">
            <v>60</v>
          </cell>
          <cell r="EW19">
            <v>0</v>
          </cell>
          <cell r="EX19">
            <v>0</v>
          </cell>
          <cell r="EY19">
            <v>3.3</v>
          </cell>
          <cell r="FA19">
            <v>60</v>
          </cell>
          <cell r="FB19">
            <v>0</v>
          </cell>
          <cell r="FC19">
            <v>0</v>
          </cell>
          <cell r="FD19">
            <v>3.3</v>
          </cell>
          <cell r="FE19">
            <v>5</v>
          </cell>
          <cell r="FF19">
            <v>65</v>
          </cell>
          <cell r="FG19">
            <v>12110</v>
          </cell>
          <cell r="FH19">
            <v>0.28000000000000025</v>
          </cell>
          <cell r="FI19">
            <v>3.58</v>
          </cell>
          <cell r="FK19">
            <v>65</v>
          </cell>
          <cell r="FL19">
            <v>0</v>
          </cell>
          <cell r="FM19">
            <v>0</v>
          </cell>
          <cell r="FN19">
            <v>3.58</v>
          </cell>
          <cell r="FP19">
            <v>65</v>
          </cell>
          <cell r="FQ19">
            <v>0</v>
          </cell>
          <cell r="FR19">
            <v>0</v>
          </cell>
          <cell r="FS19">
            <v>3.58</v>
          </cell>
          <cell r="FU19">
            <v>65</v>
          </cell>
          <cell r="FV19">
            <v>0</v>
          </cell>
          <cell r="FW19">
            <v>0</v>
          </cell>
          <cell r="FX19">
            <v>3.58</v>
          </cell>
          <cell r="FZ19">
            <v>65</v>
          </cell>
          <cell r="GA19">
            <v>0</v>
          </cell>
          <cell r="GB19">
            <v>0</v>
          </cell>
          <cell r="GC19">
            <v>3.58</v>
          </cell>
          <cell r="GE19">
            <v>65</v>
          </cell>
          <cell r="GF19">
            <v>0</v>
          </cell>
          <cell r="GG19">
            <v>0</v>
          </cell>
          <cell r="GH19">
            <v>3.58</v>
          </cell>
          <cell r="GJ19">
            <v>65</v>
          </cell>
          <cell r="GK19">
            <v>0</v>
          </cell>
          <cell r="GL19">
            <v>0</v>
          </cell>
          <cell r="GM19">
            <v>3.58</v>
          </cell>
          <cell r="GO19">
            <v>65</v>
          </cell>
          <cell r="GP19">
            <v>0</v>
          </cell>
          <cell r="GQ19">
            <v>0</v>
          </cell>
          <cell r="GR19">
            <v>3.58</v>
          </cell>
          <cell r="GT19">
            <v>65</v>
          </cell>
          <cell r="GU19">
            <v>0</v>
          </cell>
          <cell r="GV19">
            <v>0</v>
          </cell>
          <cell r="GW19">
            <v>3.58</v>
          </cell>
          <cell r="GY19">
            <v>65</v>
          </cell>
          <cell r="GZ19">
            <v>0</v>
          </cell>
          <cell r="HA19">
            <v>0</v>
          </cell>
          <cell r="HB19">
            <v>3.58</v>
          </cell>
          <cell r="HD19">
            <v>65</v>
          </cell>
          <cell r="HE19">
            <v>0</v>
          </cell>
          <cell r="HF19">
            <v>0</v>
          </cell>
          <cell r="HG19">
            <v>3.58</v>
          </cell>
          <cell r="HI19">
            <v>65</v>
          </cell>
          <cell r="HJ19">
            <v>0</v>
          </cell>
          <cell r="HK19">
            <v>0</v>
          </cell>
          <cell r="HL19">
            <v>3.58</v>
          </cell>
          <cell r="HN19">
            <v>65</v>
          </cell>
          <cell r="HO19">
            <v>0</v>
          </cell>
          <cell r="HP19">
            <v>0</v>
          </cell>
          <cell r="HQ19">
            <v>3.58</v>
          </cell>
          <cell r="HS19">
            <v>65</v>
          </cell>
          <cell r="HT19">
            <v>0</v>
          </cell>
          <cell r="HU19">
            <v>0</v>
          </cell>
          <cell r="HV19">
            <v>3.58</v>
          </cell>
          <cell r="HX19">
            <v>65</v>
          </cell>
          <cell r="HY19">
            <v>0</v>
          </cell>
          <cell r="HZ19">
            <v>0</v>
          </cell>
          <cell r="IA19">
            <v>3.58</v>
          </cell>
          <cell r="IC19">
            <v>65</v>
          </cell>
          <cell r="ID19">
            <v>0</v>
          </cell>
          <cell r="IE19">
            <v>0</v>
          </cell>
          <cell r="IF19">
            <v>3.58</v>
          </cell>
          <cell r="IH19">
            <v>65</v>
          </cell>
          <cell r="II19">
            <v>0</v>
          </cell>
          <cell r="IJ19">
            <v>0</v>
          </cell>
          <cell r="IK19">
            <v>3.58</v>
          </cell>
          <cell r="IM19">
            <v>65</v>
          </cell>
          <cell r="IN19">
            <v>0</v>
          </cell>
          <cell r="IO19">
            <v>0</v>
          </cell>
          <cell r="IP19">
            <v>3.58</v>
          </cell>
          <cell r="IR19">
            <v>65</v>
          </cell>
          <cell r="IS19">
            <v>0</v>
          </cell>
          <cell r="IT19">
            <v>0</v>
          </cell>
          <cell r="IU19">
            <v>3.58</v>
          </cell>
          <cell r="IW19">
            <v>65</v>
          </cell>
          <cell r="IX19">
            <v>0</v>
          </cell>
          <cell r="IY19">
            <v>0</v>
          </cell>
          <cell r="IZ19">
            <v>3.58</v>
          </cell>
          <cell r="JB19">
            <v>65</v>
          </cell>
          <cell r="JC19">
            <v>0</v>
          </cell>
          <cell r="JD19">
            <v>0</v>
          </cell>
          <cell r="JE19">
            <v>3.58</v>
          </cell>
          <cell r="JG19">
            <v>65</v>
          </cell>
          <cell r="JH19">
            <v>0</v>
          </cell>
          <cell r="JI19">
            <v>0</v>
          </cell>
          <cell r="JJ19">
            <v>3.58</v>
          </cell>
          <cell r="JL19">
            <v>65</v>
          </cell>
          <cell r="JM19">
            <v>0</v>
          </cell>
          <cell r="JN19">
            <v>0</v>
          </cell>
          <cell r="JO19">
            <v>3.58</v>
          </cell>
          <cell r="JQ19">
            <v>65</v>
          </cell>
          <cell r="JR19">
            <v>0</v>
          </cell>
          <cell r="JS19">
            <v>0</v>
          </cell>
          <cell r="JT19">
            <v>3.58</v>
          </cell>
          <cell r="JV19">
            <v>65</v>
          </cell>
          <cell r="JW19">
            <v>0</v>
          </cell>
          <cell r="JX19">
            <v>0</v>
          </cell>
          <cell r="JY19">
            <v>3.58</v>
          </cell>
          <cell r="KA19">
            <v>65</v>
          </cell>
          <cell r="KB19">
            <v>0</v>
          </cell>
          <cell r="KC19">
            <v>0</v>
          </cell>
          <cell r="KD19">
            <v>3.58</v>
          </cell>
          <cell r="KF19">
            <v>65</v>
          </cell>
          <cell r="KG19">
            <v>0</v>
          </cell>
          <cell r="KH19">
            <v>0</v>
          </cell>
          <cell r="KI19">
            <v>3.58</v>
          </cell>
          <cell r="KK19">
            <v>65</v>
          </cell>
          <cell r="KL19">
            <v>0</v>
          </cell>
          <cell r="KM19">
            <v>0</v>
          </cell>
          <cell r="KN19">
            <v>3.58</v>
          </cell>
          <cell r="KP19">
            <v>65</v>
          </cell>
          <cell r="KQ19">
            <v>0</v>
          </cell>
          <cell r="KR19">
            <v>0</v>
          </cell>
          <cell r="KS19">
            <v>3.58</v>
          </cell>
          <cell r="KU19">
            <v>65</v>
          </cell>
          <cell r="KV19">
            <v>0</v>
          </cell>
          <cell r="KW19">
            <v>0</v>
          </cell>
          <cell r="KX19">
            <v>3.58</v>
          </cell>
          <cell r="KZ19">
            <v>65</v>
          </cell>
          <cell r="LA19">
            <v>0</v>
          </cell>
          <cell r="LB19">
            <v>0</v>
          </cell>
          <cell r="LC19">
            <v>3.58</v>
          </cell>
          <cell r="LE19">
            <v>65</v>
          </cell>
          <cell r="LF19">
            <v>0</v>
          </cell>
          <cell r="LG19">
            <v>0</v>
          </cell>
          <cell r="LH19">
            <v>3.58</v>
          </cell>
          <cell r="LJ19">
            <v>65</v>
          </cell>
          <cell r="LK19">
            <v>0</v>
          </cell>
          <cell r="LL19">
            <v>0</v>
          </cell>
          <cell r="LM19">
            <v>3.58</v>
          </cell>
          <cell r="LO19">
            <v>65</v>
          </cell>
          <cell r="LP19">
            <v>0</v>
          </cell>
          <cell r="LQ19">
            <v>0</v>
          </cell>
          <cell r="LR19">
            <v>3.58</v>
          </cell>
          <cell r="LT19">
            <v>65</v>
          </cell>
          <cell r="LU19">
            <v>0</v>
          </cell>
          <cell r="LV19">
            <v>0</v>
          </cell>
          <cell r="LW19">
            <v>3.58</v>
          </cell>
          <cell r="LY19">
            <v>65</v>
          </cell>
          <cell r="LZ19">
            <v>0</v>
          </cell>
          <cell r="MA19">
            <v>0</v>
          </cell>
          <cell r="MB19">
            <v>3.58</v>
          </cell>
          <cell r="MD19">
            <v>65</v>
          </cell>
          <cell r="ME19">
            <v>0</v>
          </cell>
          <cell r="MF19">
            <v>0</v>
          </cell>
          <cell r="MG19">
            <v>3.58</v>
          </cell>
          <cell r="MI19">
            <v>65</v>
          </cell>
          <cell r="MJ19">
            <v>0</v>
          </cell>
          <cell r="MK19">
            <v>0</v>
          </cell>
          <cell r="ML19">
            <v>3.58</v>
          </cell>
          <cell r="MN19">
            <v>65</v>
          </cell>
          <cell r="MO19">
            <v>0</v>
          </cell>
          <cell r="MP19">
            <v>0</v>
          </cell>
          <cell r="MQ19">
            <v>3.58</v>
          </cell>
          <cell r="MS19">
            <v>65</v>
          </cell>
          <cell r="MT19">
            <v>0</v>
          </cell>
          <cell r="MU19">
            <v>0</v>
          </cell>
          <cell r="MV19">
            <v>3.58</v>
          </cell>
          <cell r="MX19">
            <v>65</v>
          </cell>
          <cell r="MY19">
            <v>0</v>
          </cell>
          <cell r="MZ19">
            <v>0</v>
          </cell>
          <cell r="NA19">
            <v>3.58</v>
          </cell>
          <cell r="NC19">
            <v>65</v>
          </cell>
          <cell r="ND19">
            <v>0</v>
          </cell>
          <cell r="NE19">
            <v>0</v>
          </cell>
          <cell r="NF19">
            <v>3.58</v>
          </cell>
          <cell r="NH19">
            <v>65</v>
          </cell>
          <cell r="NI19">
            <v>0</v>
          </cell>
          <cell r="NJ19">
            <v>0</v>
          </cell>
          <cell r="NK19">
            <v>3.58</v>
          </cell>
          <cell r="NM19">
            <v>65</v>
          </cell>
          <cell r="NN19">
            <v>0</v>
          </cell>
          <cell r="NO19">
            <v>0</v>
          </cell>
          <cell r="NP19">
            <v>3.58</v>
          </cell>
          <cell r="NR19">
            <v>65</v>
          </cell>
          <cell r="NS19">
            <v>0</v>
          </cell>
          <cell r="NT19">
            <v>0</v>
          </cell>
          <cell r="NU19">
            <v>3.58</v>
          </cell>
          <cell r="NW19">
            <v>65</v>
          </cell>
          <cell r="NX19">
            <v>0</v>
          </cell>
          <cell r="NY19">
            <v>0</v>
          </cell>
          <cell r="NZ19">
            <v>3.58</v>
          </cell>
          <cell r="OB19">
            <v>65</v>
          </cell>
          <cell r="OC19">
            <v>0</v>
          </cell>
          <cell r="OD19">
            <v>0</v>
          </cell>
          <cell r="OE19">
            <v>3.58</v>
          </cell>
          <cell r="OG19">
            <v>65</v>
          </cell>
          <cell r="OH19">
            <v>0</v>
          </cell>
          <cell r="OI19">
            <v>0</v>
          </cell>
          <cell r="OJ19">
            <v>3.58</v>
          </cell>
          <cell r="OL19">
            <v>65</v>
          </cell>
          <cell r="OM19">
            <v>0</v>
          </cell>
          <cell r="ON19">
            <v>0</v>
          </cell>
          <cell r="OO19">
            <v>3.58</v>
          </cell>
          <cell r="OQ19">
            <v>65</v>
          </cell>
          <cell r="OR19">
            <v>0</v>
          </cell>
          <cell r="OS19">
            <v>0</v>
          </cell>
          <cell r="OT19">
            <v>3.58</v>
          </cell>
          <cell r="OV19">
            <v>65</v>
          </cell>
          <cell r="OW19">
            <v>0</v>
          </cell>
          <cell r="OX19">
            <v>0</v>
          </cell>
          <cell r="OY19">
            <v>3.58</v>
          </cell>
          <cell r="PA19">
            <v>65</v>
          </cell>
          <cell r="PB19">
            <v>0</v>
          </cell>
          <cell r="PC19">
            <v>0</v>
          </cell>
          <cell r="PD19">
            <v>3.58</v>
          </cell>
          <cell r="PF19">
            <v>65</v>
          </cell>
          <cell r="PG19">
            <v>0</v>
          </cell>
          <cell r="PH19">
            <v>0</v>
          </cell>
          <cell r="PI19">
            <v>3.58</v>
          </cell>
          <cell r="PK19">
            <v>65</v>
          </cell>
          <cell r="PL19">
            <v>0</v>
          </cell>
          <cell r="PM19">
            <v>0</v>
          </cell>
          <cell r="PN19">
            <v>3.58</v>
          </cell>
          <cell r="PP19">
            <v>65</v>
          </cell>
          <cell r="PQ19">
            <v>0</v>
          </cell>
          <cell r="PR19">
            <v>0</v>
          </cell>
          <cell r="PS19">
            <v>3.58</v>
          </cell>
          <cell r="PU19">
            <v>65</v>
          </cell>
          <cell r="PV19">
            <v>0</v>
          </cell>
          <cell r="PW19">
            <v>0</v>
          </cell>
          <cell r="PX19">
            <v>3.58</v>
          </cell>
          <cell r="PZ19">
            <v>65</v>
          </cell>
          <cell r="QA19">
            <v>0</v>
          </cell>
          <cell r="QB19">
            <v>0</v>
          </cell>
          <cell r="QC19">
            <v>3.58</v>
          </cell>
          <cell r="QE19">
            <v>65</v>
          </cell>
          <cell r="QF19">
            <v>0</v>
          </cell>
          <cell r="QG19">
            <v>0</v>
          </cell>
          <cell r="QH19">
            <v>3.58</v>
          </cell>
          <cell r="QJ19">
            <v>65</v>
          </cell>
          <cell r="QK19">
            <v>0</v>
          </cell>
          <cell r="QL19">
            <v>0</v>
          </cell>
          <cell r="QM19">
            <v>3.58</v>
          </cell>
          <cell r="QO19">
            <v>65</v>
          </cell>
          <cell r="QP19">
            <v>0</v>
          </cell>
          <cell r="QQ19">
            <v>0</v>
          </cell>
          <cell r="QR19">
            <v>3.58</v>
          </cell>
          <cell r="QT19">
            <v>65</v>
          </cell>
          <cell r="QU19">
            <v>0</v>
          </cell>
          <cell r="QV19">
            <v>0</v>
          </cell>
          <cell r="QW19">
            <v>3.58</v>
          </cell>
          <cell r="QY19">
            <v>65</v>
          </cell>
          <cell r="QZ19">
            <v>0</v>
          </cell>
          <cell r="RA19">
            <v>0</v>
          </cell>
          <cell r="RB19">
            <v>3.58</v>
          </cell>
          <cell r="RD19">
            <v>65</v>
          </cell>
          <cell r="RE19">
            <v>0</v>
          </cell>
          <cell r="RF19">
            <v>0</v>
          </cell>
          <cell r="RG19">
            <v>3.58</v>
          </cell>
          <cell r="RI19">
            <v>65</v>
          </cell>
          <cell r="RJ19">
            <v>0</v>
          </cell>
          <cell r="RK19">
            <v>0</v>
          </cell>
          <cell r="RL19">
            <v>3.58</v>
          </cell>
          <cell r="RN19">
            <v>65</v>
          </cell>
          <cell r="RO19">
            <v>0</v>
          </cell>
          <cell r="RP19">
            <v>0</v>
          </cell>
          <cell r="RQ19">
            <v>3.58</v>
          </cell>
          <cell r="RS19">
            <v>65</v>
          </cell>
          <cell r="RT19">
            <v>0</v>
          </cell>
          <cell r="RU19">
            <v>0</v>
          </cell>
          <cell r="RV19">
            <v>3.58</v>
          </cell>
          <cell r="RX19">
            <v>65</v>
          </cell>
          <cell r="RY19">
            <v>0</v>
          </cell>
          <cell r="RZ19">
            <v>0</v>
          </cell>
          <cell r="SA19">
            <v>3.58</v>
          </cell>
          <cell r="SC19">
            <v>65</v>
          </cell>
          <cell r="SD19">
            <v>0</v>
          </cell>
          <cell r="SE19">
            <v>0</v>
          </cell>
          <cell r="SF19">
            <v>3.58</v>
          </cell>
          <cell r="SH19">
            <v>65</v>
          </cell>
          <cell r="SI19">
            <v>0</v>
          </cell>
          <cell r="SJ19">
            <v>0</v>
          </cell>
          <cell r="SK19">
            <v>3.58</v>
          </cell>
          <cell r="SM19">
            <v>65</v>
          </cell>
          <cell r="SN19">
            <v>0</v>
          </cell>
          <cell r="SO19">
            <v>0</v>
          </cell>
          <cell r="SP19">
            <v>3.58</v>
          </cell>
          <cell r="SR19">
            <v>65</v>
          </cell>
          <cell r="SS19">
            <v>0</v>
          </cell>
          <cell r="ST19">
            <v>0</v>
          </cell>
          <cell r="SU19">
            <v>3.58</v>
          </cell>
          <cell r="SW19">
            <v>65</v>
          </cell>
          <cell r="SX19">
            <v>0</v>
          </cell>
          <cell r="SY19">
            <v>0</v>
          </cell>
          <cell r="SZ19">
            <v>3.58</v>
          </cell>
          <cell r="TB19">
            <v>65</v>
          </cell>
          <cell r="TC19">
            <v>0</v>
          </cell>
          <cell r="TD19">
            <v>0</v>
          </cell>
          <cell r="TE19">
            <v>3.58</v>
          </cell>
          <cell r="TG19">
            <v>65</v>
          </cell>
          <cell r="TH19">
            <v>0</v>
          </cell>
          <cell r="TI19">
            <v>0</v>
          </cell>
          <cell r="TJ19">
            <v>3.58</v>
          </cell>
          <cell r="TL19">
            <v>65</v>
          </cell>
          <cell r="TM19">
            <v>0</v>
          </cell>
          <cell r="TN19">
            <v>0</v>
          </cell>
          <cell r="TO19">
            <v>3.58</v>
          </cell>
          <cell r="TQ19">
            <v>65</v>
          </cell>
          <cell r="TR19">
            <v>0</v>
          </cell>
          <cell r="TS19">
            <v>0</v>
          </cell>
          <cell r="TT19">
            <v>3.58</v>
          </cell>
          <cell r="TV19">
            <v>65</v>
          </cell>
          <cell r="TW19">
            <v>0</v>
          </cell>
          <cell r="TX19">
            <v>0</v>
          </cell>
          <cell r="TY19">
            <v>3.58</v>
          </cell>
          <cell r="UA19">
            <v>65</v>
          </cell>
          <cell r="UB19">
            <v>0</v>
          </cell>
          <cell r="UC19">
            <v>0</v>
          </cell>
          <cell r="UD19">
            <v>3.58</v>
          </cell>
          <cell r="UF19">
            <v>65</v>
          </cell>
          <cell r="UG19">
            <v>0</v>
          </cell>
          <cell r="UH19">
            <v>0</v>
          </cell>
          <cell r="UI19">
            <v>3.58</v>
          </cell>
          <cell r="UK19">
            <v>65</v>
          </cell>
          <cell r="UL19">
            <v>0</v>
          </cell>
          <cell r="UM19">
            <v>0</v>
          </cell>
          <cell r="UN19">
            <v>3.58</v>
          </cell>
          <cell r="UP19">
            <v>65</v>
          </cell>
          <cell r="UQ19">
            <v>0</v>
          </cell>
          <cell r="UR19">
            <v>0</v>
          </cell>
          <cell r="US19">
            <v>3.58</v>
          </cell>
          <cell r="UU19">
            <v>65</v>
          </cell>
          <cell r="UV19">
            <v>0</v>
          </cell>
          <cell r="UW19">
            <v>0</v>
          </cell>
          <cell r="UX19">
            <v>3.58</v>
          </cell>
          <cell r="UZ19">
            <v>65</v>
          </cell>
          <cell r="VA19">
            <v>0</v>
          </cell>
          <cell r="VB19">
            <v>0</v>
          </cell>
          <cell r="VC19">
            <v>3.58</v>
          </cell>
          <cell r="VE19">
            <v>65</v>
          </cell>
          <cell r="VF19">
            <v>0</v>
          </cell>
          <cell r="VG19">
            <v>0</v>
          </cell>
          <cell r="VH19">
            <v>3.58</v>
          </cell>
          <cell r="VJ19">
            <v>65</v>
          </cell>
          <cell r="VK19">
            <v>0</v>
          </cell>
          <cell r="VL19">
            <v>0</v>
          </cell>
          <cell r="VM19">
            <v>3.58</v>
          </cell>
          <cell r="VO19">
            <v>65</v>
          </cell>
          <cell r="VP19">
            <v>0</v>
          </cell>
          <cell r="VQ19">
            <v>0</v>
          </cell>
          <cell r="VR19">
            <v>3.58</v>
          </cell>
          <cell r="VT19">
            <v>65</v>
          </cell>
          <cell r="VU19">
            <v>0</v>
          </cell>
          <cell r="VV19">
            <v>0</v>
          </cell>
          <cell r="VW19">
            <v>3.58</v>
          </cell>
          <cell r="VY19">
            <v>65</v>
          </cell>
          <cell r="VZ19">
            <v>0</v>
          </cell>
          <cell r="WA19">
            <v>0</v>
          </cell>
          <cell r="WB19">
            <v>3.58</v>
          </cell>
          <cell r="WD19">
            <v>65</v>
          </cell>
          <cell r="WE19">
            <v>0</v>
          </cell>
          <cell r="WF19">
            <v>0</v>
          </cell>
          <cell r="WG19">
            <v>3.58</v>
          </cell>
          <cell r="WI19">
            <v>65</v>
          </cell>
          <cell r="WJ19">
            <v>0</v>
          </cell>
          <cell r="WK19">
            <v>0</v>
          </cell>
          <cell r="WL19">
            <v>3.58</v>
          </cell>
          <cell r="WN19">
            <v>65</v>
          </cell>
          <cell r="WO19">
            <v>0</v>
          </cell>
          <cell r="WP19">
            <v>0</v>
          </cell>
          <cell r="WQ19">
            <v>3.58</v>
          </cell>
          <cell r="WS19">
            <v>65</v>
          </cell>
          <cell r="WT19">
            <v>0</v>
          </cell>
          <cell r="WU19">
            <v>0</v>
          </cell>
          <cell r="WV19">
            <v>3.58</v>
          </cell>
          <cell r="WX19">
            <v>65</v>
          </cell>
          <cell r="WY19">
            <v>0</v>
          </cell>
          <cell r="WZ19">
            <v>0</v>
          </cell>
          <cell r="XA19">
            <v>3.58</v>
          </cell>
          <cell r="XC19">
            <v>65</v>
          </cell>
          <cell r="XD19">
            <v>0</v>
          </cell>
          <cell r="XE19">
            <v>0</v>
          </cell>
          <cell r="XF19">
            <v>3.58</v>
          </cell>
          <cell r="XH19">
            <v>65</v>
          </cell>
          <cell r="XI19">
            <v>0</v>
          </cell>
          <cell r="XJ19">
            <v>0</v>
          </cell>
          <cell r="XK19">
            <v>3.58</v>
          </cell>
          <cell r="XM19">
            <v>65</v>
          </cell>
          <cell r="XN19">
            <v>0</v>
          </cell>
          <cell r="XO19">
            <v>0</v>
          </cell>
          <cell r="XP19">
            <v>3.58</v>
          </cell>
          <cell r="XR19">
            <v>65</v>
          </cell>
          <cell r="XS19">
            <v>0</v>
          </cell>
          <cell r="XT19">
            <v>0</v>
          </cell>
          <cell r="XU19">
            <v>3.58</v>
          </cell>
          <cell r="XW19">
            <v>65</v>
          </cell>
          <cell r="XX19">
            <v>0</v>
          </cell>
          <cell r="XY19">
            <v>0</v>
          </cell>
          <cell r="XZ19">
            <v>3.58</v>
          </cell>
          <cell r="YB19">
            <v>65</v>
          </cell>
          <cell r="YC19">
            <v>0</v>
          </cell>
          <cell r="YD19">
            <v>0</v>
          </cell>
          <cell r="YE19">
            <v>3.58</v>
          </cell>
        </row>
        <row r="20">
          <cell r="A20">
            <v>10</v>
          </cell>
          <cell r="B20" t="str">
            <v>新設RC水溝(含加密型鍍鋅格柵水溝蓋@間距3m以內)，含部分溝邊RC地坪(H10cm)斜坡面刷壓克力漆</v>
          </cell>
          <cell r="C20" t="str">
            <v>M</v>
          </cell>
          <cell r="D20">
            <v>20</v>
          </cell>
          <cell r="E20">
            <v>2422</v>
          </cell>
          <cell r="F20">
            <v>48440</v>
          </cell>
          <cell r="G20">
            <v>1.1000000000000001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5</v>
          </cell>
          <cell r="CD20">
            <v>5</v>
          </cell>
          <cell r="CE20">
            <v>12110</v>
          </cell>
          <cell r="CF20">
            <v>0.28000000000000003</v>
          </cell>
          <cell r="CG20">
            <v>0.28000000000000003</v>
          </cell>
          <cell r="CI20">
            <v>5</v>
          </cell>
          <cell r="CJ20">
            <v>0</v>
          </cell>
          <cell r="CK20">
            <v>0</v>
          </cell>
          <cell r="CL20">
            <v>0.28000000000000003</v>
          </cell>
          <cell r="CN20">
            <v>5</v>
          </cell>
          <cell r="CO20">
            <v>0</v>
          </cell>
          <cell r="CP20">
            <v>0</v>
          </cell>
          <cell r="CQ20">
            <v>0.28000000000000003</v>
          </cell>
          <cell r="CS20">
            <v>5</v>
          </cell>
          <cell r="CT20">
            <v>0</v>
          </cell>
          <cell r="CU20">
            <v>0</v>
          </cell>
          <cell r="CV20">
            <v>0.28000000000000003</v>
          </cell>
          <cell r="CX20">
            <v>5</v>
          </cell>
          <cell r="CY20">
            <v>0</v>
          </cell>
          <cell r="CZ20">
            <v>0</v>
          </cell>
          <cell r="DA20">
            <v>0.28000000000000003</v>
          </cell>
          <cell r="DB20">
            <v>5</v>
          </cell>
          <cell r="DC20">
            <v>10</v>
          </cell>
          <cell r="DD20">
            <v>12110</v>
          </cell>
          <cell r="DE20">
            <v>0.28000000000000003</v>
          </cell>
          <cell r="DF20">
            <v>0.56000000000000005</v>
          </cell>
          <cell r="DH20">
            <v>10</v>
          </cell>
          <cell r="DI20">
            <v>0</v>
          </cell>
          <cell r="DJ20">
            <v>0</v>
          </cell>
          <cell r="DK20">
            <v>0.56000000000000005</v>
          </cell>
          <cell r="DL20">
            <v>5</v>
          </cell>
          <cell r="DM20">
            <v>15</v>
          </cell>
          <cell r="DN20">
            <v>12110</v>
          </cell>
          <cell r="DO20">
            <v>0.28000000000000003</v>
          </cell>
          <cell r="DP20">
            <v>0.84000000000000008</v>
          </cell>
          <cell r="DR20">
            <v>15</v>
          </cell>
          <cell r="DS20">
            <v>0</v>
          </cell>
          <cell r="DT20">
            <v>0</v>
          </cell>
          <cell r="DU20">
            <v>0.84000000000000008</v>
          </cell>
          <cell r="DV20">
            <v>2</v>
          </cell>
          <cell r="DW20">
            <v>17</v>
          </cell>
          <cell r="DX20">
            <v>4844</v>
          </cell>
          <cell r="DY20">
            <v>0.11</v>
          </cell>
          <cell r="DZ20">
            <v>0.95000000000000007</v>
          </cell>
          <cell r="EA20">
            <v>3</v>
          </cell>
          <cell r="EB20">
            <v>20</v>
          </cell>
          <cell r="EC20">
            <v>7266</v>
          </cell>
          <cell r="ED20">
            <v>0.15000000000000002</v>
          </cell>
          <cell r="EE20">
            <v>1.1000000000000001</v>
          </cell>
          <cell r="EG20">
            <v>20</v>
          </cell>
          <cell r="EH20">
            <v>0</v>
          </cell>
          <cell r="EI20">
            <v>0</v>
          </cell>
          <cell r="EJ20">
            <v>1.1000000000000001</v>
          </cell>
          <cell r="EL20">
            <v>20</v>
          </cell>
          <cell r="EM20">
            <v>0</v>
          </cell>
          <cell r="EN20">
            <v>0</v>
          </cell>
          <cell r="EO20">
            <v>1.1000000000000001</v>
          </cell>
          <cell r="EQ20">
            <v>20</v>
          </cell>
          <cell r="ER20">
            <v>0</v>
          </cell>
          <cell r="ES20">
            <v>0</v>
          </cell>
          <cell r="ET20">
            <v>1.1000000000000001</v>
          </cell>
          <cell r="EV20">
            <v>20</v>
          </cell>
          <cell r="EW20">
            <v>0</v>
          </cell>
          <cell r="EX20">
            <v>0</v>
          </cell>
          <cell r="EY20">
            <v>1.1000000000000001</v>
          </cell>
          <cell r="FA20">
            <v>20</v>
          </cell>
          <cell r="FB20">
            <v>0</v>
          </cell>
          <cell r="FC20">
            <v>0</v>
          </cell>
          <cell r="FD20">
            <v>1.1000000000000001</v>
          </cell>
          <cell r="FF20">
            <v>20</v>
          </cell>
          <cell r="FG20">
            <v>0</v>
          </cell>
          <cell r="FH20">
            <v>0</v>
          </cell>
          <cell r="FI20">
            <v>1.1000000000000001</v>
          </cell>
          <cell r="FK20">
            <v>20</v>
          </cell>
          <cell r="FL20">
            <v>0</v>
          </cell>
          <cell r="FM20">
            <v>0</v>
          </cell>
          <cell r="FN20">
            <v>1.1000000000000001</v>
          </cell>
          <cell r="FP20">
            <v>20</v>
          </cell>
          <cell r="FQ20">
            <v>0</v>
          </cell>
          <cell r="FR20">
            <v>0</v>
          </cell>
          <cell r="FS20">
            <v>1.1000000000000001</v>
          </cell>
          <cell r="FU20">
            <v>20</v>
          </cell>
          <cell r="FV20">
            <v>0</v>
          </cell>
          <cell r="FW20">
            <v>0</v>
          </cell>
          <cell r="FX20">
            <v>1.1000000000000001</v>
          </cell>
          <cell r="FZ20">
            <v>20</v>
          </cell>
          <cell r="GA20">
            <v>0</v>
          </cell>
          <cell r="GB20">
            <v>0</v>
          </cell>
          <cell r="GC20">
            <v>1.1000000000000001</v>
          </cell>
          <cell r="GE20">
            <v>20</v>
          </cell>
          <cell r="GF20">
            <v>0</v>
          </cell>
          <cell r="GG20">
            <v>0</v>
          </cell>
          <cell r="GH20">
            <v>1.1000000000000001</v>
          </cell>
          <cell r="GJ20">
            <v>20</v>
          </cell>
          <cell r="GK20">
            <v>0</v>
          </cell>
          <cell r="GL20">
            <v>0</v>
          </cell>
          <cell r="GM20">
            <v>1.1000000000000001</v>
          </cell>
          <cell r="GO20">
            <v>20</v>
          </cell>
          <cell r="GP20">
            <v>0</v>
          </cell>
          <cell r="GQ20">
            <v>0</v>
          </cell>
          <cell r="GR20">
            <v>1.1000000000000001</v>
          </cell>
          <cell r="GT20">
            <v>20</v>
          </cell>
          <cell r="GU20">
            <v>0</v>
          </cell>
          <cell r="GV20">
            <v>0</v>
          </cell>
          <cell r="GW20">
            <v>1.1000000000000001</v>
          </cell>
          <cell r="GY20">
            <v>20</v>
          </cell>
          <cell r="GZ20">
            <v>0</v>
          </cell>
          <cell r="HA20">
            <v>0</v>
          </cell>
          <cell r="HB20">
            <v>1.1000000000000001</v>
          </cell>
          <cell r="HD20">
            <v>20</v>
          </cell>
          <cell r="HE20">
            <v>0</v>
          </cell>
          <cell r="HF20">
            <v>0</v>
          </cell>
          <cell r="HG20">
            <v>1.1000000000000001</v>
          </cell>
          <cell r="HI20">
            <v>20</v>
          </cell>
          <cell r="HJ20">
            <v>0</v>
          </cell>
          <cell r="HK20">
            <v>0</v>
          </cell>
          <cell r="HL20">
            <v>1.1000000000000001</v>
          </cell>
          <cell r="HN20">
            <v>20</v>
          </cell>
          <cell r="HO20">
            <v>0</v>
          </cell>
          <cell r="HP20">
            <v>0</v>
          </cell>
          <cell r="HQ20">
            <v>1.1000000000000001</v>
          </cell>
          <cell r="HS20">
            <v>20</v>
          </cell>
          <cell r="HT20">
            <v>0</v>
          </cell>
          <cell r="HU20">
            <v>0</v>
          </cell>
          <cell r="HV20">
            <v>1.1000000000000001</v>
          </cell>
          <cell r="HX20">
            <v>20</v>
          </cell>
          <cell r="HY20">
            <v>0</v>
          </cell>
          <cell r="HZ20">
            <v>0</v>
          </cell>
          <cell r="IA20">
            <v>1.1000000000000001</v>
          </cell>
          <cell r="IC20">
            <v>20</v>
          </cell>
          <cell r="ID20">
            <v>0</v>
          </cell>
          <cell r="IE20">
            <v>0</v>
          </cell>
          <cell r="IF20">
            <v>1.1000000000000001</v>
          </cell>
          <cell r="IH20">
            <v>20</v>
          </cell>
          <cell r="II20">
            <v>0</v>
          </cell>
          <cell r="IJ20">
            <v>0</v>
          </cell>
          <cell r="IK20">
            <v>1.1000000000000001</v>
          </cell>
          <cell r="IM20">
            <v>20</v>
          </cell>
          <cell r="IN20">
            <v>0</v>
          </cell>
          <cell r="IO20">
            <v>0</v>
          </cell>
          <cell r="IP20">
            <v>1.1000000000000001</v>
          </cell>
          <cell r="IR20">
            <v>20</v>
          </cell>
          <cell r="IS20">
            <v>0</v>
          </cell>
          <cell r="IT20">
            <v>0</v>
          </cell>
          <cell r="IU20">
            <v>1.1000000000000001</v>
          </cell>
          <cell r="IW20">
            <v>20</v>
          </cell>
          <cell r="IX20">
            <v>0</v>
          </cell>
          <cell r="IY20">
            <v>0</v>
          </cell>
          <cell r="IZ20">
            <v>1.1000000000000001</v>
          </cell>
          <cell r="JB20">
            <v>20</v>
          </cell>
          <cell r="JC20">
            <v>0</v>
          </cell>
          <cell r="JD20">
            <v>0</v>
          </cell>
          <cell r="JE20">
            <v>1.1000000000000001</v>
          </cell>
          <cell r="JG20">
            <v>20</v>
          </cell>
          <cell r="JH20">
            <v>0</v>
          </cell>
          <cell r="JI20">
            <v>0</v>
          </cell>
          <cell r="JJ20">
            <v>1.1000000000000001</v>
          </cell>
          <cell r="JL20">
            <v>20</v>
          </cell>
          <cell r="JM20">
            <v>0</v>
          </cell>
          <cell r="JN20">
            <v>0</v>
          </cell>
          <cell r="JO20">
            <v>1.1000000000000001</v>
          </cell>
          <cell r="JQ20">
            <v>20</v>
          </cell>
          <cell r="JR20">
            <v>0</v>
          </cell>
          <cell r="JS20">
            <v>0</v>
          </cell>
          <cell r="JT20">
            <v>1.1000000000000001</v>
          </cell>
          <cell r="JV20">
            <v>20</v>
          </cell>
          <cell r="JW20">
            <v>0</v>
          </cell>
          <cell r="JX20">
            <v>0</v>
          </cell>
          <cell r="JY20">
            <v>1.1000000000000001</v>
          </cell>
          <cell r="KA20">
            <v>20</v>
          </cell>
          <cell r="KB20">
            <v>0</v>
          </cell>
          <cell r="KC20">
            <v>0</v>
          </cell>
          <cell r="KD20">
            <v>1.1000000000000001</v>
          </cell>
          <cell r="KF20">
            <v>20</v>
          </cell>
          <cell r="KG20">
            <v>0</v>
          </cell>
          <cell r="KH20">
            <v>0</v>
          </cell>
          <cell r="KI20">
            <v>1.1000000000000001</v>
          </cell>
          <cell r="KK20">
            <v>20</v>
          </cell>
          <cell r="KL20">
            <v>0</v>
          </cell>
          <cell r="KM20">
            <v>0</v>
          </cell>
          <cell r="KN20">
            <v>1.1000000000000001</v>
          </cell>
          <cell r="KP20">
            <v>20</v>
          </cell>
          <cell r="KQ20">
            <v>0</v>
          </cell>
          <cell r="KR20">
            <v>0</v>
          </cell>
          <cell r="KS20">
            <v>1.1000000000000001</v>
          </cell>
          <cell r="KU20">
            <v>20</v>
          </cell>
          <cell r="KV20">
            <v>0</v>
          </cell>
          <cell r="KW20">
            <v>0</v>
          </cell>
          <cell r="KX20">
            <v>1.1000000000000001</v>
          </cell>
          <cell r="KZ20">
            <v>20</v>
          </cell>
          <cell r="LA20">
            <v>0</v>
          </cell>
          <cell r="LB20">
            <v>0</v>
          </cell>
          <cell r="LC20">
            <v>1.1000000000000001</v>
          </cell>
          <cell r="LE20">
            <v>20</v>
          </cell>
          <cell r="LF20">
            <v>0</v>
          </cell>
          <cell r="LG20">
            <v>0</v>
          </cell>
          <cell r="LH20">
            <v>1.1000000000000001</v>
          </cell>
          <cell r="LJ20">
            <v>20</v>
          </cell>
          <cell r="LK20">
            <v>0</v>
          </cell>
          <cell r="LL20">
            <v>0</v>
          </cell>
          <cell r="LM20">
            <v>1.1000000000000001</v>
          </cell>
          <cell r="LO20">
            <v>20</v>
          </cell>
          <cell r="LP20">
            <v>0</v>
          </cell>
          <cell r="LQ20">
            <v>0</v>
          </cell>
          <cell r="LR20">
            <v>1.1000000000000001</v>
          </cell>
          <cell r="LT20">
            <v>20</v>
          </cell>
          <cell r="LU20">
            <v>0</v>
          </cell>
          <cell r="LV20">
            <v>0</v>
          </cell>
          <cell r="LW20">
            <v>1.1000000000000001</v>
          </cell>
          <cell r="LY20">
            <v>20</v>
          </cell>
          <cell r="LZ20">
            <v>0</v>
          </cell>
          <cell r="MA20">
            <v>0</v>
          </cell>
          <cell r="MB20">
            <v>1.1000000000000001</v>
          </cell>
          <cell r="MD20">
            <v>20</v>
          </cell>
          <cell r="ME20">
            <v>0</v>
          </cell>
          <cell r="MF20">
            <v>0</v>
          </cell>
          <cell r="MG20">
            <v>1.1000000000000001</v>
          </cell>
          <cell r="MI20">
            <v>20</v>
          </cell>
          <cell r="MJ20">
            <v>0</v>
          </cell>
          <cell r="MK20">
            <v>0</v>
          </cell>
          <cell r="ML20">
            <v>1.1000000000000001</v>
          </cell>
          <cell r="MN20">
            <v>20</v>
          </cell>
          <cell r="MO20">
            <v>0</v>
          </cell>
          <cell r="MP20">
            <v>0</v>
          </cell>
          <cell r="MQ20">
            <v>1.1000000000000001</v>
          </cell>
          <cell r="MS20">
            <v>20</v>
          </cell>
          <cell r="MT20">
            <v>0</v>
          </cell>
          <cell r="MU20">
            <v>0</v>
          </cell>
          <cell r="MV20">
            <v>1.1000000000000001</v>
          </cell>
          <cell r="MX20">
            <v>20</v>
          </cell>
          <cell r="MY20">
            <v>0</v>
          </cell>
          <cell r="MZ20">
            <v>0</v>
          </cell>
          <cell r="NA20">
            <v>1.1000000000000001</v>
          </cell>
          <cell r="NC20">
            <v>20</v>
          </cell>
          <cell r="ND20">
            <v>0</v>
          </cell>
          <cell r="NE20">
            <v>0</v>
          </cell>
          <cell r="NF20">
            <v>1.1000000000000001</v>
          </cell>
          <cell r="NH20">
            <v>20</v>
          </cell>
          <cell r="NI20">
            <v>0</v>
          </cell>
          <cell r="NJ20">
            <v>0</v>
          </cell>
          <cell r="NK20">
            <v>1.1000000000000001</v>
          </cell>
          <cell r="NM20">
            <v>20</v>
          </cell>
          <cell r="NN20">
            <v>0</v>
          </cell>
          <cell r="NO20">
            <v>0</v>
          </cell>
          <cell r="NP20">
            <v>1.1000000000000001</v>
          </cell>
          <cell r="NR20">
            <v>20</v>
          </cell>
          <cell r="NS20">
            <v>0</v>
          </cell>
          <cell r="NT20">
            <v>0</v>
          </cell>
          <cell r="NU20">
            <v>1.1000000000000001</v>
          </cell>
          <cell r="NW20">
            <v>20</v>
          </cell>
          <cell r="NX20">
            <v>0</v>
          </cell>
          <cell r="NY20">
            <v>0</v>
          </cell>
          <cell r="NZ20">
            <v>1.1000000000000001</v>
          </cell>
          <cell r="OB20">
            <v>20</v>
          </cell>
          <cell r="OC20">
            <v>0</v>
          </cell>
          <cell r="OD20">
            <v>0</v>
          </cell>
          <cell r="OE20">
            <v>1.1000000000000001</v>
          </cell>
          <cell r="OG20">
            <v>20</v>
          </cell>
          <cell r="OH20">
            <v>0</v>
          </cell>
          <cell r="OI20">
            <v>0</v>
          </cell>
          <cell r="OJ20">
            <v>1.1000000000000001</v>
          </cell>
          <cell r="OL20">
            <v>20</v>
          </cell>
          <cell r="OM20">
            <v>0</v>
          </cell>
          <cell r="ON20">
            <v>0</v>
          </cell>
          <cell r="OO20">
            <v>1.1000000000000001</v>
          </cell>
          <cell r="OQ20">
            <v>20</v>
          </cell>
          <cell r="OR20">
            <v>0</v>
          </cell>
          <cell r="OS20">
            <v>0</v>
          </cell>
          <cell r="OT20">
            <v>1.1000000000000001</v>
          </cell>
          <cell r="OV20">
            <v>20</v>
          </cell>
          <cell r="OW20">
            <v>0</v>
          </cell>
          <cell r="OX20">
            <v>0</v>
          </cell>
          <cell r="OY20">
            <v>1.1000000000000001</v>
          </cell>
          <cell r="PA20">
            <v>20</v>
          </cell>
          <cell r="PB20">
            <v>0</v>
          </cell>
          <cell r="PC20">
            <v>0</v>
          </cell>
          <cell r="PD20">
            <v>1.1000000000000001</v>
          </cell>
          <cell r="PF20">
            <v>20</v>
          </cell>
          <cell r="PG20">
            <v>0</v>
          </cell>
          <cell r="PH20">
            <v>0</v>
          </cell>
          <cell r="PI20">
            <v>1.1000000000000001</v>
          </cell>
          <cell r="PK20">
            <v>20</v>
          </cell>
          <cell r="PL20">
            <v>0</v>
          </cell>
          <cell r="PM20">
            <v>0</v>
          </cell>
          <cell r="PN20">
            <v>1.1000000000000001</v>
          </cell>
          <cell r="PP20">
            <v>20</v>
          </cell>
          <cell r="PQ20">
            <v>0</v>
          </cell>
          <cell r="PR20">
            <v>0</v>
          </cell>
          <cell r="PS20">
            <v>1.1000000000000001</v>
          </cell>
          <cell r="PU20">
            <v>20</v>
          </cell>
          <cell r="PV20">
            <v>0</v>
          </cell>
          <cell r="PW20">
            <v>0</v>
          </cell>
          <cell r="PX20">
            <v>1.1000000000000001</v>
          </cell>
          <cell r="PZ20">
            <v>20</v>
          </cell>
          <cell r="QA20">
            <v>0</v>
          </cell>
          <cell r="QB20">
            <v>0</v>
          </cell>
          <cell r="QC20">
            <v>1.1000000000000001</v>
          </cell>
          <cell r="QE20">
            <v>20</v>
          </cell>
          <cell r="QF20">
            <v>0</v>
          </cell>
          <cell r="QG20">
            <v>0</v>
          </cell>
          <cell r="QH20">
            <v>1.1000000000000001</v>
          </cell>
          <cell r="QJ20">
            <v>20</v>
          </cell>
          <cell r="QK20">
            <v>0</v>
          </cell>
          <cell r="QL20">
            <v>0</v>
          </cell>
          <cell r="QM20">
            <v>1.1000000000000001</v>
          </cell>
          <cell r="QO20">
            <v>20</v>
          </cell>
          <cell r="QP20">
            <v>0</v>
          </cell>
          <cell r="QQ20">
            <v>0</v>
          </cell>
          <cell r="QR20">
            <v>1.1000000000000001</v>
          </cell>
          <cell r="QT20">
            <v>20</v>
          </cell>
          <cell r="QU20">
            <v>0</v>
          </cell>
          <cell r="QV20">
            <v>0</v>
          </cell>
          <cell r="QW20">
            <v>1.1000000000000001</v>
          </cell>
          <cell r="QY20">
            <v>20</v>
          </cell>
          <cell r="QZ20">
            <v>0</v>
          </cell>
          <cell r="RA20">
            <v>0</v>
          </cell>
          <cell r="RB20">
            <v>1.1000000000000001</v>
          </cell>
          <cell r="RD20">
            <v>20</v>
          </cell>
          <cell r="RE20">
            <v>0</v>
          </cell>
          <cell r="RF20">
            <v>0</v>
          </cell>
          <cell r="RG20">
            <v>1.1000000000000001</v>
          </cell>
          <cell r="RI20">
            <v>20</v>
          </cell>
          <cell r="RJ20">
            <v>0</v>
          </cell>
          <cell r="RK20">
            <v>0</v>
          </cell>
          <cell r="RL20">
            <v>1.1000000000000001</v>
          </cell>
          <cell r="RN20">
            <v>20</v>
          </cell>
          <cell r="RO20">
            <v>0</v>
          </cell>
          <cell r="RP20">
            <v>0</v>
          </cell>
          <cell r="RQ20">
            <v>1.1000000000000001</v>
          </cell>
          <cell r="RS20">
            <v>20</v>
          </cell>
          <cell r="RT20">
            <v>0</v>
          </cell>
          <cell r="RU20">
            <v>0</v>
          </cell>
          <cell r="RV20">
            <v>1.1000000000000001</v>
          </cell>
          <cell r="RX20">
            <v>20</v>
          </cell>
          <cell r="RY20">
            <v>0</v>
          </cell>
          <cell r="RZ20">
            <v>0</v>
          </cell>
          <cell r="SA20">
            <v>1.1000000000000001</v>
          </cell>
          <cell r="SC20">
            <v>20</v>
          </cell>
          <cell r="SD20">
            <v>0</v>
          </cell>
          <cell r="SE20">
            <v>0</v>
          </cell>
          <cell r="SF20">
            <v>1.1000000000000001</v>
          </cell>
          <cell r="SH20">
            <v>20</v>
          </cell>
          <cell r="SI20">
            <v>0</v>
          </cell>
          <cell r="SJ20">
            <v>0</v>
          </cell>
          <cell r="SK20">
            <v>1.1000000000000001</v>
          </cell>
          <cell r="SM20">
            <v>20</v>
          </cell>
          <cell r="SN20">
            <v>0</v>
          </cell>
          <cell r="SO20">
            <v>0</v>
          </cell>
          <cell r="SP20">
            <v>1.1000000000000001</v>
          </cell>
          <cell r="SR20">
            <v>20</v>
          </cell>
          <cell r="SS20">
            <v>0</v>
          </cell>
          <cell r="ST20">
            <v>0</v>
          </cell>
          <cell r="SU20">
            <v>1.1000000000000001</v>
          </cell>
          <cell r="SW20">
            <v>20</v>
          </cell>
          <cell r="SX20">
            <v>0</v>
          </cell>
          <cell r="SY20">
            <v>0</v>
          </cell>
          <cell r="SZ20">
            <v>1.1000000000000001</v>
          </cell>
          <cell r="TB20">
            <v>20</v>
          </cell>
          <cell r="TC20">
            <v>0</v>
          </cell>
          <cell r="TD20">
            <v>0</v>
          </cell>
          <cell r="TE20">
            <v>1.1000000000000001</v>
          </cell>
          <cell r="TG20">
            <v>20</v>
          </cell>
          <cell r="TH20">
            <v>0</v>
          </cell>
          <cell r="TI20">
            <v>0</v>
          </cell>
          <cell r="TJ20">
            <v>1.1000000000000001</v>
          </cell>
          <cell r="TL20">
            <v>20</v>
          </cell>
          <cell r="TM20">
            <v>0</v>
          </cell>
          <cell r="TN20">
            <v>0</v>
          </cell>
          <cell r="TO20">
            <v>1.1000000000000001</v>
          </cell>
          <cell r="TQ20">
            <v>20</v>
          </cell>
          <cell r="TR20">
            <v>0</v>
          </cell>
          <cell r="TS20">
            <v>0</v>
          </cell>
          <cell r="TT20">
            <v>1.1000000000000001</v>
          </cell>
          <cell r="TV20">
            <v>20</v>
          </cell>
          <cell r="TW20">
            <v>0</v>
          </cell>
          <cell r="TX20">
            <v>0</v>
          </cell>
          <cell r="TY20">
            <v>1.1000000000000001</v>
          </cell>
          <cell r="UA20">
            <v>20</v>
          </cell>
          <cell r="UB20">
            <v>0</v>
          </cell>
          <cell r="UC20">
            <v>0</v>
          </cell>
          <cell r="UD20">
            <v>1.1000000000000001</v>
          </cell>
          <cell r="UF20">
            <v>20</v>
          </cell>
          <cell r="UG20">
            <v>0</v>
          </cell>
          <cell r="UH20">
            <v>0</v>
          </cell>
          <cell r="UI20">
            <v>1.1000000000000001</v>
          </cell>
          <cell r="UK20">
            <v>20</v>
          </cell>
          <cell r="UL20">
            <v>0</v>
          </cell>
          <cell r="UM20">
            <v>0</v>
          </cell>
          <cell r="UN20">
            <v>1.1000000000000001</v>
          </cell>
          <cell r="UP20">
            <v>20</v>
          </cell>
          <cell r="UQ20">
            <v>0</v>
          </cell>
          <cell r="UR20">
            <v>0</v>
          </cell>
          <cell r="US20">
            <v>1.1000000000000001</v>
          </cell>
          <cell r="UU20">
            <v>20</v>
          </cell>
          <cell r="UV20">
            <v>0</v>
          </cell>
          <cell r="UW20">
            <v>0</v>
          </cell>
          <cell r="UX20">
            <v>1.1000000000000001</v>
          </cell>
          <cell r="UZ20">
            <v>20</v>
          </cell>
          <cell r="VA20">
            <v>0</v>
          </cell>
          <cell r="VB20">
            <v>0</v>
          </cell>
          <cell r="VC20">
            <v>1.1000000000000001</v>
          </cell>
          <cell r="VE20">
            <v>20</v>
          </cell>
          <cell r="VF20">
            <v>0</v>
          </cell>
          <cell r="VG20">
            <v>0</v>
          </cell>
          <cell r="VH20">
            <v>1.1000000000000001</v>
          </cell>
          <cell r="VJ20">
            <v>20</v>
          </cell>
          <cell r="VK20">
            <v>0</v>
          </cell>
          <cell r="VL20">
            <v>0</v>
          </cell>
          <cell r="VM20">
            <v>1.1000000000000001</v>
          </cell>
          <cell r="VO20">
            <v>20</v>
          </cell>
          <cell r="VP20">
            <v>0</v>
          </cell>
          <cell r="VQ20">
            <v>0</v>
          </cell>
          <cell r="VR20">
            <v>1.1000000000000001</v>
          </cell>
          <cell r="VT20">
            <v>20</v>
          </cell>
          <cell r="VU20">
            <v>0</v>
          </cell>
          <cell r="VV20">
            <v>0</v>
          </cell>
          <cell r="VW20">
            <v>1.1000000000000001</v>
          </cell>
          <cell r="VY20">
            <v>20</v>
          </cell>
          <cell r="VZ20">
            <v>0</v>
          </cell>
          <cell r="WA20">
            <v>0</v>
          </cell>
          <cell r="WB20">
            <v>1.1000000000000001</v>
          </cell>
          <cell r="WD20">
            <v>20</v>
          </cell>
          <cell r="WE20">
            <v>0</v>
          </cell>
          <cell r="WF20">
            <v>0</v>
          </cell>
          <cell r="WG20">
            <v>1.1000000000000001</v>
          </cell>
          <cell r="WI20">
            <v>20</v>
          </cell>
          <cell r="WJ20">
            <v>0</v>
          </cell>
          <cell r="WK20">
            <v>0</v>
          </cell>
          <cell r="WL20">
            <v>1.1000000000000001</v>
          </cell>
          <cell r="WN20">
            <v>20</v>
          </cell>
          <cell r="WO20">
            <v>0</v>
          </cell>
          <cell r="WP20">
            <v>0</v>
          </cell>
          <cell r="WQ20">
            <v>1.1000000000000001</v>
          </cell>
          <cell r="WS20">
            <v>20</v>
          </cell>
          <cell r="WT20">
            <v>0</v>
          </cell>
          <cell r="WU20">
            <v>0</v>
          </cell>
          <cell r="WV20">
            <v>1.1000000000000001</v>
          </cell>
          <cell r="WX20">
            <v>20</v>
          </cell>
          <cell r="WY20">
            <v>0</v>
          </cell>
          <cell r="WZ20">
            <v>0</v>
          </cell>
          <cell r="XA20">
            <v>1.1000000000000001</v>
          </cell>
          <cell r="XC20">
            <v>20</v>
          </cell>
          <cell r="XD20">
            <v>0</v>
          </cell>
          <cell r="XE20">
            <v>0</v>
          </cell>
          <cell r="XF20">
            <v>1.1000000000000001</v>
          </cell>
          <cell r="XH20">
            <v>20</v>
          </cell>
          <cell r="XI20">
            <v>0</v>
          </cell>
          <cell r="XJ20">
            <v>0</v>
          </cell>
          <cell r="XK20">
            <v>1.1000000000000001</v>
          </cell>
          <cell r="XM20">
            <v>20</v>
          </cell>
          <cell r="XN20">
            <v>0</v>
          </cell>
          <cell r="XO20">
            <v>0</v>
          </cell>
          <cell r="XP20">
            <v>1.1000000000000001</v>
          </cell>
          <cell r="XR20">
            <v>20</v>
          </cell>
          <cell r="XS20">
            <v>0</v>
          </cell>
          <cell r="XT20">
            <v>0</v>
          </cell>
          <cell r="XU20">
            <v>1.1000000000000001</v>
          </cell>
          <cell r="XW20">
            <v>20</v>
          </cell>
          <cell r="XX20">
            <v>0</v>
          </cell>
          <cell r="XY20">
            <v>0</v>
          </cell>
          <cell r="XZ20">
            <v>1.1000000000000001</v>
          </cell>
          <cell r="YB20">
            <v>20</v>
          </cell>
          <cell r="YC20">
            <v>0</v>
          </cell>
          <cell r="YD20">
            <v>0</v>
          </cell>
          <cell r="YE20">
            <v>1.1000000000000001</v>
          </cell>
        </row>
        <row r="21">
          <cell r="A21">
            <v>11</v>
          </cell>
          <cell r="B21" t="str">
            <v>全場外緣石調整高程與導角</v>
          </cell>
          <cell r="C21" t="str">
            <v>式</v>
          </cell>
          <cell r="D21">
            <v>1</v>
          </cell>
          <cell r="E21">
            <v>101910</v>
          </cell>
          <cell r="F21">
            <v>101910</v>
          </cell>
          <cell r="G21">
            <v>2.3199999999999998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W21">
            <v>0</v>
          </cell>
          <cell r="DX21">
            <v>0</v>
          </cell>
          <cell r="DY21">
            <v>0</v>
          </cell>
          <cell r="DZ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0</v>
          </cell>
          <cell r="EL21">
            <v>0</v>
          </cell>
          <cell r="EM21">
            <v>0</v>
          </cell>
          <cell r="EN21">
            <v>0</v>
          </cell>
          <cell r="EO21">
            <v>0</v>
          </cell>
          <cell r="EQ21">
            <v>0</v>
          </cell>
          <cell r="ER21">
            <v>0</v>
          </cell>
          <cell r="ES21">
            <v>0</v>
          </cell>
          <cell r="ET21">
            <v>0</v>
          </cell>
          <cell r="EV21">
            <v>0</v>
          </cell>
          <cell r="EW21">
            <v>0</v>
          </cell>
          <cell r="EX21">
            <v>0</v>
          </cell>
          <cell r="EY21">
            <v>0</v>
          </cell>
          <cell r="FA21">
            <v>0</v>
          </cell>
          <cell r="FB21">
            <v>0</v>
          </cell>
          <cell r="FC21">
            <v>0</v>
          </cell>
          <cell r="FD21">
            <v>0</v>
          </cell>
          <cell r="FF21">
            <v>0</v>
          </cell>
          <cell r="FG21">
            <v>0</v>
          </cell>
          <cell r="FH21">
            <v>0</v>
          </cell>
          <cell r="FI21">
            <v>0</v>
          </cell>
          <cell r="FK21">
            <v>0</v>
          </cell>
          <cell r="FL21">
            <v>0</v>
          </cell>
          <cell r="FM21">
            <v>0</v>
          </cell>
          <cell r="FN21">
            <v>0</v>
          </cell>
          <cell r="FP21">
            <v>0</v>
          </cell>
          <cell r="FQ21">
            <v>0</v>
          </cell>
          <cell r="FR21">
            <v>0</v>
          </cell>
          <cell r="FS21">
            <v>0</v>
          </cell>
          <cell r="FU21">
            <v>0</v>
          </cell>
          <cell r="FV21">
            <v>0</v>
          </cell>
          <cell r="FW21">
            <v>0</v>
          </cell>
          <cell r="FX21">
            <v>0</v>
          </cell>
          <cell r="FZ21">
            <v>0</v>
          </cell>
          <cell r="GA21">
            <v>0</v>
          </cell>
          <cell r="GB21">
            <v>0</v>
          </cell>
          <cell r="GC21">
            <v>0</v>
          </cell>
          <cell r="GD21">
            <v>0.2</v>
          </cell>
          <cell r="GE21">
            <v>0.2</v>
          </cell>
          <cell r="GF21">
            <v>20382</v>
          </cell>
          <cell r="GG21">
            <v>0.46</v>
          </cell>
          <cell r="GH21">
            <v>0.46</v>
          </cell>
          <cell r="GJ21">
            <v>0.2</v>
          </cell>
          <cell r="GK21">
            <v>0</v>
          </cell>
          <cell r="GL21">
            <v>0</v>
          </cell>
          <cell r="GM21">
            <v>0.46</v>
          </cell>
          <cell r="GO21">
            <v>0.2</v>
          </cell>
          <cell r="GP21">
            <v>0</v>
          </cell>
          <cell r="GQ21">
            <v>0</v>
          </cell>
          <cell r="GR21">
            <v>0.46</v>
          </cell>
          <cell r="GT21">
            <v>0.2</v>
          </cell>
          <cell r="GU21">
            <v>0</v>
          </cell>
          <cell r="GV21">
            <v>0</v>
          </cell>
          <cell r="GW21">
            <v>0.46</v>
          </cell>
          <cell r="GY21">
            <v>0.2</v>
          </cell>
          <cell r="GZ21">
            <v>0</v>
          </cell>
          <cell r="HA21">
            <v>0</v>
          </cell>
          <cell r="HB21">
            <v>0.46</v>
          </cell>
          <cell r="HD21">
            <v>0.2</v>
          </cell>
          <cell r="HE21">
            <v>0</v>
          </cell>
          <cell r="HF21">
            <v>0</v>
          </cell>
          <cell r="HG21">
            <v>0.46</v>
          </cell>
          <cell r="HI21">
            <v>0.2</v>
          </cell>
          <cell r="HJ21">
            <v>0</v>
          </cell>
          <cell r="HK21">
            <v>0</v>
          </cell>
          <cell r="HL21">
            <v>0.46</v>
          </cell>
          <cell r="HN21">
            <v>0.2</v>
          </cell>
          <cell r="HO21">
            <v>0</v>
          </cell>
          <cell r="HP21">
            <v>0</v>
          </cell>
          <cell r="HQ21">
            <v>0.46</v>
          </cell>
          <cell r="HS21">
            <v>0.2</v>
          </cell>
          <cell r="HT21">
            <v>0</v>
          </cell>
          <cell r="HU21">
            <v>0</v>
          </cell>
          <cell r="HV21">
            <v>0.46</v>
          </cell>
          <cell r="HX21">
            <v>0.2</v>
          </cell>
          <cell r="HY21">
            <v>0</v>
          </cell>
          <cell r="HZ21">
            <v>0</v>
          </cell>
          <cell r="IA21">
            <v>0.46</v>
          </cell>
          <cell r="IC21">
            <v>0.2</v>
          </cell>
          <cell r="ID21">
            <v>0</v>
          </cell>
          <cell r="IE21">
            <v>0</v>
          </cell>
          <cell r="IF21">
            <v>0.46</v>
          </cell>
          <cell r="IH21">
            <v>0.2</v>
          </cell>
          <cell r="II21">
            <v>0</v>
          </cell>
          <cell r="IJ21">
            <v>0</v>
          </cell>
          <cell r="IK21">
            <v>0.46</v>
          </cell>
          <cell r="IM21">
            <v>0.2</v>
          </cell>
          <cell r="IN21">
            <v>0</v>
          </cell>
          <cell r="IO21">
            <v>0</v>
          </cell>
          <cell r="IP21">
            <v>0.46</v>
          </cell>
          <cell r="IR21">
            <v>0.2</v>
          </cell>
          <cell r="IS21">
            <v>0</v>
          </cell>
          <cell r="IT21">
            <v>0</v>
          </cell>
          <cell r="IU21">
            <v>0.46</v>
          </cell>
          <cell r="IW21">
            <v>0.2</v>
          </cell>
          <cell r="IX21">
            <v>0</v>
          </cell>
          <cell r="IY21">
            <v>0</v>
          </cell>
          <cell r="IZ21">
            <v>0.46</v>
          </cell>
          <cell r="JB21">
            <v>0.2</v>
          </cell>
          <cell r="JC21">
            <v>0</v>
          </cell>
          <cell r="JD21">
            <v>0</v>
          </cell>
          <cell r="JE21">
            <v>0.46</v>
          </cell>
          <cell r="JG21">
            <v>0.2</v>
          </cell>
          <cell r="JH21">
            <v>0</v>
          </cell>
          <cell r="JI21">
            <v>0</v>
          </cell>
          <cell r="JJ21">
            <v>0.46</v>
          </cell>
          <cell r="JL21">
            <v>0.2</v>
          </cell>
          <cell r="JM21">
            <v>0</v>
          </cell>
          <cell r="JN21">
            <v>0</v>
          </cell>
          <cell r="JO21">
            <v>0.46</v>
          </cell>
          <cell r="JQ21">
            <v>0.2</v>
          </cell>
          <cell r="JR21">
            <v>0</v>
          </cell>
          <cell r="JS21">
            <v>0</v>
          </cell>
          <cell r="JT21">
            <v>0.46</v>
          </cell>
          <cell r="JV21">
            <v>0.2</v>
          </cell>
          <cell r="JW21">
            <v>0</v>
          </cell>
          <cell r="JX21">
            <v>0</v>
          </cell>
          <cell r="JY21">
            <v>0.46</v>
          </cell>
          <cell r="KA21">
            <v>0.2</v>
          </cell>
          <cell r="KB21">
            <v>0</v>
          </cell>
          <cell r="KC21">
            <v>0</v>
          </cell>
          <cell r="KD21">
            <v>0.46</v>
          </cell>
          <cell r="KF21">
            <v>0.2</v>
          </cell>
          <cell r="KG21">
            <v>0</v>
          </cell>
          <cell r="KH21">
            <v>0</v>
          </cell>
          <cell r="KI21">
            <v>0.46</v>
          </cell>
          <cell r="KK21">
            <v>0.2</v>
          </cell>
          <cell r="KL21">
            <v>0</v>
          </cell>
          <cell r="KM21">
            <v>0</v>
          </cell>
          <cell r="KN21">
            <v>0.46</v>
          </cell>
          <cell r="KP21">
            <v>0.2</v>
          </cell>
          <cell r="KQ21">
            <v>0</v>
          </cell>
          <cell r="KR21">
            <v>0</v>
          </cell>
          <cell r="KS21">
            <v>0.46</v>
          </cell>
          <cell r="KU21">
            <v>0.2</v>
          </cell>
          <cell r="KV21">
            <v>0</v>
          </cell>
          <cell r="KW21">
            <v>0</v>
          </cell>
          <cell r="KX21">
            <v>0.46</v>
          </cell>
          <cell r="KZ21">
            <v>0.2</v>
          </cell>
          <cell r="LA21">
            <v>0</v>
          </cell>
          <cell r="LB21">
            <v>0</v>
          </cell>
          <cell r="LC21">
            <v>0.46</v>
          </cell>
          <cell r="LE21">
            <v>0.2</v>
          </cell>
          <cell r="LF21">
            <v>0</v>
          </cell>
          <cell r="LG21">
            <v>0</v>
          </cell>
          <cell r="LH21">
            <v>0.46</v>
          </cell>
          <cell r="LJ21">
            <v>0.2</v>
          </cell>
          <cell r="LK21">
            <v>0</v>
          </cell>
          <cell r="LL21">
            <v>0</v>
          </cell>
          <cell r="LM21">
            <v>0.46</v>
          </cell>
          <cell r="LO21">
            <v>0.2</v>
          </cell>
          <cell r="LP21">
            <v>0</v>
          </cell>
          <cell r="LQ21">
            <v>0</v>
          </cell>
          <cell r="LR21">
            <v>0.46</v>
          </cell>
          <cell r="LT21">
            <v>0.2</v>
          </cell>
          <cell r="LU21">
            <v>0</v>
          </cell>
          <cell r="LV21">
            <v>0</v>
          </cell>
          <cell r="LW21">
            <v>0.46</v>
          </cell>
          <cell r="LY21">
            <v>0.2</v>
          </cell>
          <cell r="LZ21">
            <v>0</v>
          </cell>
          <cell r="MA21">
            <v>0</v>
          </cell>
          <cell r="MB21">
            <v>0.46</v>
          </cell>
          <cell r="MD21">
            <v>0.2</v>
          </cell>
          <cell r="ME21">
            <v>0</v>
          </cell>
          <cell r="MF21">
            <v>0</v>
          </cell>
          <cell r="MG21">
            <v>0.46</v>
          </cell>
          <cell r="MI21">
            <v>0.2</v>
          </cell>
          <cell r="MJ21">
            <v>0</v>
          </cell>
          <cell r="MK21">
            <v>0</v>
          </cell>
          <cell r="ML21">
            <v>0.46</v>
          </cell>
          <cell r="MN21">
            <v>0.2</v>
          </cell>
          <cell r="MO21">
            <v>0</v>
          </cell>
          <cell r="MP21">
            <v>0</v>
          </cell>
          <cell r="MQ21">
            <v>0.46</v>
          </cell>
          <cell r="MS21">
            <v>0.2</v>
          </cell>
          <cell r="MT21">
            <v>0</v>
          </cell>
          <cell r="MU21">
            <v>0</v>
          </cell>
          <cell r="MV21">
            <v>0.46</v>
          </cell>
          <cell r="MX21">
            <v>0.2</v>
          </cell>
          <cell r="MY21">
            <v>0</v>
          </cell>
          <cell r="MZ21">
            <v>0</v>
          </cell>
          <cell r="NA21">
            <v>0.46</v>
          </cell>
          <cell r="NC21">
            <v>0.2</v>
          </cell>
          <cell r="ND21">
            <v>0</v>
          </cell>
          <cell r="NE21">
            <v>0</v>
          </cell>
          <cell r="NF21">
            <v>0.46</v>
          </cell>
          <cell r="NH21">
            <v>0.2</v>
          </cell>
          <cell r="NI21">
            <v>0</v>
          </cell>
          <cell r="NJ21">
            <v>0</v>
          </cell>
          <cell r="NK21">
            <v>0.46</v>
          </cell>
          <cell r="NM21">
            <v>0.2</v>
          </cell>
          <cell r="NN21">
            <v>0</v>
          </cell>
          <cell r="NO21">
            <v>0</v>
          </cell>
          <cell r="NP21">
            <v>0.46</v>
          </cell>
          <cell r="NR21">
            <v>0.2</v>
          </cell>
          <cell r="NS21">
            <v>0</v>
          </cell>
          <cell r="NT21">
            <v>0</v>
          </cell>
          <cell r="NU21">
            <v>0.46</v>
          </cell>
          <cell r="NW21">
            <v>0.2</v>
          </cell>
          <cell r="NX21">
            <v>0</v>
          </cell>
          <cell r="NY21">
            <v>0</v>
          </cell>
          <cell r="NZ21">
            <v>0.46</v>
          </cell>
          <cell r="OB21">
            <v>0.2</v>
          </cell>
          <cell r="OC21">
            <v>0</v>
          </cell>
          <cell r="OD21">
            <v>0</v>
          </cell>
          <cell r="OE21">
            <v>0.46</v>
          </cell>
          <cell r="OG21">
            <v>0.2</v>
          </cell>
          <cell r="OH21">
            <v>0</v>
          </cell>
          <cell r="OI21">
            <v>0</v>
          </cell>
          <cell r="OJ21">
            <v>0.46</v>
          </cell>
          <cell r="OL21">
            <v>0.2</v>
          </cell>
          <cell r="OM21">
            <v>0</v>
          </cell>
          <cell r="ON21">
            <v>0</v>
          </cell>
          <cell r="OO21">
            <v>0.46</v>
          </cell>
          <cell r="OQ21">
            <v>0.2</v>
          </cell>
          <cell r="OR21">
            <v>0</v>
          </cell>
          <cell r="OS21">
            <v>0</v>
          </cell>
          <cell r="OT21">
            <v>0.46</v>
          </cell>
          <cell r="OV21">
            <v>0.2</v>
          </cell>
          <cell r="OW21">
            <v>0</v>
          </cell>
          <cell r="OX21">
            <v>0</v>
          </cell>
          <cell r="OY21">
            <v>0.46</v>
          </cell>
          <cell r="PA21">
            <v>0.2</v>
          </cell>
          <cell r="PB21">
            <v>0</v>
          </cell>
          <cell r="PC21">
            <v>0</v>
          </cell>
          <cell r="PD21">
            <v>0.46</v>
          </cell>
          <cell r="PF21">
            <v>0.2</v>
          </cell>
          <cell r="PG21">
            <v>0</v>
          </cell>
          <cell r="PH21">
            <v>0</v>
          </cell>
          <cell r="PI21">
            <v>0.46</v>
          </cell>
          <cell r="PK21">
            <v>0.2</v>
          </cell>
          <cell r="PL21">
            <v>0</v>
          </cell>
          <cell r="PM21">
            <v>0</v>
          </cell>
          <cell r="PN21">
            <v>0.46</v>
          </cell>
          <cell r="PP21">
            <v>0.2</v>
          </cell>
          <cell r="PQ21">
            <v>0</v>
          </cell>
          <cell r="PR21">
            <v>0</v>
          </cell>
          <cell r="PS21">
            <v>0.46</v>
          </cell>
          <cell r="PU21">
            <v>0.2</v>
          </cell>
          <cell r="PV21">
            <v>0</v>
          </cell>
          <cell r="PW21">
            <v>0</v>
          </cell>
          <cell r="PX21">
            <v>0.46</v>
          </cell>
          <cell r="PZ21">
            <v>0.2</v>
          </cell>
          <cell r="QA21">
            <v>0</v>
          </cell>
          <cell r="QB21">
            <v>0</v>
          </cell>
          <cell r="QC21">
            <v>0.46</v>
          </cell>
          <cell r="QE21">
            <v>0.2</v>
          </cell>
          <cell r="QF21">
            <v>0</v>
          </cell>
          <cell r="QG21">
            <v>0</v>
          </cell>
          <cell r="QH21">
            <v>0.46</v>
          </cell>
          <cell r="QJ21">
            <v>0.2</v>
          </cell>
          <cell r="QK21">
            <v>0</v>
          </cell>
          <cell r="QL21">
            <v>0</v>
          </cell>
          <cell r="QM21">
            <v>0.46</v>
          </cell>
          <cell r="QO21">
            <v>0.2</v>
          </cell>
          <cell r="QP21">
            <v>0</v>
          </cell>
          <cell r="QQ21">
            <v>0</v>
          </cell>
          <cell r="QR21">
            <v>0.46</v>
          </cell>
          <cell r="QT21">
            <v>0.2</v>
          </cell>
          <cell r="QU21">
            <v>0</v>
          </cell>
          <cell r="QV21">
            <v>0</v>
          </cell>
          <cell r="QW21">
            <v>0.46</v>
          </cell>
          <cell r="QY21">
            <v>0.2</v>
          </cell>
          <cell r="QZ21">
            <v>0</v>
          </cell>
          <cell r="RA21">
            <v>0</v>
          </cell>
          <cell r="RB21">
            <v>0.46</v>
          </cell>
          <cell r="RD21">
            <v>0.2</v>
          </cell>
          <cell r="RE21">
            <v>0</v>
          </cell>
          <cell r="RF21">
            <v>0</v>
          </cell>
          <cell r="RG21">
            <v>0.46</v>
          </cell>
          <cell r="RI21">
            <v>0.2</v>
          </cell>
          <cell r="RJ21">
            <v>0</v>
          </cell>
          <cell r="RK21">
            <v>0</v>
          </cell>
          <cell r="RL21">
            <v>0.46</v>
          </cell>
          <cell r="RN21">
            <v>0.2</v>
          </cell>
          <cell r="RO21">
            <v>0</v>
          </cell>
          <cell r="RP21">
            <v>0</v>
          </cell>
          <cell r="RQ21">
            <v>0.46</v>
          </cell>
          <cell r="RS21">
            <v>0.2</v>
          </cell>
          <cell r="RT21">
            <v>0</v>
          </cell>
          <cell r="RU21">
            <v>0</v>
          </cell>
          <cell r="RV21">
            <v>0.46</v>
          </cell>
          <cell r="RX21">
            <v>0.2</v>
          </cell>
          <cell r="RY21">
            <v>0</v>
          </cell>
          <cell r="RZ21">
            <v>0</v>
          </cell>
          <cell r="SA21">
            <v>0.46</v>
          </cell>
          <cell r="SC21">
            <v>0.2</v>
          </cell>
          <cell r="SD21">
            <v>0</v>
          </cell>
          <cell r="SE21">
            <v>0</v>
          </cell>
          <cell r="SF21">
            <v>0.46</v>
          </cell>
          <cell r="SH21">
            <v>0.2</v>
          </cell>
          <cell r="SI21">
            <v>0</v>
          </cell>
          <cell r="SJ21">
            <v>0</v>
          </cell>
          <cell r="SK21">
            <v>0.46</v>
          </cell>
          <cell r="SM21">
            <v>0.2</v>
          </cell>
          <cell r="SN21">
            <v>0</v>
          </cell>
          <cell r="SO21">
            <v>0</v>
          </cell>
          <cell r="SP21">
            <v>0.46</v>
          </cell>
          <cell r="SR21">
            <v>0.2</v>
          </cell>
          <cell r="SS21">
            <v>0</v>
          </cell>
          <cell r="ST21">
            <v>0</v>
          </cell>
          <cell r="SU21">
            <v>0.46</v>
          </cell>
          <cell r="SW21">
            <v>0.2</v>
          </cell>
          <cell r="SX21">
            <v>0</v>
          </cell>
          <cell r="SY21">
            <v>0</v>
          </cell>
          <cell r="SZ21">
            <v>0.46</v>
          </cell>
          <cell r="TB21">
            <v>0.2</v>
          </cell>
          <cell r="TC21">
            <v>0</v>
          </cell>
          <cell r="TD21">
            <v>0</v>
          </cell>
          <cell r="TE21">
            <v>0.46</v>
          </cell>
          <cell r="TG21">
            <v>0.2</v>
          </cell>
          <cell r="TH21">
            <v>0</v>
          </cell>
          <cell r="TI21">
            <v>0</v>
          </cell>
          <cell r="TJ21">
            <v>0.46</v>
          </cell>
          <cell r="TL21">
            <v>0.2</v>
          </cell>
          <cell r="TM21">
            <v>0</v>
          </cell>
          <cell r="TN21">
            <v>0</v>
          </cell>
          <cell r="TO21">
            <v>0.46</v>
          </cell>
          <cell r="TQ21">
            <v>0.2</v>
          </cell>
          <cell r="TR21">
            <v>0</v>
          </cell>
          <cell r="TS21">
            <v>0</v>
          </cell>
          <cell r="TT21">
            <v>0.46</v>
          </cell>
          <cell r="TV21">
            <v>0.2</v>
          </cell>
          <cell r="TW21">
            <v>0</v>
          </cell>
          <cell r="TX21">
            <v>0</v>
          </cell>
          <cell r="TY21">
            <v>0.46</v>
          </cell>
          <cell r="UA21">
            <v>0.2</v>
          </cell>
          <cell r="UB21">
            <v>0</v>
          </cell>
          <cell r="UC21">
            <v>0</v>
          </cell>
          <cell r="UD21">
            <v>0.46</v>
          </cell>
          <cell r="UF21">
            <v>0.2</v>
          </cell>
          <cell r="UG21">
            <v>0</v>
          </cell>
          <cell r="UH21">
            <v>0</v>
          </cell>
          <cell r="UI21">
            <v>0.46</v>
          </cell>
          <cell r="UK21">
            <v>0.2</v>
          </cell>
          <cell r="UL21">
            <v>0</v>
          </cell>
          <cell r="UM21">
            <v>0</v>
          </cell>
          <cell r="UN21">
            <v>0.46</v>
          </cell>
          <cell r="UP21">
            <v>0.2</v>
          </cell>
          <cell r="UQ21">
            <v>0</v>
          </cell>
          <cell r="UR21">
            <v>0</v>
          </cell>
          <cell r="US21">
            <v>0.46</v>
          </cell>
          <cell r="UU21">
            <v>0.2</v>
          </cell>
          <cell r="UV21">
            <v>0</v>
          </cell>
          <cell r="UW21">
            <v>0</v>
          </cell>
          <cell r="UX21">
            <v>0.46</v>
          </cell>
          <cell r="UZ21">
            <v>0.2</v>
          </cell>
          <cell r="VA21">
            <v>0</v>
          </cell>
          <cell r="VB21">
            <v>0</v>
          </cell>
          <cell r="VC21">
            <v>0.46</v>
          </cell>
          <cell r="VE21">
            <v>0.2</v>
          </cell>
          <cell r="VF21">
            <v>0</v>
          </cell>
          <cell r="VG21">
            <v>0</v>
          </cell>
          <cell r="VH21">
            <v>0.46</v>
          </cell>
          <cell r="VJ21">
            <v>0.2</v>
          </cell>
          <cell r="VK21">
            <v>0</v>
          </cell>
          <cell r="VL21">
            <v>0</v>
          </cell>
          <cell r="VM21">
            <v>0.46</v>
          </cell>
          <cell r="VO21">
            <v>0.2</v>
          </cell>
          <cell r="VP21">
            <v>0</v>
          </cell>
          <cell r="VQ21">
            <v>0</v>
          </cell>
          <cell r="VR21">
            <v>0.46</v>
          </cell>
          <cell r="VT21">
            <v>0.2</v>
          </cell>
          <cell r="VU21">
            <v>0</v>
          </cell>
          <cell r="VV21">
            <v>0</v>
          </cell>
          <cell r="VW21">
            <v>0.46</v>
          </cell>
          <cell r="VY21">
            <v>0.2</v>
          </cell>
          <cell r="VZ21">
            <v>0</v>
          </cell>
          <cell r="WA21">
            <v>0</v>
          </cell>
          <cell r="WB21">
            <v>0.46</v>
          </cell>
          <cell r="WD21">
            <v>0.2</v>
          </cell>
          <cell r="WE21">
            <v>0</v>
          </cell>
          <cell r="WF21">
            <v>0</v>
          </cell>
          <cell r="WG21">
            <v>0.46</v>
          </cell>
          <cell r="WI21">
            <v>0.2</v>
          </cell>
          <cell r="WJ21">
            <v>0</v>
          </cell>
          <cell r="WK21">
            <v>0</v>
          </cell>
          <cell r="WL21">
            <v>0.46</v>
          </cell>
          <cell r="WN21">
            <v>0.2</v>
          </cell>
          <cell r="WO21">
            <v>0</v>
          </cell>
          <cell r="WP21">
            <v>0</v>
          </cell>
          <cell r="WQ21">
            <v>0.46</v>
          </cell>
          <cell r="WS21">
            <v>0.2</v>
          </cell>
          <cell r="WT21">
            <v>0</v>
          </cell>
          <cell r="WU21">
            <v>0</v>
          </cell>
          <cell r="WV21">
            <v>0.46</v>
          </cell>
          <cell r="WX21">
            <v>0.2</v>
          </cell>
          <cell r="WY21">
            <v>0</v>
          </cell>
          <cell r="WZ21">
            <v>0</v>
          </cell>
          <cell r="XA21">
            <v>0.46</v>
          </cell>
          <cell r="XC21">
            <v>0.2</v>
          </cell>
          <cell r="XD21">
            <v>0</v>
          </cell>
          <cell r="XE21">
            <v>0</v>
          </cell>
          <cell r="XF21">
            <v>0.46</v>
          </cell>
          <cell r="XH21">
            <v>0.2</v>
          </cell>
          <cell r="XI21">
            <v>0</v>
          </cell>
          <cell r="XJ21">
            <v>0</v>
          </cell>
          <cell r="XK21">
            <v>0.46</v>
          </cell>
          <cell r="XM21">
            <v>0.2</v>
          </cell>
          <cell r="XN21">
            <v>0</v>
          </cell>
          <cell r="XO21">
            <v>0</v>
          </cell>
          <cell r="XP21">
            <v>0.46</v>
          </cell>
          <cell r="XR21">
            <v>0.2</v>
          </cell>
          <cell r="XS21">
            <v>0</v>
          </cell>
          <cell r="XT21">
            <v>0</v>
          </cell>
          <cell r="XU21">
            <v>0.46</v>
          </cell>
          <cell r="XW21">
            <v>0.2</v>
          </cell>
          <cell r="XX21">
            <v>0</v>
          </cell>
          <cell r="XY21">
            <v>0</v>
          </cell>
          <cell r="XZ21">
            <v>0.46</v>
          </cell>
          <cell r="YB21">
            <v>0.2</v>
          </cell>
          <cell r="YC21">
            <v>0</v>
          </cell>
          <cell r="YD21">
            <v>0</v>
          </cell>
          <cell r="YE21">
            <v>0.46</v>
          </cell>
        </row>
        <row r="22">
          <cell r="A22">
            <v>12</v>
          </cell>
          <cell r="B22" t="str">
            <v>全場內水溝面增築RC溝面整平刷壓克力漆(含加密型鍍鋅格柵水溝蓋@間距3m以內)</v>
          </cell>
          <cell r="C22" t="str">
            <v>M</v>
          </cell>
          <cell r="D22">
            <v>200</v>
          </cell>
          <cell r="E22">
            <v>1164</v>
          </cell>
          <cell r="F22">
            <v>232800</v>
          </cell>
          <cell r="G22">
            <v>5.29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  <cell r="EF22">
            <v>50</v>
          </cell>
          <cell r="EG22">
            <v>50</v>
          </cell>
          <cell r="EH22">
            <v>58200</v>
          </cell>
          <cell r="EI22">
            <v>1.32</v>
          </cell>
          <cell r="EJ22">
            <v>1.32</v>
          </cell>
          <cell r="EK22">
            <v>50</v>
          </cell>
          <cell r="EL22">
            <v>100</v>
          </cell>
          <cell r="EM22">
            <v>58200</v>
          </cell>
          <cell r="EN22">
            <v>1.32</v>
          </cell>
          <cell r="EO22">
            <v>2.64</v>
          </cell>
          <cell r="EQ22">
            <v>100</v>
          </cell>
          <cell r="ER22">
            <v>0</v>
          </cell>
          <cell r="ES22">
            <v>0</v>
          </cell>
          <cell r="ET22">
            <v>2.64</v>
          </cell>
          <cell r="EV22">
            <v>100</v>
          </cell>
          <cell r="EW22">
            <v>0</v>
          </cell>
          <cell r="EX22">
            <v>0</v>
          </cell>
          <cell r="EY22">
            <v>2.64</v>
          </cell>
          <cell r="FA22">
            <v>100</v>
          </cell>
          <cell r="FB22">
            <v>0</v>
          </cell>
          <cell r="FC22">
            <v>0</v>
          </cell>
          <cell r="FD22">
            <v>2.64</v>
          </cell>
          <cell r="FF22">
            <v>100</v>
          </cell>
          <cell r="FG22">
            <v>0</v>
          </cell>
          <cell r="FH22">
            <v>0</v>
          </cell>
          <cell r="FI22">
            <v>2.64</v>
          </cell>
          <cell r="FK22">
            <v>100</v>
          </cell>
          <cell r="FL22">
            <v>0</v>
          </cell>
          <cell r="FM22">
            <v>0</v>
          </cell>
          <cell r="FN22">
            <v>2.64</v>
          </cell>
          <cell r="FP22">
            <v>100</v>
          </cell>
          <cell r="FQ22">
            <v>0</v>
          </cell>
          <cell r="FR22">
            <v>0</v>
          </cell>
          <cell r="FS22">
            <v>2.64</v>
          </cell>
          <cell r="FU22">
            <v>100</v>
          </cell>
          <cell r="FV22">
            <v>0</v>
          </cell>
          <cell r="FW22">
            <v>0</v>
          </cell>
          <cell r="FX22">
            <v>2.64</v>
          </cell>
          <cell r="FZ22">
            <v>100</v>
          </cell>
          <cell r="GA22">
            <v>0</v>
          </cell>
          <cell r="GB22">
            <v>0</v>
          </cell>
          <cell r="GC22">
            <v>2.64</v>
          </cell>
          <cell r="GE22">
            <v>100</v>
          </cell>
          <cell r="GF22">
            <v>0</v>
          </cell>
          <cell r="GG22">
            <v>0</v>
          </cell>
          <cell r="GH22">
            <v>2.64</v>
          </cell>
          <cell r="GJ22">
            <v>100</v>
          </cell>
          <cell r="GK22">
            <v>0</v>
          </cell>
          <cell r="GL22">
            <v>0</v>
          </cell>
          <cell r="GM22">
            <v>2.64</v>
          </cell>
          <cell r="GO22">
            <v>100</v>
          </cell>
          <cell r="GP22">
            <v>0</v>
          </cell>
          <cell r="GQ22">
            <v>0</v>
          </cell>
          <cell r="GR22">
            <v>2.64</v>
          </cell>
          <cell r="GT22">
            <v>100</v>
          </cell>
          <cell r="GU22">
            <v>0</v>
          </cell>
          <cell r="GV22">
            <v>0</v>
          </cell>
          <cell r="GW22">
            <v>2.64</v>
          </cell>
          <cell r="GY22">
            <v>100</v>
          </cell>
          <cell r="GZ22">
            <v>0</v>
          </cell>
          <cell r="HA22">
            <v>0</v>
          </cell>
          <cell r="HB22">
            <v>2.64</v>
          </cell>
          <cell r="HD22">
            <v>100</v>
          </cell>
          <cell r="HE22">
            <v>0</v>
          </cell>
          <cell r="HF22">
            <v>0</v>
          </cell>
          <cell r="HG22">
            <v>2.64</v>
          </cell>
          <cell r="HI22">
            <v>100</v>
          </cell>
          <cell r="HJ22">
            <v>0</v>
          </cell>
          <cell r="HK22">
            <v>0</v>
          </cell>
          <cell r="HL22">
            <v>2.64</v>
          </cell>
          <cell r="HN22">
            <v>100</v>
          </cell>
          <cell r="HO22">
            <v>0</v>
          </cell>
          <cell r="HP22">
            <v>0</v>
          </cell>
          <cell r="HQ22">
            <v>2.64</v>
          </cell>
          <cell r="HS22">
            <v>100</v>
          </cell>
          <cell r="HT22">
            <v>0</v>
          </cell>
          <cell r="HU22">
            <v>0</v>
          </cell>
          <cell r="HV22">
            <v>2.64</v>
          </cell>
          <cell r="HX22">
            <v>100</v>
          </cell>
          <cell r="HY22">
            <v>0</v>
          </cell>
          <cell r="HZ22">
            <v>0</v>
          </cell>
          <cell r="IA22">
            <v>2.64</v>
          </cell>
          <cell r="IC22">
            <v>100</v>
          </cell>
          <cell r="ID22">
            <v>0</v>
          </cell>
          <cell r="IE22">
            <v>0</v>
          </cell>
          <cell r="IF22">
            <v>2.64</v>
          </cell>
          <cell r="IH22">
            <v>100</v>
          </cell>
          <cell r="II22">
            <v>0</v>
          </cell>
          <cell r="IJ22">
            <v>0</v>
          </cell>
          <cell r="IK22">
            <v>2.64</v>
          </cell>
          <cell r="IM22">
            <v>100</v>
          </cell>
          <cell r="IN22">
            <v>0</v>
          </cell>
          <cell r="IO22">
            <v>0</v>
          </cell>
          <cell r="IP22">
            <v>2.64</v>
          </cell>
          <cell r="IR22">
            <v>100</v>
          </cell>
          <cell r="IS22">
            <v>0</v>
          </cell>
          <cell r="IT22">
            <v>0</v>
          </cell>
          <cell r="IU22">
            <v>2.64</v>
          </cell>
          <cell r="IW22">
            <v>100</v>
          </cell>
          <cell r="IX22">
            <v>0</v>
          </cell>
          <cell r="IY22">
            <v>0</v>
          </cell>
          <cell r="IZ22">
            <v>2.64</v>
          </cell>
          <cell r="JB22">
            <v>100</v>
          </cell>
          <cell r="JC22">
            <v>0</v>
          </cell>
          <cell r="JD22">
            <v>0</v>
          </cell>
          <cell r="JE22">
            <v>2.64</v>
          </cell>
          <cell r="JG22">
            <v>100</v>
          </cell>
          <cell r="JH22">
            <v>0</v>
          </cell>
          <cell r="JI22">
            <v>0</v>
          </cell>
          <cell r="JJ22">
            <v>2.64</v>
          </cell>
          <cell r="JL22">
            <v>100</v>
          </cell>
          <cell r="JM22">
            <v>0</v>
          </cell>
          <cell r="JN22">
            <v>0</v>
          </cell>
          <cell r="JO22">
            <v>2.64</v>
          </cell>
          <cell r="JQ22">
            <v>100</v>
          </cell>
          <cell r="JR22">
            <v>0</v>
          </cell>
          <cell r="JS22">
            <v>0</v>
          </cell>
          <cell r="JT22">
            <v>2.64</v>
          </cell>
          <cell r="JV22">
            <v>100</v>
          </cell>
          <cell r="JW22">
            <v>0</v>
          </cell>
          <cell r="JX22">
            <v>0</v>
          </cell>
          <cell r="JY22">
            <v>2.64</v>
          </cell>
          <cell r="KA22">
            <v>100</v>
          </cell>
          <cell r="KB22">
            <v>0</v>
          </cell>
          <cell r="KC22">
            <v>0</v>
          </cell>
          <cell r="KD22">
            <v>2.64</v>
          </cell>
          <cell r="KF22">
            <v>100</v>
          </cell>
          <cell r="KG22">
            <v>0</v>
          </cell>
          <cell r="KH22">
            <v>0</v>
          </cell>
          <cell r="KI22">
            <v>2.64</v>
          </cell>
          <cell r="KK22">
            <v>100</v>
          </cell>
          <cell r="KL22">
            <v>0</v>
          </cell>
          <cell r="KM22">
            <v>0</v>
          </cell>
          <cell r="KN22">
            <v>2.64</v>
          </cell>
          <cell r="KP22">
            <v>100</v>
          </cell>
          <cell r="KQ22">
            <v>0</v>
          </cell>
          <cell r="KR22">
            <v>0</v>
          </cell>
          <cell r="KS22">
            <v>2.64</v>
          </cell>
          <cell r="KU22">
            <v>100</v>
          </cell>
          <cell r="KV22">
            <v>0</v>
          </cell>
          <cell r="KW22">
            <v>0</v>
          </cell>
          <cell r="KX22">
            <v>2.64</v>
          </cell>
          <cell r="KZ22">
            <v>100</v>
          </cell>
          <cell r="LA22">
            <v>0</v>
          </cell>
          <cell r="LB22">
            <v>0</v>
          </cell>
          <cell r="LC22">
            <v>2.64</v>
          </cell>
          <cell r="LE22">
            <v>100</v>
          </cell>
          <cell r="LF22">
            <v>0</v>
          </cell>
          <cell r="LG22">
            <v>0</v>
          </cell>
          <cell r="LH22">
            <v>2.64</v>
          </cell>
          <cell r="LJ22">
            <v>100</v>
          </cell>
          <cell r="LK22">
            <v>0</v>
          </cell>
          <cell r="LL22">
            <v>0</v>
          </cell>
          <cell r="LM22">
            <v>2.64</v>
          </cell>
          <cell r="LO22">
            <v>100</v>
          </cell>
          <cell r="LP22">
            <v>0</v>
          </cell>
          <cell r="LQ22">
            <v>0</v>
          </cell>
          <cell r="LR22">
            <v>2.64</v>
          </cell>
          <cell r="LT22">
            <v>100</v>
          </cell>
          <cell r="LU22">
            <v>0</v>
          </cell>
          <cell r="LV22">
            <v>0</v>
          </cell>
          <cell r="LW22">
            <v>2.64</v>
          </cell>
          <cell r="LY22">
            <v>100</v>
          </cell>
          <cell r="LZ22">
            <v>0</v>
          </cell>
          <cell r="MA22">
            <v>0</v>
          </cell>
          <cell r="MB22">
            <v>2.64</v>
          </cell>
          <cell r="MD22">
            <v>100</v>
          </cell>
          <cell r="ME22">
            <v>0</v>
          </cell>
          <cell r="MF22">
            <v>0</v>
          </cell>
          <cell r="MG22">
            <v>2.64</v>
          </cell>
          <cell r="MI22">
            <v>100</v>
          </cell>
          <cell r="MJ22">
            <v>0</v>
          </cell>
          <cell r="MK22">
            <v>0</v>
          </cell>
          <cell r="ML22">
            <v>2.64</v>
          </cell>
          <cell r="MN22">
            <v>100</v>
          </cell>
          <cell r="MO22">
            <v>0</v>
          </cell>
          <cell r="MP22">
            <v>0</v>
          </cell>
          <cell r="MQ22">
            <v>2.64</v>
          </cell>
          <cell r="MS22">
            <v>100</v>
          </cell>
          <cell r="MT22">
            <v>0</v>
          </cell>
          <cell r="MU22">
            <v>0</v>
          </cell>
          <cell r="MV22">
            <v>2.64</v>
          </cell>
          <cell r="MX22">
            <v>100</v>
          </cell>
          <cell r="MY22">
            <v>0</v>
          </cell>
          <cell r="MZ22">
            <v>0</v>
          </cell>
          <cell r="NA22">
            <v>2.64</v>
          </cell>
          <cell r="NC22">
            <v>100</v>
          </cell>
          <cell r="ND22">
            <v>0</v>
          </cell>
          <cell r="NE22">
            <v>0</v>
          </cell>
          <cell r="NF22">
            <v>2.64</v>
          </cell>
          <cell r="NH22">
            <v>100</v>
          </cell>
          <cell r="NI22">
            <v>0</v>
          </cell>
          <cell r="NJ22">
            <v>0</v>
          </cell>
          <cell r="NK22">
            <v>2.64</v>
          </cell>
          <cell r="NM22">
            <v>100</v>
          </cell>
          <cell r="NN22">
            <v>0</v>
          </cell>
          <cell r="NO22">
            <v>0</v>
          </cell>
          <cell r="NP22">
            <v>2.64</v>
          </cell>
          <cell r="NR22">
            <v>100</v>
          </cell>
          <cell r="NS22">
            <v>0</v>
          </cell>
          <cell r="NT22">
            <v>0</v>
          </cell>
          <cell r="NU22">
            <v>2.64</v>
          </cell>
          <cell r="NW22">
            <v>100</v>
          </cell>
          <cell r="NX22">
            <v>0</v>
          </cell>
          <cell r="NY22">
            <v>0</v>
          </cell>
          <cell r="NZ22">
            <v>2.64</v>
          </cell>
          <cell r="OB22">
            <v>100</v>
          </cell>
          <cell r="OC22">
            <v>0</v>
          </cell>
          <cell r="OD22">
            <v>0</v>
          </cell>
          <cell r="OE22">
            <v>2.64</v>
          </cell>
          <cell r="OG22">
            <v>100</v>
          </cell>
          <cell r="OH22">
            <v>0</v>
          </cell>
          <cell r="OI22">
            <v>0</v>
          </cell>
          <cell r="OJ22">
            <v>2.64</v>
          </cell>
          <cell r="OL22">
            <v>100</v>
          </cell>
          <cell r="OM22">
            <v>0</v>
          </cell>
          <cell r="ON22">
            <v>0</v>
          </cell>
          <cell r="OO22">
            <v>2.64</v>
          </cell>
          <cell r="OQ22">
            <v>100</v>
          </cell>
          <cell r="OR22">
            <v>0</v>
          </cell>
          <cell r="OS22">
            <v>0</v>
          </cell>
          <cell r="OT22">
            <v>2.64</v>
          </cell>
          <cell r="OV22">
            <v>100</v>
          </cell>
          <cell r="OW22">
            <v>0</v>
          </cell>
          <cell r="OX22">
            <v>0</v>
          </cell>
          <cell r="OY22">
            <v>2.64</v>
          </cell>
          <cell r="PA22">
            <v>100</v>
          </cell>
          <cell r="PB22">
            <v>0</v>
          </cell>
          <cell r="PC22">
            <v>0</v>
          </cell>
          <cell r="PD22">
            <v>2.64</v>
          </cell>
          <cell r="PF22">
            <v>100</v>
          </cell>
          <cell r="PG22">
            <v>0</v>
          </cell>
          <cell r="PH22">
            <v>0</v>
          </cell>
          <cell r="PI22">
            <v>2.64</v>
          </cell>
          <cell r="PK22">
            <v>100</v>
          </cell>
          <cell r="PL22">
            <v>0</v>
          </cell>
          <cell r="PM22">
            <v>0</v>
          </cell>
          <cell r="PN22">
            <v>2.64</v>
          </cell>
          <cell r="PP22">
            <v>100</v>
          </cell>
          <cell r="PQ22">
            <v>0</v>
          </cell>
          <cell r="PR22">
            <v>0</v>
          </cell>
          <cell r="PS22">
            <v>2.64</v>
          </cell>
          <cell r="PU22">
            <v>100</v>
          </cell>
          <cell r="PV22">
            <v>0</v>
          </cell>
          <cell r="PW22">
            <v>0</v>
          </cell>
          <cell r="PX22">
            <v>2.64</v>
          </cell>
          <cell r="PZ22">
            <v>100</v>
          </cell>
          <cell r="QA22">
            <v>0</v>
          </cell>
          <cell r="QB22">
            <v>0</v>
          </cell>
          <cell r="QC22">
            <v>2.64</v>
          </cell>
          <cell r="QE22">
            <v>100</v>
          </cell>
          <cell r="QF22">
            <v>0</v>
          </cell>
          <cell r="QG22">
            <v>0</v>
          </cell>
          <cell r="QH22">
            <v>2.64</v>
          </cell>
          <cell r="QJ22">
            <v>100</v>
          </cell>
          <cell r="QK22">
            <v>0</v>
          </cell>
          <cell r="QL22">
            <v>0</v>
          </cell>
          <cell r="QM22">
            <v>2.64</v>
          </cell>
          <cell r="QO22">
            <v>100</v>
          </cell>
          <cell r="QP22">
            <v>0</v>
          </cell>
          <cell r="QQ22">
            <v>0</v>
          </cell>
          <cell r="QR22">
            <v>2.64</v>
          </cell>
          <cell r="QT22">
            <v>100</v>
          </cell>
          <cell r="QU22">
            <v>0</v>
          </cell>
          <cell r="QV22">
            <v>0</v>
          </cell>
          <cell r="QW22">
            <v>2.64</v>
          </cell>
          <cell r="QY22">
            <v>100</v>
          </cell>
          <cell r="QZ22">
            <v>0</v>
          </cell>
          <cell r="RA22">
            <v>0</v>
          </cell>
          <cell r="RB22">
            <v>2.64</v>
          </cell>
          <cell r="RD22">
            <v>100</v>
          </cell>
          <cell r="RE22">
            <v>0</v>
          </cell>
          <cell r="RF22">
            <v>0</v>
          </cell>
          <cell r="RG22">
            <v>2.64</v>
          </cell>
          <cell r="RI22">
            <v>100</v>
          </cell>
          <cell r="RJ22">
            <v>0</v>
          </cell>
          <cell r="RK22">
            <v>0</v>
          </cell>
          <cell r="RL22">
            <v>2.64</v>
          </cell>
          <cell r="RN22">
            <v>100</v>
          </cell>
          <cell r="RO22">
            <v>0</v>
          </cell>
          <cell r="RP22">
            <v>0</v>
          </cell>
          <cell r="RQ22">
            <v>2.64</v>
          </cell>
          <cell r="RS22">
            <v>100</v>
          </cell>
          <cell r="RT22">
            <v>0</v>
          </cell>
          <cell r="RU22">
            <v>0</v>
          </cell>
          <cell r="RV22">
            <v>2.64</v>
          </cell>
          <cell r="RX22">
            <v>100</v>
          </cell>
          <cell r="RY22">
            <v>0</v>
          </cell>
          <cell r="RZ22">
            <v>0</v>
          </cell>
          <cell r="SA22">
            <v>2.64</v>
          </cell>
          <cell r="SC22">
            <v>100</v>
          </cell>
          <cell r="SD22">
            <v>0</v>
          </cell>
          <cell r="SE22">
            <v>0</v>
          </cell>
          <cell r="SF22">
            <v>2.64</v>
          </cell>
          <cell r="SH22">
            <v>100</v>
          </cell>
          <cell r="SI22">
            <v>0</v>
          </cell>
          <cell r="SJ22">
            <v>0</v>
          </cell>
          <cell r="SK22">
            <v>2.64</v>
          </cell>
          <cell r="SM22">
            <v>100</v>
          </cell>
          <cell r="SN22">
            <v>0</v>
          </cell>
          <cell r="SO22">
            <v>0</v>
          </cell>
          <cell r="SP22">
            <v>2.64</v>
          </cell>
          <cell r="SR22">
            <v>100</v>
          </cell>
          <cell r="SS22">
            <v>0</v>
          </cell>
          <cell r="ST22">
            <v>0</v>
          </cell>
          <cell r="SU22">
            <v>2.64</v>
          </cell>
          <cell r="SW22">
            <v>100</v>
          </cell>
          <cell r="SX22">
            <v>0</v>
          </cell>
          <cell r="SY22">
            <v>0</v>
          </cell>
          <cell r="SZ22">
            <v>2.64</v>
          </cell>
          <cell r="TB22">
            <v>100</v>
          </cell>
          <cell r="TC22">
            <v>0</v>
          </cell>
          <cell r="TD22">
            <v>0</v>
          </cell>
          <cell r="TE22">
            <v>2.64</v>
          </cell>
          <cell r="TG22">
            <v>100</v>
          </cell>
          <cell r="TH22">
            <v>0</v>
          </cell>
          <cell r="TI22">
            <v>0</v>
          </cell>
          <cell r="TJ22">
            <v>2.64</v>
          </cell>
          <cell r="TL22">
            <v>100</v>
          </cell>
          <cell r="TM22">
            <v>0</v>
          </cell>
          <cell r="TN22">
            <v>0</v>
          </cell>
          <cell r="TO22">
            <v>2.64</v>
          </cell>
          <cell r="TQ22">
            <v>100</v>
          </cell>
          <cell r="TR22">
            <v>0</v>
          </cell>
          <cell r="TS22">
            <v>0</v>
          </cell>
          <cell r="TT22">
            <v>2.64</v>
          </cell>
          <cell r="TV22">
            <v>100</v>
          </cell>
          <cell r="TW22">
            <v>0</v>
          </cell>
          <cell r="TX22">
            <v>0</v>
          </cell>
          <cell r="TY22">
            <v>2.64</v>
          </cell>
          <cell r="UA22">
            <v>100</v>
          </cell>
          <cell r="UB22">
            <v>0</v>
          </cell>
          <cell r="UC22">
            <v>0</v>
          </cell>
          <cell r="UD22">
            <v>2.64</v>
          </cell>
          <cell r="UF22">
            <v>100</v>
          </cell>
          <cell r="UG22">
            <v>0</v>
          </cell>
          <cell r="UH22">
            <v>0</v>
          </cell>
          <cell r="UI22">
            <v>2.64</v>
          </cell>
          <cell r="UK22">
            <v>100</v>
          </cell>
          <cell r="UL22">
            <v>0</v>
          </cell>
          <cell r="UM22">
            <v>0</v>
          </cell>
          <cell r="UN22">
            <v>2.64</v>
          </cell>
          <cell r="UP22">
            <v>100</v>
          </cell>
          <cell r="UQ22">
            <v>0</v>
          </cell>
          <cell r="UR22">
            <v>0</v>
          </cell>
          <cell r="US22">
            <v>2.64</v>
          </cell>
          <cell r="UU22">
            <v>100</v>
          </cell>
          <cell r="UV22">
            <v>0</v>
          </cell>
          <cell r="UW22">
            <v>0</v>
          </cell>
          <cell r="UX22">
            <v>2.64</v>
          </cell>
          <cell r="UZ22">
            <v>100</v>
          </cell>
          <cell r="VA22">
            <v>0</v>
          </cell>
          <cell r="VB22">
            <v>0</v>
          </cell>
          <cell r="VC22">
            <v>2.64</v>
          </cell>
          <cell r="VE22">
            <v>100</v>
          </cell>
          <cell r="VF22">
            <v>0</v>
          </cell>
          <cell r="VG22">
            <v>0</v>
          </cell>
          <cell r="VH22">
            <v>2.64</v>
          </cell>
          <cell r="VJ22">
            <v>100</v>
          </cell>
          <cell r="VK22">
            <v>0</v>
          </cell>
          <cell r="VL22">
            <v>0</v>
          </cell>
          <cell r="VM22">
            <v>2.64</v>
          </cell>
          <cell r="VO22">
            <v>100</v>
          </cell>
          <cell r="VP22">
            <v>0</v>
          </cell>
          <cell r="VQ22">
            <v>0</v>
          </cell>
          <cell r="VR22">
            <v>2.64</v>
          </cell>
          <cell r="VT22">
            <v>100</v>
          </cell>
          <cell r="VU22">
            <v>0</v>
          </cell>
          <cell r="VV22">
            <v>0</v>
          </cell>
          <cell r="VW22">
            <v>2.64</v>
          </cell>
          <cell r="VY22">
            <v>100</v>
          </cell>
          <cell r="VZ22">
            <v>0</v>
          </cell>
          <cell r="WA22">
            <v>0</v>
          </cell>
          <cell r="WB22">
            <v>2.64</v>
          </cell>
          <cell r="WD22">
            <v>100</v>
          </cell>
          <cell r="WE22">
            <v>0</v>
          </cell>
          <cell r="WF22">
            <v>0</v>
          </cell>
          <cell r="WG22">
            <v>2.64</v>
          </cell>
          <cell r="WI22">
            <v>100</v>
          </cell>
          <cell r="WJ22">
            <v>0</v>
          </cell>
          <cell r="WK22">
            <v>0</v>
          </cell>
          <cell r="WL22">
            <v>2.64</v>
          </cell>
          <cell r="WN22">
            <v>100</v>
          </cell>
          <cell r="WO22">
            <v>0</v>
          </cell>
          <cell r="WP22">
            <v>0</v>
          </cell>
          <cell r="WQ22">
            <v>2.64</v>
          </cell>
          <cell r="WS22">
            <v>100</v>
          </cell>
          <cell r="WT22">
            <v>0</v>
          </cell>
          <cell r="WU22">
            <v>0</v>
          </cell>
          <cell r="WV22">
            <v>2.64</v>
          </cell>
          <cell r="WX22">
            <v>100</v>
          </cell>
          <cell r="WY22">
            <v>0</v>
          </cell>
          <cell r="WZ22">
            <v>0</v>
          </cell>
          <cell r="XA22">
            <v>2.64</v>
          </cell>
          <cell r="XC22">
            <v>100</v>
          </cell>
          <cell r="XD22">
            <v>0</v>
          </cell>
          <cell r="XE22">
            <v>0</v>
          </cell>
          <cell r="XF22">
            <v>2.64</v>
          </cell>
          <cell r="XH22">
            <v>100</v>
          </cell>
          <cell r="XI22">
            <v>0</v>
          </cell>
          <cell r="XJ22">
            <v>0</v>
          </cell>
          <cell r="XK22">
            <v>2.64</v>
          </cell>
          <cell r="XM22">
            <v>100</v>
          </cell>
          <cell r="XN22">
            <v>0</v>
          </cell>
          <cell r="XO22">
            <v>0</v>
          </cell>
          <cell r="XP22">
            <v>2.64</v>
          </cell>
          <cell r="XR22">
            <v>100</v>
          </cell>
          <cell r="XS22">
            <v>0</v>
          </cell>
          <cell r="XT22">
            <v>0</v>
          </cell>
          <cell r="XU22">
            <v>2.64</v>
          </cell>
          <cell r="XW22">
            <v>100</v>
          </cell>
          <cell r="XX22">
            <v>0</v>
          </cell>
          <cell r="XY22">
            <v>0</v>
          </cell>
          <cell r="XZ22">
            <v>2.64</v>
          </cell>
          <cell r="YB22">
            <v>100</v>
          </cell>
          <cell r="YC22">
            <v>0</v>
          </cell>
          <cell r="YD22">
            <v>0</v>
          </cell>
          <cell r="YE22">
            <v>2.64</v>
          </cell>
        </row>
        <row r="23">
          <cell r="A23">
            <v>13</v>
          </cell>
          <cell r="B23" t="str">
            <v>鋪設新品細料AC(平均4cm以上)</v>
          </cell>
          <cell r="C23" t="str">
            <v>M2</v>
          </cell>
          <cell r="D23">
            <v>1886</v>
          </cell>
          <cell r="E23">
            <v>271</v>
          </cell>
          <cell r="F23">
            <v>511106</v>
          </cell>
          <cell r="G23">
            <v>11.62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L23">
            <v>0</v>
          </cell>
          <cell r="EM23">
            <v>0</v>
          </cell>
          <cell r="EN23">
            <v>0</v>
          </cell>
          <cell r="EO23">
            <v>0</v>
          </cell>
          <cell r="EQ23">
            <v>0</v>
          </cell>
          <cell r="ER23">
            <v>0</v>
          </cell>
          <cell r="ES23">
            <v>0</v>
          </cell>
          <cell r="ET23">
            <v>0</v>
          </cell>
          <cell r="EU23">
            <v>1886</v>
          </cell>
          <cell r="EV23">
            <v>1886</v>
          </cell>
          <cell r="EW23">
            <v>511106</v>
          </cell>
          <cell r="EX23">
            <v>11.62</v>
          </cell>
          <cell r="EY23">
            <v>11.62</v>
          </cell>
          <cell r="FA23">
            <v>1886</v>
          </cell>
          <cell r="FB23">
            <v>0</v>
          </cell>
          <cell r="FC23">
            <v>0</v>
          </cell>
          <cell r="FD23">
            <v>11.62</v>
          </cell>
          <cell r="FF23">
            <v>1886</v>
          </cell>
          <cell r="FG23">
            <v>0</v>
          </cell>
          <cell r="FH23">
            <v>0</v>
          </cell>
          <cell r="FI23">
            <v>11.62</v>
          </cell>
          <cell r="FK23">
            <v>1886</v>
          </cell>
          <cell r="FL23">
            <v>0</v>
          </cell>
          <cell r="FM23">
            <v>0</v>
          </cell>
          <cell r="FN23">
            <v>11.62</v>
          </cell>
          <cell r="FP23">
            <v>1886</v>
          </cell>
          <cell r="FQ23">
            <v>0</v>
          </cell>
          <cell r="FR23">
            <v>0</v>
          </cell>
          <cell r="FS23">
            <v>11.62</v>
          </cell>
          <cell r="FU23">
            <v>1886</v>
          </cell>
          <cell r="FV23">
            <v>0</v>
          </cell>
          <cell r="FW23">
            <v>0</v>
          </cell>
          <cell r="FX23">
            <v>11.62</v>
          </cell>
          <cell r="FZ23">
            <v>1886</v>
          </cell>
          <cell r="GA23">
            <v>0</v>
          </cell>
          <cell r="GB23">
            <v>0</v>
          </cell>
          <cell r="GC23">
            <v>11.62</v>
          </cell>
          <cell r="GE23">
            <v>1886</v>
          </cell>
          <cell r="GF23">
            <v>0</v>
          </cell>
          <cell r="GG23">
            <v>0</v>
          </cell>
          <cell r="GH23">
            <v>11.62</v>
          </cell>
          <cell r="GJ23">
            <v>1886</v>
          </cell>
          <cell r="GK23">
            <v>0</v>
          </cell>
          <cell r="GL23">
            <v>0</v>
          </cell>
          <cell r="GM23">
            <v>11.62</v>
          </cell>
          <cell r="GO23">
            <v>1886</v>
          </cell>
          <cell r="GP23">
            <v>0</v>
          </cell>
          <cell r="GQ23">
            <v>0</v>
          </cell>
          <cell r="GR23">
            <v>11.62</v>
          </cell>
          <cell r="GT23">
            <v>1886</v>
          </cell>
          <cell r="GU23">
            <v>0</v>
          </cell>
          <cell r="GV23">
            <v>0</v>
          </cell>
          <cell r="GW23">
            <v>11.62</v>
          </cell>
          <cell r="GY23">
            <v>1886</v>
          </cell>
          <cell r="GZ23">
            <v>0</v>
          </cell>
          <cell r="HA23">
            <v>0</v>
          </cell>
          <cell r="HB23">
            <v>11.62</v>
          </cell>
          <cell r="HD23">
            <v>1886</v>
          </cell>
          <cell r="HE23">
            <v>0</v>
          </cell>
          <cell r="HF23">
            <v>0</v>
          </cell>
          <cell r="HG23">
            <v>11.62</v>
          </cell>
          <cell r="HI23">
            <v>1886</v>
          </cell>
          <cell r="HJ23">
            <v>0</v>
          </cell>
          <cell r="HK23">
            <v>0</v>
          </cell>
          <cell r="HL23">
            <v>11.62</v>
          </cell>
          <cell r="HN23">
            <v>1886</v>
          </cell>
          <cell r="HO23">
            <v>0</v>
          </cell>
          <cell r="HP23">
            <v>0</v>
          </cell>
          <cell r="HQ23">
            <v>11.62</v>
          </cell>
          <cell r="HS23">
            <v>1886</v>
          </cell>
          <cell r="HT23">
            <v>0</v>
          </cell>
          <cell r="HU23">
            <v>0</v>
          </cell>
          <cell r="HV23">
            <v>11.62</v>
          </cell>
          <cell r="HX23">
            <v>1886</v>
          </cell>
          <cell r="HY23">
            <v>0</v>
          </cell>
          <cell r="HZ23">
            <v>0</v>
          </cell>
          <cell r="IA23">
            <v>11.62</v>
          </cell>
          <cell r="IC23">
            <v>1886</v>
          </cell>
          <cell r="ID23">
            <v>0</v>
          </cell>
          <cell r="IE23">
            <v>0</v>
          </cell>
          <cell r="IF23">
            <v>11.62</v>
          </cell>
          <cell r="IH23">
            <v>1886</v>
          </cell>
          <cell r="II23">
            <v>0</v>
          </cell>
          <cell r="IJ23">
            <v>0</v>
          </cell>
          <cell r="IK23">
            <v>11.62</v>
          </cell>
          <cell r="IM23">
            <v>1886</v>
          </cell>
          <cell r="IN23">
            <v>0</v>
          </cell>
          <cell r="IO23">
            <v>0</v>
          </cell>
          <cell r="IP23">
            <v>11.62</v>
          </cell>
          <cell r="IR23">
            <v>1886</v>
          </cell>
          <cell r="IS23">
            <v>0</v>
          </cell>
          <cell r="IT23">
            <v>0</v>
          </cell>
          <cell r="IU23">
            <v>11.62</v>
          </cell>
          <cell r="IW23">
            <v>1886</v>
          </cell>
          <cell r="IX23">
            <v>0</v>
          </cell>
          <cell r="IY23">
            <v>0</v>
          </cell>
          <cell r="IZ23">
            <v>11.62</v>
          </cell>
          <cell r="JB23">
            <v>1886</v>
          </cell>
          <cell r="JC23">
            <v>0</v>
          </cell>
          <cell r="JD23">
            <v>0</v>
          </cell>
          <cell r="JE23">
            <v>11.62</v>
          </cell>
          <cell r="JG23">
            <v>1886</v>
          </cell>
          <cell r="JH23">
            <v>0</v>
          </cell>
          <cell r="JI23">
            <v>0</v>
          </cell>
          <cell r="JJ23">
            <v>11.62</v>
          </cell>
          <cell r="JL23">
            <v>1886</v>
          </cell>
          <cell r="JM23">
            <v>0</v>
          </cell>
          <cell r="JN23">
            <v>0</v>
          </cell>
          <cell r="JO23">
            <v>11.62</v>
          </cell>
          <cell r="JQ23">
            <v>1886</v>
          </cell>
          <cell r="JR23">
            <v>0</v>
          </cell>
          <cell r="JS23">
            <v>0</v>
          </cell>
          <cell r="JT23">
            <v>11.62</v>
          </cell>
          <cell r="JV23">
            <v>1886</v>
          </cell>
          <cell r="JW23">
            <v>0</v>
          </cell>
          <cell r="JX23">
            <v>0</v>
          </cell>
          <cell r="JY23">
            <v>11.62</v>
          </cell>
          <cell r="KA23">
            <v>1886</v>
          </cell>
          <cell r="KB23">
            <v>0</v>
          </cell>
          <cell r="KC23">
            <v>0</v>
          </cell>
          <cell r="KD23">
            <v>11.62</v>
          </cell>
          <cell r="KF23">
            <v>1886</v>
          </cell>
          <cell r="KG23">
            <v>0</v>
          </cell>
          <cell r="KH23">
            <v>0</v>
          </cell>
          <cell r="KI23">
            <v>11.62</v>
          </cell>
          <cell r="KK23">
            <v>1886</v>
          </cell>
          <cell r="KL23">
            <v>0</v>
          </cell>
          <cell r="KM23">
            <v>0</v>
          </cell>
          <cell r="KN23">
            <v>11.62</v>
          </cell>
          <cell r="KP23">
            <v>1886</v>
          </cell>
          <cell r="KQ23">
            <v>0</v>
          </cell>
          <cell r="KR23">
            <v>0</v>
          </cell>
          <cell r="KS23">
            <v>11.62</v>
          </cell>
          <cell r="KU23">
            <v>1886</v>
          </cell>
          <cell r="KV23">
            <v>0</v>
          </cell>
          <cell r="KW23">
            <v>0</v>
          </cell>
          <cell r="KX23">
            <v>11.62</v>
          </cell>
          <cell r="KZ23">
            <v>1886</v>
          </cell>
          <cell r="LA23">
            <v>0</v>
          </cell>
          <cell r="LB23">
            <v>0</v>
          </cell>
          <cell r="LC23">
            <v>11.62</v>
          </cell>
          <cell r="LE23">
            <v>1886</v>
          </cell>
          <cell r="LF23">
            <v>0</v>
          </cell>
          <cell r="LG23">
            <v>0</v>
          </cell>
          <cell r="LH23">
            <v>11.62</v>
          </cell>
          <cell r="LJ23">
            <v>1886</v>
          </cell>
          <cell r="LK23">
            <v>0</v>
          </cell>
          <cell r="LL23">
            <v>0</v>
          </cell>
          <cell r="LM23">
            <v>11.62</v>
          </cell>
          <cell r="LO23">
            <v>1886</v>
          </cell>
          <cell r="LP23">
            <v>0</v>
          </cell>
          <cell r="LQ23">
            <v>0</v>
          </cell>
          <cell r="LR23">
            <v>11.62</v>
          </cell>
          <cell r="LT23">
            <v>1886</v>
          </cell>
          <cell r="LU23">
            <v>0</v>
          </cell>
          <cell r="LV23">
            <v>0</v>
          </cell>
          <cell r="LW23">
            <v>11.62</v>
          </cell>
          <cell r="LY23">
            <v>1886</v>
          </cell>
          <cell r="LZ23">
            <v>0</v>
          </cell>
          <cell r="MA23">
            <v>0</v>
          </cell>
          <cell r="MB23">
            <v>11.62</v>
          </cell>
          <cell r="MD23">
            <v>1886</v>
          </cell>
          <cell r="ME23">
            <v>0</v>
          </cell>
          <cell r="MF23">
            <v>0</v>
          </cell>
          <cell r="MG23">
            <v>11.62</v>
          </cell>
          <cell r="MI23">
            <v>1886</v>
          </cell>
          <cell r="MJ23">
            <v>0</v>
          </cell>
          <cell r="MK23">
            <v>0</v>
          </cell>
          <cell r="ML23">
            <v>11.62</v>
          </cell>
          <cell r="MN23">
            <v>1886</v>
          </cell>
          <cell r="MO23">
            <v>0</v>
          </cell>
          <cell r="MP23">
            <v>0</v>
          </cell>
          <cell r="MQ23">
            <v>11.62</v>
          </cell>
          <cell r="MS23">
            <v>1886</v>
          </cell>
          <cell r="MT23">
            <v>0</v>
          </cell>
          <cell r="MU23">
            <v>0</v>
          </cell>
          <cell r="MV23">
            <v>11.62</v>
          </cell>
          <cell r="MX23">
            <v>1886</v>
          </cell>
          <cell r="MY23">
            <v>0</v>
          </cell>
          <cell r="MZ23">
            <v>0</v>
          </cell>
          <cell r="NA23">
            <v>11.62</v>
          </cell>
          <cell r="NC23">
            <v>1886</v>
          </cell>
          <cell r="ND23">
            <v>0</v>
          </cell>
          <cell r="NE23">
            <v>0</v>
          </cell>
          <cell r="NF23">
            <v>11.62</v>
          </cell>
          <cell r="NH23">
            <v>1886</v>
          </cell>
          <cell r="NI23">
            <v>0</v>
          </cell>
          <cell r="NJ23">
            <v>0</v>
          </cell>
          <cell r="NK23">
            <v>11.62</v>
          </cell>
          <cell r="NM23">
            <v>1886</v>
          </cell>
          <cell r="NN23">
            <v>0</v>
          </cell>
          <cell r="NO23">
            <v>0</v>
          </cell>
          <cell r="NP23">
            <v>11.62</v>
          </cell>
          <cell r="NR23">
            <v>1886</v>
          </cell>
          <cell r="NS23">
            <v>0</v>
          </cell>
          <cell r="NT23">
            <v>0</v>
          </cell>
          <cell r="NU23">
            <v>11.62</v>
          </cell>
          <cell r="NW23">
            <v>1886</v>
          </cell>
          <cell r="NX23">
            <v>0</v>
          </cell>
          <cell r="NY23">
            <v>0</v>
          </cell>
          <cell r="NZ23">
            <v>11.62</v>
          </cell>
          <cell r="OB23">
            <v>1886</v>
          </cell>
          <cell r="OC23">
            <v>0</v>
          </cell>
          <cell r="OD23">
            <v>0</v>
          </cell>
          <cell r="OE23">
            <v>11.62</v>
          </cell>
          <cell r="OG23">
            <v>1886</v>
          </cell>
          <cell r="OH23">
            <v>0</v>
          </cell>
          <cell r="OI23">
            <v>0</v>
          </cell>
          <cell r="OJ23">
            <v>11.62</v>
          </cell>
          <cell r="OL23">
            <v>1886</v>
          </cell>
          <cell r="OM23">
            <v>0</v>
          </cell>
          <cell r="ON23">
            <v>0</v>
          </cell>
          <cell r="OO23">
            <v>11.62</v>
          </cell>
          <cell r="OQ23">
            <v>1886</v>
          </cell>
          <cell r="OR23">
            <v>0</v>
          </cell>
          <cell r="OS23">
            <v>0</v>
          </cell>
          <cell r="OT23">
            <v>11.62</v>
          </cell>
          <cell r="OV23">
            <v>1886</v>
          </cell>
          <cell r="OW23">
            <v>0</v>
          </cell>
          <cell r="OX23">
            <v>0</v>
          </cell>
          <cell r="OY23">
            <v>11.62</v>
          </cell>
          <cell r="PA23">
            <v>1886</v>
          </cell>
          <cell r="PB23">
            <v>0</v>
          </cell>
          <cell r="PC23">
            <v>0</v>
          </cell>
          <cell r="PD23">
            <v>11.62</v>
          </cell>
          <cell r="PF23">
            <v>1886</v>
          </cell>
          <cell r="PG23">
            <v>0</v>
          </cell>
          <cell r="PH23">
            <v>0</v>
          </cell>
          <cell r="PI23">
            <v>11.62</v>
          </cell>
          <cell r="PK23">
            <v>1886</v>
          </cell>
          <cell r="PL23">
            <v>0</v>
          </cell>
          <cell r="PM23">
            <v>0</v>
          </cell>
          <cell r="PN23">
            <v>11.62</v>
          </cell>
          <cell r="PP23">
            <v>1886</v>
          </cell>
          <cell r="PQ23">
            <v>0</v>
          </cell>
          <cell r="PR23">
            <v>0</v>
          </cell>
          <cell r="PS23">
            <v>11.62</v>
          </cell>
          <cell r="PU23">
            <v>1886</v>
          </cell>
          <cell r="PV23">
            <v>0</v>
          </cell>
          <cell r="PW23">
            <v>0</v>
          </cell>
          <cell r="PX23">
            <v>11.62</v>
          </cell>
          <cell r="PZ23">
            <v>1886</v>
          </cell>
          <cell r="QA23">
            <v>0</v>
          </cell>
          <cell r="QB23">
            <v>0</v>
          </cell>
          <cell r="QC23">
            <v>11.62</v>
          </cell>
          <cell r="QE23">
            <v>1886</v>
          </cell>
          <cell r="QF23">
            <v>0</v>
          </cell>
          <cell r="QG23">
            <v>0</v>
          </cell>
          <cell r="QH23">
            <v>11.62</v>
          </cell>
          <cell r="QJ23">
            <v>1886</v>
          </cell>
          <cell r="QK23">
            <v>0</v>
          </cell>
          <cell r="QL23">
            <v>0</v>
          </cell>
          <cell r="QM23">
            <v>11.62</v>
          </cell>
          <cell r="QO23">
            <v>1886</v>
          </cell>
          <cell r="QP23">
            <v>0</v>
          </cell>
          <cell r="QQ23">
            <v>0</v>
          </cell>
          <cell r="QR23">
            <v>11.62</v>
          </cell>
          <cell r="QT23">
            <v>1886</v>
          </cell>
          <cell r="QU23">
            <v>0</v>
          </cell>
          <cell r="QV23">
            <v>0</v>
          </cell>
          <cell r="QW23">
            <v>11.62</v>
          </cell>
          <cell r="QY23">
            <v>1886</v>
          </cell>
          <cell r="QZ23">
            <v>0</v>
          </cell>
          <cell r="RA23">
            <v>0</v>
          </cell>
          <cell r="RB23">
            <v>11.62</v>
          </cell>
          <cell r="RD23">
            <v>1886</v>
          </cell>
          <cell r="RE23">
            <v>0</v>
          </cell>
          <cell r="RF23">
            <v>0</v>
          </cell>
          <cell r="RG23">
            <v>11.62</v>
          </cell>
          <cell r="RI23">
            <v>1886</v>
          </cell>
          <cell r="RJ23">
            <v>0</v>
          </cell>
          <cell r="RK23">
            <v>0</v>
          </cell>
          <cell r="RL23">
            <v>11.62</v>
          </cell>
          <cell r="RN23">
            <v>1886</v>
          </cell>
          <cell r="RO23">
            <v>0</v>
          </cell>
          <cell r="RP23">
            <v>0</v>
          </cell>
          <cell r="RQ23">
            <v>11.62</v>
          </cell>
          <cell r="RS23">
            <v>1886</v>
          </cell>
          <cell r="RT23">
            <v>0</v>
          </cell>
          <cell r="RU23">
            <v>0</v>
          </cell>
          <cell r="RV23">
            <v>11.62</v>
          </cell>
          <cell r="RX23">
            <v>1886</v>
          </cell>
          <cell r="RY23">
            <v>0</v>
          </cell>
          <cell r="RZ23">
            <v>0</v>
          </cell>
          <cell r="SA23">
            <v>11.62</v>
          </cell>
          <cell r="SC23">
            <v>1886</v>
          </cell>
          <cell r="SD23">
            <v>0</v>
          </cell>
          <cell r="SE23">
            <v>0</v>
          </cell>
          <cell r="SF23">
            <v>11.62</v>
          </cell>
          <cell r="SH23">
            <v>1886</v>
          </cell>
          <cell r="SI23">
            <v>0</v>
          </cell>
          <cell r="SJ23">
            <v>0</v>
          </cell>
          <cell r="SK23">
            <v>11.62</v>
          </cell>
          <cell r="SM23">
            <v>1886</v>
          </cell>
          <cell r="SN23">
            <v>0</v>
          </cell>
          <cell r="SO23">
            <v>0</v>
          </cell>
          <cell r="SP23">
            <v>11.62</v>
          </cell>
          <cell r="SR23">
            <v>1886</v>
          </cell>
          <cell r="SS23">
            <v>0</v>
          </cell>
          <cell r="ST23">
            <v>0</v>
          </cell>
          <cell r="SU23">
            <v>11.62</v>
          </cell>
          <cell r="SW23">
            <v>1886</v>
          </cell>
          <cell r="SX23">
            <v>0</v>
          </cell>
          <cell r="SY23">
            <v>0</v>
          </cell>
          <cell r="SZ23">
            <v>11.62</v>
          </cell>
          <cell r="TB23">
            <v>1886</v>
          </cell>
          <cell r="TC23">
            <v>0</v>
          </cell>
          <cell r="TD23">
            <v>0</v>
          </cell>
          <cell r="TE23">
            <v>11.62</v>
          </cell>
          <cell r="TG23">
            <v>1886</v>
          </cell>
          <cell r="TH23">
            <v>0</v>
          </cell>
          <cell r="TI23">
            <v>0</v>
          </cell>
          <cell r="TJ23">
            <v>11.62</v>
          </cell>
          <cell r="TL23">
            <v>1886</v>
          </cell>
          <cell r="TM23">
            <v>0</v>
          </cell>
          <cell r="TN23">
            <v>0</v>
          </cell>
          <cell r="TO23">
            <v>11.62</v>
          </cell>
          <cell r="TQ23">
            <v>1886</v>
          </cell>
          <cell r="TR23">
            <v>0</v>
          </cell>
          <cell r="TS23">
            <v>0</v>
          </cell>
          <cell r="TT23">
            <v>11.62</v>
          </cell>
          <cell r="TV23">
            <v>1886</v>
          </cell>
          <cell r="TW23">
            <v>0</v>
          </cell>
          <cell r="TX23">
            <v>0</v>
          </cell>
          <cell r="TY23">
            <v>11.62</v>
          </cell>
          <cell r="UA23">
            <v>1886</v>
          </cell>
          <cell r="UB23">
            <v>0</v>
          </cell>
          <cell r="UC23">
            <v>0</v>
          </cell>
          <cell r="UD23">
            <v>11.62</v>
          </cell>
          <cell r="UF23">
            <v>1886</v>
          </cell>
          <cell r="UG23">
            <v>0</v>
          </cell>
          <cell r="UH23">
            <v>0</v>
          </cell>
          <cell r="UI23">
            <v>11.62</v>
          </cell>
          <cell r="UK23">
            <v>1886</v>
          </cell>
          <cell r="UL23">
            <v>0</v>
          </cell>
          <cell r="UM23">
            <v>0</v>
          </cell>
          <cell r="UN23">
            <v>11.62</v>
          </cell>
          <cell r="UP23">
            <v>1886</v>
          </cell>
          <cell r="UQ23">
            <v>0</v>
          </cell>
          <cell r="UR23">
            <v>0</v>
          </cell>
          <cell r="US23">
            <v>11.62</v>
          </cell>
          <cell r="UU23">
            <v>1886</v>
          </cell>
          <cell r="UV23">
            <v>0</v>
          </cell>
          <cell r="UW23">
            <v>0</v>
          </cell>
          <cell r="UX23">
            <v>11.62</v>
          </cell>
          <cell r="UZ23">
            <v>1886</v>
          </cell>
          <cell r="VA23">
            <v>0</v>
          </cell>
          <cell r="VB23">
            <v>0</v>
          </cell>
          <cell r="VC23">
            <v>11.62</v>
          </cell>
          <cell r="VE23">
            <v>1886</v>
          </cell>
          <cell r="VF23">
            <v>0</v>
          </cell>
          <cell r="VG23">
            <v>0</v>
          </cell>
          <cell r="VH23">
            <v>11.62</v>
          </cell>
          <cell r="VJ23">
            <v>1886</v>
          </cell>
          <cell r="VK23">
            <v>0</v>
          </cell>
          <cell r="VL23">
            <v>0</v>
          </cell>
          <cell r="VM23">
            <v>11.62</v>
          </cell>
          <cell r="VO23">
            <v>1886</v>
          </cell>
          <cell r="VP23">
            <v>0</v>
          </cell>
          <cell r="VQ23">
            <v>0</v>
          </cell>
          <cell r="VR23">
            <v>11.62</v>
          </cell>
          <cell r="VT23">
            <v>1886</v>
          </cell>
          <cell r="VU23">
            <v>0</v>
          </cell>
          <cell r="VV23">
            <v>0</v>
          </cell>
          <cell r="VW23">
            <v>11.62</v>
          </cell>
          <cell r="VY23">
            <v>1886</v>
          </cell>
          <cell r="VZ23">
            <v>0</v>
          </cell>
          <cell r="WA23">
            <v>0</v>
          </cell>
          <cell r="WB23">
            <v>11.62</v>
          </cell>
          <cell r="WD23">
            <v>1886</v>
          </cell>
          <cell r="WE23">
            <v>0</v>
          </cell>
          <cell r="WF23">
            <v>0</v>
          </cell>
          <cell r="WG23">
            <v>11.62</v>
          </cell>
          <cell r="WI23">
            <v>1886</v>
          </cell>
          <cell r="WJ23">
            <v>0</v>
          </cell>
          <cell r="WK23">
            <v>0</v>
          </cell>
          <cell r="WL23">
            <v>11.62</v>
          </cell>
          <cell r="WN23">
            <v>1886</v>
          </cell>
          <cell r="WO23">
            <v>0</v>
          </cell>
          <cell r="WP23">
            <v>0</v>
          </cell>
          <cell r="WQ23">
            <v>11.62</v>
          </cell>
          <cell r="WS23">
            <v>1886</v>
          </cell>
          <cell r="WT23">
            <v>0</v>
          </cell>
          <cell r="WU23">
            <v>0</v>
          </cell>
          <cell r="WV23">
            <v>11.62</v>
          </cell>
          <cell r="WX23">
            <v>1886</v>
          </cell>
          <cell r="WY23">
            <v>0</v>
          </cell>
          <cell r="WZ23">
            <v>0</v>
          </cell>
          <cell r="XA23">
            <v>11.62</v>
          </cell>
          <cell r="XC23">
            <v>1886</v>
          </cell>
          <cell r="XD23">
            <v>0</v>
          </cell>
          <cell r="XE23">
            <v>0</v>
          </cell>
          <cell r="XF23">
            <v>11.62</v>
          </cell>
          <cell r="XH23">
            <v>1886</v>
          </cell>
          <cell r="XI23">
            <v>0</v>
          </cell>
          <cell r="XJ23">
            <v>0</v>
          </cell>
          <cell r="XK23">
            <v>11.62</v>
          </cell>
          <cell r="XM23">
            <v>1886</v>
          </cell>
          <cell r="XN23">
            <v>0</v>
          </cell>
          <cell r="XO23">
            <v>0</v>
          </cell>
          <cell r="XP23">
            <v>11.62</v>
          </cell>
          <cell r="XR23">
            <v>1886</v>
          </cell>
          <cell r="XS23">
            <v>0</v>
          </cell>
          <cell r="XT23">
            <v>0</v>
          </cell>
          <cell r="XU23">
            <v>11.62</v>
          </cell>
          <cell r="XW23">
            <v>1886</v>
          </cell>
          <cell r="XX23">
            <v>0</v>
          </cell>
          <cell r="XY23">
            <v>0</v>
          </cell>
          <cell r="XZ23">
            <v>11.62</v>
          </cell>
          <cell r="YB23">
            <v>1886</v>
          </cell>
          <cell r="YC23">
            <v>0</v>
          </cell>
          <cell r="YD23">
            <v>0</v>
          </cell>
          <cell r="YE23">
            <v>11.62</v>
          </cell>
        </row>
        <row r="24">
          <cell r="A24">
            <v>14</v>
          </cell>
          <cell r="B24" t="str">
            <v>試水費(AC與PU各一次)</v>
          </cell>
          <cell r="C24" t="str">
            <v>式</v>
          </cell>
          <cell r="D24">
            <v>1</v>
          </cell>
          <cell r="E24">
            <v>7754</v>
          </cell>
          <cell r="F24">
            <v>7754</v>
          </cell>
          <cell r="G24">
            <v>0.18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N24">
            <v>0</v>
          </cell>
          <cell r="CO24">
            <v>0</v>
          </cell>
          <cell r="CP24">
            <v>0</v>
          </cell>
          <cell r="CQ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R24">
            <v>0</v>
          </cell>
          <cell r="DS24">
            <v>0</v>
          </cell>
          <cell r="DT24">
            <v>0</v>
          </cell>
          <cell r="DU24">
            <v>0</v>
          </cell>
          <cell r="DW24">
            <v>0</v>
          </cell>
          <cell r="DX24">
            <v>0</v>
          </cell>
          <cell r="DY24">
            <v>0</v>
          </cell>
          <cell r="DZ24">
            <v>0</v>
          </cell>
          <cell r="EB24">
            <v>0</v>
          </cell>
          <cell r="EC24">
            <v>0</v>
          </cell>
          <cell r="ED24">
            <v>0</v>
          </cell>
          <cell r="EE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</v>
          </cell>
          <cell r="EL24">
            <v>0</v>
          </cell>
          <cell r="EM24">
            <v>0</v>
          </cell>
          <cell r="EN24">
            <v>0</v>
          </cell>
          <cell r="EO24">
            <v>0</v>
          </cell>
          <cell r="EQ24">
            <v>0</v>
          </cell>
          <cell r="ER24">
            <v>0</v>
          </cell>
          <cell r="ES24">
            <v>0</v>
          </cell>
          <cell r="ET24">
            <v>0</v>
          </cell>
          <cell r="EV24">
            <v>0</v>
          </cell>
          <cell r="EW24">
            <v>0</v>
          </cell>
          <cell r="EX24">
            <v>0</v>
          </cell>
          <cell r="EY24">
            <v>0</v>
          </cell>
          <cell r="FA24">
            <v>0</v>
          </cell>
          <cell r="FB24">
            <v>0</v>
          </cell>
          <cell r="FC24">
            <v>0</v>
          </cell>
          <cell r="FD24">
            <v>0</v>
          </cell>
          <cell r="FF24">
            <v>0</v>
          </cell>
          <cell r="FG24">
            <v>0</v>
          </cell>
          <cell r="FH24">
            <v>0</v>
          </cell>
          <cell r="FI24">
            <v>0</v>
          </cell>
          <cell r="FK24">
            <v>0</v>
          </cell>
          <cell r="FL24">
            <v>0</v>
          </cell>
          <cell r="FM24">
            <v>0</v>
          </cell>
          <cell r="FN24">
            <v>0</v>
          </cell>
          <cell r="FP24">
            <v>0</v>
          </cell>
          <cell r="FQ24">
            <v>0</v>
          </cell>
          <cell r="FR24">
            <v>0</v>
          </cell>
          <cell r="FS24">
            <v>0</v>
          </cell>
          <cell r="FU24">
            <v>0</v>
          </cell>
          <cell r="FV24">
            <v>0</v>
          </cell>
          <cell r="FW24">
            <v>0</v>
          </cell>
          <cell r="FX24">
            <v>0</v>
          </cell>
          <cell r="FZ24">
            <v>0</v>
          </cell>
          <cell r="GA24">
            <v>0</v>
          </cell>
          <cell r="GB24">
            <v>0</v>
          </cell>
          <cell r="GC24">
            <v>0</v>
          </cell>
          <cell r="GE24">
            <v>0</v>
          </cell>
          <cell r="GF24">
            <v>0</v>
          </cell>
          <cell r="GG24">
            <v>0</v>
          </cell>
          <cell r="GH24">
            <v>0</v>
          </cell>
          <cell r="GJ24">
            <v>0</v>
          </cell>
          <cell r="GK24">
            <v>0</v>
          </cell>
          <cell r="GL24">
            <v>0</v>
          </cell>
          <cell r="GM24">
            <v>0</v>
          </cell>
          <cell r="GO24">
            <v>0</v>
          </cell>
          <cell r="GP24">
            <v>0</v>
          </cell>
          <cell r="GQ24">
            <v>0</v>
          </cell>
          <cell r="GR24">
            <v>0</v>
          </cell>
          <cell r="GT24">
            <v>0</v>
          </cell>
          <cell r="GU24">
            <v>0</v>
          </cell>
          <cell r="GV24">
            <v>0</v>
          </cell>
          <cell r="GW24">
            <v>0</v>
          </cell>
          <cell r="GY24">
            <v>0</v>
          </cell>
          <cell r="GZ24">
            <v>0</v>
          </cell>
          <cell r="HA24">
            <v>0</v>
          </cell>
          <cell r="HB24">
            <v>0</v>
          </cell>
          <cell r="HD24">
            <v>0</v>
          </cell>
          <cell r="HE24">
            <v>0</v>
          </cell>
          <cell r="HF24">
            <v>0</v>
          </cell>
          <cell r="HG24">
            <v>0</v>
          </cell>
          <cell r="HI24">
            <v>0</v>
          </cell>
          <cell r="HJ24">
            <v>0</v>
          </cell>
          <cell r="HK24">
            <v>0</v>
          </cell>
          <cell r="HL24">
            <v>0</v>
          </cell>
          <cell r="HN24">
            <v>0</v>
          </cell>
          <cell r="HO24">
            <v>0</v>
          </cell>
          <cell r="HP24">
            <v>0</v>
          </cell>
          <cell r="HQ24">
            <v>0</v>
          </cell>
          <cell r="HS24">
            <v>0</v>
          </cell>
          <cell r="HT24">
            <v>0</v>
          </cell>
          <cell r="HU24">
            <v>0</v>
          </cell>
          <cell r="HV24">
            <v>0</v>
          </cell>
          <cell r="HX24">
            <v>0</v>
          </cell>
          <cell r="HY24">
            <v>0</v>
          </cell>
          <cell r="HZ24">
            <v>0</v>
          </cell>
          <cell r="IA24">
            <v>0</v>
          </cell>
          <cell r="IC24">
            <v>0</v>
          </cell>
          <cell r="ID24">
            <v>0</v>
          </cell>
          <cell r="IE24">
            <v>0</v>
          </cell>
          <cell r="IF24">
            <v>0</v>
          </cell>
          <cell r="IH24">
            <v>0</v>
          </cell>
          <cell r="II24">
            <v>0</v>
          </cell>
          <cell r="IJ24">
            <v>0</v>
          </cell>
          <cell r="IK24">
            <v>0</v>
          </cell>
          <cell r="IM24">
            <v>0</v>
          </cell>
          <cell r="IN24">
            <v>0</v>
          </cell>
          <cell r="IO24">
            <v>0</v>
          </cell>
          <cell r="IP24">
            <v>0</v>
          </cell>
          <cell r="IR24">
            <v>0</v>
          </cell>
          <cell r="IS24">
            <v>0</v>
          </cell>
          <cell r="IT24">
            <v>0</v>
          </cell>
          <cell r="IU24">
            <v>0</v>
          </cell>
          <cell r="IW24">
            <v>0</v>
          </cell>
          <cell r="IX24">
            <v>0</v>
          </cell>
          <cell r="IY24">
            <v>0</v>
          </cell>
          <cell r="IZ24">
            <v>0</v>
          </cell>
          <cell r="JB24">
            <v>0</v>
          </cell>
          <cell r="JC24">
            <v>0</v>
          </cell>
          <cell r="JD24">
            <v>0</v>
          </cell>
          <cell r="JE24">
            <v>0</v>
          </cell>
          <cell r="JG24">
            <v>0</v>
          </cell>
          <cell r="JH24">
            <v>0</v>
          </cell>
          <cell r="JI24">
            <v>0</v>
          </cell>
          <cell r="JJ24">
            <v>0</v>
          </cell>
          <cell r="JL24">
            <v>0</v>
          </cell>
          <cell r="JM24">
            <v>0</v>
          </cell>
          <cell r="JN24">
            <v>0</v>
          </cell>
          <cell r="JO24">
            <v>0</v>
          </cell>
          <cell r="JQ24">
            <v>0</v>
          </cell>
          <cell r="JR24">
            <v>0</v>
          </cell>
          <cell r="JS24">
            <v>0</v>
          </cell>
          <cell r="JT24">
            <v>0</v>
          </cell>
          <cell r="JV24">
            <v>0</v>
          </cell>
          <cell r="JW24">
            <v>0</v>
          </cell>
          <cell r="JX24">
            <v>0</v>
          </cell>
          <cell r="JY24">
            <v>0</v>
          </cell>
          <cell r="KA24">
            <v>0</v>
          </cell>
          <cell r="KB24">
            <v>0</v>
          </cell>
          <cell r="KC24">
            <v>0</v>
          </cell>
          <cell r="KD24">
            <v>0</v>
          </cell>
          <cell r="KF24">
            <v>0</v>
          </cell>
          <cell r="KG24">
            <v>0</v>
          </cell>
          <cell r="KH24">
            <v>0</v>
          </cell>
          <cell r="KI24">
            <v>0</v>
          </cell>
          <cell r="KK24">
            <v>0</v>
          </cell>
          <cell r="KL24">
            <v>0</v>
          </cell>
          <cell r="KM24">
            <v>0</v>
          </cell>
          <cell r="KN24">
            <v>0</v>
          </cell>
          <cell r="KP24">
            <v>0</v>
          </cell>
          <cell r="KQ24">
            <v>0</v>
          </cell>
          <cell r="KR24">
            <v>0</v>
          </cell>
          <cell r="KS24">
            <v>0</v>
          </cell>
          <cell r="KU24">
            <v>0</v>
          </cell>
          <cell r="KV24">
            <v>0</v>
          </cell>
          <cell r="KW24">
            <v>0</v>
          </cell>
          <cell r="KX24">
            <v>0</v>
          </cell>
          <cell r="KZ24">
            <v>0</v>
          </cell>
          <cell r="LA24">
            <v>0</v>
          </cell>
          <cell r="LB24">
            <v>0</v>
          </cell>
          <cell r="LC24">
            <v>0</v>
          </cell>
          <cell r="LE24">
            <v>0</v>
          </cell>
          <cell r="LF24">
            <v>0</v>
          </cell>
          <cell r="LG24">
            <v>0</v>
          </cell>
          <cell r="LH24">
            <v>0</v>
          </cell>
          <cell r="LJ24">
            <v>0</v>
          </cell>
          <cell r="LK24">
            <v>0</v>
          </cell>
          <cell r="LL24">
            <v>0</v>
          </cell>
          <cell r="LM24">
            <v>0</v>
          </cell>
          <cell r="LO24">
            <v>0</v>
          </cell>
          <cell r="LP24">
            <v>0</v>
          </cell>
          <cell r="LQ24">
            <v>0</v>
          </cell>
          <cell r="LR24">
            <v>0</v>
          </cell>
          <cell r="LT24">
            <v>0</v>
          </cell>
          <cell r="LU24">
            <v>0</v>
          </cell>
          <cell r="LV24">
            <v>0</v>
          </cell>
          <cell r="LW24">
            <v>0</v>
          </cell>
          <cell r="LY24">
            <v>0</v>
          </cell>
          <cell r="LZ24">
            <v>0</v>
          </cell>
          <cell r="MA24">
            <v>0</v>
          </cell>
          <cell r="MB24">
            <v>0</v>
          </cell>
          <cell r="MD24">
            <v>0</v>
          </cell>
          <cell r="ME24">
            <v>0</v>
          </cell>
          <cell r="MF24">
            <v>0</v>
          </cell>
          <cell r="MG24">
            <v>0</v>
          </cell>
          <cell r="MI24">
            <v>0</v>
          </cell>
          <cell r="MJ24">
            <v>0</v>
          </cell>
          <cell r="MK24">
            <v>0</v>
          </cell>
          <cell r="ML24">
            <v>0</v>
          </cell>
          <cell r="MN24">
            <v>0</v>
          </cell>
          <cell r="MO24">
            <v>0</v>
          </cell>
          <cell r="MP24">
            <v>0</v>
          </cell>
          <cell r="MQ24">
            <v>0</v>
          </cell>
          <cell r="MS24">
            <v>0</v>
          </cell>
          <cell r="MT24">
            <v>0</v>
          </cell>
          <cell r="MU24">
            <v>0</v>
          </cell>
          <cell r="MV24">
            <v>0</v>
          </cell>
          <cell r="MX24">
            <v>0</v>
          </cell>
          <cell r="MY24">
            <v>0</v>
          </cell>
          <cell r="MZ24">
            <v>0</v>
          </cell>
          <cell r="NA24">
            <v>0</v>
          </cell>
          <cell r="NC24">
            <v>0</v>
          </cell>
          <cell r="ND24">
            <v>0</v>
          </cell>
          <cell r="NE24">
            <v>0</v>
          </cell>
          <cell r="NF24">
            <v>0</v>
          </cell>
          <cell r="NH24">
            <v>0</v>
          </cell>
          <cell r="NI24">
            <v>0</v>
          </cell>
          <cell r="NJ24">
            <v>0</v>
          </cell>
          <cell r="NK24">
            <v>0</v>
          </cell>
          <cell r="NM24">
            <v>0</v>
          </cell>
          <cell r="NN24">
            <v>0</v>
          </cell>
          <cell r="NO24">
            <v>0</v>
          </cell>
          <cell r="NP24">
            <v>0</v>
          </cell>
          <cell r="NR24">
            <v>0</v>
          </cell>
          <cell r="NS24">
            <v>0</v>
          </cell>
          <cell r="NT24">
            <v>0</v>
          </cell>
          <cell r="NU24">
            <v>0</v>
          </cell>
          <cell r="NW24">
            <v>0</v>
          </cell>
          <cell r="NX24">
            <v>0</v>
          </cell>
          <cell r="NY24">
            <v>0</v>
          </cell>
          <cell r="NZ24">
            <v>0</v>
          </cell>
          <cell r="OB24">
            <v>0</v>
          </cell>
          <cell r="OC24">
            <v>0</v>
          </cell>
          <cell r="OD24">
            <v>0</v>
          </cell>
          <cell r="OE24">
            <v>0</v>
          </cell>
          <cell r="OG24">
            <v>0</v>
          </cell>
          <cell r="OH24">
            <v>0</v>
          </cell>
          <cell r="OI24">
            <v>0</v>
          </cell>
          <cell r="OJ24">
            <v>0</v>
          </cell>
          <cell r="OL24">
            <v>0</v>
          </cell>
          <cell r="OM24">
            <v>0</v>
          </cell>
          <cell r="ON24">
            <v>0</v>
          </cell>
          <cell r="OO24">
            <v>0</v>
          </cell>
          <cell r="OQ24">
            <v>0</v>
          </cell>
          <cell r="OR24">
            <v>0</v>
          </cell>
          <cell r="OS24">
            <v>0</v>
          </cell>
          <cell r="OT24">
            <v>0</v>
          </cell>
          <cell r="OV24">
            <v>0</v>
          </cell>
          <cell r="OW24">
            <v>0</v>
          </cell>
          <cell r="OX24">
            <v>0</v>
          </cell>
          <cell r="OY24">
            <v>0</v>
          </cell>
          <cell r="PA24">
            <v>0</v>
          </cell>
          <cell r="PB24">
            <v>0</v>
          </cell>
          <cell r="PC24">
            <v>0</v>
          </cell>
          <cell r="PD24">
            <v>0</v>
          </cell>
          <cell r="PF24">
            <v>0</v>
          </cell>
          <cell r="PG24">
            <v>0</v>
          </cell>
          <cell r="PH24">
            <v>0</v>
          </cell>
          <cell r="PI24">
            <v>0</v>
          </cell>
          <cell r="PK24">
            <v>0</v>
          </cell>
          <cell r="PL24">
            <v>0</v>
          </cell>
          <cell r="PM24">
            <v>0</v>
          </cell>
          <cell r="PN24">
            <v>0</v>
          </cell>
          <cell r="PP24">
            <v>0</v>
          </cell>
          <cell r="PQ24">
            <v>0</v>
          </cell>
          <cell r="PR24">
            <v>0</v>
          </cell>
          <cell r="PS24">
            <v>0</v>
          </cell>
          <cell r="PU24">
            <v>0</v>
          </cell>
          <cell r="PV24">
            <v>0</v>
          </cell>
          <cell r="PW24">
            <v>0</v>
          </cell>
          <cell r="PX24">
            <v>0</v>
          </cell>
          <cell r="PZ24">
            <v>0</v>
          </cell>
          <cell r="QA24">
            <v>0</v>
          </cell>
          <cell r="QB24">
            <v>0</v>
          </cell>
          <cell r="QC24">
            <v>0</v>
          </cell>
          <cell r="QE24">
            <v>0</v>
          </cell>
          <cell r="QF24">
            <v>0</v>
          </cell>
          <cell r="QG24">
            <v>0</v>
          </cell>
          <cell r="QH24">
            <v>0</v>
          </cell>
          <cell r="QJ24">
            <v>0</v>
          </cell>
          <cell r="QK24">
            <v>0</v>
          </cell>
          <cell r="QL24">
            <v>0</v>
          </cell>
          <cell r="QM24">
            <v>0</v>
          </cell>
          <cell r="QO24">
            <v>0</v>
          </cell>
          <cell r="QP24">
            <v>0</v>
          </cell>
          <cell r="QQ24">
            <v>0</v>
          </cell>
          <cell r="QR24">
            <v>0</v>
          </cell>
          <cell r="QT24">
            <v>0</v>
          </cell>
          <cell r="QU24">
            <v>0</v>
          </cell>
          <cell r="QV24">
            <v>0</v>
          </cell>
          <cell r="QW24">
            <v>0</v>
          </cell>
          <cell r="QY24">
            <v>0</v>
          </cell>
          <cell r="QZ24">
            <v>0</v>
          </cell>
          <cell r="RA24">
            <v>0</v>
          </cell>
          <cell r="RB24">
            <v>0</v>
          </cell>
          <cell r="RD24">
            <v>0</v>
          </cell>
          <cell r="RE24">
            <v>0</v>
          </cell>
          <cell r="RF24">
            <v>0</v>
          </cell>
          <cell r="RG24">
            <v>0</v>
          </cell>
          <cell r="RI24">
            <v>0</v>
          </cell>
          <cell r="RJ24">
            <v>0</v>
          </cell>
          <cell r="RK24">
            <v>0</v>
          </cell>
          <cell r="RL24">
            <v>0</v>
          </cell>
          <cell r="RN24">
            <v>0</v>
          </cell>
          <cell r="RO24">
            <v>0</v>
          </cell>
          <cell r="RP24">
            <v>0</v>
          </cell>
          <cell r="RQ24">
            <v>0</v>
          </cell>
          <cell r="RS24">
            <v>0</v>
          </cell>
          <cell r="RT24">
            <v>0</v>
          </cell>
          <cell r="RU24">
            <v>0</v>
          </cell>
          <cell r="RV24">
            <v>0</v>
          </cell>
          <cell r="RX24">
            <v>0</v>
          </cell>
          <cell r="RY24">
            <v>0</v>
          </cell>
          <cell r="RZ24">
            <v>0</v>
          </cell>
          <cell r="SA24">
            <v>0</v>
          </cell>
          <cell r="SC24">
            <v>0</v>
          </cell>
          <cell r="SD24">
            <v>0</v>
          </cell>
          <cell r="SE24">
            <v>0</v>
          </cell>
          <cell r="SF24">
            <v>0</v>
          </cell>
          <cell r="SH24">
            <v>0</v>
          </cell>
          <cell r="SI24">
            <v>0</v>
          </cell>
          <cell r="SJ24">
            <v>0</v>
          </cell>
          <cell r="SK24">
            <v>0</v>
          </cell>
          <cell r="SM24">
            <v>0</v>
          </cell>
          <cell r="SN24">
            <v>0</v>
          </cell>
          <cell r="SO24">
            <v>0</v>
          </cell>
          <cell r="SP24">
            <v>0</v>
          </cell>
          <cell r="SR24">
            <v>0</v>
          </cell>
          <cell r="SS24">
            <v>0</v>
          </cell>
          <cell r="ST24">
            <v>0</v>
          </cell>
          <cell r="SU24">
            <v>0</v>
          </cell>
          <cell r="SW24">
            <v>0</v>
          </cell>
          <cell r="SX24">
            <v>0</v>
          </cell>
          <cell r="SY24">
            <v>0</v>
          </cell>
          <cell r="SZ24">
            <v>0</v>
          </cell>
          <cell r="TB24">
            <v>0</v>
          </cell>
          <cell r="TC24">
            <v>0</v>
          </cell>
          <cell r="TD24">
            <v>0</v>
          </cell>
          <cell r="TE24">
            <v>0</v>
          </cell>
          <cell r="TG24">
            <v>0</v>
          </cell>
          <cell r="TH24">
            <v>0</v>
          </cell>
          <cell r="TI24">
            <v>0</v>
          </cell>
          <cell r="TJ24">
            <v>0</v>
          </cell>
          <cell r="TL24">
            <v>0</v>
          </cell>
          <cell r="TM24">
            <v>0</v>
          </cell>
          <cell r="TN24">
            <v>0</v>
          </cell>
          <cell r="TO24">
            <v>0</v>
          </cell>
          <cell r="TQ24">
            <v>0</v>
          </cell>
          <cell r="TR24">
            <v>0</v>
          </cell>
          <cell r="TS24">
            <v>0</v>
          </cell>
          <cell r="TT24">
            <v>0</v>
          </cell>
          <cell r="TV24">
            <v>0</v>
          </cell>
          <cell r="TW24">
            <v>0</v>
          </cell>
          <cell r="TX24">
            <v>0</v>
          </cell>
          <cell r="TY24">
            <v>0</v>
          </cell>
          <cell r="UA24">
            <v>0</v>
          </cell>
          <cell r="UB24">
            <v>0</v>
          </cell>
          <cell r="UC24">
            <v>0</v>
          </cell>
          <cell r="UD24">
            <v>0</v>
          </cell>
          <cell r="UF24">
            <v>0</v>
          </cell>
          <cell r="UG24">
            <v>0</v>
          </cell>
          <cell r="UH24">
            <v>0</v>
          </cell>
          <cell r="UI24">
            <v>0</v>
          </cell>
          <cell r="UK24">
            <v>0</v>
          </cell>
          <cell r="UL24">
            <v>0</v>
          </cell>
          <cell r="UM24">
            <v>0</v>
          </cell>
          <cell r="UN24">
            <v>0</v>
          </cell>
          <cell r="UP24">
            <v>0</v>
          </cell>
          <cell r="UQ24">
            <v>0</v>
          </cell>
          <cell r="UR24">
            <v>0</v>
          </cell>
          <cell r="US24">
            <v>0</v>
          </cell>
          <cell r="UU24">
            <v>0</v>
          </cell>
          <cell r="UV24">
            <v>0</v>
          </cell>
          <cell r="UW24">
            <v>0</v>
          </cell>
          <cell r="UX24">
            <v>0</v>
          </cell>
          <cell r="UZ24">
            <v>0</v>
          </cell>
          <cell r="VA24">
            <v>0</v>
          </cell>
          <cell r="VB24">
            <v>0</v>
          </cell>
          <cell r="VC24">
            <v>0</v>
          </cell>
          <cell r="VE24">
            <v>0</v>
          </cell>
          <cell r="VF24">
            <v>0</v>
          </cell>
          <cell r="VG24">
            <v>0</v>
          </cell>
          <cell r="VH24">
            <v>0</v>
          </cell>
          <cell r="VJ24">
            <v>0</v>
          </cell>
          <cell r="VK24">
            <v>0</v>
          </cell>
          <cell r="VL24">
            <v>0</v>
          </cell>
          <cell r="VM24">
            <v>0</v>
          </cell>
          <cell r="VO24">
            <v>0</v>
          </cell>
          <cell r="VP24">
            <v>0</v>
          </cell>
          <cell r="VQ24">
            <v>0</v>
          </cell>
          <cell r="VR24">
            <v>0</v>
          </cell>
          <cell r="VT24">
            <v>0</v>
          </cell>
          <cell r="VU24">
            <v>0</v>
          </cell>
          <cell r="VV24">
            <v>0</v>
          </cell>
          <cell r="VW24">
            <v>0</v>
          </cell>
          <cell r="VY24">
            <v>0</v>
          </cell>
          <cell r="VZ24">
            <v>0</v>
          </cell>
          <cell r="WA24">
            <v>0</v>
          </cell>
          <cell r="WB24">
            <v>0</v>
          </cell>
          <cell r="WD24">
            <v>0</v>
          </cell>
          <cell r="WE24">
            <v>0</v>
          </cell>
          <cell r="WF24">
            <v>0</v>
          </cell>
          <cell r="WG24">
            <v>0</v>
          </cell>
          <cell r="WI24">
            <v>0</v>
          </cell>
          <cell r="WJ24">
            <v>0</v>
          </cell>
          <cell r="WK24">
            <v>0</v>
          </cell>
          <cell r="WL24">
            <v>0</v>
          </cell>
          <cell r="WN24">
            <v>0</v>
          </cell>
          <cell r="WO24">
            <v>0</v>
          </cell>
          <cell r="WP24">
            <v>0</v>
          </cell>
          <cell r="WQ24">
            <v>0</v>
          </cell>
          <cell r="WS24">
            <v>0</v>
          </cell>
          <cell r="WT24">
            <v>0</v>
          </cell>
          <cell r="WU24">
            <v>0</v>
          </cell>
          <cell r="WV24">
            <v>0</v>
          </cell>
          <cell r="WX24">
            <v>0</v>
          </cell>
          <cell r="WY24">
            <v>0</v>
          </cell>
          <cell r="WZ24">
            <v>0</v>
          </cell>
          <cell r="XA24">
            <v>0</v>
          </cell>
          <cell r="XC24">
            <v>0</v>
          </cell>
          <cell r="XD24">
            <v>0</v>
          </cell>
          <cell r="XE24">
            <v>0</v>
          </cell>
          <cell r="XF24">
            <v>0</v>
          </cell>
          <cell r="XH24">
            <v>0</v>
          </cell>
          <cell r="XI24">
            <v>0</v>
          </cell>
          <cell r="XJ24">
            <v>0</v>
          </cell>
          <cell r="XK24">
            <v>0</v>
          </cell>
          <cell r="XM24">
            <v>0</v>
          </cell>
          <cell r="XN24">
            <v>0</v>
          </cell>
          <cell r="XO24">
            <v>0</v>
          </cell>
          <cell r="XP24">
            <v>0</v>
          </cell>
          <cell r="XR24">
            <v>0</v>
          </cell>
          <cell r="XS24">
            <v>0</v>
          </cell>
          <cell r="XT24">
            <v>0</v>
          </cell>
          <cell r="XU24">
            <v>0</v>
          </cell>
          <cell r="XW24">
            <v>0</v>
          </cell>
          <cell r="XX24">
            <v>0</v>
          </cell>
          <cell r="XY24">
            <v>0</v>
          </cell>
          <cell r="XZ24">
            <v>0</v>
          </cell>
          <cell r="YB24">
            <v>0</v>
          </cell>
          <cell r="YC24">
            <v>0</v>
          </cell>
          <cell r="YD24">
            <v>0</v>
          </cell>
          <cell r="YE24">
            <v>0</v>
          </cell>
        </row>
        <row r="25">
          <cell r="A25">
            <v>15</v>
          </cell>
          <cell r="B25" t="str">
            <v>鋪設13mm全密式 MDI PU跑道(紅綠雙色透心顆粒)</v>
          </cell>
          <cell r="C25" t="str">
            <v>M2</v>
          </cell>
          <cell r="D25">
            <v>1886</v>
          </cell>
          <cell r="E25">
            <v>1361</v>
          </cell>
          <cell r="F25">
            <v>2566846</v>
          </cell>
          <cell r="G25">
            <v>58.34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N25">
            <v>0</v>
          </cell>
          <cell r="CO25">
            <v>0</v>
          </cell>
          <cell r="CP25">
            <v>0</v>
          </cell>
          <cell r="CQ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0</v>
          </cell>
          <cell r="DM25">
            <v>0</v>
          </cell>
          <cell r="DN25">
            <v>0</v>
          </cell>
          <cell r="DO25">
            <v>0</v>
          </cell>
          <cell r="DP25">
            <v>0</v>
          </cell>
          <cell r="DR25">
            <v>0</v>
          </cell>
          <cell r="DS25">
            <v>0</v>
          </cell>
          <cell r="DT25">
            <v>0</v>
          </cell>
          <cell r="DU25">
            <v>0</v>
          </cell>
          <cell r="DW25">
            <v>0</v>
          </cell>
          <cell r="DX25">
            <v>0</v>
          </cell>
          <cell r="DY25">
            <v>0</v>
          </cell>
          <cell r="DZ25">
            <v>0</v>
          </cell>
          <cell r="EB25">
            <v>0</v>
          </cell>
          <cell r="EC25">
            <v>0</v>
          </cell>
          <cell r="ED25">
            <v>0</v>
          </cell>
          <cell r="EE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0</v>
          </cell>
          <cell r="EL25">
            <v>0</v>
          </cell>
          <cell r="EM25">
            <v>0</v>
          </cell>
          <cell r="EN25">
            <v>0</v>
          </cell>
          <cell r="EO25">
            <v>0</v>
          </cell>
          <cell r="EQ25">
            <v>0</v>
          </cell>
          <cell r="ER25">
            <v>0</v>
          </cell>
          <cell r="ES25">
            <v>0</v>
          </cell>
          <cell r="ET25">
            <v>0</v>
          </cell>
          <cell r="EV25">
            <v>0</v>
          </cell>
          <cell r="EW25">
            <v>0</v>
          </cell>
          <cell r="EX25">
            <v>0</v>
          </cell>
          <cell r="EY25">
            <v>0</v>
          </cell>
          <cell r="FA25">
            <v>0</v>
          </cell>
          <cell r="FB25">
            <v>0</v>
          </cell>
          <cell r="FC25">
            <v>0</v>
          </cell>
          <cell r="FD25">
            <v>0</v>
          </cell>
          <cell r="FF25">
            <v>0</v>
          </cell>
          <cell r="FG25">
            <v>0</v>
          </cell>
          <cell r="FH25">
            <v>0</v>
          </cell>
          <cell r="FI25">
            <v>0</v>
          </cell>
          <cell r="FK25">
            <v>0</v>
          </cell>
          <cell r="FL25">
            <v>0</v>
          </cell>
          <cell r="FM25">
            <v>0</v>
          </cell>
          <cell r="FN25">
            <v>0</v>
          </cell>
          <cell r="FP25">
            <v>0</v>
          </cell>
          <cell r="FQ25">
            <v>0</v>
          </cell>
          <cell r="FR25">
            <v>0</v>
          </cell>
          <cell r="FS25">
            <v>0</v>
          </cell>
          <cell r="FU25">
            <v>0</v>
          </cell>
          <cell r="FV25">
            <v>0</v>
          </cell>
          <cell r="FW25">
            <v>0</v>
          </cell>
          <cell r="FX25">
            <v>0</v>
          </cell>
          <cell r="FZ25">
            <v>0</v>
          </cell>
          <cell r="GA25">
            <v>0</v>
          </cell>
          <cell r="GB25">
            <v>0</v>
          </cell>
          <cell r="GC25">
            <v>0</v>
          </cell>
          <cell r="GE25">
            <v>0</v>
          </cell>
          <cell r="GF25">
            <v>0</v>
          </cell>
          <cell r="GG25">
            <v>0</v>
          </cell>
          <cell r="GH25">
            <v>0</v>
          </cell>
          <cell r="GJ25">
            <v>0</v>
          </cell>
          <cell r="GK25">
            <v>0</v>
          </cell>
          <cell r="GL25">
            <v>0</v>
          </cell>
          <cell r="GM25">
            <v>0</v>
          </cell>
          <cell r="GO25">
            <v>0</v>
          </cell>
          <cell r="GP25">
            <v>0</v>
          </cell>
          <cell r="GQ25">
            <v>0</v>
          </cell>
          <cell r="GR25">
            <v>0</v>
          </cell>
          <cell r="GT25">
            <v>0</v>
          </cell>
          <cell r="GU25">
            <v>0</v>
          </cell>
          <cell r="GV25">
            <v>0</v>
          </cell>
          <cell r="GW25">
            <v>0</v>
          </cell>
          <cell r="GY25">
            <v>0</v>
          </cell>
          <cell r="GZ25">
            <v>0</v>
          </cell>
          <cell r="HA25">
            <v>0</v>
          </cell>
          <cell r="HB25">
            <v>0</v>
          </cell>
          <cell r="HD25">
            <v>0</v>
          </cell>
          <cell r="HE25">
            <v>0</v>
          </cell>
          <cell r="HF25">
            <v>0</v>
          </cell>
          <cell r="HG25">
            <v>0</v>
          </cell>
          <cell r="HI25">
            <v>0</v>
          </cell>
          <cell r="HJ25">
            <v>0</v>
          </cell>
          <cell r="HK25">
            <v>0</v>
          </cell>
          <cell r="HL25">
            <v>0</v>
          </cell>
          <cell r="HN25">
            <v>0</v>
          </cell>
          <cell r="HO25">
            <v>0</v>
          </cell>
          <cell r="HP25">
            <v>0</v>
          </cell>
          <cell r="HQ25">
            <v>0</v>
          </cell>
          <cell r="HS25">
            <v>0</v>
          </cell>
          <cell r="HT25">
            <v>0</v>
          </cell>
          <cell r="HU25">
            <v>0</v>
          </cell>
          <cell r="HV25">
            <v>0</v>
          </cell>
          <cell r="HX25">
            <v>0</v>
          </cell>
          <cell r="HY25">
            <v>0</v>
          </cell>
          <cell r="HZ25">
            <v>0</v>
          </cell>
          <cell r="IA25">
            <v>0</v>
          </cell>
          <cell r="IC25">
            <v>0</v>
          </cell>
          <cell r="ID25">
            <v>0</v>
          </cell>
          <cell r="IE25">
            <v>0</v>
          </cell>
          <cell r="IF25">
            <v>0</v>
          </cell>
          <cell r="IH25">
            <v>0</v>
          </cell>
          <cell r="II25">
            <v>0</v>
          </cell>
          <cell r="IJ25">
            <v>0</v>
          </cell>
          <cell r="IK25">
            <v>0</v>
          </cell>
          <cell r="IM25">
            <v>0</v>
          </cell>
          <cell r="IN25">
            <v>0</v>
          </cell>
          <cell r="IO25">
            <v>0</v>
          </cell>
          <cell r="IP25">
            <v>0</v>
          </cell>
          <cell r="IR25">
            <v>0</v>
          </cell>
          <cell r="IS25">
            <v>0</v>
          </cell>
          <cell r="IT25">
            <v>0</v>
          </cell>
          <cell r="IU25">
            <v>0</v>
          </cell>
          <cell r="IW25">
            <v>0</v>
          </cell>
          <cell r="IX25">
            <v>0</v>
          </cell>
          <cell r="IY25">
            <v>0</v>
          </cell>
          <cell r="IZ25">
            <v>0</v>
          </cell>
          <cell r="JB25">
            <v>0</v>
          </cell>
          <cell r="JC25">
            <v>0</v>
          </cell>
          <cell r="JD25">
            <v>0</v>
          </cell>
          <cell r="JE25">
            <v>0</v>
          </cell>
          <cell r="JG25">
            <v>0</v>
          </cell>
          <cell r="JH25">
            <v>0</v>
          </cell>
          <cell r="JI25">
            <v>0</v>
          </cell>
          <cell r="JJ25">
            <v>0</v>
          </cell>
          <cell r="JL25">
            <v>0</v>
          </cell>
          <cell r="JM25">
            <v>0</v>
          </cell>
          <cell r="JN25">
            <v>0</v>
          </cell>
          <cell r="JO25">
            <v>0</v>
          </cell>
          <cell r="JQ25">
            <v>0</v>
          </cell>
          <cell r="JR25">
            <v>0</v>
          </cell>
          <cell r="JS25">
            <v>0</v>
          </cell>
          <cell r="JT25">
            <v>0</v>
          </cell>
          <cell r="JV25">
            <v>0</v>
          </cell>
          <cell r="JW25">
            <v>0</v>
          </cell>
          <cell r="JX25">
            <v>0</v>
          </cell>
          <cell r="JY25">
            <v>0</v>
          </cell>
          <cell r="KA25">
            <v>0</v>
          </cell>
          <cell r="KB25">
            <v>0</v>
          </cell>
          <cell r="KC25">
            <v>0</v>
          </cell>
          <cell r="KD25">
            <v>0</v>
          </cell>
          <cell r="KF25">
            <v>0</v>
          </cell>
          <cell r="KG25">
            <v>0</v>
          </cell>
          <cell r="KH25">
            <v>0</v>
          </cell>
          <cell r="KI25">
            <v>0</v>
          </cell>
          <cell r="KK25">
            <v>0</v>
          </cell>
          <cell r="KL25">
            <v>0</v>
          </cell>
          <cell r="KM25">
            <v>0</v>
          </cell>
          <cell r="KN25">
            <v>0</v>
          </cell>
          <cell r="KP25">
            <v>0</v>
          </cell>
          <cell r="KQ25">
            <v>0</v>
          </cell>
          <cell r="KR25">
            <v>0</v>
          </cell>
          <cell r="KS25">
            <v>0</v>
          </cell>
          <cell r="KU25">
            <v>0</v>
          </cell>
          <cell r="KV25">
            <v>0</v>
          </cell>
          <cell r="KW25">
            <v>0</v>
          </cell>
          <cell r="KX25">
            <v>0</v>
          </cell>
          <cell r="KZ25">
            <v>0</v>
          </cell>
          <cell r="LA25">
            <v>0</v>
          </cell>
          <cell r="LB25">
            <v>0</v>
          </cell>
          <cell r="LC25">
            <v>0</v>
          </cell>
          <cell r="LE25">
            <v>0</v>
          </cell>
          <cell r="LF25">
            <v>0</v>
          </cell>
          <cell r="LG25">
            <v>0</v>
          </cell>
          <cell r="LH25">
            <v>0</v>
          </cell>
          <cell r="LJ25">
            <v>0</v>
          </cell>
          <cell r="LK25">
            <v>0</v>
          </cell>
          <cell r="LL25">
            <v>0</v>
          </cell>
          <cell r="LM25">
            <v>0</v>
          </cell>
          <cell r="LO25">
            <v>0</v>
          </cell>
          <cell r="LP25">
            <v>0</v>
          </cell>
          <cell r="LQ25">
            <v>0</v>
          </cell>
          <cell r="LR25">
            <v>0</v>
          </cell>
          <cell r="LT25">
            <v>0</v>
          </cell>
          <cell r="LU25">
            <v>0</v>
          </cell>
          <cell r="LV25">
            <v>0</v>
          </cell>
          <cell r="LW25">
            <v>0</v>
          </cell>
          <cell r="LY25">
            <v>0</v>
          </cell>
          <cell r="LZ25">
            <v>0</v>
          </cell>
          <cell r="MA25">
            <v>0</v>
          </cell>
          <cell r="MB25">
            <v>0</v>
          </cell>
          <cell r="MD25">
            <v>0</v>
          </cell>
          <cell r="ME25">
            <v>0</v>
          </cell>
          <cell r="MF25">
            <v>0</v>
          </cell>
          <cell r="MG25">
            <v>0</v>
          </cell>
          <cell r="MI25">
            <v>0</v>
          </cell>
          <cell r="MJ25">
            <v>0</v>
          </cell>
          <cell r="MK25">
            <v>0</v>
          </cell>
          <cell r="ML25">
            <v>0</v>
          </cell>
          <cell r="MN25">
            <v>0</v>
          </cell>
          <cell r="MO25">
            <v>0</v>
          </cell>
          <cell r="MP25">
            <v>0</v>
          </cell>
          <cell r="MQ25">
            <v>0</v>
          </cell>
          <cell r="MS25">
            <v>0</v>
          </cell>
          <cell r="MT25">
            <v>0</v>
          </cell>
          <cell r="MU25">
            <v>0</v>
          </cell>
          <cell r="MV25">
            <v>0</v>
          </cell>
          <cell r="MX25">
            <v>0</v>
          </cell>
          <cell r="MY25">
            <v>0</v>
          </cell>
          <cell r="MZ25">
            <v>0</v>
          </cell>
          <cell r="NA25">
            <v>0</v>
          </cell>
          <cell r="NC25">
            <v>0</v>
          </cell>
          <cell r="ND25">
            <v>0</v>
          </cell>
          <cell r="NE25">
            <v>0</v>
          </cell>
          <cell r="NF25">
            <v>0</v>
          </cell>
          <cell r="NH25">
            <v>0</v>
          </cell>
          <cell r="NI25">
            <v>0</v>
          </cell>
          <cell r="NJ25">
            <v>0</v>
          </cell>
          <cell r="NK25">
            <v>0</v>
          </cell>
          <cell r="NM25">
            <v>0</v>
          </cell>
          <cell r="NN25">
            <v>0</v>
          </cell>
          <cell r="NO25">
            <v>0</v>
          </cell>
          <cell r="NP25">
            <v>0</v>
          </cell>
          <cell r="NR25">
            <v>0</v>
          </cell>
          <cell r="NS25">
            <v>0</v>
          </cell>
          <cell r="NT25">
            <v>0</v>
          </cell>
          <cell r="NU25">
            <v>0</v>
          </cell>
          <cell r="NW25">
            <v>0</v>
          </cell>
          <cell r="NX25">
            <v>0</v>
          </cell>
          <cell r="NY25">
            <v>0</v>
          </cell>
          <cell r="NZ25">
            <v>0</v>
          </cell>
          <cell r="OB25">
            <v>0</v>
          </cell>
          <cell r="OC25">
            <v>0</v>
          </cell>
          <cell r="OD25">
            <v>0</v>
          </cell>
          <cell r="OE25">
            <v>0</v>
          </cell>
          <cell r="OG25">
            <v>0</v>
          </cell>
          <cell r="OH25">
            <v>0</v>
          </cell>
          <cell r="OI25">
            <v>0</v>
          </cell>
          <cell r="OJ25">
            <v>0</v>
          </cell>
          <cell r="OL25">
            <v>0</v>
          </cell>
          <cell r="OM25">
            <v>0</v>
          </cell>
          <cell r="ON25">
            <v>0</v>
          </cell>
          <cell r="OO25">
            <v>0</v>
          </cell>
          <cell r="OQ25">
            <v>0</v>
          </cell>
          <cell r="OR25">
            <v>0</v>
          </cell>
          <cell r="OS25">
            <v>0</v>
          </cell>
          <cell r="OT25">
            <v>0</v>
          </cell>
          <cell r="OV25">
            <v>0</v>
          </cell>
          <cell r="OW25">
            <v>0</v>
          </cell>
          <cell r="OX25">
            <v>0</v>
          </cell>
          <cell r="OY25">
            <v>0</v>
          </cell>
          <cell r="PA25">
            <v>0</v>
          </cell>
          <cell r="PB25">
            <v>0</v>
          </cell>
          <cell r="PC25">
            <v>0</v>
          </cell>
          <cell r="PD25">
            <v>0</v>
          </cell>
          <cell r="PF25">
            <v>0</v>
          </cell>
          <cell r="PG25">
            <v>0</v>
          </cell>
          <cell r="PH25">
            <v>0</v>
          </cell>
          <cell r="PI25">
            <v>0</v>
          </cell>
          <cell r="PK25">
            <v>0</v>
          </cell>
          <cell r="PL25">
            <v>0</v>
          </cell>
          <cell r="PM25">
            <v>0</v>
          </cell>
          <cell r="PN25">
            <v>0</v>
          </cell>
          <cell r="PP25">
            <v>0</v>
          </cell>
          <cell r="PQ25">
            <v>0</v>
          </cell>
          <cell r="PR25">
            <v>0</v>
          </cell>
          <cell r="PS25">
            <v>0</v>
          </cell>
          <cell r="PU25">
            <v>0</v>
          </cell>
          <cell r="PV25">
            <v>0</v>
          </cell>
          <cell r="PW25">
            <v>0</v>
          </cell>
          <cell r="PX25">
            <v>0</v>
          </cell>
          <cell r="PZ25">
            <v>0</v>
          </cell>
          <cell r="QA25">
            <v>0</v>
          </cell>
          <cell r="QB25">
            <v>0</v>
          </cell>
          <cell r="QC25">
            <v>0</v>
          </cell>
          <cell r="QE25">
            <v>0</v>
          </cell>
          <cell r="QF25">
            <v>0</v>
          </cell>
          <cell r="QG25">
            <v>0</v>
          </cell>
          <cell r="QH25">
            <v>0</v>
          </cell>
          <cell r="QJ25">
            <v>0</v>
          </cell>
          <cell r="QK25">
            <v>0</v>
          </cell>
          <cell r="QL25">
            <v>0</v>
          </cell>
          <cell r="QM25">
            <v>0</v>
          </cell>
          <cell r="QO25">
            <v>0</v>
          </cell>
          <cell r="QP25">
            <v>0</v>
          </cell>
          <cell r="QQ25">
            <v>0</v>
          </cell>
          <cell r="QR25">
            <v>0</v>
          </cell>
          <cell r="QT25">
            <v>0</v>
          </cell>
          <cell r="QU25">
            <v>0</v>
          </cell>
          <cell r="QV25">
            <v>0</v>
          </cell>
          <cell r="QW25">
            <v>0</v>
          </cell>
          <cell r="QY25">
            <v>0</v>
          </cell>
          <cell r="QZ25">
            <v>0</v>
          </cell>
          <cell r="RA25">
            <v>0</v>
          </cell>
          <cell r="RB25">
            <v>0</v>
          </cell>
          <cell r="RD25">
            <v>0</v>
          </cell>
          <cell r="RE25">
            <v>0</v>
          </cell>
          <cell r="RF25">
            <v>0</v>
          </cell>
          <cell r="RG25">
            <v>0</v>
          </cell>
          <cell r="RI25">
            <v>0</v>
          </cell>
          <cell r="RJ25">
            <v>0</v>
          </cell>
          <cell r="RK25">
            <v>0</v>
          </cell>
          <cell r="RL25">
            <v>0</v>
          </cell>
          <cell r="RN25">
            <v>0</v>
          </cell>
          <cell r="RO25">
            <v>0</v>
          </cell>
          <cell r="RP25">
            <v>0</v>
          </cell>
          <cell r="RQ25">
            <v>0</v>
          </cell>
          <cell r="RS25">
            <v>0</v>
          </cell>
          <cell r="RT25">
            <v>0</v>
          </cell>
          <cell r="RU25">
            <v>0</v>
          </cell>
          <cell r="RV25">
            <v>0</v>
          </cell>
          <cell r="RX25">
            <v>0</v>
          </cell>
          <cell r="RY25">
            <v>0</v>
          </cell>
          <cell r="RZ25">
            <v>0</v>
          </cell>
          <cell r="SA25">
            <v>0</v>
          </cell>
          <cell r="SC25">
            <v>0</v>
          </cell>
          <cell r="SD25">
            <v>0</v>
          </cell>
          <cell r="SE25">
            <v>0</v>
          </cell>
          <cell r="SF25">
            <v>0</v>
          </cell>
          <cell r="SH25">
            <v>0</v>
          </cell>
          <cell r="SI25">
            <v>0</v>
          </cell>
          <cell r="SJ25">
            <v>0</v>
          </cell>
          <cell r="SK25">
            <v>0</v>
          </cell>
          <cell r="SM25">
            <v>0</v>
          </cell>
          <cell r="SN25">
            <v>0</v>
          </cell>
          <cell r="SO25">
            <v>0</v>
          </cell>
          <cell r="SP25">
            <v>0</v>
          </cell>
          <cell r="SR25">
            <v>0</v>
          </cell>
          <cell r="SS25">
            <v>0</v>
          </cell>
          <cell r="ST25">
            <v>0</v>
          </cell>
          <cell r="SU25">
            <v>0</v>
          </cell>
          <cell r="SW25">
            <v>0</v>
          </cell>
          <cell r="SX25">
            <v>0</v>
          </cell>
          <cell r="SY25">
            <v>0</v>
          </cell>
          <cell r="SZ25">
            <v>0</v>
          </cell>
          <cell r="TB25">
            <v>0</v>
          </cell>
          <cell r="TC25">
            <v>0</v>
          </cell>
          <cell r="TD25">
            <v>0</v>
          </cell>
          <cell r="TE25">
            <v>0</v>
          </cell>
          <cell r="TG25">
            <v>0</v>
          </cell>
          <cell r="TH25">
            <v>0</v>
          </cell>
          <cell r="TI25">
            <v>0</v>
          </cell>
          <cell r="TJ25">
            <v>0</v>
          </cell>
          <cell r="TL25">
            <v>0</v>
          </cell>
          <cell r="TM25">
            <v>0</v>
          </cell>
          <cell r="TN25">
            <v>0</v>
          </cell>
          <cell r="TO25">
            <v>0</v>
          </cell>
          <cell r="TQ25">
            <v>0</v>
          </cell>
          <cell r="TR25">
            <v>0</v>
          </cell>
          <cell r="TS25">
            <v>0</v>
          </cell>
          <cell r="TT25">
            <v>0</v>
          </cell>
          <cell r="TV25">
            <v>0</v>
          </cell>
          <cell r="TW25">
            <v>0</v>
          </cell>
          <cell r="TX25">
            <v>0</v>
          </cell>
          <cell r="TY25">
            <v>0</v>
          </cell>
          <cell r="UA25">
            <v>0</v>
          </cell>
          <cell r="UB25">
            <v>0</v>
          </cell>
          <cell r="UC25">
            <v>0</v>
          </cell>
          <cell r="UD25">
            <v>0</v>
          </cell>
          <cell r="UF25">
            <v>0</v>
          </cell>
          <cell r="UG25">
            <v>0</v>
          </cell>
          <cell r="UH25">
            <v>0</v>
          </cell>
          <cell r="UI25">
            <v>0</v>
          </cell>
          <cell r="UK25">
            <v>0</v>
          </cell>
          <cell r="UL25">
            <v>0</v>
          </cell>
          <cell r="UM25">
            <v>0</v>
          </cell>
          <cell r="UN25">
            <v>0</v>
          </cell>
          <cell r="UP25">
            <v>0</v>
          </cell>
          <cell r="UQ25">
            <v>0</v>
          </cell>
          <cell r="UR25">
            <v>0</v>
          </cell>
          <cell r="US25">
            <v>0</v>
          </cell>
          <cell r="UU25">
            <v>0</v>
          </cell>
          <cell r="UV25">
            <v>0</v>
          </cell>
          <cell r="UW25">
            <v>0</v>
          </cell>
          <cell r="UX25">
            <v>0</v>
          </cell>
          <cell r="UZ25">
            <v>0</v>
          </cell>
          <cell r="VA25">
            <v>0</v>
          </cell>
          <cell r="VB25">
            <v>0</v>
          </cell>
          <cell r="VC25">
            <v>0</v>
          </cell>
          <cell r="VE25">
            <v>0</v>
          </cell>
          <cell r="VF25">
            <v>0</v>
          </cell>
          <cell r="VG25">
            <v>0</v>
          </cell>
          <cell r="VH25">
            <v>0</v>
          </cell>
          <cell r="VJ25">
            <v>0</v>
          </cell>
          <cell r="VK25">
            <v>0</v>
          </cell>
          <cell r="VL25">
            <v>0</v>
          </cell>
          <cell r="VM25">
            <v>0</v>
          </cell>
          <cell r="VO25">
            <v>0</v>
          </cell>
          <cell r="VP25">
            <v>0</v>
          </cell>
          <cell r="VQ25">
            <v>0</v>
          </cell>
          <cell r="VR25">
            <v>0</v>
          </cell>
          <cell r="VT25">
            <v>0</v>
          </cell>
          <cell r="VU25">
            <v>0</v>
          </cell>
          <cell r="VV25">
            <v>0</v>
          </cell>
          <cell r="VW25">
            <v>0</v>
          </cell>
          <cell r="VY25">
            <v>0</v>
          </cell>
          <cell r="VZ25">
            <v>0</v>
          </cell>
          <cell r="WA25">
            <v>0</v>
          </cell>
          <cell r="WB25">
            <v>0</v>
          </cell>
          <cell r="WD25">
            <v>0</v>
          </cell>
          <cell r="WE25">
            <v>0</v>
          </cell>
          <cell r="WF25">
            <v>0</v>
          </cell>
          <cell r="WG25">
            <v>0</v>
          </cell>
          <cell r="WI25">
            <v>0</v>
          </cell>
          <cell r="WJ25">
            <v>0</v>
          </cell>
          <cell r="WK25">
            <v>0</v>
          </cell>
          <cell r="WL25">
            <v>0</v>
          </cell>
          <cell r="WN25">
            <v>0</v>
          </cell>
          <cell r="WO25">
            <v>0</v>
          </cell>
          <cell r="WP25">
            <v>0</v>
          </cell>
          <cell r="WQ25">
            <v>0</v>
          </cell>
          <cell r="WS25">
            <v>0</v>
          </cell>
          <cell r="WT25">
            <v>0</v>
          </cell>
          <cell r="WU25">
            <v>0</v>
          </cell>
          <cell r="WV25">
            <v>0</v>
          </cell>
          <cell r="WX25">
            <v>0</v>
          </cell>
          <cell r="WY25">
            <v>0</v>
          </cell>
          <cell r="WZ25">
            <v>0</v>
          </cell>
          <cell r="XA25">
            <v>0</v>
          </cell>
          <cell r="XC25">
            <v>0</v>
          </cell>
          <cell r="XD25">
            <v>0</v>
          </cell>
          <cell r="XE25">
            <v>0</v>
          </cell>
          <cell r="XF25">
            <v>0</v>
          </cell>
          <cell r="XH25">
            <v>0</v>
          </cell>
          <cell r="XI25">
            <v>0</v>
          </cell>
          <cell r="XJ25">
            <v>0</v>
          </cell>
          <cell r="XK25">
            <v>0</v>
          </cell>
          <cell r="XM25">
            <v>0</v>
          </cell>
          <cell r="XN25">
            <v>0</v>
          </cell>
          <cell r="XO25">
            <v>0</v>
          </cell>
          <cell r="XP25">
            <v>0</v>
          </cell>
          <cell r="XR25">
            <v>0</v>
          </cell>
          <cell r="XS25">
            <v>0</v>
          </cell>
          <cell r="XT25">
            <v>0</v>
          </cell>
          <cell r="XU25">
            <v>0</v>
          </cell>
          <cell r="XW25">
            <v>0</v>
          </cell>
          <cell r="XX25">
            <v>0</v>
          </cell>
          <cell r="XY25">
            <v>0</v>
          </cell>
          <cell r="XZ25">
            <v>0</v>
          </cell>
          <cell r="YB25">
            <v>0</v>
          </cell>
          <cell r="YC25">
            <v>0</v>
          </cell>
          <cell r="YD25">
            <v>0</v>
          </cell>
          <cell r="YE25">
            <v>0</v>
          </cell>
        </row>
        <row r="26">
          <cell r="A26">
            <v>16</v>
          </cell>
          <cell r="B26" t="str">
            <v>13mm全密式MDI PU包覆全場內外緣石頂面，側面刷不垂流PU 1mm以上</v>
          </cell>
          <cell r="C26" t="str">
            <v>式</v>
          </cell>
          <cell r="D26">
            <v>1</v>
          </cell>
          <cell r="E26">
            <v>44809</v>
          </cell>
          <cell r="F26">
            <v>44809</v>
          </cell>
          <cell r="G26">
            <v>1.02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M26">
            <v>0</v>
          </cell>
          <cell r="DN26">
            <v>0</v>
          </cell>
          <cell r="DO26">
            <v>0</v>
          </cell>
          <cell r="DP26">
            <v>0</v>
          </cell>
          <cell r="DR26">
            <v>0</v>
          </cell>
          <cell r="DS26">
            <v>0</v>
          </cell>
          <cell r="DT26">
            <v>0</v>
          </cell>
          <cell r="DU26">
            <v>0</v>
          </cell>
          <cell r="DW26">
            <v>0</v>
          </cell>
          <cell r="DX26">
            <v>0</v>
          </cell>
          <cell r="DY26">
            <v>0</v>
          </cell>
          <cell r="DZ26">
            <v>0</v>
          </cell>
          <cell r="EB26">
            <v>0</v>
          </cell>
          <cell r="EC26">
            <v>0</v>
          </cell>
          <cell r="ED26">
            <v>0</v>
          </cell>
          <cell r="EE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0</v>
          </cell>
          <cell r="EL26">
            <v>0</v>
          </cell>
          <cell r="EM26">
            <v>0</v>
          </cell>
          <cell r="EN26">
            <v>0</v>
          </cell>
          <cell r="EO26">
            <v>0</v>
          </cell>
          <cell r="EQ26">
            <v>0</v>
          </cell>
          <cell r="ER26">
            <v>0</v>
          </cell>
          <cell r="ES26">
            <v>0</v>
          </cell>
          <cell r="ET26">
            <v>0</v>
          </cell>
          <cell r="EV26">
            <v>0</v>
          </cell>
          <cell r="EW26">
            <v>0</v>
          </cell>
          <cell r="EX26">
            <v>0</v>
          </cell>
          <cell r="EY26">
            <v>0</v>
          </cell>
          <cell r="FA26">
            <v>0</v>
          </cell>
          <cell r="FB26">
            <v>0</v>
          </cell>
          <cell r="FC26">
            <v>0</v>
          </cell>
          <cell r="FD26">
            <v>0</v>
          </cell>
          <cell r="FF26">
            <v>0</v>
          </cell>
          <cell r="FG26">
            <v>0</v>
          </cell>
          <cell r="FH26">
            <v>0</v>
          </cell>
          <cell r="FI26">
            <v>0</v>
          </cell>
          <cell r="FK26">
            <v>0</v>
          </cell>
          <cell r="FL26">
            <v>0</v>
          </cell>
          <cell r="FM26">
            <v>0</v>
          </cell>
          <cell r="FN26">
            <v>0</v>
          </cell>
          <cell r="FP26">
            <v>0</v>
          </cell>
          <cell r="FQ26">
            <v>0</v>
          </cell>
          <cell r="FR26">
            <v>0</v>
          </cell>
          <cell r="FS26">
            <v>0</v>
          </cell>
          <cell r="FU26">
            <v>0</v>
          </cell>
          <cell r="FV26">
            <v>0</v>
          </cell>
          <cell r="FW26">
            <v>0</v>
          </cell>
          <cell r="FX26">
            <v>0</v>
          </cell>
          <cell r="FZ26">
            <v>0</v>
          </cell>
          <cell r="GA26">
            <v>0</v>
          </cell>
          <cell r="GB26">
            <v>0</v>
          </cell>
          <cell r="GC26">
            <v>0</v>
          </cell>
          <cell r="GE26">
            <v>0</v>
          </cell>
          <cell r="GF26">
            <v>0</v>
          </cell>
          <cell r="GG26">
            <v>0</v>
          </cell>
          <cell r="GH26">
            <v>0</v>
          </cell>
          <cell r="GJ26">
            <v>0</v>
          </cell>
          <cell r="GK26">
            <v>0</v>
          </cell>
          <cell r="GL26">
            <v>0</v>
          </cell>
          <cell r="GM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T26">
            <v>0</v>
          </cell>
          <cell r="GU26">
            <v>0</v>
          </cell>
          <cell r="GV26">
            <v>0</v>
          </cell>
          <cell r="GW26">
            <v>0</v>
          </cell>
          <cell r="GY26">
            <v>0</v>
          </cell>
          <cell r="GZ26">
            <v>0</v>
          </cell>
          <cell r="HA26">
            <v>0</v>
          </cell>
          <cell r="HB26">
            <v>0</v>
          </cell>
          <cell r="HD26">
            <v>0</v>
          </cell>
          <cell r="HE26">
            <v>0</v>
          </cell>
          <cell r="HF26">
            <v>0</v>
          </cell>
          <cell r="HG26">
            <v>0</v>
          </cell>
          <cell r="HI26">
            <v>0</v>
          </cell>
          <cell r="HJ26">
            <v>0</v>
          </cell>
          <cell r="HK26">
            <v>0</v>
          </cell>
          <cell r="HL26">
            <v>0</v>
          </cell>
          <cell r="HN26">
            <v>0</v>
          </cell>
          <cell r="HO26">
            <v>0</v>
          </cell>
          <cell r="HP26">
            <v>0</v>
          </cell>
          <cell r="HQ26">
            <v>0</v>
          </cell>
          <cell r="HS26">
            <v>0</v>
          </cell>
          <cell r="HT26">
            <v>0</v>
          </cell>
          <cell r="HU26">
            <v>0</v>
          </cell>
          <cell r="HV26">
            <v>0</v>
          </cell>
          <cell r="HX26">
            <v>0</v>
          </cell>
          <cell r="HY26">
            <v>0</v>
          </cell>
          <cell r="HZ26">
            <v>0</v>
          </cell>
          <cell r="IA26">
            <v>0</v>
          </cell>
          <cell r="IC26">
            <v>0</v>
          </cell>
          <cell r="ID26">
            <v>0</v>
          </cell>
          <cell r="IE26">
            <v>0</v>
          </cell>
          <cell r="IF26">
            <v>0</v>
          </cell>
          <cell r="IH26">
            <v>0</v>
          </cell>
          <cell r="II26">
            <v>0</v>
          </cell>
          <cell r="IJ26">
            <v>0</v>
          </cell>
          <cell r="IK26">
            <v>0</v>
          </cell>
          <cell r="IM26">
            <v>0</v>
          </cell>
          <cell r="IN26">
            <v>0</v>
          </cell>
          <cell r="IO26">
            <v>0</v>
          </cell>
          <cell r="IP26">
            <v>0</v>
          </cell>
          <cell r="IR26">
            <v>0</v>
          </cell>
          <cell r="IS26">
            <v>0</v>
          </cell>
          <cell r="IT26">
            <v>0</v>
          </cell>
          <cell r="IU26">
            <v>0</v>
          </cell>
          <cell r="IW26">
            <v>0</v>
          </cell>
          <cell r="IX26">
            <v>0</v>
          </cell>
          <cell r="IY26">
            <v>0</v>
          </cell>
          <cell r="IZ26">
            <v>0</v>
          </cell>
          <cell r="JB26">
            <v>0</v>
          </cell>
          <cell r="JC26">
            <v>0</v>
          </cell>
          <cell r="JD26">
            <v>0</v>
          </cell>
          <cell r="JE26">
            <v>0</v>
          </cell>
          <cell r="JG26">
            <v>0</v>
          </cell>
          <cell r="JH26">
            <v>0</v>
          </cell>
          <cell r="JI26">
            <v>0</v>
          </cell>
          <cell r="JJ26">
            <v>0</v>
          </cell>
          <cell r="JL26">
            <v>0</v>
          </cell>
          <cell r="JM26">
            <v>0</v>
          </cell>
          <cell r="JN26">
            <v>0</v>
          </cell>
          <cell r="JO26">
            <v>0</v>
          </cell>
          <cell r="JQ26">
            <v>0</v>
          </cell>
          <cell r="JR26">
            <v>0</v>
          </cell>
          <cell r="JS26">
            <v>0</v>
          </cell>
          <cell r="JT26">
            <v>0</v>
          </cell>
          <cell r="JV26">
            <v>0</v>
          </cell>
          <cell r="JW26">
            <v>0</v>
          </cell>
          <cell r="JX26">
            <v>0</v>
          </cell>
          <cell r="JY26">
            <v>0</v>
          </cell>
          <cell r="KA26">
            <v>0</v>
          </cell>
          <cell r="KB26">
            <v>0</v>
          </cell>
          <cell r="KC26">
            <v>0</v>
          </cell>
          <cell r="KD26">
            <v>0</v>
          </cell>
          <cell r="KF26">
            <v>0</v>
          </cell>
          <cell r="KG26">
            <v>0</v>
          </cell>
          <cell r="KH26">
            <v>0</v>
          </cell>
          <cell r="KI26">
            <v>0</v>
          </cell>
          <cell r="KK26">
            <v>0</v>
          </cell>
          <cell r="KL26">
            <v>0</v>
          </cell>
          <cell r="KM26">
            <v>0</v>
          </cell>
          <cell r="KN26">
            <v>0</v>
          </cell>
          <cell r="KP26">
            <v>0</v>
          </cell>
          <cell r="KQ26">
            <v>0</v>
          </cell>
          <cell r="KR26">
            <v>0</v>
          </cell>
          <cell r="KS26">
            <v>0</v>
          </cell>
          <cell r="KU26">
            <v>0</v>
          </cell>
          <cell r="KV26">
            <v>0</v>
          </cell>
          <cell r="KW26">
            <v>0</v>
          </cell>
          <cell r="KX26">
            <v>0</v>
          </cell>
          <cell r="KZ26">
            <v>0</v>
          </cell>
          <cell r="LA26">
            <v>0</v>
          </cell>
          <cell r="LB26">
            <v>0</v>
          </cell>
          <cell r="LC26">
            <v>0</v>
          </cell>
          <cell r="LE26">
            <v>0</v>
          </cell>
          <cell r="LF26">
            <v>0</v>
          </cell>
          <cell r="LG26">
            <v>0</v>
          </cell>
          <cell r="LH26">
            <v>0</v>
          </cell>
          <cell r="LJ26">
            <v>0</v>
          </cell>
          <cell r="LK26">
            <v>0</v>
          </cell>
          <cell r="LL26">
            <v>0</v>
          </cell>
          <cell r="LM26">
            <v>0</v>
          </cell>
          <cell r="LO26">
            <v>0</v>
          </cell>
          <cell r="LP26">
            <v>0</v>
          </cell>
          <cell r="LQ26">
            <v>0</v>
          </cell>
          <cell r="LR26">
            <v>0</v>
          </cell>
          <cell r="LT26">
            <v>0</v>
          </cell>
          <cell r="LU26">
            <v>0</v>
          </cell>
          <cell r="LV26">
            <v>0</v>
          </cell>
          <cell r="LW26">
            <v>0</v>
          </cell>
          <cell r="LY26">
            <v>0</v>
          </cell>
          <cell r="LZ26">
            <v>0</v>
          </cell>
          <cell r="MA26">
            <v>0</v>
          </cell>
          <cell r="MB26">
            <v>0</v>
          </cell>
          <cell r="MD26">
            <v>0</v>
          </cell>
          <cell r="ME26">
            <v>0</v>
          </cell>
          <cell r="MF26">
            <v>0</v>
          </cell>
          <cell r="MG26">
            <v>0</v>
          </cell>
          <cell r="MI26">
            <v>0</v>
          </cell>
          <cell r="MJ26">
            <v>0</v>
          </cell>
          <cell r="MK26">
            <v>0</v>
          </cell>
          <cell r="ML26">
            <v>0</v>
          </cell>
          <cell r="MN26">
            <v>0</v>
          </cell>
          <cell r="MO26">
            <v>0</v>
          </cell>
          <cell r="MP26">
            <v>0</v>
          </cell>
          <cell r="MQ26">
            <v>0</v>
          </cell>
          <cell r="MS26">
            <v>0</v>
          </cell>
          <cell r="MT26">
            <v>0</v>
          </cell>
          <cell r="MU26">
            <v>0</v>
          </cell>
          <cell r="MV26">
            <v>0</v>
          </cell>
          <cell r="MX26">
            <v>0</v>
          </cell>
          <cell r="MY26">
            <v>0</v>
          </cell>
          <cell r="MZ26">
            <v>0</v>
          </cell>
          <cell r="NA26">
            <v>0</v>
          </cell>
          <cell r="NC26">
            <v>0</v>
          </cell>
          <cell r="ND26">
            <v>0</v>
          </cell>
          <cell r="NE26">
            <v>0</v>
          </cell>
          <cell r="NF26">
            <v>0</v>
          </cell>
          <cell r="NH26">
            <v>0</v>
          </cell>
          <cell r="NI26">
            <v>0</v>
          </cell>
          <cell r="NJ26">
            <v>0</v>
          </cell>
          <cell r="NK26">
            <v>0</v>
          </cell>
          <cell r="NM26">
            <v>0</v>
          </cell>
          <cell r="NN26">
            <v>0</v>
          </cell>
          <cell r="NO26">
            <v>0</v>
          </cell>
          <cell r="NP26">
            <v>0</v>
          </cell>
          <cell r="NR26">
            <v>0</v>
          </cell>
          <cell r="NS26">
            <v>0</v>
          </cell>
          <cell r="NT26">
            <v>0</v>
          </cell>
          <cell r="NU26">
            <v>0</v>
          </cell>
          <cell r="NW26">
            <v>0</v>
          </cell>
          <cell r="NX26">
            <v>0</v>
          </cell>
          <cell r="NY26">
            <v>0</v>
          </cell>
          <cell r="NZ26">
            <v>0</v>
          </cell>
          <cell r="OB26">
            <v>0</v>
          </cell>
          <cell r="OC26">
            <v>0</v>
          </cell>
          <cell r="OD26">
            <v>0</v>
          </cell>
          <cell r="OE26">
            <v>0</v>
          </cell>
          <cell r="OG26">
            <v>0</v>
          </cell>
          <cell r="OH26">
            <v>0</v>
          </cell>
          <cell r="OI26">
            <v>0</v>
          </cell>
          <cell r="OJ26">
            <v>0</v>
          </cell>
          <cell r="OL26">
            <v>0</v>
          </cell>
          <cell r="OM26">
            <v>0</v>
          </cell>
          <cell r="ON26">
            <v>0</v>
          </cell>
          <cell r="OO26">
            <v>0</v>
          </cell>
          <cell r="OQ26">
            <v>0</v>
          </cell>
          <cell r="OR26">
            <v>0</v>
          </cell>
          <cell r="OS26">
            <v>0</v>
          </cell>
          <cell r="OT26">
            <v>0</v>
          </cell>
          <cell r="OV26">
            <v>0</v>
          </cell>
          <cell r="OW26">
            <v>0</v>
          </cell>
          <cell r="OX26">
            <v>0</v>
          </cell>
          <cell r="OY26">
            <v>0</v>
          </cell>
          <cell r="PA26">
            <v>0</v>
          </cell>
          <cell r="PB26">
            <v>0</v>
          </cell>
          <cell r="PC26">
            <v>0</v>
          </cell>
          <cell r="PD26">
            <v>0</v>
          </cell>
          <cell r="PF26">
            <v>0</v>
          </cell>
          <cell r="PG26">
            <v>0</v>
          </cell>
          <cell r="PH26">
            <v>0</v>
          </cell>
          <cell r="PI26">
            <v>0</v>
          </cell>
          <cell r="PK26">
            <v>0</v>
          </cell>
          <cell r="PL26">
            <v>0</v>
          </cell>
          <cell r="PM26">
            <v>0</v>
          </cell>
          <cell r="PN26">
            <v>0</v>
          </cell>
          <cell r="PP26">
            <v>0</v>
          </cell>
          <cell r="PQ26">
            <v>0</v>
          </cell>
          <cell r="PR26">
            <v>0</v>
          </cell>
          <cell r="PS26">
            <v>0</v>
          </cell>
          <cell r="PU26">
            <v>0</v>
          </cell>
          <cell r="PV26">
            <v>0</v>
          </cell>
          <cell r="PW26">
            <v>0</v>
          </cell>
          <cell r="PX26">
            <v>0</v>
          </cell>
          <cell r="PZ26">
            <v>0</v>
          </cell>
          <cell r="QA26">
            <v>0</v>
          </cell>
          <cell r="QB26">
            <v>0</v>
          </cell>
          <cell r="QC26">
            <v>0</v>
          </cell>
          <cell r="QE26">
            <v>0</v>
          </cell>
          <cell r="QF26">
            <v>0</v>
          </cell>
          <cell r="QG26">
            <v>0</v>
          </cell>
          <cell r="QH26">
            <v>0</v>
          </cell>
          <cell r="QJ26">
            <v>0</v>
          </cell>
          <cell r="QK26">
            <v>0</v>
          </cell>
          <cell r="QL26">
            <v>0</v>
          </cell>
          <cell r="QM26">
            <v>0</v>
          </cell>
          <cell r="QO26">
            <v>0</v>
          </cell>
          <cell r="QP26">
            <v>0</v>
          </cell>
          <cell r="QQ26">
            <v>0</v>
          </cell>
          <cell r="QR26">
            <v>0</v>
          </cell>
          <cell r="QT26">
            <v>0</v>
          </cell>
          <cell r="QU26">
            <v>0</v>
          </cell>
          <cell r="QV26">
            <v>0</v>
          </cell>
          <cell r="QW26">
            <v>0</v>
          </cell>
          <cell r="QY26">
            <v>0</v>
          </cell>
          <cell r="QZ26">
            <v>0</v>
          </cell>
          <cell r="RA26">
            <v>0</v>
          </cell>
          <cell r="RB26">
            <v>0</v>
          </cell>
          <cell r="RD26">
            <v>0</v>
          </cell>
          <cell r="RE26">
            <v>0</v>
          </cell>
          <cell r="RF26">
            <v>0</v>
          </cell>
          <cell r="RG26">
            <v>0</v>
          </cell>
          <cell r="RI26">
            <v>0</v>
          </cell>
          <cell r="RJ26">
            <v>0</v>
          </cell>
          <cell r="RK26">
            <v>0</v>
          </cell>
          <cell r="RL26">
            <v>0</v>
          </cell>
          <cell r="RN26">
            <v>0</v>
          </cell>
          <cell r="RO26">
            <v>0</v>
          </cell>
          <cell r="RP26">
            <v>0</v>
          </cell>
          <cell r="RQ26">
            <v>0</v>
          </cell>
          <cell r="RS26">
            <v>0</v>
          </cell>
          <cell r="RT26">
            <v>0</v>
          </cell>
          <cell r="RU26">
            <v>0</v>
          </cell>
          <cell r="RV26">
            <v>0</v>
          </cell>
          <cell r="RX26">
            <v>0</v>
          </cell>
          <cell r="RY26">
            <v>0</v>
          </cell>
          <cell r="RZ26">
            <v>0</v>
          </cell>
          <cell r="SA26">
            <v>0</v>
          </cell>
          <cell r="SC26">
            <v>0</v>
          </cell>
          <cell r="SD26">
            <v>0</v>
          </cell>
          <cell r="SE26">
            <v>0</v>
          </cell>
          <cell r="SF26">
            <v>0</v>
          </cell>
          <cell r="SH26">
            <v>0</v>
          </cell>
          <cell r="SI26">
            <v>0</v>
          </cell>
          <cell r="SJ26">
            <v>0</v>
          </cell>
          <cell r="SK26">
            <v>0</v>
          </cell>
          <cell r="SM26">
            <v>0</v>
          </cell>
          <cell r="SN26">
            <v>0</v>
          </cell>
          <cell r="SO26">
            <v>0</v>
          </cell>
          <cell r="SP26">
            <v>0</v>
          </cell>
          <cell r="SR26">
            <v>0</v>
          </cell>
          <cell r="SS26">
            <v>0</v>
          </cell>
          <cell r="ST26">
            <v>0</v>
          </cell>
          <cell r="SU26">
            <v>0</v>
          </cell>
          <cell r="SW26">
            <v>0</v>
          </cell>
          <cell r="SX26">
            <v>0</v>
          </cell>
          <cell r="SY26">
            <v>0</v>
          </cell>
          <cell r="SZ26">
            <v>0</v>
          </cell>
          <cell r="TB26">
            <v>0</v>
          </cell>
          <cell r="TC26">
            <v>0</v>
          </cell>
          <cell r="TD26">
            <v>0</v>
          </cell>
          <cell r="TE26">
            <v>0</v>
          </cell>
          <cell r="TG26">
            <v>0</v>
          </cell>
          <cell r="TH26">
            <v>0</v>
          </cell>
          <cell r="TI26">
            <v>0</v>
          </cell>
          <cell r="TJ26">
            <v>0</v>
          </cell>
          <cell r="TL26">
            <v>0</v>
          </cell>
          <cell r="TM26">
            <v>0</v>
          </cell>
          <cell r="TN26">
            <v>0</v>
          </cell>
          <cell r="TO26">
            <v>0</v>
          </cell>
          <cell r="TQ26">
            <v>0</v>
          </cell>
          <cell r="TR26">
            <v>0</v>
          </cell>
          <cell r="TS26">
            <v>0</v>
          </cell>
          <cell r="TT26">
            <v>0</v>
          </cell>
          <cell r="TV26">
            <v>0</v>
          </cell>
          <cell r="TW26">
            <v>0</v>
          </cell>
          <cell r="TX26">
            <v>0</v>
          </cell>
          <cell r="TY26">
            <v>0</v>
          </cell>
          <cell r="UA26">
            <v>0</v>
          </cell>
          <cell r="UB26">
            <v>0</v>
          </cell>
          <cell r="UC26">
            <v>0</v>
          </cell>
          <cell r="UD26">
            <v>0</v>
          </cell>
          <cell r="UF26">
            <v>0</v>
          </cell>
          <cell r="UG26">
            <v>0</v>
          </cell>
          <cell r="UH26">
            <v>0</v>
          </cell>
          <cell r="UI26">
            <v>0</v>
          </cell>
          <cell r="UK26">
            <v>0</v>
          </cell>
          <cell r="UL26">
            <v>0</v>
          </cell>
          <cell r="UM26">
            <v>0</v>
          </cell>
          <cell r="UN26">
            <v>0</v>
          </cell>
          <cell r="UP26">
            <v>0</v>
          </cell>
          <cell r="UQ26">
            <v>0</v>
          </cell>
          <cell r="UR26">
            <v>0</v>
          </cell>
          <cell r="US26">
            <v>0</v>
          </cell>
          <cell r="UU26">
            <v>0</v>
          </cell>
          <cell r="UV26">
            <v>0</v>
          </cell>
          <cell r="UW26">
            <v>0</v>
          </cell>
          <cell r="UX26">
            <v>0</v>
          </cell>
          <cell r="UZ26">
            <v>0</v>
          </cell>
          <cell r="VA26">
            <v>0</v>
          </cell>
          <cell r="VB26">
            <v>0</v>
          </cell>
          <cell r="VC26">
            <v>0</v>
          </cell>
          <cell r="VE26">
            <v>0</v>
          </cell>
          <cell r="VF26">
            <v>0</v>
          </cell>
          <cell r="VG26">
            <v>0</v>
          </cell>
          <cell r="VH26">
            <v>0</v>
          </cell>
          <cell r="VJ26">
            <v>0</v>
          </cell>
          <cell r="VK26">
            <v>0</v>
          </cell>
          <cell r="VL26">
            <v>0</v>
          </cell>
          <cell r="VM26">
            <v>0</v>
          </cell>
          <cell r="VO26">
            <v>0</v>
          </cell>
          <cell r="VP26">
            <v>0</v>
          </cell>
          <cell r="VQ26">
            <v>0</v>
          </cell>
          <cell r="VR26">
            <v>0</v>
          </cell>
          <cell r="VT26">
            <v>0</v>
          </cell>
          <cell r="VU26">
            <v>0</v>
          </cell>
          <cell r="VV26">
            <v>0</v>
          </cell>
          <cell r="VW26">
            <v>0</v>
          </cell>
          <cell r="VY26">
            <v>0</v>
          </cell>
          <cell r="VZ26">
            <v>0</v>
          </cell>
          <cell r="WA26">
            <v>0</v>
          </cell>
          <cell r="WB26">
            <v>0</v>
          </cell>
          <cell r="WD26">
            <v>0</v>
          </cell>
          <cell r="WE26">
            <v>0</v>
          </cell>
          <cell r="WF26">
            <v>0</v>
          </cell>
          <cell r="WG26">
            <v>0</v>
          </cell>
          <cell r="WI26">
            <v>0</v>
          </cell>
          <cell r="WJ26">
            <v>0</v>
          </cell>
          <cell r="WK26">
            <v>0</v>
          </cell>
          <cell r="WL26">
            <v>0</v>
          </cell>
          <cell r="WN26">
            <v>0</v>
          </cell>
          <cell r="WO26">
            <v>0</v>
          </cell>
          <cell r="WP26">
            <v>0</v>
          </cell>
          <cell r="WQ26">
            <v>0</v>
          </cell>
          <cell r="WS26">
            <v>0</v>
          </cell>
          <cell r="WT26">
            <v>0</v>
          </cell>
          <cell r="WU26">
            <v>0</v>
          </cell>
          <cell r="WV26">
            <v>0</v>
          </cell>
          <cell r="WX26">
            <v>0</v>
          </cell>
          <cell r="WY26">
            <v>0</v>
          </cell>
          <cell r="WZ26">
            <v>0</v>
          </cell>
          <cell r="XA26">
            <v>0</v>
          </cell>
          <cell r="XC26">
            <v>0</v>
          </cell>
          <cell r="XD26">
            <v>0</v>
          </cell>
          <cell r="XE26">
            <v>0</v>
          </cell>
          <cell r="XF26">
            <v>0</v>
          </cell>
          <cell r="XH26">
            <v>0</v>
          </cell>
          <cell r="XI26">
            <v>0</v>
          </cell>
          <cell r="XJ26">
            <v>0</v>
          </cell>
          <cell r="XK26">
            <v>0</v>
          </cell>
          <cell r="XM26">
            <v>0</v>
          </cell>
          <cell r="XN26">
            <v>0</v>
          </cell>
          <cell r="XO26">
            <v>0</v>
          </cell>
          <cell r="XP26">
            <v>0</v>
          </cell>
          <cell r="XR26">
            <v>0</v>
          </cell>
          <cell r="XS26">
            <v>0</v>
          </cell>
          <cell r="XT26">
            <v>0</v>
          </cell>
          <cell r="XU26">
            <v>0</v>
          </cell>
          <cell r="XW26">
            <v>0</v>
          </cell>
          <cell r="XX26">
            <v>0</v>
          </cell>
          <cell r="XY26">
            <v>0</v>
          </cell>
          <cell r="XZ26">
            <v>0</v>
          </cell>
          <cell r="YB26">
            <v>0</v>
          </cell>
          <cell r="YC26">
            <v>0</v>
          </cell>
          <cell r="YD26">
            <v>0</v>
          </cell>
          <cell r="YE26">
            <v>0</v>
          </cell>
        </row>
        <row r="27">
          <cell r="A27">
            <v>17</v>
          </cell>
          <cell r="B27" t="str">
            <v>內側第一跑道範圍加鋪1mm PU跑道面層</v>
          </cell>
          <cell r="C27" t="str">
            <v>M</v>
          </cell>
          <cell r="D27">
            <v>200</v>
          </cell>
          <cell r="E27">
            <v>159</v>
          </cell>
          <cell r="F27">
            <v>31800</v>
          </cell>
          <cell r="G27">
            <v>0.72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H27">
            <v>0</v>
          </cell>
          <cell r="DI27">
            <v>0</v>
          </cell>
          <cell r="DJ27">
            <v>0</v>
          </cell>
          <cell r="DK27">
            <v>0</v>
          </cell>
          <cell r="DM27">
            <v>0</v>
          </cell>
          <cell r="DN27">
            <v>0</v>
          </cell>
          <cell r="DO27">
            <v>0</v>
          </cell>
          <cell r="DP27">
            <v>0</v>
          </cell>
          <cell r="DR27">
            <v>0</v>
          </cell>
          <cell r="DS27">
            <v>0</v>
          </cell>
          <cell r="DT27">
            <v>0</v>
          </cell>
          <cell r="DU27">
            <v>0</v>
          </cell>
          <cell r="DW27">
            <v>0</v>
          </cell>
          <cell r="DX27">
            <v>0</v>
          </cell>
          <cell r="DY27">
            <v>0</v>
          </cell>
          <cell r="DZ27">
            <v>0</v>
          </cell>
          <cell r="EB27">
            <v>0</v>
          </cell>
          <cell r="EC27">
            <v>0</v>
          </cell>
          <cell r="ED27">
            <v>0</v>
          </cell>
          <cell r="EE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</v>
          </cell>
          <cell r="EL27">
            <v>0</v>
          </cell>
          <cell r="EM27">
            <v>0</v>
          </cell>
          <cell r="EN27">
            <v>0</v>
          </cell>
          <cell r="EO27">
            <v>0</v>
          </cell>
          <cell r="EQ27">
            <v>0</v>
          </cell>
          <cell r="ER27">
            <v>0</v>
          </cell>
          <cell r="ES27">
            <v>0</v>
          </cell>
          <cell r="ET27">
            <v>0</v>
          </cell>
          <cell r="EV27">
            <v>0</v>
          </cell>
          <cell r="EW27">
            <v>0</v>
          </cell>
          <cell r="EX27">
            <v>0</v>
          </cell>
          <cell r="EY27">
            <v>0</v>
          </cell>
          <cell r="FA27">
            <v>0</v>
          </cell>
          <cell r="FB27">
            <v>0</v>
          </cell>
          <cell r="FC27">
            <v>0</v>
          </cell>
          <cell r="FD27">
            <v>0</v>
          </cell>
          <cell r="FF27">
            <v>0</v>
          </cell>
          <cell r="FG27">
            <v>0</v>
          </cell>
          <cell r="FH27">
            <v>0</v>
          </cell>
          <cell r="FI27">
            <v>0</v>
          </cell>
          <cell r="FK27">
            <v>0</v>
          </cell>
          <cell r="FL27">
            <v>0</v>
          </cell>
          <cell r="FM27">
            <v>0</v>
          </cell>
          <cell r="FN27">
            <v>0</v>
          </cell>
          <cell r="FP27">
            <v>0</v>
          </cell>
          <cell r="FQ27">
            <v>0</v>
          </cell>
          <cell r="FR27">
            <v>0</v>
          </cell>
          <cell r="FS27">
            <v>0</v>
          </cell>
          <cell r="FU27">
            <v>0</v>
          </cell>
          <cell r="FV27">
            <v>0</v>
          </cell>
          <cell r="FW27">
            <v>0</v>
          </cell>
          <cell r="FX27">
            <v>0</v>
          </cell>
          <cell r="FZ27">
            <v>0</v>
          </cell>
          <cell r="GA27">
            <v>0</v>
          </cell>
          <cell r="GB27">
            <v>0</v>
          </cell>
          <cell r="GC27">
            <v>0</v>
          </cell>
          <cell r="GE27">
            <v>0</v>
          </cell>
          <cell r="GF27">
            <v>0</v>
          </cell>
          <cell r="GG27">
            <v>0</v>
          </cell>
          <cell r="GH27">
            <v>0</v>
          </cell>
          <cell r="GJ27">
            <v>0</v>
          </cell>
          <cell r="GK27">
            <v>0</v>
          </cell>
          <cell r="GL27">
            <v>0</v>
          </cell>
          <cell r="GM27">
            <v>0</v>
          </cell>
          <cell r="GO27">
            <v>0</v>
          </cell>
          <cell r="GP27">
            <v>0</v>
          </cell>
          <cell r="GQ27">
            <v>0</v>
          </cell>
          <cell r="GR27">
            <v>0</v>
          </cell>
          <cell r="GT27">
            <v>0</v>
          </cell>
          <cell r="GU27">
            <v>0</v>
          </cell>
          <cell r="GV27">
            <v>0</v>
          </cell>
          <cell r="GW27">
            <v>0</v>
          </cell>
          <cell r="GY27">
            <v>0</v>
          </cell>
          <cell r="GZ27">
            <v>0</v>
          </cell>
          <cell r="HA27">
            <v>0</v>
          </cell>
          <cell r="HB27">
            <v>0</v>
          </cell>
          <cell r="HD27">
            <v>0</v>
          </cell>
          <cell r="HE27">
            <v>0</v>
          </cell>
          <cell r="HF27">
            <v>0</v>
          </cell>
          <cell r="HG27">
            <v>0</v>
          </cell>
          <cell r="HI27">
            <v>0</v>
          </cell>
          <cell r="HJ27">
            <v>0</v>
          </cell>
          <cell r="HK27">
            <v>0</v>
          </cell>
          <cell r="HL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  <cell r="HS27">
            <v>0</v>
          </cell>
          <cell r="HT27">
            <v>0</v>
          </cell>
          <cell r="HU27">
            <v>0</v>
          </cell>
          <cell r="HV27">
            <v>0</v>
          </cell>
          <cell r="HX27">
            <v>0</v>
          </cell>
          <cell r="HY27">
            <v>0</v>
          </cell>
          <cell r="HZ27">
            <v>0</v>
          </cell>
          <cell r="IA27">
            <v>0</v>
          </cell>
          <cell r="IC27">
            <v>0</v>
          </cell>
          <cell r="ID27">
            <v>0</v>
          </cell>
          <cell r="IE27">
            <v>0</v>
          </cell>
          <cell r="IF27">
            <v>0</v>
          </cell>
          <cell r="IH27">
            <v>0</v>
          </cell>
          <cell r="II27">
            <v>0</v>
          </cell>
          <cell r="IJ27">
            <v>0</v>
          </cell>
          <cell r="IK27">
            <v>0</v>
          </cell>
          <cell r="IM27">
            <v>0</v>
          </cell>
          <cell r="IN27">
            <v>0</v>
          </cell>
          <cell r="IO27">
            <v>0</v>
          </cell>
          <cell r="IP27">
            <v>0</v>
          </cell>
          <cell r="IR27">
            <v>0</v>
          </cell>
          <cell r="IS27">
            <v>0</v>
          </cell>
          <cell r="IT27">
            <v>0</v>
          </cell>
          <cell r="IU27">
            <v>0</v>
          </cell>
          <cell r="IW27">
            <v>0</v>
          </cell>
          <cell r="IX27">
            <v>0</v>
          </cell>
          <cell r="IY27">
            <v>0</v>
          </cell>
          <cell r="IZ27">
            <v>0</v>
          </cell>
          <cell r="JB27">
            <v>0</v>
          </cell>
          <cell r="JC27">
            <v>0</v>
          </cell>
          <cell r="JD27">
            <v>0</v>
          </cell>
          <cell r="JE27">
            <v>0</v>
          </cell>
          <cell r="JG27">
            <v>0</v>
          </cell>
          <cell r="JH27">
            <v>0</v>
          </cell>
          <cell r="JI27">
            <v>0</v>
          </cell>
          <cell r="JJ27">
            <v>0</v>
          </cell>
          <cell r="JL27">
            <v>0</v>
          </cell>
          <cell r="JM27">
            <v>0</v>
          </cell>
          <cell r="JN27">
            <v>0</v>
          </cell>
          <cell r="JO27">
            <v>0</v>
          </cell>
          <cell r="JQ27">
            <v>0</v>
          </cell>
          <cell r="JR27">
            <v>0</v>
          </cell>
          <cell r="JS27">
            <v>0</v>
          </cell>
          <cell r="JT27">
            <v>0</v>
          </cell>
          <cell r="JV27">
            <v>0</v>
          </cell>
          <cell r="JW27">
            <v>0</v>
          </cell>
          <cell r="JX27">
            <v>0</v>
          </cell>
          <cell r="JY27">
            <v>0</v>
          </cell>
          <cell r="KA27">
            <v>0</v>
          </cell>
          <cell r="KB27">
            <v>0</v>
          </cell>
          <cell r="KC27">
            <v>0</v>
          </cell>
          <cell r="KD27">
            <v>0</v>
          </cell>
          <cell r="KF27">
            <v>0</v>
          </cell>
          <cell r="KG27">
            <v>0</v>
          </cell>
          <cell r="KH27">
            <v>0</v>
          </cell>
          <cell r="KI27">
            <v>0</v>
          </cell>
          <cell r="KK27">
            <v>0</v>
          </cell>
          <cell r="KL27">
            <v>0</v>
          </cell>
          <cell r="KM27">
            <v>0</v>
          </cell>
          <cell r="KN27">
            <v>0</v>
          </cell>
          <cell r="KP27">
            <v>0</v>
          </cell>
          <cell r="KQ27">
            <v>0</v>
          </cell>
          <cell r="KR27">
            <v>0</v>
          </cell>
          <cell r="KS27">
            <v>0</v>
          </cell>
          <cell r="KU27">
            <v>0</v>
          </cell>
          <cell r="KV27">
            <v>0</v>
          </cell>
          <cell r="KW27">
            <v>0</v>
          </cell>
          <cell r="KX27">
            <v>0</v>
          </cell>
          <cell r="KZ27">
            <v>0</v>
          </cell>
          <cell r="LA27">
            <v>0</v>
          </cell>
          <cell r="LB27">
            <v>0</v>
          </cell>
          <cell r="LC27">
            <v>0</v>
          </cell>
          <cell r="LE27">
            <v>0</v>
          </cell>
          <cell r="LF27">
            <v>0</v>
          </cell>
          <cell r="LG27">
            <v>0</v>
          </cell>
          <cell r="LH27">
            <v>0</v>
          </cell>
          <cell r="LJ27">
            <v>0</v>
          </cell>
          <cell r="LK27">
            <v>0</v>
          </cell>
          <cell r="LL27">
            <v>0</v>
          </cell>
          <cell r="LM27">
            <v>0</v>
          </cell>
          <cell r="LO27">
            <v>0</v>
          </cell>
          <cell r="LP27">
            <v>0</v>
          </cell>
          <cell r="LQ27">
            <v>0</v>
          </cell>
          <cell r="LR27">
            <v>0</v>
          </cell>
          <cell r="LT27">
            <v>0</v>
          </cell>
          <cell r="LU27">
            <v>0</v>
          </cell>
          <cell r="LV27">
            <v>0</v>
          </cell>
          <cell r="LW27">
            <v>0</v>
          </cell>
          <cell r="LY27">
            <v>0</v>
          </cell>
          <cell r="LZ27">
            <v>0</v>
          </cell>
          <cell r="MA27">
            <v>0</v>
          </cell>
          <cell r="MB27">
            <v>0</v>
          </cell>
          <cell r="MD27">
            <v>0</v>
          </cell>
          <cell r="ME27">
            <v>0</v>
          </cell>
          <cell r="MF27">
            <v>0</v>
          </cell>
          <cell r="MG27">
            <v>0</v>
          </cell>
          <cell r="MI27">
            <v>0</v>
          </cell>
          <cell r="MJ27">
            <v>0</v>
          </cell>
          <cell r="MK27">
            <v>0</v>
          </cell>
          <cell r="ML27">
            <v>0</v>
          </cell>
          <cell r="MN27">
            <v>0</v>
          </cell>
          <cell r="MO27">
            <v>0</v>
          </cell>
          <cell r="MP27">
            <v>0</v>
          </cell>
          <cell r="MQ27">
            <v>0</v>
          </cell>
          <cell r="MS27">
            <v>0</v>
          </cell>
          <cell r="MT27">
            <v>0</v>
          </cell>
          <cell r="MU27">
            <v>0</v>
          </cell>
          <cell r="MV27">
            <v>0</v>
          </cell>
          <cell r="MX27">
            <v>0</v>
          </cell>
          <cell r="MY27">
            <v>0</v>
          </cell>
          <cell r="MZ27">
            <v>0</v>
          </cell>
          <cell r="NA27">
            <v>0</v>
          </cell>
          <cell r="NC27">
            <v>0</v>
          </cell>
          <cell r="ND27">
            <v>0</v>
          </cell>
          <cell r="NE27">
            <v>0</v>
          </cell>
          <cell r="NF27">
            <v>0</v>
          </cell>
          <cell r="NH27">
            <v>0</v>
          </cell>
          <cell r="NI27">
            <v>0</v>
          </cell>
          <cell r="NJ27">
            <v>0</v>
          </cell>
          <cell r="NK27">
            <v>0</v>
          </cell>
          <cell r="NM27">
            <v>0</v>
          </cell>
          <cell r="NN27">
            <v>0</v>
          </cell>
          <cell r="NO27">
            <v>0</v>
          </cell>
          <cell r="NP27">
            <v>0</v>
          </cell>
          <cell r="NR27">
            <v>0</v>
          </cell>
          <cell r="NS27">
            <v>0</v>
          </cell>
          <cell r="NT27">
            <v>0</v>
          </cell>
          <cell r="NU27">
            <v>0</v>
          </cell>
          <cell r="NW27">
            <v>0</v>
          </cell>
          <cell r="NX27">
            <v>0</v>
          </cell>
          <cell r="NY27">
            <v>0</v>
          </cell>
          <cell r="NZ27">
            <v>0</v>
          </cell>
          <cell r="OB27">
            <v>0</v>
          </cell>
          <cell r="OC27">
            <v>0</v>
          </cell>
          <cell r="OD27">
            <v>0</v>
          </cell>
          <cell r="OE27">
            <v>0</v>
          </cell>
          <cell r="OG27">
            <v>0</v>
          </cell>
          <cell r="OH27">
            <v>0</v>
          </cell>
          <cell r="OI27">
            <v>0</v>
          </cell>
          <cell r="OJ27">
            <v>0</v>
          </cell>
          <cell r="OL27">
            <v>0</v>
          </cell>
          <cell r="OM27">
            <v>0</v>
          </cell>
          <cell r="ON27">
            <v>0</v>
          </cell>
          <cell r="OO27">
            <v>0</v>
          </cell>
          <cell r="OQ27">
            <v>0</v>
          </cell>
          <cell r="OR27">
            <v>0</v>
          </cell>
          <cell r="OS27">
            <v>0</v>
          </cell>
          <cell r="OT27">
            <v>0</v>
          </cell>
          <cell r="OV27">
            <v>0</v>
          </cell>
          <cell r="OW27">
            <v>0</v>
          </cell>
          <cell r="OX27">
            <v>0</v>
          </cell>
          <cell r="OY27">
            <v>0</v>
          </cell>
          <cell r="PA27">
            <v>0</v>
          </cell>
          <cell r="PB27">
            <v>0</v>
          </cell>
          <cell r="PC27">
            <v>0</v>
          </cell>
          <cell r="PD27">
            <v>0</v>
          </cell>
          <cell r="PF27">
            <v>0</v>
          </cell>
          <cell r="PG27">
            <v>0</v>
          </cell>
          <cell r="PH27">
            <v>0</v>
          </cell>
          <cell r="PI27">
            <v>0</v>
          </cell>
          <cell r="PK27">
            <v>0</v>
          </cell>
          <cell r="PL27">
            <v>0</v>
          </cell>
          <cell r="PM27">
            <v>0</v>
          </cell>
          <cell r="PN27">
            <v>0</v>
          </cell>
          <cell r="PP27">
            <v>0</v>
          </cell>
          <cell r="PQ27">
            <v>0</v>
          </cell>
          <cell r="PR27">
            <v>0</v>
          </cell>
          <cell r="PS27">
            <v>0</v>
          </cell>
          <cell r="PU27">
            <v>0</v>
          </cell>
          <cell r="PV27">
            <v>0</v>
          </cell>
          <cell r="PW27">
            <v>0</v>
          </cell>
          <cell r="PX27">
            <v>0</v>
          </cell>
          <cell r="PZ27">
            <v>0</v>
          </cell>
          <cell r="QA27">
            <v>0</v>
          </cell>
          <cell r="QB27">
            <v>0</v>
          </cell>
          <cell r="QC27">
            <v>0</v>
          </cell>
          <cell r="QE27">
            <v>0</v>
          </cell>
          <cell r="QF27">
            <v>0</v>
          </cell>
          <cell r="QG27">
            <v>0</v>
          </cell>
          <cell r="QH27">
            <v>0</v>
          </cell>
          <cell r="QJ27">
            <v>0</v>
          </cell>
          <cell r="QK27">
            <v>0</v>
          </cell>
          <cell r="QL27">
            <v>0</v>
          </cell>
          <cell r="QM27">
            <v>0</v>
          </cell>
          <cell r="QO27">
            <v>0</v>
          </cell>
          <cell r="QP27">
            <v>0</v>
          </cell>
          <cell r="QQ27">
            <v>0</v>
          </cell>
          <cell r="QR27">
            <v>0</v>
          </cell>
          <cell r="QT27">
            <v>0</v>
          </cell>
          <cell r="QU27">
            <v>0</v>
          </cell>
          <cell r="QV27">
            <v>0</v>
          </cell>
          <cell r="QW27">
            <v>0</v>
          </cell>
          <cell r="QY27">
            <v>0</v>
          </cell>
          <cell r="QZ27">
            <v>0</v>
          </cell>
          <cell r="RA27">
            <v>0</v>
          </cell>
          <cell r="RB27">
            <v>0</v>
          </cell>
          <cell r="RD27">
            <v>0</v>
          </cell>
          <cell r="RE27">
            <v>0</v>
          </cell>
          <cell r="RF27">
            <v>0</v>
          </cell>
          <cell r="RG27">
            <v>0</v>
          </cell>
          <cell r="RI27">
            <v>0</v>
          </cell>
          <cell r="RJ27">
            <v>0</v>
          </cell>
          <cell r="RK27">
            <v>0</v>
          </cell>
          <cell r="RL27">
            <v>0</v>
          </cell>
          <cell r="RN27">
            <v>0</v>
          </cell>
          <cell r="RO27">
            <v>0</v>
          </cell>
          <cell r="RP27">
            <v>0</v>
          </cell>
          <cell r="RQ27">
            <v>0</v>
          </cell>
          <cell r="RS27">
            <v>0</v>
          </cell>
          <cell r="RT27">
            <v>0</v>
          </cell>
          <cell r="RU27">
            <v>0</v>
          </cell>
          <cell r="RV27">
            <v>0</v>
          </cell>
          <cell r="RX27">
            <v>0</v>
          </cell>
          <cell r="RY27">
            <v>0</v>
          </cell>
          <cell r="RZ27">
            <v>0</v>
          </cell>
          <cell r="SA27">
            <v>0</v>
          </cell>
          <cell r="SC27">
            <v>0</v>
          </cell>
          <cell r="SD27">
            <v>0</v>
          </cell>
          <cell r="SE27">
            <v>0</v>
          </cell>
          <cell r="SF27">
            <v>0</v>
          </cell>
          <cell r="SH27">
            <v>0</v>
          </cell>
          <cell r="SI27">
            <v>0</v>
          </cell>
          <cell r="SJ27">
            <v>0</v>
          </cell>
          <cell r="SK27">
            <v>0</v>
          </cell>
          <cell r="SM27">
            <v>0</v>
          </cell>
          <cell r="SN27">
            <v>0</v>
          </cell>
          <cell r="SO27">
            <v>0</v>
          </cell>
          <cell r="SP27">
            <v>0</v>
          </cell>
          <cell r="SR27">
            <v>0</v>
          </cell>
          <cell r="SS27">
            <v>0</v>
          </cell>
          <cell r="ST27">
            <v>0</v>
          </cell>
          <cell r="SU27">
            <v>0</v>
          </cell>
          <cell r="SW27">
            <v>0</v>
          </cell>
          <cell r="SX27">
            <v>0</v>
          </cell>
          <cell r="SY27">
            <v>0</v>
          </cell>
          <cell r="SZ27">
            <v>0</v>
          </cell>
          <cell r="TB27">
            <v>0</v>
          </cell>
          <cell r="TC27">
            <v>0</v>
          </cell>
          <cell r="TD27">
            <v>0</v>
          </cell>
          <cell r="TE27">
            <v>0</v>
          </cell>
          <cell r="TG27">
            <v>0</v>
          </cell>
          <cell r="TH27">
            <v>0</v>
          </cell>
          <cell r="TI27">
            <v>0</v>
          </cell>
          <cell r="TJ27">
            <v>0</v>
          </cell>
          <cell r="TL27">
            <v>0</v>
          </cell>
          <cell r="TM27">
            <v>0</v>
          </cell>
          <cell r="TN27">
            <v>0</v>
          </cell>
          <cell r="TO27">
            <v>0</v>
          </cell>
          <cell r="TQ27">
            <v>0</v>
          </cell>
          <cell r="TR27">
            <v>0</v>
          </cell>
          <cell r="TS27">
            <v>0</v>
          </cell>
          <cell r="TT27">
            <v>0</v>
          </cell>
          <cell r="TV27">
            <v>0</v>
          </cell>
          <cell r="TW27">
            <v>0</v>
          </cell>
          <cell r="TX27">
            <v>0</v>
          </cell>
          <cell r="TY27">
            <v>0</v>
          </cell>
          <cell r="UA27">
            <v>0</v>
          </cell>
          <cell r="UB27">
            <v>0</v>
          </cell>
          <cell r="UC27">
            <v>0</v>
          </cell>
          <cell r="UD27">
            <v>0</v>
          </cell>
          <cell r="UF27">
            <v>0</v>
          </cell>
          <cell r="UG27">
            <v>0</v>
          </cell>
          <cell r="UH27">
            <v>0</v>
          </cell>
          <cell r="UI27">
            <v>0</v>
          </cell>
          <cell r="UK27">
            <v>0</v>
          </cell>
          <cell r="UL27">
            <v>0</v>
          </cell>
          <cell r="UM27">
            <v>0</v>
          </cell>
          <cell r="UN27">
            <v>0</v>
          </cell>
          <cell r="UP27">
            <v>0</v>
          </cell>
          <cell r="UQ27">
            <v>0</v>
          </cell>
          <cell r="UR27">
            <v>0</v>
          </cell>
          <cell r="US27">
            <v>0</v>
          </cell>
          <cell r="UU27">
            <v>0</v>
          </cell>
          <cell r="UV27">
            <v>0</v>
          </cell>
          <cell r="UW27">
            <v>0</v>
          </cell>
          <cell r="UX27">
            <v>0</v>
          </cell>
          <cell r="UZ27">
            <v>0</v>
          </cell>
          <cell r="VA27">
            <v>0</v>
          </cell>
          <cell r="VB27">
            <v>0</v>
          </cell>
          <cell r="VC27">
            <v>0</v>
          </cell>
          <cell r="VE27">
            <v>0</v>
          </cell>
          <cell r="VF27">
            <v>0</v>
          </cell>
          <cell r="VG27">
            <v>0</v>
          </cell>
          <cell r="VH27">
            <v>0</v>
          </cell>
          <cell r="VJ27">
            <v>0</v>
          </cell>
          <cell r="VK27">
            <v>0</v>
          </cell>
          <cell r="VL27">
            <v>0</v>
          </cell>
          <cell r="VM27">
            <v>0</v>
          </cell>
          <cell r="VO27">
            <v>0</v>
          </cell>
          <cell r="VP27">
            <v>0</v>
          </cell>
          <cell r="VQ27">
            <v>0</v>
          </cell>
          <cell r="VR27">
            <v>0</v>
          </cell>
          <cell r="VT27">
            <v>0</v>
          </cell>
          <cell r="VU27">
            <v>0</v>
          </cell>
          <cell r="VV27">
            <v>0</v>
          </cell>
          <cell r="VW27">
            <v>0</v>
          </cell>
          <cell r="VY27">
            <v>0</v>
          </cell>
          <cell r="VZ27">
            <v>0</v>
          </cell>
          <cell r="WA27">
            <v>0</v>
          </cell>
          <cell r="WB27">
            <v>0</v>
          </cell>
          <cell r="WD27">
            <v>0</v>
          </cell>
          <cell r="WE27">
            <v>0</v>
          </cell>
          <cell r="WF27">
            <v>0</v>
          </cell>
          <cell r="WG27">
            <v>0</v>
          </cell>
          <cell r="WI27">
            <v>0</v>
          </cell>
          <cell r="WJ27">
            <v>0</v>
          </cell>
          <cell r="WK27">
            <v>0</v>
          </cell>
          <cell r="WL27">
            <v>0</v>
          </cell>
          <cell r="WN27">
            <v>0</v>
          </cell>
          <cell r="WO27">
            <v>0</v>
          </cell>
          <cell r="WP27">
            <v>0</v>
          </cell>
          <cell r="WQ27">
            <v>0</v>
          </cell>
          <cell r="WS27">
            <v>0</v>
          </cell>
          <cell r="WT27">
            <v>0</v>
          </cell>
          <cell r="WU27">
            <v>0</v>
          </cell>
          <cell r="WV27">
            <v>0</v>
          </cell>
          <cell r="WX27">
            <v>0</v>
          </cell>
          <cell r="WY27">
            <v>0</v>
          </cell>
          <cell r="WZ27">
            <v>0</v>
          </cell>
          <cell r="XA27">
            <v>0</v>
          </cell>
          <cell r="XC27">
            <v>0</v>
          </cell>
          <cell r="XD27">
            <v>0</v>
          </cell>
          <cell r="XE27">
            <v>0</v>
          </cell>
          <cell r="XF27">
            <v>0</v>
          </cell>
          <cell r="XH27">
            <v>0</v>
          </cell>
          <cell r="XI27">
            <v>0</v>
          </cell>
          <cell r="XJ27">
            <v>0</v>
          </cell>
          <cell r="XK27">
            <v>0</v>
          </cell>
          <cell r="XM27">
            <v>0</v>
          </cell>
          <cell r="XN27">
            <v>0</v>
          </cell>
          <cell r="XO27">
            <v>0</v>
          </cell>
          <cell r="XP27">
            <v>0</v>
          </cell>
          <cell r="XR27">
            <v>0</v>
          </cell>
          <cell r="XS27">
            <v>0</v>
          </cell>
          <cell r="XT27">
            <v>0</v>
          </cell>
          <cell r="XU27">
            <v>0</v>
          </cell>
          <cell r="XW27">
            <v>0</v>
          </cell>
          <cell r="XX27">
            <v>0</v>
          </cell>
          <cell r="XY27">
            <v>0</v>
          </cell>
          <cell r="XZ27">
            <v>0</v>
          </cell>
          <cell r="YB27">
            <v>0</v>
          </cell>
          <cell r="YC27">
            <v>0</v>
          </cell>
          <cell r="YD27">
            <v>0</v>
          </cell>
          <cell r="YE27">
            <v>0</v>
          </cell>
        </row>
        <row r="28">
          <cell r="A28">
            <v>18</v>
          </cell>
          <cell r="B28" t="str">
            <v>200m跑道劃線(依主辦單位需求劃線)</v>
          </cell>
          <cell r="C28" t="str">
            <v>式</v>
          </cell>
          <cell r="D28">
            <v>1</v>
          </cell>
          <cell r="E28">
            <v>38741</v>
          </cell>
          <cell r="F28">
            <v>38741</v>
          </cell>
          <cell r="G28">
            <v>0.88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N28">
            <v>0</v>
          </cell>
          <cell r="CO28">
            <v>0</v>
          </cell>
          <cell r="CP28">
            <v>0</v>
          </cell>
          <cell r="CQ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H28">
            <v>0</v>
          </cell>
          <cell r="DI28">
            <v>0</v>
          </cell>
          <cell r="DJ28">
            <v>0</v>
          </cell>
          <cell r="DK28">
            <v>0</v>
          </cell>
          <cell r="DM28">
            <v>0</v>
          </cell>
          <cell r="DN28">
            <v>0</v>
          </cell>
          <cell r="DO28">
            <v>0</v>
          </cell>
          <cell r="DP28">
            <v>0</v>
          </cell>
          <cell r="DR28">
            <v>0</v>
          </cell>
          <cell r="DS28">
            <v>0</v>
          </cell>
          <cell r="DT28">
            <v>0</v>
          </cell>
          <cell r="DU28">
            <v>0</v>
          </cell>
          <cell r="DW28">
            <v>0</v>
          </cell>
          <cell r="DX28">
            <v>0</v>
          </cell>
          <cell r="DY28">
            <v>0</v>
          </cell>
          <cell r="DZ28">
            <v>0</v>
          </cell>
          <cell r="EB28">
            <v>0</v>
          </cell>
          <cell r="EC28">
            <v>0</v>
          </cell>
          <cell r="ED28">
            <v>0</v>
          </cell>
          <cell r="EE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</v>
          </cell>
          <cell r="EL28">
            <v>0</v>
          </cell>
          <cell r="EM28">
            <v>0</v>
          </cell>
          <cell r="EN28">
            <v>0</v>
          </cell>
          <cell r="EO28">
            <v>0</v>
          </cell>
          <cell r="EQ28">
            <v>0</v>
          </cell>
          <cell r="ER28">
            <v>0</v>
          </cell>
          <cell r="ES28">
            <v>0</v>
          </cell>
          <cell r="ET28">
            <v>0</v>
          </cell>
          <cell r="EV28">
            <v>0</v>
          </cell>
          <cell r="EW28">
            <v>0</v>
          </cell>
          <cell r="EX28">
            <v>0</v>
          </cell>
          <cell r="EY28">
            <v>0</v>
          </cell>
          <cell r="FA28">
            <v>0</v>
          </cell>
          <cell r="FB28">
            <v>0</v>
          </cell>
          <cell r="FC28">
            <v>0</v>
          </cell>
          <cell r="FD28">
            <v>0</v>
          </cell>
          <cell r="FF28">
            <v>0</v>
          </cell>
          <cell r="FG28">
            <v>0</v>
          </cell>
          <cell r="FH28">
            <v>0</v>
          </cell>
          <cell r="FI28">
            <v>0</v>
          </cell>
          <cell r="FK28">
            <v>0</v>
          </cell>
          <cell r="FL28">
            <v>0</v>
          </cell>
          <cell r="FM28">
            <v>0</v>
          </cell>
          <cell r="FN28">
            <v>0</v>
          </cell>
          <cell r="FP28">
            <v>0</v>
          </cell>
          <cell r="FQ28">
            <v>0</v>
          </cell>
          <cell r="FR28">
            <v>0</v>
          </cell>
          <cell r="FS28">
            <v>0</v>
          </cell>
          <cell r="FU28">
            <v>0</v>
          </cell>
          <cell r="FV28">
            <v>0</v>
          </cell>
          <cell r="FW28">
            <v>0</v>
          </cell>
          <cell r="FX28">
            <v>0</v>
          </cell>
          <cell r="FZ28">
            <v>0</v>
          </cell>
          <cell r="GA28">
            <v>0</v>
          </cell>
          <cell r="GB28">
            <v>0</v>
          </cell>
          <cell r="GC28">
            <v>0</v>
          </cell>
          <cell r="GE28">
            <v>0</v>
          </cell>
          <cell r="GF28">
            <v>0</v>
          </cell>
          <cell r="GG28">
            <v>0</v>
          </cell>
          <cell r="GH28">
            <v>0</v>
          </cell>
          <cell r="GJ28">
            <v>0</v>
          </cell>
          <cell r="GK28">
            <v>0</v>
          </cell>
          <cell r="GL28">
            <v>0</v>
          </cell>
          <cell r="GM28">
            <v>0</v>
          </cell>
          <cell r="GO28">
            <v>0</v>
          </cell>
          <cell r="GP28">
            <v>0</v>
          </cell>
          <cell r="GQ28">
            <v>0</v>
          </cell>
          <cell r="GR28">
            <v>0</v>
          </cell>
          <cell r="GT28">
            <v>0</v>
          </cell>
          <cell r="GU28">
            <v>0</v>
          </cell>
          <cell r="GV28">
            <v>0</v>
          </cell>
          <cell r="GW28">
            <v>0</v>
          </cell>
          <cell r="GY28">
            <v>0</v>
          </cell>
          <cell r="GZ28">
            <v>0</v>
          </cell>
          <cell r="HA28">
            <v>0</v>
          </cell>
          <cell r="HB28">
            <v>0</v>
          </cell>
          <cell r="HD28">
            <v>0</v>
          </cell>
          <cell r="HE28">
            <v>0</v>
          </cell>
          <cell r="HF28">
            <v>0</v>
          </cell>
          <cell r="HG28">
            <v>0</v>
          </cell>
          <cell r="HI28">
            <v>0</v>
          </cell>
          <cell r="HJ28">
            <v>0</v>
          </cell>
          <cell r="HK28">
            <v>0</v>
          </cell>
          <cell r="HL28">
            <v>0</v>
          </cell>
          <cell r="HN28">
            <v>0</v>
          </cell>
          <cell r="HO28">
            <v>0</v>
          </cell>
          <cell r="HP28">
            <v>0</v>
          </cell>
          <cell r="HQ28">
            <v>0</v>
          </cell>
          <cell r="HS28">
            <v>0</v>
          </cell>
          <cell r="HT28">
            <v>0</v>
          </cell>
          <cell r="HU28">
            <v>0</v>
          </cell>
          <cell r="HV28">
            <v>0</v>
          </cell>
          <cell r="HX28">
            <v>0</v>
          </cell>
          <cell r="HY28">
            <v>0</v>
          </cell>
          <cell r="HZ28">
            <v>0</v>
          </cell>
          <cell r="IA28">
            <v>0</v>
          </cell>
          <cell r="IC28">
            <v>0</v>
          </cell>
          <cell r="ID28">
            <v>0</v>
          </cell>
          <cell r="IE28">
            <v>0</v>
          </cell>
          <cell r="IF28">
            <v>0</v>
          </cell>
          <cell r="IH28">
            <v>0</v>
          </cell>
          <cell r="II28">
            <v>0</v>
          </cell>
          <cell r="IJ28">
            <v>0</v>
          </cell>
          <cell r="IK28">
            <v>0</v>
          </cell>
          <cell r="IM28">
            <v>0</v>
          </cell>
          <cell r="IN28">
            <v>0</v>
          </cell>
          <cell r="IO28">
            <v>0</v>
          </cell>
          <cell r="IP28">
            <v>0</v>
          </cell>
          <cell r="IR28">
            <v>0</v>
          </cell>
          <cell r="IS28">
            <v>0</v>
          </cell>
          <cell r="IT28">
            <v>0</v>
          </cell>
          <cell r="IU28">
            <v>0</v>
          </cell>
          <cell r="IW28">
            <v>0</v>
          </cell>
          <cell r="IX28">
            <v>0</v>
          </cell>
          <cell r="IY28">
            <v>0</v>
          </cell>
          <cell r="IZ28">
            <v>0</v>
          </cell>
          <cell r="JB28">
            <v>0</v>
          </cell>
          <cell r="JC28">
            <v>0</v>
          </cell>
          <cell r="JD28">
            <v>0</v>
          </cell>
          <cell r="JE28">
            <v>0</v>
          </cell>
          <cell r="JG28">
            <v>0</v>
          </cell>
          <cell r="JH28">
            <v>0</v>
          </cell>
          <cell r="JI28">
            <v>0</v>
          </cell>
          <cell r="JJ28">
            <v>0</v>
          </cell>
          <cell r="JL28">
            <v>0</v>
          </cell>
          <cell r="JM28">
            <v>0</v>
          </cell>
          <cell r="JN28">
            <v>0</v>
          </cell>
          <cell r="JO28">
            <v>0</v>
          </cell>
          <cell r="JQ28">
            <v>0</v>
          </cell>
          <cell r="JR28">
            <v>0</v>
          </cell>
          <cell r="JS28">
            <v>0</v>
          </cell>
          <cell r="JT28">
            <v>0</v>
          </cell>
          <cell r="JV28">
            <v>0</v>
          </cell>
          <cell r="JW28">
            <v>0</v>
          </cell>
          <cell r="JX28">
            <v>0</v>
          </cell>
          <cell r="JY28">
            <v>0</v>
          </cell>
          <cell r="KA28">
            <v>0</v>
          </cell>
          <cell r="KB28">
            <v>0</v>
          </cell>
          <cell r="KC28">
            <v>0</v>
          </cell>
          <cell r="KD28">
            <v>0</v>
          </cell>
          <cell r="KF28">
            <v>0</v>
          </cell>
          <cell r="KG28">
            <v>0</v>
          </cell>
          <cell r="KH28">
            <v>0</v>
          </cell>
          <cell r="KI28">
            <v>0</v>
          </cell>
          <cell r="KK28">
            <v>0</v>
          </cell>
          <cell r="KL28">
            <v>0</v>
          </cell>
          <cell r="KM28">
            <v>0</v>
          </cell>
          <cell r="KN28">
            <v>0</v>
          </cell>
          <cell r="KP28">
            <v>0</v>
          </cell>
          <cell r="KQ28">
            <v>0</v>
          </cell>
          <cell r="KR28">
            <v>0</v>
          </cell>
          <cell r="KS28">
            <v>0</v>
          </cell>
          <cell r="KU28">
            <v>0</v>
          </cell>
          <cell r="KV28">
            <v>0</v>
          </cell>
          <cell r="KW28">
            <v>0</v>
          </cell>
          <cell r="KX28">
            <v>0</v>
          </cell>
          <cell r="KZ28">
            <v>0</v>
          </cell>
          <cell r="LA28">
            <v>0</v>
          </cell>
          <cell r="LB28">
            <v>0</v>
          </cell>
          <cell r="LC28">
            <v>0</v>
          </cell>
          <cell r="LE28">
            <v>0</v>
          </cell>
          <cell r="LF28">
            <v>0</v>
          </cell>
          <cell r="LG28">
            <v>0</v>
          </cell>
          <cell r="LH28">
            <v>0</v>
          </cell>
          <cell r="LJ28">
            <v>0</v>
          </cell>
          <cell r="LK28">
            <v>0</v>
          </cell>
          <cell r="LL28">
            <v>0</v>
          </cell>
          <cell r="LM28">
            <v>0</v>
          </cell>
          <cell r="LO28">
            <v>0</v>
          </cell>
          <cell r="LP28">
            <v>0</v>
          </cell>
          <cell r="LQ28">
            <v>0</v>
          </cell>
          <cell r="LR28">
            <v>0</v>
          </cell>
          <cell r="LT28">
            <v>0</v>
          </cell>
          <cell r="LU28">
            <v>0</v>
          </cell>
          <cell r="LV28">
            <v>0</v>
          </cell>
          <cell r="LW28">
            <v>0</v>
          </cell>
          <cell r="LY28">
            <v>0</v>
          </cell>
          <cell r="LZ28">
            <v>0</v>
          </cell>
          <cell r="MA28">
            <v>0</v>
          </cell>
          <cell r="MB28">
            <v>0</v>
          </cell>
          <cell r="MD28">
            <v>0</v>
          </cell>
          <cell r="ME28">
            <v>0</v>
          </cell>
          <cell r="MF28">
            <v>0</v>
          </cell>
          <cell r="MG28">
            <v>0</v>
          </cell>
          <cell r="MI28">
            <v>0</v>
          </cell>
          <cell r="MJ28">
            <v>0</v>
          </cell>
          <cell r="MK28">
            <v>0</v>
          </cell>
          <cell r="ML28">
            <v>0</v>
          </cell>
          <cell r="MN28">
            <v>0</v>
          </cell>
          <cell r="MO28">
            <v>0</v>
          </cell>
          <cell r="MP28">
            <v>0</v>
          </cell>
          <cell r="MQ28">
            <v>0</v>
          </cell>
          <cell r="MS28">
            <v>0</v>
          </cell>
          <cell r="MT28">
            <v>0</v>
          </cell>
          <cell r="MU28">
            <v>0</v>
          </cell>
          <cell r="MV28">
            <v>0</v>
          </cell>
          <cell r="MX28">
            <v>0</v>
          </cell>
          <cell r="MY28">
            <v>0</v>
          </cell>
          <cell r="MZ28">
            <v>0</v>
          </cell>
          <cell r="NA28">
            <v>0</v>
          </cell>
          <cell r="NC28">
            <v>0</v>
          </cell>
          <cell r="ND28">
            <v>0</v>
          </cell>
          <cell r="NE28">
            <v>0</v>
          </cell>
          <cell r="NF28">
            <v>0</v>
          </cell>
          <cell r="NH28">
            <v>0</v>
          </cell>
          <cell r="NI28">
            <v>0</v>
          </cell>
          <cell r="NJ28">
            <v>0</v>
          </cell>
          <cell r="NK28">
            <v>0</v>
          </cell>
          <cell r="NM28">
            <v>0</v>
          </cell>
          <cell r="NN28">
            <v>0</v>
          </cell>
          <cell r="NO28">
            <v>0</v>
          </cell>
          <cell r="NP28">
            <v>0</v>
          </cell>
          <cell r="NR28">
            <v>0</v>
          </cell>
          <cell r="NS28">
            <v>0</v>
          </cell>
          <cell r="NT28">
            <v>0</v>
          </cell>
          <cell r="NU28">
            <v>0</v>
          </cell>
          <cell r="NW28">
            <v>0</v>
          </cell>
          <cell r="NX28">
            <v>0</v>
          </cell>
          <cell r="NY28">
            <v>0</v>
          </cell>
          <cell r="NZ28">
            <v>0</v>
          </cell>
          <cell r="OB28">
            <v>0</v>
          </cell>
          <cell r="OC28">
            <v>0</v>
          </cell>
          <cell r="OD28">
            <v>0</v>
          </cell>
          <cell r="OE28">
            <v>0</v>
          </cell>
          <cell r="OG28">
            <v>0</v>
          </cell>
          <cell r="OH28">
            <v>0</v>
          </cell>
          <cell r="OI28">
            <v>0</v>
          </cell>
          <cell r="OJ28">
            <v>0</v>
          </cell>
          <cell r="OL28">
            <v>0</v>
          </cell>
          <cell r="OM28">
            <v>0</v>
          </cell>
          <cell r="ON28">
            <v>0</v>
          </cell>
          <cell r="OO28">
            <v>0</v>
          </cell>
          <cell r="OQ28">
            <v>0</v>
          </cell>
          <cell r="OR28">
            <v>0</v>
          </cell>
          <cell r="OS28">
            <v>0</v>
          </cell>
          <cell r="OT28">
            <v>0</v>
          </cell>
          <cell r="OV28">
            <v>0</v>
          </cell>
          <cell r="OW28">
            <v>0</v>
          </cell>
          <cell r="OX28">
            <v>0</v>
          </cell>
          <cell r="OY28">
            <v>0</v>
          </cell>
          <cell r="PA28">
            <v>0</v>
          </cell>
          <cell r="PB28">
            <v>0</v>
          </cell>
          <cell r="PC28">
            <v>0</v>
          </cell>
          <cell r="PD28">
            <v>0</v>
          </cell>
          <cell r="PF28">
            <v>0</v>
          </cell>
          <cell r="PG28">
            <v>0</v>
          </cell>
          <cell r="PH28">
            <v>0</v>
          </cell>
          <cell r="PI28">
            <v>0</v>
          </cell>
          <cell r="PK28">
            <v>0</v>
          </cell>
          <cell r="PL28">
            <v>0</v>
          </cell>
          <cell r="PM28">
            <v>0</v>
          </cell>
          <cell r="PN28">
            <v>0</v>
          </cell>
          <cell r="PP28">
            <v>0</v>
          </cell>
          <cell r="PQ28">
            <v>0</v>
          </cell>
          <cell r="PR28">
            <v>0</v>
          </cell>
          <cell r="PS28">
            <v>0</v>
          </cell>
          <cell r="PU28">
            <v>0</v>
          </cell>
          <cell r="PV28">
            <v>0</v>
          </cell>
          <cell r="PW28">
            <v>0</v>
          </cell>
          <cell r="PX28">
            <v>0</v>
          </cell>
          <cell r="PZ28">
            <v>0</v>
          </cell>
          <cell r="QA28">
            <v>0</v>
          </cell>
          <cell r="QB28">
            <v>0</v>
          </cell>
          <cell r="QC28">
            <v>0</v>
          </cell>
          <cell r="QE28">
            <v>0</v>
          </cell>
          <cell r="QF28">
            <v>0</v>
          </cell>
          <cell r="QG28">
            <v>0</v>
          </cell>
          <cell r="QH28">
            <v>0</v>
          </cell>
          <cell r="QJ28">
            <v>0</v>
          </cell>
          <cell r="QK28">
            <v>0</v>
          </cell>
          <cell r="QL28">
            <v>0</v>
          </cell>
          <cell r="QM28">
            <v>0</v>
          </cell>
          <cell r="QO28">
            <v>0</v>
          </cell>
          <cell r="QP28">
            <v>0</v>
          </cell>
          <cell r="QQ28">
            <v>0</v>
          </cell>
          <cell r="QR28">
            <v>0</v>
          </cell>
          <cell r="QT28">
            <v>0</v>
          </cell>
          <cell r="QU28">
            <v>0</v>
          </cell>
          <cell r="QV28">
            <v>0</v>
          </cell>
          <cell r="QW28">
            <v>0</v>
          </cell>
          <cell r="QY28">
            <v>0</v>
          </cell>
          <cell r="QZ28">
            <v>0</v>
          </cell>
          <cell r="RA28">
            <v>0</v>
          </cell>
          <cell r="RB28">
            <v>0</v>
          </cell>
          <cell r="RD28">
            <v>0</v>
          </cell>
          <cell r="RE28">
            <v>0</v>
          </cell>
          <cell r="RF28">
            <v>0</v>
          </cell>
          <cell r="RG28">
            <v>0</v>
          </cell>
          <cell r="RI28">
            <v>0</v>
          </cell>
          <cell r="RJ28">
            <v>0</v>
          </cell>
          <cell r="RK28">
            <v>0</v>
          </cell>
          <cell r="RL28">
            <v>0</v>
          </cell>
          <cell r="RN28">
            <v>0</v>
          </cell>
          <cell r="RO28">
            <v>0</v>
          </cell>
          <cell r="RP28">
            <v>0</v>
          </cell>
          <cell r="RQ28">
            <v>0</v>
          </cell>
          <cell r="RS28">
            <v>0</v>
          </cell>
          <cell r="RT28">
            <v>0</v>
          </cell>
          <cell r="RU28">
            <v>0</v>
          </cell>
          <cell r="RV28">
            <v>0</v>
          </cell>
          <cell r="RX28">
            <v>0</v>
          </cell>
          <cell r="RY28">
            <v>0</v>
          </cell>
          <cell r="RZ28">
            <v>0</v>
          </cell>
          <cell r="SA28">
            <v>0</v>
          </cell>
          <cell r="SC28">
            <v>0</v>
          </cell>
          <cell r="SD28">
            <v>0</v>
          </cell>
          <cell r="SE28">
            <v>0</v>
          </cell>
          <cell r="SF28">
            <v>0</v>
          </cell>
          <cell r="SH28">
            <v>0</v>
          </cell>
          <cell r="SI28">
            <v>0</v>
          </cell>
          <cell r="SJ28">
            <v>0</v>
          </cell>
          <cell r="SK28">
            <v>0</v>
          </cell>
          <cell r="SM28">
            <v>0</v>
          </cell>
          <cell r="SN28">
            <v>0</v>
          </cell>
          <cell r="SO28">
            <v>0</v>
          </cell>
          <cell r="SP28">
            <v>0</v>
          </cell>
          <cell r="SR28">
            <v>0</v>
          </cell>
          <cell r="SS28">
            <v>0</v>
          </cell>
          <cell r="ST28">
            <v>0</v>
          </cell>
          <cell r="SU28">
            <v>0</v>
          </cell>
          <cell r="SW28">
            <v>0</v>
          </cell>
          <cell r="SX28">
            <v>0</v>
          </cell>
          <cell r="SY28">
            <v>0</v>
          </cell>
          <cell r="SZ28">
            <v>0</v>
          </cell>
          <cell r="TB28">
            <v>0</v>
          </cell>
          <cell r="TC28">
            <v>0</v>
          </cell>
          <cell r="TD28">
            <v>0</v>
          </cell>
          <cell r="TE28">
            <v>0</v>
          </cell>
          <cell r="TG28">
            <v>0</v>
          </cell>
          <cell r="TH28">
            <v>0</v>
          </cell>
          <cell r="TI28">
            <v>0</v>
          </cell>
          <cell r="TJ28">
            <v>0</v>
          </cell>
          <cell r="TL28">
            <v>0</v>
          </cell>
          <cell r="TM28">
            <v>0</v>
          </cell>
          <cell r="TN28">
            <v>0</v>
          </cell>
          <cell r="TO28">
            <v>0</v>
          </cell>
          <cell r="TQ28">
            <v>0</v>
          </cell>
          <cell r="TR28">
            <v>0</v>
          </cell>
          <cell r="TS28">
            <v>0</v>
          </cell>
          <cell r="TT28">
            <v>0</v>
          </cell>
          <cell r="TV28">
            <v>0</v>
          </cell>
          <cell r="TW28">
            <v>0</v>
          </cell>
          <cell r="TX28">
            <v>0</v>
          </cell>
          <cell r="TY28">
            <v>0</v>
          </cell>
          <cell r="UA28">
            <v>0</v>
          </cell>
          <cell r="UB28">
            <v>0</v>
          </cell>
          <cell r="UC28">
            <v>0</v>
          </cell>
          <cell r="UD28">
            <v>0</v>
          </cell>
          <cell r="UF28">
            <v>0</v>
          </cell>
          <cell r="UG28">
            <v>0</v>
          </cell>
          <cell r="UH28">
            <v>0</v>
          </cell>
          <cell r="UI28">
            <v>0</v>
          </cell>
          <cell r="UK28">
            <v>0</v>
          </cell>
          <cell r="UL28">
            <v>0</v>
          </cell>
          <cell r="UM28">
            <v>0</v>
          </cell>
          <cell r="UN28">
            <v>0</v>
          </cell>
          <cell r="UP28">
            <v>0</v>
          </cell>
          <cell r="UQ28">
            <v>0</v>
          </cell>
          <cell r="UR28">
            <v>0</v>
          </cell>
          <cell r="US28">
            <v>0</v>
          </cell>
          <cell r="UU28">
            <v>0</v>
          </cell>
          <cell r="UV28">
            <v>0</v>
          </cell>
          <cell r="UW28">
            <v>0</v>
          </cell>
          <cell r="UX28">
            <v>0</v>
          </cell>
          <cell r="UZ28">
            <v>0</v>
          </cell>
          <cell r="VA28">
            <v>0</v>
          </cell>
          <cell r="VB28">
            <v>0</v>
          </cell>
          <cell r="VC28">
            <v>0</v>
          </cell>
          <cell r="VE28">
            <v>0</v>
          </cell>
          <cell r="VF28">
            <v>0</v>
          </cell>
          <cell r="VG28">
            <v>0</v>
          </cell>
          <cell r="VH28">
            <v>0</v>
          </cell>
          <cell r="VJ28">
            <v>0</v>
          </cell>
          <cell r="VK28">
            <v>0</v>
          </cell>
          <cell r="VL28">
            <v>0</v>
          </cell>
          <cell r="VM28">
            <v>0</v>
          </cell>
          <cell r="VO28">
            <v>0</v>
          </cell>
          <cell r="VP28">
            <v>0</v>
          </cell>
          <cell r="VQ28">
            <v>0</v>
          </cell>
          <cell r="VR28">
            <v>0</v>
          </cell>
          <cell r="VT28">
            <v>0</v>
          </cell>
          <cell r="VU28">
            <v>0</v>
          </cell>
          <cell r="VV28">
            <v>0</v>
          </cell>
          <cell r="VW28">
            <v>0</v>
          </cell>
          <cell r="VY28">
            <v>0</v>
          </cell>
          <cell r="VZ28">
            <v>0</v>
          </cell>
          <cell r="WA28">
            <v>0</v>
          </cell>
          <cell r="WB28">
            <v>0</v>
          </cell>
          <cell r="WD28">
            <v>0</v>
          </cell>
          <cell r="WE28">
            <v>0</v>
          </cell>
          <cell r="WF28">
            <v>0</v>
          </cell>
          <cell r="WG28">
            <v>0</v>
          </cell>
          <cell r="WI28">
            <v>0</v>
          </cell>
          <cell r="WJ28">
            <v>0</v>
          </cell>
          <cell r="WK28">
            <v>0</v>
          </cell>
          <cell r="WL28">
            <v>0</v>
          </cell>
          <cell r="WN28">
            <v>0</v>
          </cell>
          <cell r="WO28">
            <v>0</v>
          </cell>
          <cell r="WP28">
            <v>0</v>
          </cell>
          <cell r="WQ28">
            <v>0</v>
          </cell>
          <cell r="WS28">
            <v>0</v>
          </cell>
          <cell r="WT28">
            <v>0</v>
          </cell>
          <cell r="WU28">
            <v>0</v>
          </cell>
          <cell r="WV28">
            <v>0</v>
          </cell>
          <cell r="WX28">
            <v>0</v>
          </cell>
          <cell r="WY28">
            <v>0</v>
          </cell>
          <cell r="WZ28">
            <v>0</v>
          </cell>
          <cell r="XA28">
            <v>0</v>
          </cell>
          <cell r="XC28">
            <v>0</v>
          </cell>
          <cell r="XD28">
            <v>0</v>
          </cell>
          <cell r="XE28">
            <v>0</v>
          </cell>
          <cell r="XF28">
            <v>0</v>
          </cell>
          <cell r="XH28">
            <v>0</v>
          </cell>
          <cell r="XI28">
            <v>0</v>
          </cell>
          <cell r="XJ28">
            <v>0</v>
          </cell>
          <cell r="XK28">
            <v>0</v>
          </cell>
          <cell r="XM28">
            <v>0</v>
          </cell>
          <cell r="XN28">
            <v>0</v>
          </cell>
          <cell r="XO28">
            <v>0</v>
          </cell>
          <cell r="XP28">
            <v>0</v>
          </cell>
          <cell r="XR28">
            <v>0</v>
          </cell>
          <cell r="XS28">
            <v>0</v>
          </cell>
          <cell r="XT28">
            <v>0</v>
          </cell>
          <cell r="XU28">
            <v>0</v>
          </cell>
          <cell r="XW28">
            <v>0</v>
          </cell>
          <cell r="XX28">
            <v>0</v>
          </cell>
          <cell r="XY28">
            <v>0</v>
          </cell>
          <cell r="XZ28">
            <v>0</v>
          </cell>
          <cell r="YB28">
            <v>0</v>
          </cell>
          <cell r="YC28">
            <v>0</v>
          </cell>
          <cell r="YD28">
            <v>0</v>
          </cell>
          <cell r="YE28">
            <v>0</v>
          </cell>
        </row>
        <row r="29">
          <cell r="A29">
            <v>19</v>
          </cell>
          <cell r="B29" t="str">
            <v>跑道內水溝與外緣石周邊一米範圍內地面修補與順平，外緣石外側挖草溝(W10cmH5cm)，鋪面以抿石子斜坡順平</v>
          </cell>
          <cell r="C29" t="str">
            <v>式</v>
          </cell>
          <cell r="D29">
            <v>1</v>
          </cell>
          <cell r="E29">
            <v>15700</v>
          </cell>
          <cell r="F29">
            <v>15700</v>
          </cell>
          <cell r="G29">
            <v>0.36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N29">
            <v>0</v>
          </cell>
          <cell r="CO29">
            <v>0</v>
          </cell>
          <cell r="CP29">
            <v>0</v>
          </cell>
          <cell r="CQ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H29">
            <v>0</v>
          </cell>
          <cell r="DI29">
            <v>0</v>
          </cell>
          <cell r="DJ29">
            <v>0</v>
          </cell>
          <cell r="DK29">
            <v>0</v>
          </cell>
          <cell r="DM29">
            <v>0</v>
          </cell>
          <cell r="DN29">
            <v>0</v>
          </cell>
          <cell r="DO29">
            <v>0</v>
          </cell>
          <cell r="DP29">
            <v>0</v>
          </cell>
          <cell r="DR29">
            <v>0</v>
          </cell>
          <cell r="DS29">
            <v>0</v>
          </cell>
          <cell r="DT29">
            <v>0</v>
          </cell>
          <cell r="DU29">
            <v>0</v>
          </cell>
          <cell r="DW29">
            <v>0</v>
          </cell>
          <cell r="DX29">
            <v>0</v>
          </cell>
          <cell r="DY29">
            <v>0</v>
          </cell>
          <cell r="DZ29">
            <v>0</v>
          </cell>
          <cell r="EB29">
            <v>0</v>
          </cell>
          <cell r="EC29">
            <v>0</v>
          </cell>
          <cell r="ED29">
            <v>0</v>
          </cell>
          <cell r="EE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</v>
          </cell>
          <cell r="EL29">
            <v>0</v>
          </cell>
          <cell r="EM29">
            <v>0</v>
          </cell>
          <cell r="EN29">
            <v>0</v>
          </cell>
          <cell r="EO29">
            <v>0</v>
          </cell>
          <cell r="EQ29">
            <v>0</v>
          </cell>
          <cell r="ER29">
            <v>0</v>
          </cell>
          <cell r="ES29">
            <v>0</v>
          </cell>
          <cell r="ET29">
            <v>0</v>
          </cell>
          <cell r="EV29">
            <v>0</v>
          </cell>
          <cell r="EW29">
            <v>0</v>
          </cell>
          <cell r="EX29">
            <v>0</v>
          </cell>
          <cell r="EY29">
            <v>0</v>
          </cell>
          <cell r="FA29">
            <v>0</v>
          </cell>
          <cell r="FB29">
            <v>0</v>
          </cell>
          <cell r="FC29">
            <v>0</v>
          </cell>
          <cell r="FD29">
            <v>0</v>
          </cell>
          <cell r="FE29">
            <v>0.5</v>
          </cell>
          <cell r="FF29">
            <v>0.5</v>
          </cell>
          <cell r="FG29">
            <v>7850</v>
          </cell>
          <cell r="FH29">
            <v>0.18</v>
          </cell>
          <cell r="FI29">
            <v>0.18</v>
          </cell>
          <cell r="FK29">
            <v>0.5</v>
          </cell>
          <cell r="FL29">
            <v>0</v>
          </cell>
          <cell r="FM29">
            <v>0</v>
          </cell>
          <cell r="FN29">
            <v>0.18</v>
          </cell>
          <cell r="FP29">
            <v>0.5</v>
          </cell>
          <cell r="FQ29">
            <v>0</v>
          </cell>
          <cell r="FR29">
            <v>0</v>
          </cell>
          <cell r="FS29">
            <v>0.18</v>
          </cell>
          <cell r="FU29">
            <v>0.5</v>
          </cell>
          <cell r="FV29">
            <v>0</v>
          </cell>
          <cell r="FW29">
            <v>0</v>
          </cell>
          <cell r="FX29">
            <v>0.18</v>
          </cell>
          <cell r="FZ29">
            <v>0.5</v>
          </cell>
          <cell r="GA29">
            <v>0</v>
          </cell>
          <cell r="GB29">
            <v>0</v>
          </cell>
          <cell r="GC29">
            <v>0.18</v>
          </cell>
          <cell r="GE29">
            <v>0.5</v>
          </cell>
          <cell r="GF29">
            <v>0</v>
          </cell>
          <cell r="GG29">
            <v>0</v>
          </cell>
          <cell r="GH29">
            <v>0.18</v>
          </cell>
          <cell r="GJ29">
            <v>0.5</v>
          </cell>
          <cell r="GK29">
            <v>0</v>
          </cell>
          <cell r="GL29">
            <v>0</v>
          </cell>
          <cell r="GM29">
            <v>0.18</v>
          </cell>
          <cell r="GO29">
            <v>0.5</v>
          </cell>
          <cell r="GP29">
            <v>0</v>
          </cell>
          <cell r="GQ29">
            <v>0</v>
          </cell>
          <cell r="GR29">
            <v>0.18</v>
          </cell>
          <cell r="GT29">
            <v>0.5</v>
          </cell>
          <cell r="GU29">
            <v>0</v>
          </cell>
          <cell r="GV29">
            <v>0</v>
          </cell>
          <cell r="GW29">
            <v>0.18</v>
          </cell>
          <cell r="GY29">
            <v>0.5</v>
          </cell>
          <cell r="GZ29">
            <v>0</v>
          </cell>
          <cell r="HA29">
            <v>0</v>
          </cell>
          <cell r="HB29">
            <v>0.18</v>
          </cell>
          <cell r="HD29">
            <v>0.5</v>
          </cell>
          <cell r="HE29">
            <v>0</v>
          </cell>
          <cell r="HF29">
            <v>0</v>
          </cell>
          <cell r="HG29">
            <v>0.18</v>
          </cell>
          <cell r="HI29">
            <v>0.5</v>
          </cell>
          <cell r="HJ29">
            <v>0</v>
          </cell>
          <cell r="HK29">
            <v>0</v>
          </cell>
          <cell r="HL29">
            <v>0.18</v>
          </cell>
          <cell r="HN29">
            <v>0.5</v>
          </cell>
          <cell r="HO29">
            <v>0</v>
          </cell>
          <cell r="HP29">
            <v>0</v>
          </cell>
          <cell r="HQ29">
            <v>0.18</v>
          </cell>
          <cell r="HS29">
            <v>0.5</v>
          </cell>
          <cell r="HT29">
            <v>0</v>
          </cell>
          <cell r="HU29">
            <v>0</v>
          </cell>
          <cell r="HV29">
            <v>0.18</v>
          </cell>
          <cell r="HX29">
            <v>0.5</v>
          </cell>
          <cell r="HY29">
            <v>0</v>
          </cell>
          <cell r="HZ29">
            <v>0</v>
          </cell>
          <cell r="IA29">
            <v>0.18</v>
          </cell>
          <cell r="IC29">
            <v>0.5</v>
          </cell>
          <cell r="ID29">
            <v>0</v>
          </cell>
          <cell r="IE29">
            <v>0</v>
          </cell>
          <cell r="IF29">
            <v>0.18</v>
          </cell>
          <cell r="IH29">
            <v>0.5</v>
          </cell>
          <cell r="II29">
            <v>0</v>
          </cell>
          <cell r="IJ29">
            <v>0</v>
          </cell>
          <cell r="IK29">
            <v>0.18</v>
          </cell>
          <cell r="IM29">
            <v>0.5</v>
          </cell>
          <cell r="IN29">
            <v>0</v>
          </cell>
          <cell r="IO29">
            <v>0</v>
          </cell>
          <cell r="IP29">
            <v>0.18</v>
          </cell>
          <cell r="IR29">
            <v>0.5</v>
          </cell>
          <cell r="IS29">
            <v>0</v>
          </cell>
          <cell r="IT29">
            <v>0</v>
          </cell>
          <cell r="IU29">
            <v>0.18</v>
          </cell>
          <cell r="IW29">
            <v>0.5</v>
          </cell>
          <cell r="IX29">
            <v>0</v>
          </cell>
          <cell r="IY29">
            <v>0</v>
          </cell>
          <cell r="IZ29">
            <v>0.18</v>
          </cell>
          <cell r="JB29">
            <v>0.5</v>
          </cell>
          <cell r="JC29">
            <v>0</v>
          </cell>
          <cell r="JD29">
            <v>0</v>
          </cell>
          <cell r="JE29">
            <v>0.18</v>
          </cell>
          <cell r="JG29">
            <v>0.5</v>
          </cell>
          <cell r="JH29">
            <v>0</v>
          </cell>
          <cell r="JI29">
            <v>0</v>
          </cell>
          <cell r="JJ29">
            <v>0.18</v>
          </cell>
          <cell r="JL29">
            <v>0.5</v>
          </cell>
          <cell r="JM29">
            <v>0</v>
          </cell>
          <cell r="JN29">
            <v>0</v>
          </cell>
          <cell r="JO29">
            <v>0.18</v>
          </cell>
          <cell r="JQ29">
            <v>0.5</v>
          </cell>
          <cell r="JR29">
            <v>0</v>
          </cell>
          <cell r="JS29">
            <v>0</v>
          </cell>
          <cell r="JT29">
            <v>0.18</v>
          </cell>
          <cell r="JV29">
            <v>0.5</v>
          </cell>
          <cell r="JW29">
            <v>0</v>
          </cell>
          <cell r="JX29">
            <v>0</v>
          </cell>
          <cell r="JY29">
            <v>0.18</v>
          </cell>
          <cell r="KA29">
            <v>0.5</v>
          </cell>
          <cell r="KB29">
            <v>0</v>
          </cell>
          <cell r="KC29">
            <v>0</v>
          </cell>
          <cell r="KD29">
            <v>0.18</v>
          </cell>
          <cell r="KF29">
            <v>0.5</v>
          </cell>
          <cell r="KG29">
            <v>0</v>
          </cell>
          <cell r="KH29">
            <v>0</v>
          </cell>
          <cell r="KI29">
            <v>0.18</v>
          </cell>
          <cell r="KK29">
            <v>0.5</v>
          </cell>
          <cell r="KL29">
            <v>0</v>
          </cell>
          <cell r="KM29">
            <v>0</v>
          </cell>
          <cell r="KN29">
            <v>0.18</v>
          </cell>
          <cell r="KP29">
            <v>0.5</v>
          </cell>
          <cell r="KQ29">
            <v>0</v>
          </cell>
          <cell r="KR29">
            <v>0</v>
          </cell>
          <cell r="KS29">
            <v>0.18</v>
          </cell>
          <cell r="KU29">
            <v>0.5</v>
          </cell>
          <cell r="KV29">
            <v>0</v>
          </cell>
          <cell r="KW29">
            <v>0</v>
          </cell>
          <cell r="KX29">
            <v>0.18</v>
          </cell>
          <cell r="KZ29">
            <v>0.5</v>
          </cell>
          <cell r="LA29">
            <v>0</v>
          </cell>
          <cell r="LB29">
            <v>0</v>
          </cell>
          <cell r="LC29">
            <v>0.18</v>
          </cell>
          <cell r="LE29">
            <v>0.5</v>
          </cell>
          <cell r="LF29">
            <v>0</v>
          </cell>
          <cell r="LG29">
            <v>0</v>
          </cell>
          <cell r="LH29">
            <v>0.18</v>
          </cell>
          <cell r="LJ29">
            <v>0.5</v>
          </cell>
          <cell r="LK29">
            <v>0</v>
          </cell>
          <cell r="LL29">
            <v>0</v>
          </cell>
          <cell r="LM29">
            <v>0.18</v>
          </cell>
          <cell r="LO29">
            <v>0.5</v>
          </cell>
          <cell r="LP29">
            <v>0</v>
          </cell>
          <cell r="LQ29">
            <v>0</v>
          </cell>
          <cell r="LR29">
            <v>0.18</v>
          </cell>
          <cell r="LT29">
            <v>0.5</v>
          </cell>
          <cell r="LU29">
            <v>0</v>
          </cell>
          <cell r="LV29">
            <v>0</v>
          </cell>
          <cell r="LW29">
            <v>0.18</v>
          </cell>
          <cell r="LY29">
            <v>0.5</v>
          </cell>
          <cell r="LZ29">
            <v>0</v>
          </cell>
          <cell r="MA29">
            <v>0</v>
          </cell>
          <cell r="MB29">
            <v>0.18</v>
          </cell>
          <cell r="MD29">
            <v>0.5</v>
          </cell>
          <cell r="ME29">
            <v>0</v>
          </cell>
          <cell r="MF29">
            <v>0</v>
          </cell>
          <cell r="MG29">
            <v>0.18</v>
          </cell>
          <cell r="MI29">
            <v>0.5</v>
          </cell>
          <cell r="MJ29">
            <v>0</v>
          </cell>
          <cell r="MK29">
            <v>0</v>
          </cell>
          <cell r="ML29">
            <v>0.18</v>
          </cell>
          <cell r="MN29">
            <v>0.5</v>
          </cell>
          <cell r="MO29">
            <v>0</v>
          </cell>
          <cell r="MP29">
            <v>0</v>
          </cell>
          <cell r="MQ29">
            <v>0.18</v>
          </cell>
          <cell r="MS29">
            <v>0.5</v>
          </cell>
          <cell r="MT29">
            <v>0</v>
          </cell>
          <cell r="MU29">
            <v>0</v>
          </cell>
          <cell r="MV29">
            <v>0.18</v>
          </cell>
          <cell r="MX29">
            <v>0.5</v>
          </cell>
          <cell r="MY29">
            <v>0</v>
          </cell>
          <cell r="MZ29">
            <v>0</v>
          </cell>
          <cell r="NA29">
            <v>0.18</v>
          </cell>
          <cell r="NC29">
            <v>0.5</v>
          </cell>
          <cell r="ND29">
            <v>0</v>
          </cell>
          <cell r="NE29">
            <v>0</v>
          </cell>
          <cell r="NF29">
            <v>0.18</v>
          </cell>
          <cell r="NH29">
            <v>0.5</v>
          </cell>
          <cell r="NI29">
            <v>0</v>
          </cell>
          <cell r="NJ29">
            <v>0</v>
          </cell>
          <cell r="NK29">
            <v>0.18</v>
          </cell>
          <cell r="NM29">
            <v>0.5</v>
          </cell>
          <cell r="NN29">
            <v>0</v>
          </cell>
          <cell r="NO29">
            <v>0</v>
          </cell>
          <cell r="NP29">
            <v>0.18</v>
          </cell>
          <cell r="NR29">
            <v>0.5</v>
          </cell>
          <cell r="NS29">
            <v>0</v>
          </cell>
          <cell r="NT29">
            <v>0</v>
          </cell>
          <cell r="NU29">
            <v>0.18</v>
          </cell>
          <cell r="NW29">
            <v>0.5</v>
          </cell>
          <cell r="NX29">
            <v>0</v>
          </cell>
          <cell r="NY29">
            <v>0</v>
          </cell>
          <cell r="NZ29">
            <v>0.18</v>
          </cell>
          <cell r="OB29">
            <v>0.5</v>
          </cell>
          <cell r="OC29">
            <v>0</v>
          </cell>
          <cell r="OD29">
            <v>0</v>
          </cell>
          <cell r="OE29">
            <v>0.18</v>
          </cell>
          <cell r="OG29">
            <v>0.5</v>
          </cell>
          <cell r="OH29">
            <v>0</v>
          </cell>
          <cell r="OI29">
            <v>0</v>
          </cell>
          <cell r="OJ29">
            <v>0.18</v>
          </cell>
          <cell r="OL29">
            <v>0.5</v>
          </cell>
          <cell r="OM29">
            <v>0</v>
          </cell>
          <cell r="ON29">
            <v>0</v>
          </cell>
          <cell r="OO29">
            <v>0.18</v>
          </cell>
          <cell r="OQ29">
            <v>0.5</v>
          </cell>
          <cell r="OR29">
            <v>0</v>
          </cell>
          <cell r="OS29">
            <v>0</v>
          </cell>
          <cell r="OT29">
            <v>0.18</v>
          </cell>
          <cell r="OV29">
            <v>0.5</v>
          </cell>
          <cell r="OW29">
            <v>0</v>
          </cell>
          <cell r="OX29">
            <v>0</v>
          </cell>
          <cell r="OY29">
            <v>0.18</v>
          </cell>
          <cell r="PA29">
            <v>0.5</v>
          </cell>
          <cell r="PB29">
            <v>0</v>
          </cell>
          <cell r="PC29">
            <v>0</v>
          </cell>
          <cell r="PD29">
            <v>0.18</v>
          </cell>
          <cell r="PF29">
            <v>0.5</v>
          </cell>
          <cell r="PG29">
            <v>0</v>
          </cell>
          <cell r="PH29">
            <v>0</v>
          </cell>
          <cell r="PI29">
            <v>0.18</v>
          </cell>
          <cell r="PK29">
            <v>0.5</v>
          </cell>
          <cell r="PL29">
            <v>0</v>
          </cell>
          <cell r="PM29">
            <v>0</v>
          </cell>
          <cell r="PN29">
            <v>0.18</v>
          </cell>
          <cell r="PP29">
            <v>0.5</v>
          </cell>
          <cell r="PQ29">
            <v>0</v>
          </cell>
          <cell r="PR29">
            <v>0</v>
          </cell>
          <cell r="PS29">
            <v>0.18</v>
          </cell>
          <cell r="PU29">
            <v>0.5</v>
          </cell>
          <cell r="PV29">
            <v>0</v>
          </cell>
          <cell r="PW29">
            <v>0</v>
          </cell>
          <cell r="PX29">
            <v>0.18</v>
          </cell>
          <cell r="PZ29">
            <v>0.5</v>
          </cell>
          <cell r="QA29">
            <v>0</v>
          </cell>
          <cell r="QB29">
            <v>0</v>
          </cell>
          <cell r="QC29">
            <v>0.18</v>
          </cell>
          <cell r="QE29">
            <v>0.5</v>
          </cell>
          <cell r="QF29">
            <v>0</v>
          </cell>
          <cell r="QG29">
            <v>0</v>
          </cell>
          <cell r="QH29">
            <v>0.18</v>
          </cell>
          <cell r="QJ29">
            <v>0.5</v>
          </cell>
          <cell r="QK29">
            <v>0</v>
          </cell>
          <cell r="QL29">
            <v>0</v>
          </cell>
          <cell r="QM29">
            <v>0.18</v>
          </cell>
          <cell r="QO29">
            <v>0.5</v>
          </cell>
          <cell r="QP29">
            <v>0</v>
          </cell>
          <cell r="QQ29">
            <v>0</v>
          </cell>
          <cell r="QR29">
            <v>0.18</v>
          </cell>
          <cell r="QT29">
            <v>0.5</v>
          </cell>
          <cell r="QU29">
            <v>0</v>
          </cell>
          <cell r="QV29">
            <v>0</v>
          </cell>
          <cell r="QW29">
            <v>0.18</v>
          </cell>
          <cell r="QY29">
            <v>0.5</v>
          </cell>
          <cell r="QZ29">
            <v>0</v>
          </cell>
          <cell r="RA29">
            <v>0</v>
          </cell>
          <cell r="RB29">
            <v>0.18</v>
          </cell>
          <cell r="RD29">
            <v>0.5</v>
          </cell>
          <cell r="RE29">
            <v>0</v>
          </cell>
          <cell r="RF29">
            <v>0</v>
          </cell>
          <cell r="RG29">
            <v>0.18</v>
          </cell>
          <cell r="RI29">
            <v>0.5</v>
          </cell>
          <cell r="RJ29">
            <v>0</v>
          </cell>
          <cell r="RK29">
            <v>0</v>
          </cell>
          <cell r="RL29">
            <v>0.18</v>
          </cell>
          <cell r="RN29">
            <v>0.5</v>
          </cell>
          <cell r="RO29">
            <v>0</v>
          </cell>
          <cell r="RP29">
            <v>0</v>
          </cell>
          <cell r="RQ29">
            <v>0.18</v>
          </cell>
          <cell r="RS29">
            <v>0.5</v>
          </cell>
          <cell r="RT29">
            <v>0</v>
          </cell>
          <cell r="RU29">
            <v>0</v>
          </cell>
          <cell r="RV29">
            <v>0.18</v>
          </cell>
          <cell r="RX29">
            <v>0.5</v>
          </cell>
          <cell r="RY29">
            <v>0</v>
          </cell>
          <cell r="RZ29">
            <v>0</v>
          </cell>
          <cell r="SA29">
            <v>0.18</v>
          </cell>
          <cell r="SC29">
            <v>0.5</v>
          </cell>
          <cell r="SD29">
            <v>0</v>
          </cell>
          <cell r="SE29">
            <v>0</v>
          </cell>
          <cell r="SF29">
            <v>0.18</v>
          </cell>
          <cell r="SH29">
            <v>0.5</v>
          </cell>
          <cell r="SI29">
            <v>0</v>
          </cell>
          <cell r="SJ29">
            <v>0</v>
          </cell>
          <cell r="SK29">
            <v>0.18</v>
          </cell>
          <cell r="SM29">
            <v>0.5</v>
          </cell>
          <cell r="SN29">
            <v>0</v>
          </cell>
          <cell r="SO29">
            <v>0</v>
          </cell>
          <cell r="SP29">
            <v>0.18</v>
          </cell>
          <cell r="SR29">
            <v>0.5</v>
          </cell>
          <cell r="SS29">
            <v>0</v>
          </cell>
          <cell r="ST29">
            <v>0</v>
          </cell>
          <cell r="SU29">
            <v>0.18</v>
          </cell>
          <cell r="SW29">
            <v>0.5</v>
          </cell>
          <cell r="SX29">
            <v>0</v>
          </cell>
          <cell r="SY29">
            <v>0</v>
          </cell>
          <cell r="SZ29">
            <v>0.18</v>
          </cell>
          <cell r="TB29">
            <v>0.5</v>
          </cell>
          <cell r="TC29">
            <v>0</v>
          </cell>
          <cell r="TD29">
            <v>0</v>
          </cell>
          <cell r="TE29">
            <v>0.18</v>
          </cell>
          <cell r="TG29">
            <v>0.5</v>
          </cell>
          <cell r="TH29">
            <v>0</v>
          </cell>
          <cell r="TI29">
            <v>0</v>
          </cell>
          <cell r="TJ29">
            <v>0.18</v>
          </cell>
          <cell r="TL29">
            <v>0.5</v>
          </cell>
          <cell r="TM29">
            <v>0</v>
          </cell>
          <cell r="TN29">
            <v>0</v>
          </cell>
          <cell r="TO29">
            <v>0.18</v>
          </cell>
          <cell r="TQ29">
            <v>0.5</v>
          </cell>
          <cell r="TR29">
            <v>0</v>
          </cell>
          <cell r="TS29">
            <v>0</v>
          </cell>
          <cell r="TT29">
            <v>0.18</v>
          </cell>
          <cell r="TV29">
            <v>0.5</v>
          </cell>
          <cell r="TW29">
            <v>0</v>
          </cell>
          <cell r="TX29">
            <v>0</v>
          </cell>
          <cell r="TY29">
            <v>0.18</v>
          </cell>
          <cell r="UA29">
            <v>0.5</v>
          </cell>
          <cell r="UB29">
            <v>0</v>
          </cell>
          <cell r="UC29">
            <v>0</v>
          </cell>
          <cell r="UD29">
            <v>0.18</v>
          </cell>
          <cell r="UF29">
            <v>0.5</v>
          </cell>
          <cell r="UG29">
            <v>0</v>
          </cell>
          <cell r="UH29">
            <v>0</v>
          </cell>
          <cell r="UI29">
            <v>0.18</v>
          </cell>
          <cell r="UK29">
            <v>0.5</v>
          </cell>
          <cell r="UL29">
            <v>0</v>
          </cell>
          <cell r="UM29">
            <v>0</v>
          </cell>
          <cell r="UN29">
            <v>0.18</v>
          </cell>
          <cell r="UP29">
            <v>0.5</v>
          </cell>
          <cell r="UQ29">
            <v>0</v>
          </cell>
          <cell r="UR29">
            <v>0</v>
          </cell>
          <cell r="US29">
            <v>0.18</v>
          </cell>
          <cell r="UU29">
            <v>0.5</v>
          </cell>
          <cell r="UV29">
            <v>0</v>
          </cell>
          <cell r="UW29">
            <v>0</v>
          </cell>
          <cell r="UX29">
            <v>0.18</v>
          </cell>
          <cell r="UZ29">
            <v>0.5</v>
          </cell>
          <cell r="VA29">
            <v>0</v>
          </cell>
          <cell r="VB29">
            <v>0</v>
          </cell>
          <cell r="VC29">
            <v>0.18</v>
          </cell>
          <cell r="VE29">
            <v>0.5</v>
          </cell>
          <cell r="VF29">
            <v>0</v>
          </cell>
          <cell r="VG29">
            <v>0</v>
          </cell>
          <cell r="VH29">
            <v>0.18</v>
          </cell>
          <cell r="VJ29">
            <v>0.5</v>
          </cell>
          <cell r="VK29">
            <v>0</v>
          </cell>
          <cell r="VL29">
            <v>0</v>
          </cell>
          <cell r="VM29">
            <v>0.18</v>
          </cell>
          <cell r="VO29">
            <v>0.5</v>
          </cell>
          <cell r="VP29">
            <v>0</v>
          </cell>
          <cell r="VQ29">
            <v>0</v>
          </cell>
          <cell r="VR29">
            <v>0.18</v>
          </cell>
          <cell r="VT29">
            <v>0.5</v>
          </cell>
          <cell r="VU29">
            <v>0</v>
          </cell>
          <cell r="VV29">
            <v>0</v>
          </cell>
          <cell r="VW29">
            <v>0.18</v>
          </cell>
          <cell r="VY29">
            <v>0.5</v>
          </cell>
          <cell r="VZ29">
            <v>0</v>
          </cell>
          <cell r="WA29">
            <v>0</v>
          </cell>
          <cell r="WB29">
            <v>0.18</v>
          </cell>
          <cell r="WD29">
            <v>0.5</v>
          </cell>
          <cell r="WE29">
            <v>0</v>
          </cell>
          <cell r="WF29">
            <v>0</v>
          </cell>
          <cell r="WG29">
            <v>0.18</v>
          </cell>
          <cell r="WI29">
            <v>0.5</v>
          </cell>
          <cell r="WJ29">
            <v>0</v>
          </cell>
          <cell r="WK29">
            <v>0</v>
          </cell>
          <cell r="WL29">
            <v>0.18</v>
          </cell>
          <cell r="WN29">
            <v>0.5</v>
          </cell>
          <cell r="WO29">
            <v>0</v>
          </cell>
          <cell r="WP29">
            <v>0</v>
          </cell>
          <cell r="WQ29">
            <v>0.18</v>
          </cell>
          <cell r="WS29">
            <v>0.5</v>
          </cell>
          <cell r="WT29">
            <v>0</v>
          </cell>
          <cell r="WU29">
            <v>0</v>
          </cell>
          <cell r="WV29">
            <v>0.18</v>
          </cell>
          <cell r="WX29">
            <v>0.5</v>
          </cell>
          <cell r="WY29">
            <v>0</v>
          </cell>
          <cell r="WZ29">
            <v>0</v>
          </cell>
          <cell r="XA29">
            <v>0.18</v>
          </cell>
          <cell r="XC29">
            <v>0.5</v>
          </cell>
          <cell r="XD29">
            <v>0</v>
          </cell>
          <cell r="XE29">
            <v>0</v>
          </cell>
          <cell r="XF29">
            <v>0.18</v>
          </cell>
          <cell r="XH29">
            <v>0.5</v>
          </cell>
          <cell r="XI29">
            <v>0</v>
          </cell>
          <cell r="XJ29">
            <v>0</v>
          </cell>
          <cell r="XK29">
            <v>0.18</v>
          </cell>
          <cell r="XM29">
            <v>0.5</v>
          </cell>
          <cell r="XN29">
            <v>0</v>
          </cell>
          <cell r="XO29">
            <v>0</v>
          </cell>
          <cell r="XP29">
            <v>0.18</v>
          </cell>
          <cell r="XR29">
            <v>0.5</v>
          </cell>
          <cell r="XS29">
            <v>0</v>
          </cell>
          <cell r="XT29">
            <v>0</v>
          </cell>
          <cell r="XU29">
            <v>0.18</v>
          </cell>
          <cell r="XW29">
            <v>0.5</v>
          </cell>
          <cell r="XX29">
            <v>0</v>
          </cell>
          <cell r="XY29">
            <v>0</v>
          </cell>
          <cell r="XZ29">
            <v>0.18</v>
          </cell>
          <cell r="YB29">
            <v>0.5</v>
          </cell>
          <cell r="YC29">
            <v>0</v>
          </cell>
          <cell r="YD29">
            <v>0</v>
          </cell>
          <cell r="YE29">
            <v>0.18</v>
          </cell>
        </row>
        <row r="30">
          <cell r="A30">
            <v>20</v>
          </cell>
          <cell r="B30" t="str">
            <v>廢棄物清運(含合法運棄證明)與環境清潔費</v>
          </cell>
          <cell r="C30" t="str">
            <v>式</v>
          </cell>
          <cell r="D30">
            <v>1</v>
          </cell>
          <cell r="E30">
            <v>60085</v>
          </cell>
          <cell r="F30">
            <v>60085</v>
          </cell>
          <cell r="G30">
            <v>1.37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W30">
            <v>0</v>
          </cell>
          <cell r="DX30">
            <v>0</v>
          </cell>
          <cell r="DY30">
            <v>0</v>
          </cell>
          <cell r="DZ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0</v>
          </cell>
          <cell r="EL30">
            <v>0</v>
          </cell>
          <cell r="EM30">
            <v>0</v>
          </cell>
          <cell r="EN30">
            <v>0</v>
          </cell>
          <cell r="EO30">
            <v>0</v>
          </cell>
          <cell r="EQ30">
            <v>0</v>
          </cell>
          <cell r="ER30">
            <v>0</v>
          </cell>
          <cell r="ES30">
            <v>0</v>
          </cell>
          <cell r="ET30">
            <v>0</v>
          </cell>
          <cell r="EV30">
            <v>0</v>
          </cell>
          <cell r="EW30">
            <v>0</v>
          </cell>
          <cell r="EX30">
            <v>0</v>
          </cell>
          <cell r="EY30">
            <v>0</v>
          </cell>
          <cell r="FA30">
            <v>0</v>
          </cell>
          <cell r="FB30">
            <v>0</v>
          </cell>
          <cell r="FC30">
            <v>0</v>
          </cell>
          <cell r="FD30">
            <v>0</v>
          </cell>
          <cell r="FF30">
            <v>0</v>
          </cell>
          <cell r="FG30">
            <v>0</v>
          </cell>
          <cell r="FH30">
            <v>0</v>
          </cell>
          <cell r="FI30">
            <v>0</v>
          </cell>
          <cell r="FK30">
            <v>0</v>
          </cell>
          <cell r="FL30">
            <v>0</v>
          </cell>
          <cell r="FM30">
            <v>0</v>
          </cell>
          <cell r="FN30">
            <v>0</v>
          </cell>
          <cell r="FP30">
            <v>0</v>
          </cell>
          <cell r="FQ30">
            <v>0</v>
          </cell>
          <cell r="FR30">
            <v>0</v>
          </cell>
          <cell r="FS30">
            <v>0</v>
          </cell>
          <cell r="FU30">
            <v>0</v>
          </cell>
          <cell r="FV30">
            <v>0</v>
          </cell>
          <cell r="FW30">
            <v>0</v>
          </cell>
          <cell r="FX30">
            <v>0</v>
          </cell>
          <cell r="FZ30">
            <v>0</v>
          </cell>
          <cell r="GA30">
            <v>0</v>
          </cell>
          <cell r="GB30">
            <v>0</v>
          </cell>
          <cell r="GC30">
            <v>0</v>
          </cell>
          <cell r="GE30">
            <v>0</v>
          </cell>
          <cell r="GF30">
            <v>0</v>
          </cell>
          <cell r="GG30">
            <v>0</v>
          </cell>
          <cell r="GH30">
            <v>0</v>
          </cell>
          <cell r="GJ30">
            <v>0</v>
          </cell>
          <cell r="GK30">
            <v>0</v>
          </cell>
          <cell r="GL30">
            <v>0</v>
          </cell>
          <cell r="GM30">
            <v>0</v>
          </cell>
          <cell r="GO30">
            <v>0</v>
          </cell>
          <cell r="GP30">
            <v>0</v>
          </cell>
          <cell r="GQ30">
            <v>0</v>
          </cell>
          <cell r="GR30">
            <v>0</v>
          </cell>
          <cell r="GT30">
            <v>0</v>
          </cell>
          <cell r="GU30">
            <v>0</v>
          </cell>
          <cell r="GV30">
            <v>0</v>
          </cell>
          <cell r="GW30">
            <v>0</v>
          </cell>
          <cell r="GY30">
            <v>0</v>
          </cell>
          <cell r="GZ30">
            <v>0</v>
          </cell>
          <cell r="HA30">
            <v>0</v>
          </cell>
          <cell r="HB30">
            <v>0</v>
          </cell>
          <cell r="HD30">
            <v>0</v>
          </cell>
          <cell r="HE30">
            <v>0</v>
          </cell>
          <cell r="HF30">
            <v>0</v>
          </cell>
          <cell r="HG30">
            <v>0</v>
          </cell>
          <cell r="HI30">
            <v>0</v>
          </cell>
          <cell r="HJ30">
            <v>0</v>
          </cell>
          <cell r="HK30">
            <v>0</v>
          </cell>
          <cell r="HL30">
            <v>0</v>
          </cell>
          <cell r="HN30">
            <v>0</v>
          </cell>
          <cell r="HO30">
            <v>0</v>
          </cell>
          <cell r="HP30">
            <v>0</v>
          </cell>
          <cell r="HQ30">
            <v>0</v>
          </cell>
          <cell r="HS30">
            <v>0</v>
          </cell>
          <cell r="HT30">
            <v>0</v>
          </cell>
          <cell r="HU30">
            <v>0</v>
          </cell>
          <cell r="HV30">
            <v>0</v>
          </cell>
          <cell r="HX30">
            <v>0</v>
          </cell>
          <cell r="HY30">
            <v>0</v>
          </cell>
          <cell r="HZ30">
            <v>0</v>
          </cell>
          <cell r="IA30">
            <v>0</v>
          </cell>
          <cell r="IC30">
            <v>0</v>
          </cell>
          <cell r="ID30">
            <v>0</v>
          </cell>
          <cell r="IE30">
            <v>0</v>
          </cell>
          <cell r="IF30">
            <v>0</v>
          </cell>
          <cell r="IH30">
            <v>0</v>
          </cell>
          <cell r="II30">
            <v>0</v>
          </cell>
          <cell r="IJ30">
            <v>0</v>
          </cell>
          <cell r="IK30">
            <v>0</v>
          </cell>
          <cell r="IM30">
            <v>0</v>
          </cell>
          <cell r="IN30">
            <v>0</v>
          </cell>
          <cell r="IO30">
            <v>0</v>
          </cell>
          <cell r="IP30">
            <v>0</v>
          </cell>
          <cell r="IR30">
            <v>0</v>
          </cell>
          <cell r="IS30">
            <v>0</v>
          </cell>
          <cell r="IT30">
            <v>0</v>
          </cell>
          <cell r="IU30">
            <v>0</v>
          </cell>
          <cell r="IW30">
            <v>0</v>
          </cell>
          <cell r="IX30">
            <v>0</v>
          </cell>
          <cell r="IY30">
            <v>0</v>
          </cell>
          <cell r="IZ30">
            <v>0</v>
          </cell>
          <cell r="JB30">
            <v>0</v>
          </cell>
          <cell r="JC30">
            <v>0</v>
          </cell>
          <cell r="JD30">
            <v>0</v>
          </cell>
          <cell r="JE30">
            <v>0</v>
          </cell>
          <cell r="JG30">
            <v>0</v>
          </cell>
          <cell r="JH30">
            <v>0</v>
          </cell>
          <cell r="JI30">
            <v>0</v>
          </cell>
          <cell r="JJ30">
            <v>0</v>
          </cell>
          <cell r="JL30">
            <v>0</v>
          </cell>
          <cell r="JM30">
            <v>0</v>
          </cell>
          <cell r="JN30">
            <v>0</v>
          </cell>
          <cell r="JO30">
            <v>0</v>
          </cell>
          <cell r="JQ30">
            <v>0</v>
          </cell>
          <cell r="JR30">
            <v>0</v>
          </cell>
          <cell r="JS30">
            <v>0</v>
          </cell>
          <cell r="JT30">
            <v>0</v>
          </cell>
          <cell r="JV30">
            <v>0</v>
          </cell>
          <cell r="JW30">
            <v>0</v>
          </cell>
          <cell r="JX30">
            <v>0</v>
          </cell>
          <cell r="JY30">
            <v>0</v>
          </cell>
          <cell r="KA30">
            <v>0</v>
          </cell>
          <cell r="KB30">
            <v>0</v>
          </cell>
          <cell r="KC30">
            <v>0</v>
          </cell>
          <cell r="KD30">
            <v>0</v>
          </cell>
          <cell r="KF30">
            <v>0</v>
          </cell>
          <cell r="KG30">
            <v>0</v>
          </cell>
          <cell r="KH30">
            <v>0</v>
          </cell>
          <cell r="KI30">
            <v>0</v>
          </cell>
          <cell r="KK30">
            <v>0</v>
          </cell>
          <cell r="KL30">
            <v>0</v>
          </cell>
          <cell r="KM30">
            <v>0</v>
          </cell>
          <cell r="KN30">
            <v>0</v>
          </cell>
          <cell r="KP30">
            <v>0</v>
          </cell>
          <cell r="KQ30">
            <v>0</v>
          </cell>
          <cell r="KR30">
            <v>0</v>
          </cell>
          <cell r="KS30">
            <v>0</v>
          </cell>
          <cell r="KU30">
            <v>0</v>
          </cell>
          <cell r="KV30">
            <v>0</v>
          </cell>
          <cell r="KW30">
            <v>0</v>
          </cell>
          <cell r="KX30">
            <v>0</v>
          </cell>
          <cell r="KZ30">
            <v>0</v>
          </cell>
          <cell r="LA30">
            <v>0</v>
          </cell>
          <cell r="LB30">
            <v>0</v>
          </cell>
          <cell r="LC30">
            <v>0</v>
          </cell>
          <cell r="LE30">
            <v>0</v>
          </cell>
          <cell r="LF30">
            <v>0</v>
          </cell>
          <cell r="LG30">
            <v>0</v>
          </cell>
          <cell r="LH30">
            <v>0</v>
          </cell>
          <cell r="LJ30">
            <v>0</v>
          </cell>
          <cell r="LK30">
            <v>0</v>
          </cell>
          <cell r="LL30">
            <v>0</v>
          </cell>
          <cell r="LM30">
            <v>0</v>
          </cell>
          <cell r="LO30">
            <v>0</v>
          </cell>
          <cell r="LP30">
            <v>0</v>
          </cell>
          <cell r="LQ30">
            <v>0</v>
          </cell>
          <cell r="LR30">
            <v>0</v>
          </cell>
          <cell r="LT30">
            <v>0</v>
          </cell>
          <cell r="LU30">
            <v>0</v>
          </cell>
          <cell r="LV30">
            <v>0</v>
          </cell>
          <cell r="LW30">
            <v>0</v>
          </cell>
          <cell r="LY30">
            <v>0</v>
          </cell>
          <cell r="LZ30">
            <v>0</v>
          </cell>
          <cell r="MA30">
            <v>0</v>
          </cell>
          <cell r="MB30">
            <v>0</v>
          </cell>
          <cell r="MD30">
            <v>0</v>
          </cell>
          <cell r="ME30">
            <v>0</v>
          </cell>
          <cell r="MF30">
            <v>0</v>
          </cell>
          <cell r="MG30">
            <v>0</v>
          </cell>
          <cell r="MI30">
            <v>0</v>
          </cell>
          <cell r="MJ30">
            <v>0</v>
          </cell>
          <cell r="MK30">
            <v>0</v>
          </cell>
          <cell r="ML30">
            <v>0</v>
          </cell>
          <cell r="MN30">
            <v>0</v>
          </cell>
          <cell r="MO30">
            <v>0</v>
          </cell>
          <cell r="MP30">
            <v>0</v>
          </cell>
          <cell r="MQ30">
            <v>0</v>
          </cell>
          <cell r="MS30">
            <v>0</v>
          </cell>
          <cell r="MT30">
            <v>0</v>
          </cell>
          <cell r="MU30">
            <v>0</v>
          </cell>
          <cell r="MV30">
            <v>0</v>
          </cell>
          <cell r="MX30">
            <v>0</v>
          </cell>
          <cell r="MY30">
            <v>0</v>
          </cell>
          <cell r="MZ30">
            <v>0</v>
          </cell>
          <cell r="NA30">
            <v>0</v>
          </cell>
          <cell r="NC30">
            <v>0</v>
          </cell>
          <cell r="ND30">
            <v>0</v>
          </cell>
          <cell r="NE30">
            <v>0</v>
          </cell>
          <cell r="NF30">
            <v>0</v>
          </cell>
          <cell r="NH30">
            <v>0</v>
          </cell>
          <cell r="NI30">
            <v>0</v>
          </cell>
          <cell r="NJ30">
            <v>0</v>
          </cell>
          <cell r="NK30">
            <v>0</v>
          </cell>
          <cell r="NM30">
            <v>0</v>
          </cell>
          <cell r="NN30">
            <v>0</v>
          </cell>
          <cell r="NO30">
            <v>0</v>
          </cell>
          <cell r="NP30">
            <v>0</v>
          </cell>
          <cell r="NR30">
            <v>0</v>
          </cell>
          <cell r="NS30">
            <v>0</v>
          </cell>
          <cell r="NT30">
            <v>0</v>
          </cell>
          <cell r="NU30">
            <v>0</v>
          </cell>
          <cell r="NW30">
            <v>0</v>
          </cell>
          <cell r="NX30">
            <v>0</v>
          </cell>
          <cell r="NY30">
            <v>0</v>
          </cell>
          <cell r="NZ30">
            <v>0</v>
          </cell>
          <cell r="OB30">
            <v>0</v>
          </cell>
          <cell r="OC30">
            <v>0</v>
          </cell>
          <cell r="OD30">
            <v>0</v>
          </cell>
          <cell r="OE30">
            <v>0</v>
          </cell>
          <cell r="OG30">
            <v>0</v>
          </cell>
          <cell r="OH30">
            <v>0</v>
          </cell>
          <cell r="OI30">
            <v>0</v>
          </cell>
          <cell r="OJ30">
            <v>0</v>
          </cell>
          <cell r="OL30">
            <v>0</v>
          </cell>
          <cell r="OM30">
            <v>0</v>
          </cell>
          <cell r="ON30">
            <v>0</v>
          </cell>
          <cell r="OO30">
            <v>0</v>
          </cell>
          <cell r="OQ30">
            <v>0</v>
          </cell>
          <cell r="OR30">
            <v>0</v>
          </cell>
          <cell r="OS30">
            <v>0</v>
          </cell>
          <cell r="OT30">
            <v>0</v>
          </cell>
          <cell r="OV30">
            <v>0</v>
          </cell>
          <cell r="OW30">
            <v>0</v>
          </cell>
          <cell r="OX30">
            <v>0</v>
          </cell>
          <cell r="OY30">
            <v>0</v>
          </cell>
          <cell r="PA30">
            <v>0</v>
          </cell>
          <cell r="PB30">
            <v>0</v>
          </cell>
          <cell r="PC30">
            <v>0</v>
          </cell>
          <cell r="PD30">
            <v>0</v>
          </cell>
          <cell r="PF30">
            <v>0</v>
          </cell>
          <cell r="PG30">
            <v>0</v>
          </cell>
          <cell r="PH30">
            <v>0</v>
          </cell>
          <cell r="PI30">
            <v>0</v>
          </cell>
          <cell r="PK30">
            <v>0</v>
          </cell>
          <cell r="PL30">
            <v>0</v>
          </cell>
          <cell r="PM30">
            <v>0</v>
          </cell>
          <cell r="PN30">
            <v>0</v>
          </cell>
          <cell r="PP30">
            <v>0</v>
          </cell>
          <cell r="PQ30">
            <v>0</v>
          </cell>
          <cell r="PR30">
            <v>0</v>
          </cell>
          <cell r="PS30">
            <v>0</v>
          </cell>
          <cell r="PU30">
            <v>0</v>
          </cell>
          <cell r="PV30">
            <v>0</v>
          </cell>
          <cell r="PW30">
            <v>0</v>
          </cell>
          <cell r="PX30">
            <v>0</v>
          </cell>
          <cell r="PZ30">
            <v>0</v>
          </cell>
          <cell r="QA30">
            <v>0</v>
          </cell>
          <cell r="QB30">
            <v>0</v>
          </cell>
          <cell r="QC30">
            <v>0</v>
          </cell>
          <cell r="QE30">
            <v>0</v>
          </cell>
          <cell r="QF30">
            <v>0</v>
          </cell>
          <cell r="QG30">
            <v>0</v>
          </cell>
          <cell r="QH30">
            <v>0</v>
          </cell>
          <cell r="QJ30">
            <v>0</v>
          </cell>
          <cell r="QK30">
            <v>0</v>
          </cell>
          <cell r="QL30">
            <v>0</v>
          </cell>
          <cell r="QM30">
            <v>0</v>
          </cell>
          <cell r="QO30">
            <v>0</v>
          </cell>
          <cell r="QP30">
            <v>0</v>
          </cell>
          <cell r="QQ30">
            <v>0</v>
          </cell>
          <cell r="QR30">
            <v>0</v>
          </cell>
          <cell r="QT30">
            <v>0</v>
          </cell>
          <cell r="QU30">
            <v>0</v>
          </cell>
          <cell r="QV30">
            <v>0</v>
          </cell>
          <cell r="QW30">
            <v>0</v>
          </cell>
          <cell r="QY30">
            <v>0</v>
          </cell>
          <cell r="QZ30">
            <v>0</v>
          </cell>
          <cell r="RA30">
            <v>0</v>
          </cell>
          <cell r="RB30">
            <v>0</v>
          </cell>
          <cell r="RD30">
            <v>0</v>
          </cell>
          <cell r="RE30">
            <v>0</v>
          </cell>
          <cell r="RF30">
            <v>0</v>
          </cell>
          <cell r="RG30">
            <v>0</v>
          </cell>
          <cell r="RI30">
            <v>0</v>
          </cell>
          <cell r="RJ30">
            <v>0</v>
          </cell>
          <cell r="RK30">
            <v>0</v>
          </cell>
          <cell r="RL30">
            <v>0</v>
          </cell>
          <cell r="RN30">
            <v>0</v>
          </cell>
          <cell r="RO30">
            <v>0</v>
          </cell>
          <cell r="RP30">
            <v>0</v>
          </cell>
          <cell r="RQ30">
            <v>0</v>
          </cell>
          <cell r="RS30">
            <v>0</v>
          </cell>
          <cell r="RT30">
            <v>0</v>
          </cell>
          <cell r="RU30">
            <v>0</v>
          </cell>
          <cell r="RV30">
            <v>0</v>
          </cell>
          <cell r="RX30">
            <v>0</v>
          </cell>
          <cell r="RY30">
            <v>0</v>
          </cell>
          <cell r="RZ30">
            <v>0</v>
          </cell>
          <cell r="SA30">
            <v>0</v>
          </cell>
          <cell r="SC30">
            <v>0</v>
          </cell>
          <cell r="SD30">
            <v>0</v>
          </cell>
          <cell r="SE30">
            <v>0</v>
          </cell>
          <cell r="SF30">
            <v>0</v>
          </cell>
          <cell r="SH30">
            <v>0</v>
          </cell>
          <cell r="SI30">
            <v>0</v>
          </cell>
          <cell r="SJ30">
            <v>0</v>
          </cell>
          <cell r="SK30">
            <v>0</v>
          </cell>
          <cell r="SM30">
            <v>0</v>
          </cell>
          <cell r="SN30">
            <v>0</v>
          </cell>
          <cell r="SO30">
            <v>0</v>
          </cell>
          <cell r="SP30">
            <v>0</v>
          </cell>
          <cell r="SR30">
            <v>0</v>
          </cell>
          <cell r="SS30">
            <v>0</v>
          </cell>
          <cell r="ST30">
            <v>0</v>
          </cell>
          <cell r="SU30">
            <v>0</v>
          </cell>
          <cell r="SW30">
            <v>0</v>
          </cell>
          <cell r="SX30">
            <v>0</v>
          </cell>
          <cell r="SY30">
            <v>0</v>
          </cell>
          <cell r="SZ30">
            <v>0</v>
          </cell>
          <cell r="TB30">
            <v>0</v>
          </cell>
          <cell r="TC30">
            <v>0</v>
          </cell>
          <cell r="TD30">
            <v>0</v>
          </cell>
          <cell r="TE30">
            <v>0</v>
          </cell>
          <cell r="TG30">
            <v>0</v>
          </cell>
          <cell r="TH30">
            <v>0</v>
          </cell>
          <cell r="TI30">
            <v>0</v>
          </cell>
          <cell r="TJ30">
            <v>0</v>
          </cell>
          <cell r="TL30">
            <v>0</v>
          </cell>
          <cell r="TM30">
            <v>0</v>
          </cell>
          <cell r="TN30">
            <v>0</v>
          </cell>
          <cell r="TO30">
            <v>0</v>
          </cell>
          <cell r="TQ30">
            <v>0</v>
          </cell>
          <cell r="TR30">
            <v>0</v>
          </cell>
          <cell r="TS30">
            <v>0</v>
          </cell>
          <cell r="TT30">
            <v>0</v>
          </cell>
          <cell r="TV30">
            <v>0</v>
          </cell>
          <cell r="TW30">
            <v>0</v>
          </cell>
          <cell r="TX30">
            <v>0</v>
          </cell>
          <cell r="TY30">
            <v>0</v>
          </cell>
          <cell r="UA30">
            <v>0</v>
          </cell>
          <cell r="UB30">
            <v>0</v>
          </cell>
          <cell r="UC30">
            <v>0</v>
          </cell>
          <cell r="UD30">
            <v>0</v>
          </cell>
          <cell r="UF30">
            <v>0</v>
          </cell>
          <cell r="UG30">
            <v>0</v>
          </cell>
          <cell r="UH30">
            <v>0</v>
          </cell>
          <cell r="UI30">
            <v>0</v>
          </cell>
          <cell r="UK30">
            <v>0</v>
          </cell>
          <cell r="UL30">
            <v>0</v>
          </cell>
          <cell r="UM30">
            <v>0</v>
          </cell>
          <cell r="UN30">
            <v>0</v>
          </cell>
          <cell r="UP30">
            <v>0</v>
          </cell>
          <cell r="UQ30">
            <v>0</v>
          </cell>
          <cell r="UR30">
            <v>0</v>
          </cell>
          <cell r="US30">
            <v>0</v>
          </cell>
          <cell r="UU30">
            <v>0</v>
          </cell>
          <cell r="UV30">
            <v>0</v>
          </cell>
          <cell r="UW30">
            <v>0</v>
          </cell>
          <cell r="UX30">
            <v>0</v>
          </cell>
          <cell r="UZ30">
            <v>0</v>
          </cell>
          <cell r="VA30">
            <v>0</v>
          </cell>
          <cell r="VB30">
            <v>0</v>
          </cell>
          <cell r="VC30">
            <v>0</v>
          </cell>
          <cell r="VE30">
            <v>0</v>
          </cell>
          <cell r="VF30">
            <v>0</v>
          </cell>
          <cell r="VG30">
            <v>0</v>
          </cell>
          <cell r="VH30">
            <v>0</v>
          </cell>
          <cell r="VJ30">
            <v>0</v>
          </cell>
          <cell r="VK30">
            <v>0</v>
          </cell>
          <cell r="VL30">
            <v>0</v>
          </cell>
          <cell r="VM30">
            <v>0</v>
          </cell>
          <cell r="VO30">
            <v>0</v>
          </cell>
          <cell r="VP30">
            <v>0</v>
          </cell>
          <cell r="VQ30">
            <v>0</v>
          </cell>
          <cell r="VR30">
            <v>0</v>
          </cell>
          <cell r="VT30">
            <v>0</v>
          </cell>
          <cell r="VU30">
            <v>0</v>
          </cell>
          <cell r="VV30">
            <v>0</v>
          </cell>
          <cell r="VW30">
            <v>0</v>
          </cell>
          <cell r="VY30">
            <v>0</v>
          </cell>
          <cell r="VZ30">
            <v>0</v>
          </cell>
          <cell r="WA30">
            <v>0</v>
          </cell>
          <cell r="WB30">
            <v>0</v>
          </cell>
          <cell r="WD30">
            <v>0</v>
          </cell>
          <cell r="WE30">
            <v>0</v>
          </cell>
          <cell r="WF30">
            <v>0</v>
          </cell>
          <cell r="WG30">
            <v>0</v>
          </cell>
          <cell r="WI30">
            <v>0</v>
          </cell>
          <cell r="WJ30">
            <v>0</v>
          </cell>
          <cell r="WK30">
            <v>0</v>
          </cell>
          <cell r="WL30">
            <v>0</v>
          </cell>
          <cell r="WN30">
            <v>0</v>
          </cell>
          <cell r="WO30">
            <v>0</v>
          </cell>
          <cell r="WP30">
            <v>0</v>
          </cell>
          <cell r="WQ30">
            <v>0</v>
          </cell>
          <cell r="WS30">
            <v>0</v>
          </cell>
          <cell r="WT30">
            <v>0</v>
          </cell>
          <cell r="WU30">
            <v>0</v>
          </cell>
          <cell r="WV30">
            <v>0</v>
          </cell>
          <cell r="WX30">
            <v>0</v>
          </cell>
          <cell r="WY30">
            <v>0</v>
          </cell>
          <cell r="WZ30">
            <v>0</v>
          </cell>
          <cell r="XA30">
            <v>0</v>
          </cell>
          <cell r="XC30">
            <v>0</v>
          </cell>
          <cell r="XD30">
            <v>0</v>
          </cell>
          <cell r="XE30">
            <v>0</v>
          </cell>
          <cell r="XF30">
            <v>0</v>
          </cell>
          <cell r="XH30">
            <v>0</v>
          </cell>
          <cell r="XI30">
            <v>0</v>
          </cell>
          <cell r="XJ30">
            <v>0</v>
          </cell>
          <cell r="XK30">
            <v>0</v>
          </cell>
          <cell r="XM30">
            <v>0</v>
          </cell>
          <cell r="XN30">
            <v>0</v>
          </cell>
          <cell r="XO30">
            <v>0</v>
          </cell>
          <cell r="XP30">
            <v>0</v>
          </cell>
          <cell r="XR30">
            <v>0</v>
          </cell>
          <cell r="XS30">
            <v>0</v>
          </cell>
          <cell r="XT30">
            <v>0</v>
          </cell>
          <cell r="XU30">
            <v>0</v>
          </cell>
          <cell r="XW30">
            <v>0</v>
          </cell>
          <cell r="XX30">
            <v>0</v>
          </cell>
          <cell r="XY30">
            <v>0</v>
          </cell>
          <cell r="XZ30">
            <v>0</v>
          </cell>
          <cell r="YB30">
            <v>0</v>
          </cell>
          <cell r="YC30">
            <v>0</v>
          </cell>
          <cell r="YD30">
            <v>0</v>
          </cell>
          <cell r="YE30">
            <v>0</v>
          </cell>
        </row>
        <row r="31">
          <cell r="A31">
            <v>21</v>
          </cell>
          <cell r="B31" t="str">
            <v>材料試驗費用</v>
          </cell>
          <cell r="C31" t="str">
            <v>式</v>
          </cell>
          <cell r="D31">
            <v>1</v>
          </cell>
          <cell r="E31">
            <v>19382</v>
          </cell>
          <cell r="F31">
            <v>19382</v>
          </cell>
          <cell r="G31">
            <v>0.43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  <cell r="CD31">
            <v>0</v>
          </cell>
          <cell r="CE31">
            <v>0</v>
          </cell>
          <cell r="CF31">
            <v>0</v>
          </cell>
          <cell r="CG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N31">
            <v>0</v>
          </cell>
          <cell r="CO31">
            <v>0</v>
          </cell>
          <cell r="CP31">
            <v>0</v>
          </cell>
          <cell r="CQ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H31">
            <v>0</v>
          </cell>
          <cell r="DI31">
            <v>0</v>
          </cell>
          <cell r="DJ31">
            <v>0</v>
          </cell>
          <cell r="DK31">
            <v>0</v>
          </cell>
          <cell r="DM31">
            <v>0</v>
          </cell>
          <cell r="DN31">
            <v>0</v>
          </cell>
          <cell r="DO31">
            <v>0</v>
          </cell>
          <cell r="DP31">
            <v>0</v>
          </cell>
          <cell r="DR31">
            <v>0</v>
          </cell>
          <cell r="DS31">
            <v>0</v>
          </cell>
          <cell r="DT31">
            <v>0</v>
          </cell>
          <cell r="DU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L31">
            <v>0</v>
          </cell>
          <cell r="EM31">
            <v>0</v>
          </cell>
          <cell r="EN31">
            <v>0</v>
          </cell>
          <cell r="EO31">
            <v>0</v>
          </cell>
          <cell r="EQ31">
            <v>0</v>
          </cell>
          <cell r="ER31">
            <v>0</v>
          </cell>
          <cell r="ES31">
            <v>0</v>
          </cell>
          <cell r="ET31">
            <v>0</v>
          </cell>
          <cell r="EV31">
            <v>0</v>
          </cell>
          <cell r="EW31">
            <v>0</v>
          </cell>
          <cell r="EX31">
            <v>0</v>
          </cell>
          <cell r="EY31">
            <v>0</v>
          </cell>
          <cell r="FA31">
            <v>0</v>
          </cell>
          <cell r="FB31">
            <v>0</v>
          </cell>
          <cell r="FC31">
            <v>0</v>
          </cell>
          <cell r="FD31">
            <v>0</v>
          </cell>
          <cell r="FF31">
            <v>0</v>
          </cell>
          <cell r="FG31">
            <v>0</v>
          </cell>
          <cell r="FH31">
            <v>0</v>
          </cell>
          <cell r="FI31">
            <v>0</v>
          </cell>
          <cell r="FK31">
            <v>0</v>
          </cell>
          <cell r="FL31">
            <v>0</v>
          </cell>
          <cell r="FM31">
            <v>0</v>
          </cell>
          <cell r="FN31">
            <v>0</v>
          </cell>
          <cell r="FP31">
            <v>0</v>
          </cell>
          <cell r="FQ31">
            <v>0</v>
          </cell>
          <cell r="FR31">
            <v>0</v>
          </cell>
          <cell r="FS31">
            <v>0</v>
          </cell>
          <cell r="FU31">
            <v>0</v>
          </cell>
          <cell r="FV31">
            <v>0</v>
          </cell>
          <cell r="FW31">
            <v>0</v>
          </cell>
          <cell r="FX31">
            <v>0</v>
          </cell>
          <cell r="FZ31">
            <v>0</v>
          </cell>
          <cell r="GA31">
            <v>0</v>
          </cell>
          <cell r="GB31">
            <v>0</v>
          </cell>
          <cell r="GC31">
            <v>0</v>
          </cell>
          <cell r="GE31">
            <v>0</v>
          </cell>
          <cell r="GF31">
            <v>0</v>
          </cell>
          <cell r="GG31">
            <v>0</v>
          </cell>
          <cell r="GH31">
            <v>0</v>
          </cell>
          <cell r="GJ31">
            <v>0</v>
          </cell>
          <cell r="GK31">
            <v>0</v>
          </cell>
          <cell r="GL31">
            <v>0</v>
          </cell>
          <cell r="GM31">
            <v>0</v>
          </cell>
          <cell r="GO31">
            <v>0</v>
          </cell>
          <cell r="GP31">
            <v>0</v>
          </cell>
          <cell r="GQ31">
            <v>0</v>
          </cell>
          <cell r="GR31">
            <v>0</v>
          </cell>
          <cell r="GT31">
            <v>0</v>
          </cell>
          <cell r="GU31">
            <v>0</v>
          </cell>
          <cell r="GV31">
            <v>0</v>
          </cell>
          <cell r="GW31">
            <v>0</v>
          </cell>
          <cell r="GY31">
            <v>0</v>
          </cell>
          <cell r="GZ31">
            <v>0</v>
          </cell>
          <cell r="HA31">
            <v>0</v>
          </cell>
          <cell r="HB31">
            <v>0</v>
          </cell>
          <cell r="HD31">
            <v>0</v>
          </cell>
          <cell r="HE31">
            <v>0</v>
          </cell>
          <cell r="HF31">
            <v>0</v>
          </cell>
          <cell r="HG31">
            <v>0</v>
          </cell>
          <cell r="HI31">
            <v>0</v>
          </cell>
          <cell r="HJ31">
            <v>0</v>
          </cell>
          <cell r="HK31">
            <v>0</v>
          </cell>
          <cell r="HL31">
            <v>0</v>
          </cell>
          <cell r="HN31">
            <v>0</v>
          </cell>
          <cell r="HO31">
            <v>0</v>
          </cell>
          <cell r="HP31">
            <v>0</v>
          </cell>
          <cell r="HQ31">
            <v>0</v>
          </cell>
          <cell r="HS31">
            <v>0</v>
          </cell>
          <cell r="HT31">
            <v>0</v>
          </cell>
          <cell r="HU31">
            <v>0</v>
          </cell>
          <cell r="HV31">
            <v>0</v>
          </cell>
          <cell r="HX31">
            <v>0</v>
          </cell>
          <cell r="HY31">
            <v>0</v>
          </cell>
          <cell r="HZ31">
            <v>0</v>
          </cell>
          <cell r="IA31">
            <v>0</v>
          </cell>
          <cell r="IC31">
            <v>0</v>
          </cell>
          <cell r="ID31">
            <v>0</v>
          </cell>
          <cell r="IE31">
            <v>0</v>
          </cell>
          <cell r="IF31">
            <v>0</v>
          </cell>
          <cell r="IH31">
            <v>0</v>
          </cell>
          <cell r="II31">
            <v>0</v>
          </cell>
          <cell r="IJ31">
            <v>0</v>
          </cell>
          <cell r="IK31">
            <v>0</v>
          </cell>
          <cell r="IM31">
            <v>0</v>
          </cell>
          <cell r="IN31">
            <v>0</v>
          </cell>
          <cell r="IO31">
            <v>0</v>
          </cell>
          <cell r="IP31">
            <v>0</v>
          </cell>
          <cell r="IR31">
            <v>0</v>
          </cell>
          <cell r="IS31">
            <v>0</v>
          </cell>
          <cell r="IT31">
            <v>0</v>
          </cell>
          <cell r="IU31">
            <v>0</v>
          </cell>
          <cell r="IW31">
            <v>0</v>
          </cell>
          <cell r="IX31">
            <v>0</v>
          </cell>
          <cell r="IY31">
            <v>0</v>
          </cell>
          <cell r="IZ31">
            <v>0</v>
          </cell>
          <cell r="JB31">
            <v>0</v>
          </cell>
          <cell r="JC31">
            <v>0</v>
          </cell>
          <cell r="JD31">
            <v>0</v>
          </cell>
          <cell r="JE31">
            <v>0</v>
          </cell>
          <cell r="JG31">
            <v>0</v>
          </cell>
          <cell r="JH31">
            <v>0</v>
          </cell>
          <cell r="JI31">
            <v>0</v>
          </cell>
          <cell r="JJ31">
            <v>0</v>
          </cell>
          <cell r="JL31">
            <v>0</v>
          </cell>
          <cell r="JM31">
            <v>0</v>
          </cell>
          <cell r="JN31">
            <v>0</v>
          </cell>
          <cell r="JO31">
            <v>0</v>
          </cell>
          <cell r="JQ31">
            <v>0</v>
          </cell>
          <cell r="JR31">
            <v>0</v>
          </cell>
          <cell r="JS31">
            <v>0</v>
          </cell>
          <cell r="JT31">
            <v>0</v>
          </cell>
          <cell r="JV31">
            <v>0</v>
          </cell>
          <cell r="JW31">
            <v>0</v>
          </cell>
          <cell r="JX31">
            <v>0</v>
          </cell>
          <cell r="JY31">
            <v>0</v>
          </cell>
          <cell r="KA31">
            <v>0</v>
          </cell>
          <cell r="KB31">
            <v>0</v>
          </cell>
          <cell r="KC31">
            <v>0</v>
          </cell>
          <cell r="KD31">
            <v>0</v>
          </cell>
          <cell r="KF31">
            <v>0</v>
          </cell>
          <cell r="KG31">
            <v>0</v>
          </cell>
          <cell r="KH31">
            <v>0</v>
          </cell>
          <cell r="KI31">
            <v>0</v>
          </cell>
          <cell r="KK31">
            <v>0</v>
          </cell>
          <cell r="KL31">
            <v>0</v>
          </cell>
          <cell r="KM31">
            <v>0</v>
          </cell>
          <cell r="KN31">
            <v>0</v>
          </cell>
          <cell r="KP31">
            <v>0</v>
          </cell>
          <cell r="KQ31">
            <v>0</v>
          </cell>
          <cell r="KR31">
            <v>0</v>
          </cell>
          <cell r="KS31">
            <v>0</v>
          </cell>
          <cell r="KU31">
            <v>0</v>
          </cell>
          <cell r="KV31">
            <v>0</v>
          </cell>
          <cell r="KW31">
            <v>0</v>
          </cell>
          <cell r="KX31">
            <v>0</v>
          </cell>
          <cell r="KZ31">
            <v>0</v>
          </cell>
          <cell r="LA31">
            <v>0</v>
          </cell>
          <cell r="LB31">
            <v>0</v>
          </cell>
          <cell r="LC31">
            <v>0</v>
          </cell>
          <cell r="LE31">
            <v>0</v>
          </cell>
          <cell r="LF31">
            <v>0</v>
          </cell>
          <cell r="LG31">
            <v>0</v>
          </cell>
          <cell r="LH31">
            <v>0</v>
          </cell>
          <cell r="LJ31">
            <v>0</v>
          </cell>
          <cell r="LK31">
            <v>0</v>
          </cell>
          <cell r="LL31">
            <v>0</v>
          </cell>
          <cell r="LM31">
            <v>0</v>
          </cell>
          <cell r="LO31">
            <v>0</v>
          </cell>
          <cell r="LP31">
            <v>0</v>
          </cell>
          <cell r="LQ31">
            <v>0</v>
          </cell>
          <cell r="LR31">
            <v>0</v>
          </cell>
          <cell r="LT31">
            <v>0</v>
          </cell>
          <cell r="LU31">
            <v>0</v>
          </cell>
          <cell r="LV31">
            <v>0</v>
          </cell>
          <cell r="LW31">
            <v>0</v>
          </cell>
          <cell r="LY31">
            <v>0</v>
          </cell>
          <cell r="LZ31">
            <v>0</v>
          </cell>
          <cell r="MA31">
            <v>0</v>
          </cell>
          <cell r="MB31">
            <v>0</v>
          </cell>
          <cell r="MD31">
            <v>0</v>
          </cell>
          <cell r="ME31">
            <v>0</v>
          </cell>
          <cell r="MF31">
            <v>0</v>
          </cell>
          <cell r="MG31">
            <v>0</v>
          </cell>
          <cell r="MI31">
            <v>0</v>
          </cell>
          <cell r="MJ31">
            <v>0</v>
          </cell>
          <cell r="MK31">
            <v>0</v>
          </cell>
          <cell r="ML31">
            <v>0</v>
          </cell>
          <cell r="MN31">
            <v>0</v>
          </cell>
          <cell r="MO31">
            <v>0</v>
          </cell>
          <cell r="MP31">
            <v>0</v>
          </cell>
          <cell r="MQ31">
            <v>0</v>
          </cell>
          <cell r="MS31">
            <v>0</v>
          </cell>
          <cell r="MT31">
            <v>0</v>
          </cell>
          <cell r="MU31">
            <v>0</v>
          </cell>
          <cell r="MV31">
            <v>0</v>
          </cell>
          <cell r="MX31">
            <v>0</v>
          </cell>
          <cell r="MY31">
            <v>0</v>
          </cell>
          <cell r="MZ31">
            <v>0</v>
          </cell>
          <cell r="NA31">
            <v>0</v>
          </cell>
          <cell r="NC31">
            <v>0</v>
          </cell>
          <cell r="ND31">
            <v>0</v>
          </cell>
          <cell r="NE31">
            <v>0</v>
          </cell>
          <cell r="NF31">
            <v>0</v>
          </cell>
          <cell r="NH31">
            <v>0</v>
          </cell>
          <cell r="NI31">
            <v>0</v>
          </cell>
          <cell r="NJ31">
            <v>0</v>
          </cell>
          <cell r="NK31">
            <v>0</v>
          </cell>
          <cell r="NM31">
            <v>0</v>
          </cell>
          <cell r="NN31">
            <v>0</v>
          </cell>
          <cell r="NO31">
            <v>0</v>
          </cell>
          <cell r="NP31">
            <v>0</v>
          </cell>
          <cell r="NR31">
            <v>0</v>
          </cell>
          <cell r="NS31">
            <v>0</v>
          </cell>
          <cell r="NT31">
            <v>0</v>
          </cell>
          <cell r="NU31">
            <v>0</v>
          </cell>
          <cell r="NW31">
            <v>0</v>
          </cell>
          <cell r="NX31">
            <v>0</v>
          </cell>
          <cell r="NY31">
            <v>0</v>
          </cell>
          <cell r="NZ31">
            <v>0</v>
          </cell>
          <cell r="OB31">
            <v>0</v>
          </cell>
          <cell r="OC31">
            <v>0</v>
          </cell>
          <cell r="OD31">
            <v>0</v>
          </cell>
          <cell r="OE31">
            <v>0</v>
          </cell>
          <cell r="OG31">
            <v>0</v>
          </cell>
          <cell r="OH31">
            <v>0</v>
          </cell>
          <cell r="OI31">
            <v>0</v>
          </cell>
          <cell r="OJ31">
            <v>0</v>
          </cell>
          <cell r="OL31">
            <v>0</v>
          </cell>
          <cell r="OM31">
            <v>0</v>
          </cell>
          <cell r="ON31">
            <v>0</v>
          </cell>
          <cell r="OO31">
            <v>0</v>
          </cell>
          <cell r="OQ31">
            <v>0</v>
          </cell>
          <cell r="OR31">
            <v>0</v>
          </cell>
          <cell r="OS31">
            <v>0</v>
          </cell>
          <cell r="OT31">
            <v>0</v>
          </cell>
          <cell r="OV31">
            <v>0</v>
          </cell>
          <cell r="OW31">
            <v>0</v>
          </cell>
          <cell r="OX31">
            <v>0</v>
          </cell>
          <cell r="OY31">
            <v>0</v>
          </cell>
          <cell r="PA31">
            <v>0</v>
          </cell>
          <cell r="PB31">
            <v>0</v>
          </cell>
          <cell r="PC31">
            <v>0</v>
          </cell>
          <cell r="PD31">
            <v>0</v>
          </cell>
          <cell r="PF31">
            <v>0</v>
          </cell>
          <cell r="PG31">
            <v>0</v>
          </cell>
          <cell r="PH31">
            <v>0</v>
          </cell>
          <cell r="PI31">
            <v>0</v>
          </cell>
          <cell r="PK31">
            <v>0</v>
          </cell>
          <cell r="PL31">
            <v>0</v>
          </cell>
          <cell r="PM31">
            <v>0</v>
          </cell>
          <cell r="PN31">
            <v>0</v>
          </cell>
          <cell r="PP31">
            <v>0</v>
          </cell>
          <cell r="PQ31">
            <v>0</v>
          </cell>
          <cell r="PR31">
            <v>0</v>
          </cell>
          <cell r="PS31">
            <v>0</v>
          </cell>
          <cell r="PU31">
            <v>0</v>
          </cell>
          <cell r="PV31">
            <v>0</v>
          </cell>
          <cell r="PW31">
            <v>0</v>
          </cell>
          <cell r="PX31">
            <v>0</v>
          </cell>
          <cell r="PZ31">
            <v>0</v>
          </cell>
          <cell r="QA31">
            <v>0</v>
          </cell>
          <cell r="QB31">
            <v>0</v>
          </cell>
          <cell r="QC31">
            <v>0</v>
          </cell>
          <cell r="QE31">
            <v>0</v>
          </cell>
          <cell r="QF31">
            <v>0</v>
          </cell>
          <cell r="QG31">
            <v>0</v>
          </cell>
          <cell r="QH31">
            <v>0</v>
          </cell>
          <cell r="QJ31">
            <v>0</v>
          </cell>
          <cell r="QK31">
            <v>0</v>
          </cell>
          <cell r="QL31">
            <v>0</v>
          </cell>
          <cell r="QM31">
            <v>0</v>
          </cell>
          <cell r="QO31">
            <v>0</v>
          </cell>
          <cell r="QP31">
            <v>0</v>
          </cell>
          <cell r="QQ31">
            <v>0</v>
          </cell>
          <cell r="QR31">
            <v>0</v>
          </cell>
          <cell r="QT31">
            <v>0</v>
          </cell>
          <cell r="QU31">
            <v>0</v>
          </cell>
          <cell r="QV31">
            <v>0</v>
          </cell>
          <cell r="QW31">
            <v>0</v>
          </cell>
          <cell r="QY31">
            <v>0</v>
          </cell>
          <cell r="QZ31">
            <v>0</v>
          </cell>
          <cell r="RA31">
            <v>0</v>
          </cell>
          <cell r="RB31">
            <v>0</v>
          </cell>
          <cell r="RD31">
            <v>0</v>
          </cell>
          <cell r="RE31">
            <v>0</v>
          </cell>
          <cell r="RF31">
            <v>0</v>
          </cell>
          <cell r="RG31">
            <v>0</v>
          </cell>
          <cell r="RI31">
            <v>0</v>
          </cell>
          <cell r="RJ31">
            <v>0</v>
          </cell>
          <cell r="RK31">
            <v>0</v>
          </cell>
          <cell r="RL31">
            <v>0</v>
          </cell>
          <cell r="RN31">
            <v>0</v>
          </cell>
          <cell r="RO31">
            <v>0</v>
          </cell>
          <cell r="RP31">
            <v>0</v>
          </cell>
          <cell r="RQ31">
            <v>0</v>
          </cell>
          <cell r="RS31">
            <v>0</v>
          </cell>
          <cell r="RT31">
            <v>0</v>
          </cell>
          <cell r="RU31">
            <v>0</v>
          </cell>
          <cell r="RV31">
            <v>0</v>
          </cell>
          <cell r="RX31">
            <v>0</v>
          </cell>
          <cell r="RY31">
            <v>0</v>
          </cell>
          <cell r="RZ31">
            <v>0</v>
          </cell>
          <cell r="SA31">
            <v>0</v>
          </cell>
          <cell r="SC31">
            <v>0</v>
          </cell>
          <cell r="SD31">
            <v>0</v>
          </cell>
          <cell r="SE31">
            <v>0</v>
          </cell>
          <cell r="SF31">
            <v>0</v>
          </cell>
          <cell r="SH31">
            <v>0</v>
          </cell>
          <cell r="SI31">
            <v>0</v>
          </cell>
          <cell r="SJ31">
            <v>0</v>
          </cell>
          <cell r="SK31">
            <v>0</v>
          </cell>
          <cell r="SM31">
            <v>0</v>
          </cell>
          <cell r="SN31">
            <v>0</v>
          </cell>
          <cell r="SO31">
            <v>0</v>
          </cell>
          <cell r="SP31">
            <v>0</v>
          </cell>
          <cell r="SR31">
            <v>0</v>
          </cell>
          <cell r="SS31">
            <v>0</v>
          </cell>
          <cell r="ST31">
            <v>0</v>
          </cell>
          <cell r="SU31">
            <v>0</v>
          </cell>
          <cell r="SW31">
            <v>0</v>
          </cell>
          <cell r="SX31">
            <v>0</v>
          </cell>
          <cell r="SY31">
            <v>0</v>
          </cell>
          <cell r="SZ31">
            <v>0</v>
          </cell>
          <cell r="TB31">
            <v>0</v>
          </cell>
          <cell r="TC31">
            <v>0</v>
          </cell>
          <cell r="TD31">
            <v>0</v>
          </cell>
          <cell r="TE31">
            <v>0</v>
          </cell>
          <cell r="TG31">
            <v>0</v>
          </cell>
          <cell r="TH31">
            <v>0</v>
          </cell>
          <cell r="TI31">
            <v>0</v>
          </cell>
          <cell r="TJ31">
            <v>0</v>
          </cell>
          <cell r="TL31">
            <v>0</v>
          </cell>
          <cell r="TM31">
            <v>0</v>
          </cell>
          <cell r="TN31">
            <v>0</v>
          </cell>
          <cell r="TO31">
            <v>0</v>
          </cell>
          <cell r="TQ31">
            <v>0</v>
          </cell>
          <cell r="TR31">
            <v>0</v>
          </cell>
          <cell r="TS31">
            <v>0</v>
          </cell>
          <cell r="TT31">
            <v>0</v>
          </cell>
          <cell r="TV31">
            <v>0</v>
          </cell>
          <cell r="TW31">
            <v>0</v>
          </cell>
          <cell r="TX31">
            <v>0</v>
          </cell>
          <cell r="TY31">
            <v>0</v>
          </cell>
          <cell r="UA31">
            <v>0</v>
          </cell>
          <cell r="UB31">
            <v>0</v>
          </cell>
          <cell r="UC31">
            <v>0</v>
          </cell>
          <cell r="UD31">
            <v>0</v>
          </cell>
          <cell r="UF31">
            <v>0</v>
          </cell>
          <cell r="UG31">
            <v>0</v>
          </cell>
          <cell r="UH31">
            <v>0</v>
          </cell>
          <cell r="UI31">
            <v>0</v>
          </cell>
          <cell r="UK31">
            <v>0</v>
          </cell>
          <cell r="UL31">
            <v>0</v>
          </cell>
          <cell r="UM31">
            <v>0</v>
          </cell>
          <cell r="UN31">
            <v>0</v>
          </cell>
          <cell r="UP31">
            <v>0</v>
          </cell>
          <cell r="UQ31">
            <v>0</v>
          </cell>
          <cell r="UR31">
            <v>0</v>
          </cell>
          <cell r="US31">
            <v>0</v>
          </cell>
          <cell r="UU31">
            <v>0</v>
          </cell>
          <cell r="UV31">
            <v>0</v>
          </cell>
          <cell r="UW31">
            <v>0</v>
          </cell>
          <cell r="UX31">
            <v>0</v>
          </cell>
          <cell r="UZ31">
            <v>0</v>
          </cell>
          <cell r="VA31">
            <v>0</v>
          </cell>
          <cell r="VB31">
            <v>0</v>
          </cell>
          <cell r="VC31">
            <v>0</v>
          </cell>
          <cell r="VE31">
            <v>0</v>
          </cell>
          <cell r="VF31">
            <v>0</v>
          </cell>
          <cell r="VG31">
            <v>0</v>
          </cell>
          <cell r="VH31">
            <v>0</v>
          </cell>
          <cell r="VJ31">
            <v>0</v>
          </cell>
          <cell r="VK31">
            <v>0</v>
          </cell>
          <cell r="VL31">
            <v>0</v>
          </cell>
          <cell r="VM31">
            <v>0</v>
          </cell>
          <cell r="VO31">
            <v>0</v>
          </cell>
          <cell r="VP31">
            <v>0</v>
          </cell>
          <cell r="VQ31">
            <v>0</v>
          </cell>
          <cell r="VR31">
            <v>0</v>
          </cell>
          <cell r="VT31">
            <v>0</v>
          </cell>
          <cell r="VU31">
            <v>0</v>
          </cell>
          <cell r="VV31">
            <v>0</v>
          </cell>
          <cell r="VW31">
            <v>0</v>
          </cell>
          <cell r="VY31">
            <v>0</v>
          </cell>
          <cell r="VZ31">
            <v>0</v>
          </cell>
          <cell r="WA31">
            <v>0</v>
          </cell>
          <cell r="WB31">
            <v>0</v>
          </cell>
          <cell r="WD31">
            <v>0</v>
          </cell>
          <cell r="WE31">
            <v>0</v>
          </cell>
          <cell r="WF31">
            <v>0</v>
          </cell>
          <cell r="WG31">
            <v>0</v>
          </cell>
          <cell r="WI31">
            <v>0</v>
          </cell>
          <cell r="WJ31">
            <v>0</v>
          </cell>
          <cell r="WK31">
            <v>0</v>
          </cell>
          <cell r="WL31">
            <v>0</v>
          </cell>
          <cell r="WN31">
            <v>0</v>
          </cell>
          <cell r="WO31">
            <v>0</v>
          </cell>
          <cell r="WP31">
            <v>0</v>
          </cell>
          <cell r="WQ31">
            <v>0</v>
          </cell>
          <cell r="WS31">
            <v>0</v>
          </cell>
          <cell r="WT31">
            <v>0</v>
          </cell>
          <cell r="WU31">
            <v>0</v>
          </cell>
          <cell r="WV31">
            <v>0</v>
          </cell>
          <cell r="WX31">
            <v>0</v>
          </cell>
          <cell r="WY31">
            <v>0</v>
          </cell>
          <cell r="WZ31">
            <v>0</v>
          </cell>
          <cell r="XA31">
            <v>0</v>
          </cell>
          <cell r="XC31">
            <v>0</v>
          </cell>
          <cell r="XD31">
            <v>0</v>
          </cell>
          <cell r="XE31">
            <v>0</v>
          </cell>
          <cell r="XF31">
            <v>0</v>
          </cell>
          <cell r="XH31">
            <v>0</v>
          </cell>
          <cell r="XI31">
            <v>0</v>
          </cell>
          <cell r="XJ31">
            <v>0</v>
          </cell>
          <cell r="XK31">
            <v>0</v>
          </cell>
          <cell r="XM31">
            <v>0</v>
          </cell>
          <cell r="XN31">
            <v>0</v>
          </cell>
          <cell r="XO31">
            <v>0</v>
          </cell>
          <cell r="XP31">
            <v>0</v>
          </cell>
          <cell r="XR31">
            <v>0</v>
          </cell>
          <cell r="XS31">
            <v>0</v>
          </cell>
          <cell r="XT31">
            <v>0</v>
          </cell>
          <cell r="XU31">
            <v>0</v>
          </cell>
          <cell r="XW31">
            <v>0</v>
          </cell>
          <cell r="XX31">
            <v>0</v>
          </cell>
          <cell r="XY31">
            <v>0</v>
          </cell>
          <cell r="XZ31">
            <v>0</v>
          </cell>
          <cell r="YB31">
            <v>0</v>
          </cell>
          <cell r="YC31">
            <v>0</v>
          </cell>
          <cell r="YD31">
            <v>0</v>
          </cell>
          <cell r="YE31">
            <v>0</v>
          </cell>
        </row>
        <row r="32">
          <cell r="B32" t="str">
            <v>發包工程費合計</v>
          </cell>
          <cell r="F32">
            <v>4399732</v>
          </cell>
          <cell r="G32">
            <v>100</v>
          </cell>
          <cell r="M32">
            <v>53725</v>
          </cell>
          <cell r="N32">
            <v>1.22</v>
          </cell>
          <cell r="R32">
            <v>0</v>
          </cell>
          <cell r="S32">
            <v>0</v>
          </cell>
          <cell r="W32">
            <v>4900</v>
          </cell>
          <cell r="X32">
            <v>0.11</v>
          </cell>
          <cell r="AB32">
            <v>15892.8</v>
          </cell>
          <cell r="AC32">
            <v>0.36</v>
          </cell>
          <cell r="AG32">
            <v>15892.8</v>
          </cell>
          <cell r="AH32">
            <v>0.36</v>
          </cell>
          <cell r="AL32">
            <v>48440</v>
          </cell>
          <cell r="AM32">
            <v>1.1000000000000001</v>
          </cell>
          <cell r="AQ32">
            <v>15892.8</v>
          </cell>
          <cell r="AR32">
            <v>0.36</v>
          </cell>
          <cell r="AV32">
            <v>15892.8</v>
          </cell>
          <cell r="AW32">
            <v>0.36</v>
          </cell>
          <cell r="BA32">
            <v>0</v>
          </cell>
          <cell r="BB32">
            <v>0</v>
          </cell>
          <cell r="BF32">
            <v>0</v>
          </cell>
          <cell r="BG32">
            <v>0</v>
          </cell>
          <cell r="BK32">
            <v>40112.800000000003</v>
          </cell>
          <cell r="BL32">
            <v>0.91</v>
          </cell>
          <cell r="BP32">
            <v>32852.300000000003</v>
          </cell>
          <cell r="BQ32">
            <v>0.75</v>
          </cell>
          <cell r="BU32">
            <v>56197</v>
          </cell>
          <cell r="BV32">
            <v>1.28</v>
          </cell>
          <cell r="BZ32">
            <v>56197</v>
          </cell>
          <cell r="CA32">
            <v>1.28</v>
          </cell>
          <cell r="CE32">
            <v>36330</v>
          </cell>
          <cell r="CF32">
            <v>0.83000000000000007</v>
          </cell>
          <cell r="CJ32">
            <v>28492.799999999999</v>
          </cell>
          <cell r="CK32">
            <v>0.64999999999999991</v>
          </cell>
          <cell r="CO32">
            <v>33918</v>
          </cell>
          <cell r="CP32">
            <v>0.77</v>
          </cell>
          <cell r="CT32">
            <v>96918</v>
          </cell>
          <cell r="CU32">
            <v>2.2000000000000002</v>
          </cell>
          <cell r="CY32">
            <v>15892.8</v>
          </cell>
          <cell r="CZ32">
            <v>0.36</v>
          </cell>
          <cell r="DD32">
            <v>12110</v>
          </cell>
          <cell r="DE32">
            <v>0.28000000000000003</v>
          </cell>
          <cell r="DI32">
            <v>21318</v>
          </cell>
          <cell r="DJ32">
            <v>0.48</v>
          </cell>
          <cell r="DN32">
            <v>12110</v>
          </cell>
          <cell r="DO32">
            <v>0.28000000000000003</v>
          </cell>
          <cell r="DS32">
            <v>0</v>
          </cell>
          <cell r="DT32">
            <v>0</v>
          </cell>
          <cell r="DX32">
            <v>4844</v>
          </cell>
          <cell r="DY32">
            <v>0.11</v>
          </cell>
          <cell r="EC32">
            <v>7266</v>
          </cell>
          <cell r="ED32">
            <v>0.15000000000000002</v>
          </cell>
          <cell r="EH32">
            <v>58200</v>
          </cell>
          <cell r="EI32">
            <v>1.32</v>
          </cell>
          <cell r="EM32">
            <v>81839</v>
          </cell>
          <cell r="EN32">
            <v>1.85</v>
          </cell>
          <cell r="ER32">
            <v>31785.599999999999</v>
          </cell>
          <cell r="ES32">
            <v>0.73000000000000043</v>
          </cell>
          <cell r="EW32">
            <v>511106</v>
          </cell>
          <cell r="EX32">
            <v>11.62</v>
          </cell>
          <cell r="FB32">
            <v>0</v>
          </cell>
          <cell r="FC32">
            <v>0</v>
          </cell>
          <cell r="FG32">
            <v>73255</v>
          </cell>
          <cell r="FH32">
            <v>1.6800000000000004</v>
          </cell>
          <cell r="FL32">
            <v>0</v>
          </cell>
          <cell r="FM32">
            <v>0</v>
          </cell>
          <cell r="FQ32">
            <v>0</v>
          </cell>
          <cell r="FR32">
            <v>0</v>
          </cell>
          <cell r="FV32">
            <v>0</v>
          </cell>
          <cell r="FW32">
            <v>0</v>
          </cell>
          <cell r="GA32">
            <v>0</v>
          </cell>
          <cell r="GB32">
            <v>0</v>
          </cell>
          <cell r="GF32">
            <v>20382</v>
          </cell>
          <cell r="GG32">
            <v>0.46</v>
          </cell>
          <cell r="GK32">
            <v>0</v>
          </cell>
          <cell r="GL32">
            <v>0</v>
          </cell>
          <cell r="GP32">
            <v>0</v>
          </cell>
          <cell r="GQ32">
            <v>0</v>
          </cell>
          <cell r="GU32">
            <v>0</v>
          </cell>
          <cell r="GV32">
            <v>0</v>
          </cell>
          <cell r="GZ32">
            <v>0</v>
          </cell>
          <cell r="HA32">
            <v>0</v>
          </cell>
          <cell r="HE32">
            <v>0</v>
          </cell>
          <cell r="HF32">
            <v>0</v>
          </cell>
          <cell r="HJ32">
            <v>0</v>
          </cell>
          <cell r="HK32">
            <v>0</v>
          </cell>
          <cell r="HO32">
            <v>0</v>
          </cell>
          <cell r="HP32">
            <v>0</v>
          </cell>
          <cell r="HT32">
            <v>0</v>
          </cell>
          <cell r="HU32">
            <v>0</v>
          </cell>
          <cell r="HY32">
            <v>0</v>
          </cell>
          <cell r="HZ32">
            <v>0</v>
          </cell>
          <cell r="ID32">
            <v>0</v>
          </cell>
          <cell r="IE32">
            <v>0</v>
          </cell>
          <cell r="II32">
            <v>0</v>
          </cell>
          <cell r="IJ32">
            <v>0</v>
          </cell>
          <cell r="IN32">
            <v>0</v>
          </cell>
          <cell r="IO32">
            <v>0</v>
          </cell>
          <cell r="IS32">
            <v>0</v>
          </cell>
          <cell r="IT32">
            <v>0</v>
          </cell>
          <cell r="IX32">
            <v>0</v>
          </cell>
          <cell r="IY32">
            <v>0</v>
          </cell>
          <cell r="JC32">
            <v>0</v>
          </cell>
          <cell r="JD32">
            <v>0</v>
          </cell>
          <cell r="JH32">
            <v>0</v>
          </cell>
          <cell r="JI32">
            <v>0</v>
          </cell>
          <cell r="JM32">
            <v>0</v>
          </cell>
          <cell r="JN32">
            <v>0</v>
          </cell>
          <cell r="JR32">
            <v>0</v>
          </cell>
          <cell r="JS32">
            <v>0</v>
          </cell>
          <cell r="JW32">
            <v>0</v>
          </cell>
          <cell r="JX32">
            <v>0</v>
          </cell>
          <cell r="KB32">
            <v>0</v>
          </cell>
          <cell r="KC32">
            <v>0</v>
          </cell>
          <cell r="KG32">
            <v>0</v>
          </cell>
          <cell r="KH32">
            <v>0</v>
          </cell>
          <cell r="KL32">
            <v>0</v>
          </cell>
          <cell r="KM32">
            <v>0</v>
          </cell>
          <cell r="KQ32">
            <v>0</v>
          </cell>
          <cell r="KR32">
            <v>0</v>
          </cell>
          <cell r="KV32">
            <v>0</v>
          </cell>
          <cell r="KW32">
            <v>0</v>
          </cell>
          <cell r="LA32">
            <v>0</v>
          </cell>
          <cell r="LB32">
            <v>0</v>
          </cell>
          <cell r="LF32">
            <v>0</v>
          </cell>
          <cell r="LG32">
            <v>0</v>
          </cell>
          <cell r="LK32">
            <v>0</v>
          </cell>
          <cell r="LL32">
            <v>0</v>
          </cell>
          <cell r="LP32">
            <v>0</v>
          </cell>
          <cell r="LQ32">
            <v>0</v>
          </cell>
          <cell r="LU32">
            <v>0</v>
          </cell>
          <cell r="LV32">
            <v>0</v>
          </cell>
          <cell r="LZ32">
            <v>0</v>
          </cell>
          <cell r="MA32">
            <v>0</v>
          </cell>
          <cell r="ME32">
            <v>0</v>
          </cell>
          <cell r="MF32">
            <v>0</v>
          </cell>
          <cell r="MJ32">
            <v>0</v>
          </cell>
          <cell r="MK32">
            <v>0</v>
          </cell>
          <cell r="MO32">
            <v>0</v>
          </cell>
          <cell r="MP32">
            <v>0</v>
          </cell>
          <cell r="MT32">
            <v>0</v>
          </cell>
          <cell r="MU32">
            <v>0</v>
          </cell>
          <cell r="MY32">
            <v>0</v>
          </cell>
          <cell r="MZ32">
            <v>0</v>
          </cell>
          <cell r="ND32">
            <v>0</v>
          </cell>
          <cell r="NE32">
            <v>0</v>
          </cell>
          <cell r="NI32">
            <v>0</v>
          </cell>
          <cell r="NJ32">
            <v>0</v>
          </cell>
          <cell r="NN32">
            <v>0</v>
          </cell>
          <cell r="NO32">
            <v>0</v>
          </cell>
          <cell r="NS32">
            <v>0</v>
          </cell>
          <cell r="NT32">
            <v>0</v>
          </cell>
          <cell r="NX32">
            <v>0</v>
          </cell>
          <cell r="NY32">
            <v>0</v>
          </cell>
          <cell r="OC32">
            <v>0</v>
          </cell>
          <cell r="OD32">
            <v>0</v>
          </cell>
          <cell r="OH32">
            <v>0</v>
          </cell>
          <cell r="OI32">
            <v>0</v>
          </cell>
          <cell r="OM32">
            <v>0</v>
          </cell>
          <cell r="ON32">
            <v>0</v>
          </cell>
          <cell r="OR32">
            <v>0</v>
          </cell>
          <cell r="OS32">
            <v>0</v>
          </cell>
          <cell r="OW32">
            <v>0</v>
          </cell>
          <cell r="OX32">
            <v>0</v>
          </cell>
          <cell r="PB32">
            <v>0</v>
          </cell>
          <cell r="PC32">
            <v>0</v>
          </cell>
          <cell r="PG32">
            <v>0</v>
          </cell>
          <cell r="PH32">
            <v>0</v>
          </cell>
          <cell r="PL32">
            <v>0</v>
          </cell>
          <cell r="PM32">
            <v>0</v>
          </cell>
          <cell r="PQ32">
            <v>0</v>
          </cell>
          <cell r="PR32">
            <v>0</v>
          </cell>
          <cell r="PV32">
            <v>0</v>
          </cell>
          <cell r="PW32">
            <v>0</v>
          </cell>
          <cell r="QA32">
            <v>0</v>
          </cell>
          <cell r="QB32">
            <v>0</v>
          </cell>
          <cell r="QF32">
            <v>0</v>
          </cell>
          <cell r="QG32">
            <v>0</v>
          </cell>
          <cell r="QK32">
            <v>0</v>
          </cell>
          <cell r="QL32">
            <v>0</v>
          </cell>
          <cell r="QP32">
            <v>0</v>
          </cell>
          <cell r="QQ32">
            <v>0</v>
          </cell>
          <cell r="QU32">
            <v>0</v>
          </cell>
          <cell r="QV32">
            <v>0</v>
          </cell>
          <cell r="QZ32">
            <v>0</v>
          </cell>
          <cell r="RA32">
            <v>0</v>
          </cell>
          <cell r="RE32">
            <v>0</v>
          </cell>
          <cell r="RF32">
            <v>0</v>
          </cell>
          <cell r="RJ32">
            <v>0</v>
          </cell>
          <cell r="RK32">
            <v>0</v>
          </cell>
          <cell r="RO32">
            <v>0</v>
          </cell>
          <cell r="RP32">
            <v>0</v>
          </cell>
          <cell r="RT32">
            <v>0</v>
          </cell>
          <cell r="RU32">
            <v>0</v>
          </cell>
          <cell r="RY32">
            <v>0</v>
          </cell>
          <cell r="RZ32">
            <v>0</v>
          </cell>
          <cell r="SD32">
            <v>0</v>
          </cell>
          <cell r="SE32">
            <v>0</v>
          </cell>
          <cell r="SI32">
            <v>0</v>
          </cell>
          <cell r="SJ32">
            <v>0</v>
          </cell>
          <cell r="SN32">
            <v>0</v>
          </cell>
          <cell r="SO32">
            <v>0</v>
          </cell>
          <cell r="SS32">
            <v>0</v>
          </cell>
          <cell r="ST32">
            <v>0</v>
          </cell>
          <cell r="SX32">
            <v>0</v>
          </cell>
          <cell r="SY32">
            <v>0</v>
          </cell>
          <cell r="TC32">
            <v>0</v>
          </cell>
          <cell r="TD32">
            <v>0</v>
          </cell>
          <cell r="TH32">
            <v>0</v>
          </cell>
          <cell r="TI32">
            <v>0</v>
          </cell>
          <cell r="TM32">
            <v>0</v>
          </cell>
          <cell r="TN32">
            <v>0</v>
          </cell>
          <cell r="TR32">
            <v>0</v>
          </cell>
          <cell r="TS32">
            <v>0</v>
          </cell>
          <cell r="TW32">
            <v>0</v>
          </cell>
          <cell r="TX32">
            <v>0</v>
          </cell>
          <cell r="UB32">
            <v>0</v>
          </cell>
          <cell r="UC32">
            <v>0</v>
          </cell>
          <cell r="UG32">
            <v>0</v>
          </cell>
          <cell r="UH32">
            <v>0</v>
          </cell>
          <cell r="UL32">
            <v>0</v>
          </cell>
          <cell r="UM32">
            <v>0</v>
          </cell>
          <cell r="UQ32">
            <v>0</v>
          </cell>
          <cell r="UR32">
            <v>0</v>
          </cell>
          <cell r="UV32">
            <v>0</v>
          </cell>
          <cell r="UW32">
            <v>0</v>
          </cell>
          <cell r="VA32">
            <v>0</v>
          </cell>
          <cell r="VB32">
            <v>0</v>
          </cell>
          <cell r="VF32">
            <v>0</v>
          </cell>
          <cell r="VG32">
            <v>0</v>
          </cell>
          <cell r="VK32">
            <v>0</v>
          </cell>
          <cell r="VL32">
            <v>0</v>
          </cell>
          <cell r="VP32">
            <v>0</v>
          </cell>
          <cell r="VQ32">
            <v>0</v>
          </cell>
          <cell r="VU32">
            <v>0</v>
          </cell>
          <cell r="VV32">
            <v>0</v>
          </cell>
          <cell r="VZ32">
            <v>0</v>
          </cell>
          <cell r="WA32">
            <v>0</v>
          </cell>
          <cell r="WE32">
            <v>0</v>
          </cell>
          <cell r="WF32">
            <v>0</v>
          </cell>
          <cell r="WJ32">
            <v>0</v>
          </cell>
          <cell r="WK32">
            <v>0</v>
          </cell>
          <cell r="WO32">
            <v>0</v>
          </cell>
          <cell r="WP32">
            <v>0</v>
          </cell>
          <cell r="WT32">
            <v>0</v>
          </cell>
          <cell r="WU32">
            <v>0</v>
          </cell>
          <cell r="WY32">
            <v>0</v>
          </cell>
          <cell r="WZ32">
            <v>0</v>
          </cell>
          <cell r="XD32">
            <v>0</v>
          </cell>
          <cell r="XE32">
            <v>0</v>
          </cell>
          <cell r="XI32">
            <v>0</v>
          </cell>
          <cell r="XJ32">
            <v>0</v>
          </cell>
          <cell r="XN32">
            <v>0</v>
          </cell>
          <cell r="XO32">
            <v>0</v>
          </cell>
          <cell r="XS32">
            <v>0</v>
          </cell>
          <cell r="XT32">
            <v>0</v>
          </cell>
          <cell r="XX32">
            <v>0</v>
          </cell>
          <cell r="XY32">
            <v>0</v>
          </cell>
          <cell r="YC32">
            <v>0</v>
          </cell>
          <cell r="YD32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0000"/>
  </sheetPr>
  <dimension ref="A1:J28"/>
  <sheetViews>
    <sheetView view="pageBreakPreview" topLeftCell="A7" zoomScale="60" zoomScaleNormal="100" workbookViewId="0">
      <selection activeCell="A29" sqref="A29"/>
    </sheetView>
  </sheetViews>
  <sheetFormatPr defaultRowHeight="16.2" x14ac:dyDescent="0.3"/>
  <sheetData>
    <row r="1" spans="1:10" ht="22.2" x14ac:dyDescent="0.3">
      <c r="A1" s="1"/>
    </row>
    <row r="2" spans="1:10" ht="22.2" x14ac:dyDescent="0.3">
      <c r="A2" s="1"/>
    </row>
    <row r="3" spans="1:10" ht="28.35" customHeight="1" x14ac:dyDescent="0.3">
      <c r="A3" s="115" t="s">
        <v>2</v>
      </c>
      <c r="B3" s="115"/>
      <c r="C3" s="115"/>
      <c r="D3" s="115"/>
      <c r="E3" s="115"/>
      <c r="F3" s="115"/>
      <c r="G3" s="115"/>
      <c r="H3" s="115"/>
      <c r="I3" s="115"/>
    </row>
    <row r="4" spans="1:10" ht="28.35" customHeight="1" x14ac:dyDescent="0.3">
      <c r="A4" s="117">
        <f>INDEX(工程基本資料!A:B,MATCH("工程名稱",工程基本資料!A:A,0),2)</f>
        <v>0</v>
      </c>
      <c r="B4" s="117"/>
      <c r="C4" s="117"/>
      <c r="D4" s="117"/>
      <c r="E4" s="117"/>
      <c r="F4" s="117"/>
      <c r="G4" s="117"/>
      <c r="H4" s="117"/>
      <c r="I4" s="117"/>
    </row>
    <row r="5" spans="1:10" ht="28.35" customHeight="1" x14ac:dyDescent="0.3">
      <c r="A5" s="117"/>
      <c r="B5" s="117"/>
      <c r="C5" s="117"/>
      <c r="D5" s="117"/>
      <c r="E5" s="117"/>
      <c r="F5" s="117"/>
      <c r="G5" s="117"/>
      <c r="H5" s="117"/>
      <c r="I5" s="117"/>
    </row>
    <row r="6" spans="1:10" ht="39" x14ac:dyDescent="0.3">
      <c r="A6" s="2"/>
    </row>
    <row r="7" spans="1:10" ht="28.2" x14ac:dyDescent="0.3">
      <c r="A7" s="3"/>
    </row>
    <row r="8" spans="1:10" x14ac:dyDescent="0.3">
      <c r="A8" s="4"/>
    </row>
    <row r="9" spans="1:10" x14ac:dyDescent="0.3">
      <c r="A9" s="5"/>
    </row>
    <row r="10" spans="1:10" x14ac:dyDescent="0.3">
      <c r="A10" s="4"/>
    </row>
    <row r="11" spans="1:10" ht="28.2" x14ac:dyDescent="0.3">
      <c r="A11" s="6"/>
    </row>
    <row r="12" spans="1:10" ht="28.2" x14ac:dyDescent="0.3">
      <c r="A12" s="7"/>
    </row>
    <row r="13" spans="1:10" ht="28.2" x14ac:dyDescent="0.3">
      <c r="A13" s="7"/>
    </row>
    <row r="14" spans="1:10" ht="28.2" x14ac:dyDescent="0.3">
      <c r="A14" s="7"/>
    </row>
    <row r="15" spans="1:10" ht="57" customHeight="1" x14ac:dyDescent="0.3">
      <c r="A15" s="116" t="s">
        <v>3</v>
      </c>
      <c r="B15" s="116"/>
      <c r="C15" s="116"/>
      <c r="D15" s="116"/>
      <c r="E15" s="116"/>
      <c r="F15" s="116"/>
      <c r="G15" s="116"/>
      <c r="H15" s="116"/>
      <c r="I15" s="116"/>
      <c r="J15" t="str">
        <f ca="1">"("&amp;YEAR(TODAY())-1911&amp;"年"&amp;MONTH(NOW())&amp;"月份)"</f>
        <v>(115年8月份)</v>
      </c>
    </row>
    <row r="16" spans="1:10" ht="45" customHeight="1" x14ac:dyDescent="0.3">
      <c r="A16" s="112"/>
      <c r="B16" s="112"/>
      <c r="C16" s="112"/>
      <c r="D16" s="112"/>
      <c r="E16" s="112"/>
      <c r="F16" s="112"/>
      <c r="G16" s="112"/>
      <c r="H16" s="112"/>
      <c r="I16" s="112"/>
      <c r="J16" t="str">
        <f ca="1">"("&amp;YEAR(TODAY())-1911&amp;"年"&amp;MONTH(TODAY()-DAY(TODAY())) &amp;"月份)"</f>
        <v>(115年7月份)</v>
      </c>
    </row>
    <row r="25" spans="1:9" ht="33.9" customHeight="1" x14ac:dyDescent="0.3">
      <c r="A25" s="113" t="str">
        <f>"主辦機關："&amp;INDEX(工程基本資料!A:B,MATCH("主辦機關",工程基本資料!A:A,0),2)</f>
        <v>主辦機關：</v>
      </c>
      <c r="B25" s="113"/>
      <c r="C25" s="113"/>
      <c r="D25" s="113"/>
      <c r="E25" s="113"/>
      <c r="F25" s="113"/>
      <c r="G25" s="113"/>
      <c r="H25" s="113"/>
      <c r="I25" s="113"/>
    </row>
    <row r="26" spans="1:9" ht="33.9" customHeight="1" x14ac:dyDescent="0.3">
      <c r="A26" s="114" t="str">
        <f>"監造單位："&amp;INDEX(工程基本資料!A:B,MATCH("監造單位",工程基本資料!A:A,0),2)</f>
        <v>監造單位：</v>
      </c>
      <c r="B26" s="114"/>
      <c r="C26" s="114"/>
      <c r="D26" s="114"/>
      <c r="E26" s="114"/>
      <c r="F26" s="114"/>
      <c r="G26" s="114"/>
      <c r="H26" s="114"/>
      <c r="I26" s="114"/>
    </row>
    <row r="27" spans="1:9" ht="33.9" customHeight="1" x14ac:dyDescent="0.3">
      <c r="A27" s="114" t="str">
        <f>"施工單位："&amp;INDEX(工程基本資料!A:B,MATCH("承包廠商",工程基本資料!A:A,0),2)</f>
        <v>施工單位：</v>
      </c>
      <c r="B27" s="114"/>
      <c r="C27" s="114"/>
      <c r="D27" s="114"/>
      <c r="E27" s="114"/>
      <c r="F27" s="114"/>
      <c r="G27" s="114"/>
      <c r="H27" s="114"/>
      <c r="I27" s="114"/>
    </row>
    <row r="28" spans="1:9" ht="44.25" customHeight="1" x14ac:dyDescent="0.3">
      <c r="A28" s="112" t="str">
        <f ca="1">"中 華 民 國  "  &amp;YEAR(TODAY())-1911&amp;  "  年  "&amp;MONTH(NOW())+1&amp;"  月"</f>
        <v>中 華 民 國  115  年  9  月</v>
      </c>
      <c r="B28" s="112"/>
      <c r="C28" s="112"/>
      <c r="D28" s="112"/>
      <c r="E28" s="112"/>
      <c r="F28" s="112"/>
      <c r="G28" s="112"/>
      <c r="H28" s="112"/>
      <c r="I28" s="112"/>
    </row>
  </sheetData>
  <mergeCells count="8">
    <mergeCell ref="A28:I28"/>
    <mergeCell ref="A25:I25"/>
    <mergeCell ref="A26:I26"/>
    <mergeCell ref="A27:I27"/>
    <mergeCell ref="A3:I3"/>
    <mergeCell ref="A15:I15"/>
    <mergeCell ref="A16:I16"/>
    <mergeCell ref="A4:I5"/>
  </mergeCells>
  <phoneticPr fontId="25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0">
    <tabColor rgb="FFFF0000"/>
  </sheetPr>
  <dimension ref="A1:I28"/>
  <sheetViews>
    <sheetView view="pageBreakPreview" zoomScale="60" zoomScaleNormal="100" workbookViewId="0">
      <selection activeCell="P5" sqref="P5"/>
    </sheetView>
  </sheetViews>
  <sheetFormatPr defaultRowHeight="16.2" x14ac:dyDescent="0.3"/>
  <sheetData>
    <row r="1" spans="1:9" ht="22.2" x14ac:dyDescent="0.3">
      <c r="A1" s="1"/>
    </row>
    <row r="2" spans="1:9" ht="22.2" x14ac:dyDescent="0.3">
      <c r="A2" s="1"/>
    </row>
    <row r="3" spans="1:9" ht="28.35" customHeight="1" x14ac:dyDescent="0.3">
      <c r="A3" s="115"/>
      <c r="B3" s="115"/>
      <c r="C3" s="115"/>
      <c r="D3" s="115"/>
      <c r="E3" s="115"/>
      <c r="F3" s="115"/>
      <c r="G3" s="115"/>
      <c r="H3" s="115"/>
      <c r="I3" s="115"/>
    </row>
    <row r="4" spans="1:9" ht="28.35" customHeight="1" x14ac:dyDescent="0.3">
      <c r="A4" s="118">
        <f>INDEX(工程基本資料!A:B,MATCH("工程名稱",工程基本資料!A:A,0),2)</f>
        <v>0</v>
      </c>
      <c r="B4" s="118"/>
      <c r="C4" s="118"/>
      <c r="D4" s="118"/>
      <c r="E4" s="118"/>
      <c r="F4" s="118"/>
      <c r="G4" s="118"/>
      <c r="H4" s="118"/>
      <c r="I4" s="118"/>
    </row>
    <row r="5" spans="1:9" ht="28.35" customHeight="1" x14ac:dyDescent="0.3">
      <c r="A5" s="118"/>
      <c r="B5" s="118"/>
      <c r="C5" s="118"/>
      <c r="D5" s="118"/>
      <c r="E5" s="118"/>
      <c r="F5" s="118"/>
      <c r="G5" s="118"/>
      <c r="H5" s="118"/>
      <c r="I5" s="118"/>
    </row>
    <row r="6" spans="1:9" ht="39" x14ac:dyDescent="0.3">
      <c r="A6" s="2"/>
    </row>
    <row r="7" spans="1:9" ht="28.2" x14ac:dyDescent="0.3">
      <c r="A7" s="3"/>
    </row>
    <row r="8" spans="1:9" x14ac:dyDescent="0.3">
      <c r="A8" s="4"/>
    </row>
    <row r="9" spans="1:9" x14ac:dyDescent="0.3">
      <c r="A9" s="5"/>
    </row>
    <row r="10" spans="1:9" x14ac:dyDescent="0.3">
      <c r="A10" s="4"/>
    </row>
    <row r="11" spans="1:9" ht="28.2" x14ac:dyDescent="0.3">
      <c r="A11" s="6"/>
    </row>
    <row r="12" spans="1:9" ht="28.2" x14ac:dyDescent="0.3">
      <c r="A12" s="7"/>
    </row>
    <row r="13" spans="1:9" ht="28.2" x14ac:dyDescent="0.3">
      <c r="A13" s="7"/>
    </row>
    <row r="14" spans="1:9" ht="28.2" x14ac:dyDescent="0.3">
      <c r="A14" s="7"/>
    </row>
    <row r="15" spans="1:9" ht="57" customHeight="1" x14ac:dyDescent="0.3">
      <c r="A15" s="116" t="s">
        <v>67</v>
      </c>
      <c r="B15" s="116"/>
      <c r="C15" s="116"/>
      <c r="D15" s="116"/>
      <c r="E15" s="116"/>
      <c r="F15" s="116"/>
      <c r="G15" s="116"/>
      <c r="H15" s="116"/>
      <c r="I15" s="116"/>
    </row>
    <row r="16" spans="1:9" ht="45" customHeight="1" x14ac:dyDescent="0.3">
      <c r="A16" s="112"/>
      <c r="B16" s="112"/>
      <c r="C16" s="112"/>
      <c r="D16" s="112"/>
      <c r="E16" s="112"/>
      <c r="F16" s="112"/>
      <c r="G16" s="112"/>
      <c r="H16" s="112"/>
      <c r="I16" s="112"/>
    </row>
    <row r="25" spans="1:9" ht="33.9" customHeight="1" x14ac:dyDescent="0.3">
      <c r="A25" s="113" t="str">
        <f>"主辦機關："&amp;INDEX(工程基本資料!A:B,MATCH("主辦機關",工程基本資料!A:A,0),2)</f>
        <v>主辦機關：</v>
      </c>
      <c r="B25" s="113"/>
      <c r="C25" s="113"/>
      <c r="D25" s="113"/>
      <c r="E25" s="113"/>
      <c r="F25" s="113"/>
      <c r="G25" s="113"/>
      <c r="H25" s="113"/>
      <c r="I25" s="113"/>
    </row>
    <row r="26" spans="1:9" ht="33.9" customHeight="1" x14ac:dyDescent="0.3">
      <c r="A26" s="114" t="str">
        <f>"監造單位："&amp;INDEX(工程基本資料!A:B,MATCH("監造單位",工程基本資料!A:A,0),2)</f>
        <v>監造單位：</v>
      </c>
      <c r="B26" s="114"/>
      <c r="C26" s="114"/>
      <c r="D26" s="114"/>
      <c r="E26" s="114"/>
      <c r="F26" s="114"/>
      <c r="G26" s="114"/>
      <c r="H26" s="114"/>
      <c r="I26" s="114"/>
    </row>
    <row r="27" spans="1:9" ht="33.9" customHeight="1" x14ac:dyDescent="0.3">
      <c r="A27" s="114" t="str">
        <f>"施工單位："&amp;INDEX(工程基本資料!A:B,MATCH("承包廠商",工程基本資料!A:A,0),2)</f>
        <v>施工單位：</v>
      </c>
      <c r="B27" s="114"/>
      <c r="C27" s="114"/>
      <c r="D27" s="114"/>
      <c r="E27" s="114"/>
      <c r="F27" s="114"/>
      <c r="G27" s="114"/>
      <c r="H27" s="114"/>
      <c r="I27" s="114"/>
    </row>
    <row r="28" spans="1:9" ht="44.25" customHeight="1" x14ac:dyDescent="0.3">
      <c r="A28" s="112"/>
      <c r="B28" s="112"/>
      <c r="C28" s="112"/>
      <c r="D28" s="112"/>
      <c r="E28" s="112"/>
      <c r="F28" s="112"/>
      <c r="G28" s="112"/>
      <c r="H28" s="112"/>
      <c r="I28" s="112"/>
    </row>
  </sheetData>
  <mergeCells count="8">
    <mergeCell ref="A27:I27"/>
    <mergeCell ref="A28:I28"/>
    <mergeCell ref="A3:I3"/>
    <mergeCell ref="A4:I5"/>
    <mergeCell ref="A15:I15"/>
    <mergeCell ref="A16:I16"/>
    <mergeCell ref="A25:I25"/>
    <mergeCell ref="A26:I26"/>
  </mergeCells>
  <phoneticPr fontId="3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>
    <tabColor rgb="FFFF0000"/>
  </sheetPr>
  <dimension ref="A1:Q142"/>
  <sheetViews>
    <sheetView view="pageBreakPreview" zoomScale="70" zoomScaleNormal="100" zoomScaleSheetLayoutView="70" workbookViewId="0">
      <selection sqref="A1:J1"/>
    </sheetView>
  </sheetViews>
  <sheetFormatPr defaultRowHeight="16.2" x14ac:dyDescent="0.3"/>
  <cols>
    <col min="1" max="1" width="13.44140625" style="4" customWidth="1"/>
    <col min="2" max="3" width="10.44140625" style="4" customWidth="1"/>
    <col min="4" max="4" width="12.109375" style="4" bestFit="1" customWidth="1"/>
    <col min="5" max="5" width="6.21875" style="4" customWidth="1"/>
    <col min="6" max="6" width="13" style="4" customWidth="1"/>
    <col min="7" max="7" width="12.109375" style="4" bestFit="1" customWidth="1"/>
    <col min="8" max="9" width="10.44140625" style="4" customWidth="1"/>
    <col min="10" max="10" width="12.6640625" style="4" customWidth="1"/>
    <col min="11" max="11" width="9" style="4"/>
    <col min="12" max="13" width="0" style="4" hidden="1" customWidth="1"/>
    <col min="14" max="14" width="11.6640625" style="12" bestFit="1" customWidth="1"/>
    <col min="15" max="15" width="10.77734375" style="12" bestFit="1" customWidth="1"/>
    <col min="16" max="17" width="9" style="12"/>
    <col min="18" max="260" width="9" style="4"/>
    <col min="261" max="261" width="13.44140625" style="4" customWidth="1"/>
    <col min="262" max="263" width="10.44140625" style="4" customWidth="1"/>
    <col min="264" max="264" width="9" style="4"/>
    <col min="265" max="266" width="5.44140625" style="4" customWidth="1"/>
    <col min="267" max="267" width="9" style="4"/>
    <col min="268" max="268" width="10.44140625" style="4" customWidth="1"/>
    <col min="269" max="516" width="9" style="4"/>
    <col min="517" max="517" width="13.44140625" style="4" customWidth="1"/>
    <col min="518" max="519" width="10.44140625" style="4" customWidth="1"/>
    <col min="520" max="520" width="9" style="4"/>
    <col min="521" max="522" width="5.44140625" style="4" customWidth="1"/>
    <col min="523" max="523" width="9" style="4"/>
    <col min="524" max="524" width="10.44140625" style="4" customWidth="1"/>
    <col min="525" max="772" width="9" style="4"/>
    <col min="773" max="773" width="13.44140625" style="4" customWidth="1"/>
    <col min="774" max="775" width="10.44140625" style="4" customWidth="1"/>
    <col min="776" max="776" width="9" style="4"/>
    <col min="777" max="778" width="5.44140625" style="4" customWidth="1"/>
    <col min="779" max="779" width="9" style="4"/>
    <col min="780" max="780" width="10.44140625" style="4" customWidth="1"/>
    <col min="781" max="1028" width="9" style="4"/>
    <col min="1029" max="1029" width="13.44140625" style="4" customWidth="1"/>
    <col min="1030" max="1031" width="10.44140625" style="4" customWidth="1"/>
    <col min="1032" max="1032" width="9" style="4"/>
    <col min="1033" max="1034" width="5.44140625" style="4" customWidth="1"/>
    <col min="1035" max="1035" width="9" style="4"/>
    <col min="1036" max="1036" width="10.44140625" style="4" customWidth="1"/>
    <col min="1037" max="1284" width="9" style="4"/>
    <col min="1285" max="1285" width="13.44140625" style="4" customWidth="1"/>
    <col min="1286" max="1287" width="10.44140625" style="4" customWidth="1"/>
    <col min="1288" max="1288" width="9" style="4"/>
    <col min="1289" max="1290" width="5.44140625" style="4" customWidth="1"/>
    <col min="1291" max="1291" width="9" style="4"/>
    <col min="1292" max="1292" width="10.44140625" style="4" customWidth="1"/>
    <col min="1293" max="1540" width="9" style="4"/>
    <col min="1541" max="1541" width="13.44140625" style="4" customWidth="1"/>
    <col min="1542" max="1543" width="10.44140625" style="4" customWidth="1"/>
    <col min="1544" max="1544" width="9" style="4"/>
    <col min="1545" max="1546" width="5.44140625" style="4" customWidth="1"/>
    <col min="1547" max="1547" width="9" style="4"/>
    <col min="1548" max="1548" width="10.44140625" style="4" customWidth="1"/>
    <col min="1549" max="1796" width="9" style="4"/>
    <col min="1797" max="1797" width="13.44140625" style="4" customWidth="1"/>
    <col min="1798" max="1799" width="10.44140625" style="4" customWidth="1"/>
    <col min="1800" max="1800" width="9" style="4"/>
    <col min="1801" max="1802" width="5.44140625" style="4" customWidth="1"/>
    <col min="1803" max="1803" width="9" style="4"/>
    <col min="1804" max="1804" width="10.44140625" style="4" customWidth="1"/>
    <col min="1805" max="2052" width="9" style="4"/>
    <col min="2053" max="2053" width="13.44140625" style="4" customWidth="1"/>
    <col min="2054" max="2055" width="10.44140625" style="4" customWidth="1"/>
    <col min="2056" max="2056" width="9" style="4"/>
    <col min="2057" max="2058" width="5.44140625" style="4" customWidth="1"/>
    <col min="2059" max="2059" width="9" style="4"/>
    <col min="2060" max="2060" width="10.44140625" style="4" customWidth="1"/>
    <col min="2061" max="2308" width="9" style="4"/>
    <col min="2309" max="2309" width="13.44140625" style="4" customWidth="1"/>
    <col min="2310" max="2311" width="10.44140625" style="4" customWidth="1"/>
    <col min="2312" max="2312" width="9" style="4"/>
    <col min="2313" max="2314" width="5.44140625" style="4" customWidth="1"/>
    <col min="2315" max="2315" width="9" style="4"/>
    <col min="2316" max="2316" width="10.44140625" style="4" customWidth="1"/>
    <col min="2317" max="2564" width="9" style="4"/>
    <col min="2565" max="2565" width="13.44140625" style="4" customWidth="1"/>
    <col min="2566" max="2567" width="10.44140625" style="4" customWidth="1"/>
    <col min="2568" max="2568" width="9" style="4"/>
    <col min="2569" max="2570" width="5.44140625" style="4" customWidth="1"/>
    <col min="2571" max="2571" width="9" style="4"/>
    <col min="2572" max="2572" width="10.44140625" style="4" customWidth="1"/>
    <col min="2573" max="2820" width="9" style="4"/>
    <col min="2821" max="2821" width="13.44140625" style="4" customWidth="1"/>
    <col min="2822" max="2823" width="10.44140625" style="4" customWidth="1"/>
    <col min="2824" max="2824" width="9" style="4"/>
    <col min="2825" max="2826" width="5.44140625" style="4" customWidth="1"/>
    <col min="2827" max="2827" width="9" style="4"/>
    <col min="2828" max="2828" width="10.44140625" style="4" customWidth="1"/>
    <col min="2829" max="3076" width="9" style="4"/>
    <col min="3077" max="3077" width="13.44140625" style="4" customWidth="1"/>
    <col min="3078" max="3079" width="10.44140625" style="4" customWidth="1"/>
    <col min="3080" max="3080" width="9" style="4"/>
    <col min="3081" max="3082" width="5.44140625" style="4" customWidth="1"/>
    <col min="3083" max="3083" width="9" style="4"/>
    <col min="3084" max="3084" width="10.44140625" style="4" customWidth="1"/>
    <col min="3085" max="3332" width="9" style="4"/>
    <col min="3333" max="3333" width="13.44140625" style="4" customWidth="1"/>
    <col min="3334" max="3335" width="10.44140625" style="4" customWidth="1"/>
    <col min="3336" max="3336" width="9" style="4"/>
    <col min="3337" max="3338" width="5.44140625" style="4" customWidth="1"/>
    <col min="3339" max="3339" width="9" style="4"/>
    <col min="3340" max="3340" width="10.44140625" style="4" customWidth="1"/>
    <col min="3341" max="3588" width="9" style="4"/>
    <col min="3589" max="3589" width="13.44140625" style="4" customWidth="1"/>
    <col min="3590" max="3591" width="10.44140625" style="4" customWidth="1"/>
    <col min="3592" max="3592" width="9" style="4"/>
    <col min="3593" max="3594" width="5.44140625" style="4" customWidth="1"/>
    <col min="3595" max="3595" width="9" style="4"/>
    <col min="3596" max="3596" width="10.44140625" style="4" customWidth="1"/>
    <col min="3597" max="3844" width="9" style="4"/>
    <col min="3845" max="3845" width="13.44140625" style="4" customWidth="1"/>
    <col min="3846" max="3847" width="10.44140625" style="4" customWidth="1"/>
    <col min="3848" max="3848" width="9" style="4"/>
    <col min="3849" max="3850" width="5.44140625" style="4" customWidth="1"/>
    <col min="3851" max="3851" width="9" style="4"/>
    <col min="3852" max="3852" width="10.44140625" style="4" customWidth="1"/>
    <col min="3853" max="4100" width="9" style="4"/>
    <col min="4101" max="4101" width="13.44140625" style="4" customWidth="1"/>
    <col min="4102" max="4103" width="10.44140625" style="4" customWidth="1"/>
    <col min="4104" max="4104" width="9" style="4"/>
    <col min="4105" max="4106" width="5.44140625" style="4" customWidth="1"/>
    <col min="4107" max="4107" width="9" style="4"/>
    <col min="4108" max="4108" width="10.44140625" style="4" customWidth="1"/>
    <col min="4109" max="4356" width="9" style="4"/>
    <col min="4357" max="4357" width="13.44140625" style="4" customWidth="1"/>
    <col min="4358" max="4359" width="10.44140625" style="4" customWidth="1"/>
    <col min="4360" max="4360" width="9" style="4"/>
    <col min="4361" max="4362" width="5.44140625" style="4" customWidth="1"/>
    <col min="4363" max="4363" width="9" style="4"/>
    <col min="4364" max="4364" width="10.44140625" style="4" customWidth="1"/>
    <col min="4365" max="4612" width="9" style="4"/>
    <col min="4613" max="4613" width="13.44140625" style="4" customWidth="1"/>
    <col min="4614" max="4615" width="10.44140625" style="4" customWidth="1"/>
    <col min="4616" max="4616" width="9" style="4"/>
    <col min="4617" max="4618" width="5.44140625" style="4" customWidth="1"/>
    <col min="4619" max="4619" width="9" style="4"/>
    <col min="4620" max="4620" width="10.44140625" style="4" customWidth="1"/>
    <col min="4621" max="4868" width="9" style="4"/>
    <col min="4869" max="4869" width="13.44140625" style="4" customWidth="1"/>
    <col min="4870" max="4871" width="10.44140625" style="4" customWidth="1"/>
    <col min="4872" max="4872" width="9" style="4"/>
    <col min="4873" max="4874" width="5.44140625" style="4" customWidth="1"/>
    <col min="4875" max="4875" width="9" style="4"/>
    <col min="4876" max="4876" width="10.44140625" style="4" customWidth="1"/>
    <col min="4877" max="5124" width="9" style="4"/>
    <col min="5125" max="5125" width="13.44140625" style="4" customWidth="1"/>
    <col min="5126" max="5127" width="10.44140625" style="4" customWidth="1"/>
    <col min="5128" max="5128" width="9" style="4"/>
    <col min="5129" max="5130" width="5.44140625" style="4" customWidth="1"/>
    <col min="5131" max="5131" width="9" style="4"/>
    <col min="5132" max="5132" width="10.44140625" style="4" customWidth="1"/>
    <col min="5133" max="5380" width="9" style="4"/>
    <col min="5381" max="5381" width="13.44140625" style="4" customWidth="1"/>
    <col min="5382" max="5383" width="10.44140625" style="4" customWidth="1"/>
    <col min="5384" max="5384" width="9" style="4"/>
    <col min="5385" max="5386" width="5.44140625" style="4" customWidth="1"/>
    <col min="5387" max="5387" width="9" style="4"/>
    <col min="5388" max="5388" width="10.44140625" style="4" customWidth="1"/>
    <col min="5389" max="5636" width="9" style="4"/>
    <col min="5637" max="5637" width="13.44140625" style="4" customWidth="1"/>
    <col min="5638" max="5639" width="10.44140625" style="4" customWidth="1"/>
    <col min="5640" max="5640" width="9" style="4"/>
    <col min="5641" max="5642" width="5.44140625" style="4" customWidth="1"/>
    <col min="5643" max="5643" width="9" style="4"/>
    <col min="5644" max="5644" width="10.44140625" style="4" customWidth="1"/>
    <col min="5645" max="5892" width="9" style="4"/>
    <col min="5893" max="5893" width="13.44140625" style="4" customWidth="1"/>
    <col min="5894" max="5895" width="10.44140625" style="4" customWidth="1"/>
    <col min="5896" max="5896" width="9" style="4"/>
    <col min="5897" max="5898" width="5.44140625" style="4" customWidth="1"/>
    <col min="5899" max="5899" width="9" style="4"/>
    <col min="5900" max="5900" width="10.44140625" style="4" customWidth="1"/>
    <col min="5901" max="6148" width="9" style="4"/>
    <col min="6149" max="6149" width="13.44140625" style="4" customWidth="1"/>
    <col min="6150" max="6151" width="10.44140625" style="4" customWidth="1"/>
    <col min="6152" max="6152" width="9" style="4"/>
    <col min="6153" max="6154" width="5.44140625" style="4" customWidth="1"/>
    <col min="6155" max="6155" width="9" style="4"/>
    <col min="6156" max="6156" width="10.44140625" style="4" customWidth="1"/>
    <col min="6157" max="6404" width="9" style="4"/>
    <col min="6405" max="6405" width="13.44140625" style="4" customWidth="1"/>
    <col min="6406" max="6407" width="10.44140625" style="4" customWidth="1"/>
    <col min="6408" max="6408" width="9" style="4"/>
    <col min="6409" max="6410" width="5.44140625" style="4" customWidth="1"/>
    <col min="6411" max="6411" width="9" style="4"/>
    <col min="6412" max="6412" width="10.44140625" style="4" customWidth="1"/>
    <col min="6413" max="6660" width="9" style="4"/>
    <col min="6661" max="6661" width="13.44140625" style="4" customWidth="1"/>
    <col min="6662" max="6663" width="10.44140625" style="4" customWidth="1"/>
    <col min="6664" max="6664" width="9" style="4"/>
    <col min="6665" max="6666" width="5.44140625" style="4" customWidth="1"/>
    <col min="6667" max="6667" width="9" style="4"/>
    <col min="6668" max="6668" width="10.44140625" style="4" customWidth="1"/>
    <col min="6669" max="6916" width="9" style="4"/>
    <col min="6917" max="6917" width="13.44140625" style="4" customWidth="1"/>
    <col min="6918" max="6919" width="10.44140625" style="4" customWidth="1"/>
    <col min="6920" max="6920" width="9" style="4"/>
    <col min="6921" max="6922" width="5.44140625" style="4" customWidth="1"/>
    <col min="6923" max="6923" width="9" style="4"/>
    <col min="6924" max="6924" width="10.44140625" style="4" customWidth="1"/>
    <col min="6925" max="7172" width="9" style="4"/>
    <col min="7173" max="7173" width="13.44140625" style="4" customWidth="1"/>
    <col min="7174" max="7175" width="10.44140625" style="4" customWidth="1"/>
    <col min="7176" max="7176" width="9" style="4"/>
    <col min="7177" max="7178" width="5.44140625" style="4" customWidth="1"/>
    <col min="7179" max="7179" width="9" style="4"/>
    <col min="7180" max="7180" width="10.44140625" style="4" customWidth="1"/>
    <col min="7181" max="7428" width="9" style="4"/>
    <col min="7429" max="7429" width="13.44140625" style="4" customWidth="1"/>
    <col min="7430" max="7431" width="10.44140625" style="4" customWidth="1"/>
    <col min="7432" max="7432" width="9" style="4"/>
    <col min="7433" max="7434" width="5.44140625" style="4" customWidth="1"/>
    <col min="7435" max="7435" width="9" style="4"/>
    <col min="7436" max="7436" width="10.44140625" style="4" customWidth="1"/>
    <col min="7437" max="7684" width="9" style="4"/>
    <col min="7685" max="7685" width="13.44140625" style="4" customWidth="1"/>
    <col min="7686" max="7687" width="10.44140625" style="4" customWidth="1"/>
    <col min="7688" max="7688" width="9" style="4"/>
    <col min="7689" max="7690" width="5.44140625" style="4" customWidth="1"/>
    <col min="7691" max="7691" width="9" style="4"/>
    <col min="7692" max="7692" width="10.44140625" style="4" customWidth="1"/>
    <col min="7693" max="7940" width="9" style="4"/>
    <col min="7941" max="7941" width="13.44140625" style="4" customWidth="1"/>
    <col min="7942" max="7943" width="10.44140625" style="4" customWidth="1"/>
    <col min="7944" max="7944" width="9" style="4"/>
    <col min="7945" max="7946" width="5.44140625" style="4" customWidth="1"/>
    <col min="7947" max="7947" width="9" style="4"/>
    <col min="7948" max="7948" width="10.44140625" style="4" customWidth="1"/>
    <col min="7949" max="8196" width="9" style="4"/>
    <col min="8197" max="8197" width="13.44140625" style="4" customWidth="1"/>
    <col min="8198" max="8199" width="10.44140625" style="4" customWidth="1"/>
    <col min="8200" max="8200" width="9" style="4"/>
    <col min="8201" max="8202" width="5.44140625" style="4" customWidth="1"/>
    <col min="8203" max="8203" width="9" style="4"/>
    <col min="8204" max="8204" width="10.44140625" style="4" customWidth="1"/>
    <col min="8205" max="8452" width="9" style="4"/>
    <col min="8453" max="8453" width="13.44140625" style="4" customWidth="1"/>
    <col min="8454" max="8455" width="10.44140625" style="4" customWidth="1"/>
    <col min="8456" max="8456" width="9" style="4"/>
    <col min="8457" max="8458" width="5.44140625" style="4" customWidth="1"/>
    <col min="8459" max="8459" width="9" style="4"/>
    <col min="8460" max="8460" width="10.44140625" style="4" customWidth="1"/>
    <col min="8461" max="8708" width="9" style="4"/>
    <col min="8709" max="8709" width="13.44140625" style="4" customWidth="1"/>
    <col min="8710" max="8711" width="10.44140625" style="4" customWidth="1"/>
    <col min="8712" max="8712" width="9" style="4"/>
    <col min="8713" max="8714" width="5.44140625" style="4" customWidth="1"/>
    <col min="8715" max="8715" width="9" style="4"/>
    <col min="8716" max="8716" width="10.44140625" style="4" customWidth="1"/>
    <col min="8717" max="8964" width="9" style="4"/>
    <col min="8965" max="8965" width="13.44140625" style="4" customWidth="1"/>
    <col min="8966" max="8967" width="10.44140625" style="4" customWidth="1"/>
    <col min="8968" max="8968" width="9" style="4"/>
    <col min="8969" max="8970" width="5.44140625" style="4" customWidth="1"/>
    <col min="8971" max="8971" width="9" style="4"/>
    <col min="8972" max="8972" width="10.44140625" style="4" customWidth="1"/>
    <col min="8973" max="9220" width="9" style="4"/>
    <col min="9221" max="9221" width="13.44140625" style="4" customWidth="1"/>
    <col min="9222" max="9223" width="10.44140625" style="4" customWidth="1"/>
    <col min="9224" max="9224" width="9" style="4"/>
    <col min="9225" max="9226" width="5.44140625" style="4" customWidth="1"/>
    <col min="9227" max="9227" width="9" style="4"/>
    <col min="9228" max="9228" width="10.44140625" style="4" customWidth="1"/>
    <col min="9229" max="9476" width="9" style="4"/>
    <col min="9477" max="9477" width="13.44140625" style="4" customWidth="1"/>
    <col min="9478" max="9479" width="10.44140625" style="4" customWidth="1"/>
    <col min="9480" max="9480" width="9" style="4"/>
    <col min="9481" max="9482" width="5.44140625" style="4" customWidth="1"/>
    <col min="9483" max="9483" width="9" style="4"/>
    <col min="9484" max="9484" width="10.44140625" style="4" customWidth="1"/>
    <col min="9485" max="9732" width="9" style="4"/>
    <col min="9733" max="9733" width="13.44140625" style="4" customWidth="1"/>
    <col min="9734" max="9735" width="10.44140625" style="4" customWidth="1"/>
    <col min="9736" max="9736" width="9" style="4"/>
    <col min="9737" max="9738" width="5.44140625" style="4" customWidth="1"/>
    <col min="9739" max="9739" width="9" style="4"/>
    <col min="9740" max="9740" width="10.44140625" style="4" customWidth="1"/>
    <col min="9741" max="9988" width="9" style="4"/>
    <col min="9989" max="9989" width="13.44140625" style="4" customWidth="1"/>
    <col min="9990" max="9991" width="10.44140625" style="4" customWidth="1"/>
    <col min="9992" max="9992" width="9" style="4"/>
    <col min="9993" max="9994" width="5.44140625" style="4" customWidth="1"/>
    <col min="9995" max="9995" width="9" style="4"/>
    <col min="9996" max="9996" width="10.44140625" style="4" customWidth="1"/>
    <col min="9997" max="10244" width="9" style="4"/>
    <col min="10245" max="10245" width="13.44140625" style="4" customWidth="1"/>
    <col min="10246" max="10247" width="10.44140625" style="4" customWidth="1"/>
    <col min="10248" max="10248" width="9" style="4"/>
    <col min="10249" max="10250" width="5.44140625" style="4" customWidth="1"/>
    <col min="10251" max="10251" width="9" style="4"/>
    <col min="10252" max="10252" width="10.44140625" style="4" customWidth="1"/>
    <col min="10253" max="10500" width="9" style="4"/>
    <col min="10501" max="10501" width="13.44140625" style="4" customWidth="1"/>
    <col min="10502" max="10503" width="10.44140625" style="4" customWidth="1"/>
    <col min="10504" max="10504" width="9" style="4"/>
    <col min="10505" max="10506" width="5.44140625" style="4" customWidth="1"/>
    <col min="10507" max="10507" width="9" style="4"/>
    <col min="10508" max="10508" width="10.44140625" style="4" customWidth="1"/>
    <col min="10509" max="10756" width="9" style="4"/>
    <col min="10757" max="10757" width="13.44140625" style="4" customWidth="1"/>
    <col min="10758" max="10759" width="10.44140625" style="4" customWidth="1"/>
    <col min="10760" max="10760" width="9" style="4"/>
    <col min="10761" max="10762" width="5.44140625" style="4" customWidth="1"/>
    <col min="10763" max="10763" width="9" style="4"/>
    <col min="10764" max="10764" width="10.44140625" style="4" customWidth="1"/>
    <col min="10765" max="11012" width="9" style="4"/>
    <col min="11013" max="11013" width="13.44140625" style="4" customWidth="1"/>
    <col min="11014" max="11015" width="10.44140625" style="4" customWidth="1"/>
    <col min="11016" max="11016" width="9" style="4"/>
    <col min="11017" max="11018" width="5.44140625" style="4" customWidth="1"/>
    <col min="11019" max="11019" width="9" style="4"/>
    <col min="11020" max="11020" width="10.44140625" style="4" customWidth="1"/>
    <col min="11021" max="11268" width="9" style="4"/>
    <col min="11269" max="11269" width="13.44140625" style="4" customWidth="1"/>
    <col min="11270" max="11271" width="10.44140625" style="4" customWidth="1"/>
    <col min="11272" max="11272" width="9" style="4"/>
    <col min="11273" max="11274" width="5.44140625" style="4" customWidth="1"/>
    <col min="11275" max="11275" width="9" style="4"/>
    <col min="11276" max="11276" width="10.44140625" style="4" customWidth="1"/>
    <col min="11277" max="11524" width="9" style="4"/>
    <col min="11525" max="11525" width="13.44140625" style="4" customWidth="1"/>
    <col min="11526" max="11527" width="10.44140625" style="4" customWidth="1"/>
    <col min="11528" max="11528" width="9" style="4"/>
    <col min="11529" max="11530" width="5.44140625" style="4" customWidth="1"/>
    <col min="11531" max="11531" width="9" style="4"/>
    <col min="11532" max="11532" width="10.44140625" style="4" customWidth="1"/>
    <col min="11533" max="11780" width="9" style="4"/>
    <col min="11781" max="11781" width="13.44140625" style="4" customWidth="1"/>
    <col min="11782" max="11783" width="10.44140625" style="4" customWidth="1"/>
    <col min="11784" max="11784" width="9" style="4"/>
    <col min="11785" max="11786" width="5.44140625" style="4" customWidth="1"/>
    <col min="11787" max="11787" width="9" style="4"/>
    <col min="11788" max="11788" width="10.44140625" style="4" customWidth="1"/>
    <col min="11789" max="12036" width="9" style="4"/>
    <col min="12037" max="12037" width="13.44140625" style="4" customWidth="1"/>
    <col min="12038" max="12039" width="10.44140625" style="4" customWidth="1"/>
    <col min="12040" max="12040" width="9" style="4"/>
    <col min="12041" max="12042" width="5.44140625" style="4" customWidth="1"/>
    <col min="12043" max="12043" width="9" style="4"/>
    <col min="12044" max="12044" width="10.44140625" style="4" customWidth="1"/>
    <col min="12045" max="12292" width="9" style="4"/>
    <col min="12293" max="12293" width="13.44140625" style="4" customWidth="1"/>
    <col min="12294" max="12295" width="10.44140625" style="4" customWidth="1"/>
    <col min="12296" max="12296" width="9" style="4"/>
    <col min="12297" max="12298" width="5.44140625" style="4" customWidth="1"/>
    <col min="12299" max="12299" width="9" style="4"/>
    <col min="12300" max="12300" width="10.44140625" style="4" customWidth="1"/>
    <col min="12301" max="12548" width="9" style="4"/>
    <col min="12549" max="12549" width="13.44140625" style="4" customWidth="1"/>
    <col min="12550" max="12551" width="10.44140625" style="4" customWidth="1"/>
    <col min="12552" max="12552" width="9" style="4"/>
    <col min="12553" max="12554" width="5.44140625" style="4" customWidth="1"/>
    <col min="12555" max="12555" width="9" style="4"/>
    <col min="12556" max="12556" width="10.44140625" style="4" customWidth="1"/>
    <col min="12557" max="12804" width="9" style="4"/>
    <col min="12805" max="12805" width="13.44140625" style="4" customWidth="1"/>
    <col min="12806" max="12807" width="10.44140625" style="4" customWidth="1"/>
    <col min="12808" max="12808" width="9" style="4"/>
    <col min="12809" max="12810" width="5.44140625" style="4" customWidth="1"/>
    <col min="12811" max="12811" width="9" style="4"/>
    <col min="12812" max="12812" width="10.44140625" style="4" customWidth="1"/>
    <col min="12813" max="13060" width="9" style="4"/>
    <col min="13061" max="13061" width="13.44140625" style="4" customWidth="1"/>
    <col min="13062" max="13063" width="10.44140625" style="4" customWidth="1"/>
    <col min="13064" max="13064" width="9" style="4"/>
    <col min="13065" max="13066" width="5.44140625" style="4" customWidth="1"/>
    <col min="13067" max="13067" width="9" style="4"/>
    <col min="13068" max="13068" width="10.44140625" style="4" customWidth="1"/>
    <col min="13069" max="13316" width="9" style="4"/>
    <col min="13317" max="13317" width="13.44140625" style="4" customWidth="1"/>
    <col min="13318" max="13319" width="10.44140625" style="4" customWidth="1"/>
    <col min="13320" max="13320" width="9" style="4"/>
    <col min="13321" max="13322" width="5.44140625" style="4" customWidth="1"/>
    <col min="13323" max="13323" width="9" style="4"/>
    <col min="13324" max="13324" width="10.44140625" style="4" customWidth="1"/>
    <col min="13325" max="13572" width="9" style="4"/>
    <col min="13573" max="13573" width="13.44140625" style="4" customWidth="1"/>
    <col min="13574" max="13575" width="10.44140625" style="4" customWidth="1"/>
    <col min="13576" max="13576" width="9" style="4"/>
    <col min="13577" max="13578" width="5.44140625" style="4" customWidth="1"/>
    <col min="13579" max="13579" width="9" style="4"/>
    <col min="13580" max="13580" width="10.44140625" style="4" customWidth="1"/>
    <col min="13581" max="13828" width="9" style="4"/>
    <col min="13829" max="13829" width="13.44140625" style="4" customWidth="1"/>
    <col min="13830" max="13831" width="10.44140625" style="4" customWidth="1"/>
    <col min="13832" max="13832" width="9" style="4"/>
    <col min="13833" max="13834" width="5.44140625" style="4" customWidth="1"/>
    <col min="13835" max="13835" width="9" style="4"/>
    <col min="13836" max="13836" width="10.44140625" style="4" customWidth="1"/>
    <col min="13837" max="14084" width="9" style="4"/>
    <col min="14085" max="14085" width="13.44140625" style="4" customWidth="1"/>
    <col min="14086" max="14087" width="10.44140625" style="4" customWidth="1"/>
    <col min="14088" max="14088" width="9" style="4"/>
    <col min="14089" max="14090" width="5.44140625" style="4" customWidth="1"/>
    <col min="14091" max="14091" width="9" style="4"/>
    <col min="14092" max="14092" width="10.44140625" style="4" customWidth="1"/>
    <col min="14093" max="14340" width="9" style="4"/>
    <col min="14341" max="14341" width="13.44140625" style="4" customWidth="1"/>
    <col min="14342" max="14343" width="10.44140625" style="4" customWidth="1"/>
    <col min="14344" max="14344" width="9" style="4"/>
    <col min="14345" max="14346" width="5.44140625" style="4" customWidth="1"/>
    <col min="14347" max="14347" width="9" style="4"/>
    <col min="14348" max="14348" width="10.44140625" style="4" customWidth="1"/>
    <col min="14349" max="14596" width="9" style="4"/>
    <col min="14597" max="14597" width="13.44140625" style="4" customWidth="1"/>
    <col min="14598" max="14599" width="10.44140625" style="4" customWidth="1"/>
    <col min="14600" max="14600" width="9" style="4"/>
    <col min="14601" max="14602" width="5.44140625" style="4" customWidth="1"/>
    <col min="14603" max="14603" width="9" style="4"/>
    <col min="14604" max="14604" width="10.44140625" style="4" customWidth="1"/>
    <col min="14605" max="14852" width="9" style="4"/>
    <col min="14853" max="14853" width="13.44140625" style="4" customWidth="1"/>
    <col min="14854" max="14855" width="10.44140625" style="4" customWidth="1"/>
    <col min="14856" max="14856" width="9" style="4"/>
    <col min="14857" max="14858" width="5.44140625" style="4" customWidth="1"/>
    <col min="14859" max="14859" width="9" style="4"/>
    <col min="14860" max="14860" width="10.44140625" style="4" customWidth="1"/>
    <col min="14861" max="15108" width="9" style="4"/>
    <col min="15109" max="15109" width="13.44140625" style="4" customWidth="1"/>
    <col min="15110" max="15111" width="10.44140625" style="4" customWidth="1"/>
    <col min="15112" max="15112" width="9" style="4"/>
    <col min="15113" max="15114" width="5.44140625" style="4" customWidth="1"/>
    <col min="15115" max="15115" width="9" style="4"/>
    <col min="15116" max="15116" width="10.44140625" style="4" customWidth="1"/>
    <col min="15117" max="15364" width="9" style="4"/>
    <col min="15365" max="15365" width="13.44140625" style="4" customWidth="1"/>
    <col min="15366" max="15367" width="10.44140625" style="4" customWidth="1"/>
    <col min="15368" max="15368" width="9" style="4"/>
    <col min="15369" max="15370" width="5.44140625" style="4" customWidth="1"/>
    <col min="15371" max="15371" width="9" style="4"/>
    <col min="15372" max="15372" width="10.44140625" style="4" customWidth="1"/>
    <col min="15373" max="15620" width="9" style="4"/>
    <col min="15621" max="15621" width="13.44140625" style="4" customWidth="1"/>
    <col min="15622" max="15623" width="10.44140625" style="4" customWidth="1"/>
    <col min="15624" max="15624" width="9" style="4"/>
    <col min="15625" max="15626" width="5.44140625" style="4" customWidth="1"/>
    <col min="15627" max="15627" width="9" style="4"/>
    <col min="15628" max="15628" width="10.44140625" style="4" customWidth="1"/>
    <col min="15629" max="15876" width="9" style="4"/>
    <col min="15877" max="15877" width="13.44140625" style="4" customWidth="1"/>
    <col min="15878" max="15879" width="10.44140625" style="4" customWidth="1"/>
    <col min="15880" max="15880" width="9" style="4"/>
    <col min="15881" max="15882" width="5.44140625" style="4" customWidth="1"/>
    <col min="15883" max="15883" width="9" style="4"/>
    <col min="15884" max="15884" width="10.44140625" style="4" customWidth="1"/>
    <col min="15885" max="16132" width="9" style="4"/>
    <col min="16133" max="16133" width="13.44140625" style="4" customWidth="1"/>
    <col min="16134" max="16135" width="10.44140625" style="4" customWidth="1"/>
    <col min="16136" max="16136" width="9" style="4"/>
    <col min="16137" max="16138" width="5.44140625" style="4" customWidth="1"/>
    <col min="16139" max="16139" width="9" style="4"/>
    <col min="16140" max="16140" width="10.44140625" style="4" customWidth="1"/>
    <col min="16141" max="16384" width="9" style="4"/>
  </cols>
  <sheetData>
    <row r="1" spans="1:15" ht="27.75" customHeight="1" x14ac:dyDescent="0.3">
      <c r="A1" s="124" t="s">
        <v>40</v>
      </c>
      <c r="B1" s="124"/>
      <c r="C1" s="124"/>
      <c r="D1" s="124"/>
      <c r="E1" s="124"/>
      <c r="F1" s="124"/>
      <c r="G1" s="124"/>
      <c r="H1" s="124"/>
      <c r="I1" s="124"/>
      <c r="J1" s="124"/>
      <c r="N1"/>
      <c r="O1"/>
    </row>
    <row r="2" spans="1:15" ht="15" customHeight="1" x14ac:dyDescent="0.3">
      <c r="A2" s="132" t="str">
        <f>IF(AND(MONTH($H3)&lt;10,DAY($H3)&lt;10),"表報編號："&amp;INDEX(工程基本資料!A:B,MATCH("工程編號",工程基本資料!A:A,0),2)&amp;"-"&amp;(YEAR($H3)-1911)&amp;"0"&amp;MONTH($H3)&amp;"0"&amp;DAY($H3),IF(MONTH($H3)&lt;10,"表報編號："&amp;INDEX(工程基本資料!A:B,MATCH("工程編號",工程基本資料!A:A,0),2)&amp;"-"&amp;(YEAR($H3)-1911)&amp;"0"&amp;MONTH($H3)&amp;DAY($H3), IF(DAY($H3)&lt;10,"表報編號："&amp;INDEX(工程基本資料!A:B,MATCH("工程編號",工程基本資料!A:A,0),2)&amp;"-"&amp;(YEAR($H3)-1911)&amp;MONTH($H3)&amp;"0"&amp;DAY($H3),"表報編號："&amp;INDEX(工程基本資料!A:B,MATCH("工程編號",工程基本資料!A:A,0),2)&amp;"-"&amp;(YEAR($H3)-1911)&amp;MONTH($H3)&amp;DAY($H3))))</f>
        <v>表報編號：-1150630</v>
      </c>
      <c r="B2" s="132"/>
      <c r="C2" s="132"/>
      <c r="D2" s="51"/>
      <c r="E2" s="51"/>
      <c r="F2" s="51"/>
      <c r="G2" s="51"/>
      <c r="H2" s="51"/>
      <c r="I2" s="51"/>
      <c r="J2" s="51"/>
      <c r="N2" s="13" t="str">
        <f>IF(AND(MONTH($H3)&lt;10,DAY($H3)&lt;10),VLOOKUP("工程編號",工程基本資料!$A$1:$B$10,2,)&amp;"-"&amp;(YEAR($H3)-1911)&amp;"0"&amp;MONTH($H3)&amp;"0"&amp;DAY($H3),IF(MONTH($H3)&lt;10,VLOOKUP("工程編號",工程基本資料!$A$1:$B$10,2,)&amp;"-"&amp;(YEAR($H3)-1911)&amp;"0"&amp;MONTH($H3)&amp;DAY($H3), IF(DAY($H3)&lt;10,VLOOKUP("工程編號",工程基本資料!$A$1:$B$10,2,)&amp;"-"&amp;(YEAR($H3)-1911)&amp;MONTH($H3)&amp;"0"&amp;DAY($H3),VLOOKUP("工程編號",工程基本資料!$A$1:$B$10,2,)&amp;"-"&amp;(YEAR($H3)-1911)&amp;MONTH($H3)&amp;DAY($H3))))</f>
        <v>-1150630</v>
      </c>
      <c r="O2" s="13"/>
    </row>
    <row r="3" spans="1:15" ht="15" customHeight="1" thickBot="1" x14ac:dyDescent="0.35">
      <c r="A3" s="51" t="s">
        <v>57</v>
      </c>
      <c r="B3" s="133" t="e">
        <f>"上午 : "&amp;INDEX(監造內容!$1:$1048576,MATCH($H3,監造內容!B:B,0),3)&amp;
"      下午:"&amp;INDEX(監造內容!A:O,MATCH($H3,監造內容!B:B,0),4)</f>
        <v>#N/A</v>
      </c>
      <c r="C3" s="133"/>
      <c r="D3" s="133"/>
      <c r="E3" s="51"/>
      <c r="F3" s="51"/>
      <c r="G3" s="9" t="s">
        <v>41</v>
      </c>
      <c r="H3" s="125">
        <f>N8</f>
        <v>46203</v>
      </c>
      <c r="I3" s="125"/>
      <c r="J3" s="55">
        <f>H3</f>
        <v>46203</v>
      </c>
      <c r="N3" s="13" t="s">
        <v>35</v>
      </c>
      <c r="O3" s="13"/>
    </row>
    <row r="4" spans="1:15" ht="21" customHeight="1" x14ac:dyDescent="0.3">
      <c r="A4" s="48" t="s">
        <v>42</v>
      </c>
      <c r="B4" s="126">
        <f>INDEX(工程基本資料!A:B,MATCH(A4,工程基本資料!A:A,0),2)</f>
        <v>0</v>
      </c>
      <c r="C4" s="126"/>
      <c r="D4" s="126"/>
      <c r="E4" s="126"/>
      <c r="F4" s="126"/>
      <c r="G4" s="126"/>
      <c r="H4" s="126"/>
      <c r="I4" s="126"/>
      <c r="J4" s="127"/>
      <c r="N4" s="14"/>
      <c r="O4" s="14"/>
    </row>
    <row r="5" spans="1:15" ht="32.25" customHeight="1" x14ac:dyDescent="0.3">
      <c r="A5" s="49" t="s">
        <v>43</v>
      </c>
      <c r="B5" s="72">
        <f>INDEX(工程基本資料!A:B,MATCH(A5,工程基本資料!A:A,0),2)</f>
        <v>0</v>
      </c>
      <c r="C5" s="54" t="s">
        <v>44</v>
      </c>
      <c r="D5" s="74">
        <f>INDEX(工程基本資料!A:B,MATCH(C5,工程基本資料!A:A,0),2)</f>
        <v>0</v>
      </c>
      <c r="E5" s="128" t="s">
        <v>45</v>
      </c>
      <c r="F5" s="129"/>
      <c r="G5" s="74" t="e">
        <f>INDEX(監造內容!$1:$1048576,MATCH($H3,監造內容!B:B,0),16)</f>
        <v>#N/A</v>
      </c>
      <c r="H5" s="50" t="s">
        <v>46</v>
      </c>
      <c r="I5" s="130" t="e">
        <f>IF(INDEX(每日施工紀錄!$1:$1048576,MATCH("實際進度",每日施工紀錄!A:A,0),MATCH($H$3,每日施工紀錄!$1:$1,0))&gt;=1,$H$3," ")</f>
        <v>#N/A</v>
      </c>
      <c r="J5" s="131"/>
      <c r="N5" s="13"/>
      <c r="O5" s="13"/>
    </row>
    <row r="6" spans="1:15" ht="19.5" customHeight="1" thickBot="1" x14ac:dyDescent="0.35">
      <c r="A6" s="134" t="s">
        <v>47</v>
      </c>
      <c r="B6" s="129"/>
      <c r="C6" s="73" t="e">
        <f>INDEX(監造內容!$1:$1048576,MATCH($H3,監造內容!B:B,0),14)</f>
        <v>#N/A</v>
      </c>
      <c r="D6" s="129" t="s">
        <v>48</v>
      </c>
      <c r="E6" s="129"/>
      <c r="F6" s="129"/>
      <c r="G6" s="72" t="e">
        <f>SUM(INDEX(監造內容!$1:$1048576,MATCH($H3,監造內容!B:B,0),12),INDEX(監造內容!$1:$1048576,MATCH($H3,監造內容!B:B,0),13))</f>
        <v>#N/A</v>
      </c>
      <c r="H6" s="129" t="s">
        <v>49</v>
      </c>
      <c r="I6" s="120">
        <f>INDEX(工程基本資料!A:B,MATCH("契約金額",工程基本資料!A:A,0),2)</f>
        <v>0</v>
      </c>
      <c r="J6" s="121"/>
      <c r="N6" s="13"/>
      <c r="O6" s="15"/>
    </row>
    <row r="7" spans="1:15" ht="20.25" customHeight="1" thickBot="1" x14ac:dyDescent="0.35">
      <c r="A7" s="49" t="s">
        <v>50</v>
      </c>
      <c r="B7" s="135" t="e">
        <f>INDEX(每日施工紀錄!$1:$1048576,MATCH("預定進度",每日施工紀錄!A:A,0),MATCH($H$3,每日施工紀錄!1:1,0))</f>
        <v>#N/A</v>
      </c>
      <c r="C7" s="135"/>
      <c r="D7" s="129" t="s">
        <v>51</v>
      </c>
      <c r="E7" s="129"/>
      <c r="F7" s="135" t="e">
        <f>INDEX(每日施工紀錄!$1:$1048576,MATCH("實際進度",每日施工紀錄!A:A,0),MATCH($H$3,每日施工紀錄!$1:$1,0))</f>
        <v>#N/A</v>
      </c>
      <c r="G7" s="135"/>
      <c r="H7" s="129"/>
      <c r="I7" s="122" t="e">
        <f>INDEX(監造內容!A:O,MATCH($H3,監造內容!B:B,0),15)</f>
        <v>#N/A</v>
      </c>
      <c r="J7" s="123"/>
      <c r="N7" s="16" t="s">
        <v>36</v>
      </c>
      <c r="O7" s="13"/>
    </row>
    <row r="8" spans="1:15" ht="20.25" customHeight="1" thickBot="1" x14ac:dyDescent="0.35">
      <c r="A8" s="148" t="s">
        <v>52</v>
      </c>
      <c r="B8" s="149"/>
      <c r="C8" s="149"/>
      <c r="D8" s="149"/>
      <c r="E8" s="149"/>
      <c r="F8" s="149"/>
      <c r="G8" s="149"/>
      <c r="H8" s="149"/>
      <c r="I8" s="149"/>
      <c r="J8" s="150"/>
      <c r="N8" s="22">
        <v>46203</v>
      </c>
      <c r="O8" s="71" t="e">
        <f>ROUND(F7-B7,5)</f>
        <v>#N/A</v>
      </c>
    </row>
    <row r="9" spans="1:15" ht="21" customHeight="1" x14ac:dyDescent="0.3">
      <c r="A9" s="52" t="s">
        <v>58</v>
      </c>
      <c r="B9" s="155" t="s">
        <v>59</v>
      </c>
      <c r="C9" s="155"/>
      <c r="D9" s="155"/>
      <c r="E9" s="155"/>
      <c r="F9" s="155"/>
      <c r="G9" s="53" t="s">
        <v>60</v>
      </c>
      <c r="H9" s="53" t="s">
        <v>61</v>
      </c>
      <c r="I9" s="53" t="s">
        <v>62</v>
      </c>
      <c r="J9" s="56" t="s">
        <v>63</v>
      </c>
      <c r="N9" s="13"/>
      <c r="O9" s="13"/>
    </row>
    <row r="10" spans="1:15" x14ac:dyDescent="0.3">
      <c r="A10" s="52" t="e">
        <f>IF(契約詳細價目表!A2="",NA(),契約詳細價目表!A2)</f>
        <v>#N/A</v>
      </c>
      <c r="B10" s="119" t="e">
        <f>IF(契約詳細價目表!B2="",NA(),契約詳細價目表!B2)</f>
        <v>#N/A</v>
      </c>
      <c r="C10" s="119"/>
      <c r="D10" s="119"/>
      <c r="E10" s="119"/>
      <c r="F10" s="119"/>
      <c r="G10" s="53" t="e">
        <f>IF(契約詳細價目表!C2="",NA(),契約詳細價目表!C2)</f>
        <v>#N/A</v>
      </c>
      <c r="H10" s="84" t="e">
        <f>IF(契約詳細價目表!D2="",NA(),契約詳細價目表!D2)</f>
        <v>#N/A</v>
      </c>
      <c r="I10" s="84" t="e">
        <f>INDEX(每日施工紀錄!$1:$1048576,MATCH($A10,每日施工紀錄!A:A,0),MATCH($H$3,每日施工紀錄!$1:$1,0))</f>
        <v>#N/A</v>
      </c>
      <c r="J10" s="57">
        <f>SUMPRODUCT((每日施工紀錄!$J$1:$WF$1&gt;=每日施工紀錄!$J$1)*(每日施工紀錄!$J$1:$WF$1&lt;=$H$3)*每日施工紀錄!$J2:$WF2)</f>
        <v>0</v>
      </c>
      <c r="N10" s="17"/>
      <c r="O10" s="13"/>
    </row>
    <row r="11" spans="1:15" x14ac:dyDescent="0.3">
      <c r="A11" s="52" t="e">
        <f>IF(契約詳細價目表!A3="",NA(),契約詳細價目表!A3)</f>
        <v>#N/A</v>
      </c>
      <c r="B11" s="119" t="e">
        <f>IF(契約詳細價目表!B3="",NA(),契約詳細價目表!B3)</f>
        <v>#N/A</v>
      </c>
      <c r="C11" s="119"/>
      <c r="D11" s="119"/>
      <c r="E11" s="119"/>
      <c r="F11" s="119"/>
      <c r="G11" s="53" t="e">
        <f>IF(契約詳細價目表!C3="",NA(),契約詳細價目表!C3)</f>
        <v>#N/A</v>
      </c>
      <c r="H11" s="84" t="e">
        <f>IF(契約詳細價目表!D3="",NA(),契約詳細價目表!D3)</f>
        <v>#N/A</v>
      </c>
      <c r="I11" s="84" t="e">
        <f>INDEX(每日施工紀錄!$1:$1048576,MATCH($A11,每日施工紀錄!A:A,0),MATCH($H$3,每日施工紀錄!$1:$1,0))</f>
        <v>#N/A</v>
      </c>
      <c r="J11" s="57">
        <f>SUMPRODUCT((每日施工紀錄!$J$1:$WF$1&gt;=每日施工紀錄!$J$1)*(每日施工紀錄!$J$1:$WF$1&lt;=$H$3)*每日施工紀錄!$J3:$WF3)</f>
        <v>0</v>
      </c>
      <c r="N11" s="17"/>
      <c r="O11" s="13"/>
    </row>
    <row r="12" spans="1:15" x14ac:dyDescent="0.3">
      <c r="A12" s="52" t="e">
        <f>IF(契約詳細價目表!A4="",NA(),契約詳細價目表!A4)</f>
        <v>#N/A</v>
      </c>
      <c r="B12" s="119" t="e">
        <f>IF(契約詳細價目表!B4="",NA(),契約詳細價目表!B4)</f>
        <v>#N/A</v>
      </c>
      <c r="C12" s="119"/>
      <c r="D12" s="119"/>
      <c r="E12" s="119"/>
      <c r="F12" s="119"/>
      <c r="G12" s="53" t="e">
        <f>IF(契約詳細價目表!C4="",NA(),契約詳細價目表!C4)</f>
        <v>#N/A</v>
      </c>
      <c r="H12" s="84" t="e">
        <f>IF(契約詳細價目表!D4="",NA(),契約詳細價目表!D4)</f>
        <v>#N/A</v>
      </c>
      <c r="I12" s="84" t="e">
        <f>INDEX(每日施工紀錄!$1:$1048576,MATCH($A12,每日施工紀錄!A:A,0),MATCH($H$3,每日施工紀錄!$1:$1,0))</f>
        <v>#N/A</v>
      </c>
      <c r="J12" s="57">
        <f>SUMPRODUCT((每日施工紀錄!$J$1:$WF$1&gt;=每日施工紀錄!$J$1)*(每日施工紀錄!$J$1:$WF$1&lt;=$H$3)*每日施工紀錄!$J4:$WF4)</f>
        <v>0</v>
      </c>
      <c r="N12" s="17"/>
      <c r="O12" s="13"/>
    </row>
    <row r="13" spans="1:15" x14ac:dyDescent="0.3">
      <c r="A13" s="52" t="e">
        <f>IF(契約詳細價目表!A5="",NA(),契約詳細價目表!A5)</f>
        <v>#N/A</v>
      </c>
      <c r="B13" s="119" t="e">
        <f>IF(契約詳細價目表!B5="",NA(),契約詳細價目表!B5)</f>
        <v>#N/A</v>
      </c>
      <c r="C13" s="119"/>
      <c r="D13" s="119"/>
      <c r="E13" s="119"/>
      <c r="F13" s="119"/>
      <c r="G13" s="53" t="e">
        <f>IF(契約詳細價目表!C5="",NA(),契約詳細價目表!C5)</f>
        <v>#N/A</v>
      </c>
      <c r="H13" s="84" t="e">
        <f>IF(契約詳細價目表!D5="",NA(),契約詳細價目表!D5)</f>
        <v>#N/A</v>
      </c>
      <c r="I13" s="84" t="e">
        <f>INDEX(每日施工紀錄!$1:$1048576,MATCH($A13,每日施工紀錄!A:A,0),MATCH($H$3,每日施工紀錄!$1:$1,0))</f>
        <v>#N/A</v>
      </c>
      <c r="J13" s="57">
        <f>SUMPRODUCT((每日施工紀錄!$J$1:$WF$1&gt;=每日施工紀錄!$J$1)*(每日施工紀錄!$J$1:$WF$1&lt;=$H$3)*每日施工紀錄!$J5:$WF5)</f>
        <v>0</v>
      </c>
      <c r="N13" s="17"/>
      <c r="O13" s="13"/>
    </row>
    <row r="14" spans="1:15" x14ac:dyDescent="0.3">
      <c r="A14" s="52" t="e">
        <f>IF(契約詳細價目表!A6="",NA(),契約詳細價目表!A6)</f>
        <v>#N/A</v>
      </c>
      <c r="B14" s="119" t="e">
        <f>IF(契約詳細價目表!B6="",NA(),契約詳細價目表!B6)</f>
        <v>#N/A</v>
      </c>
      <c r="C14" s="119"/>
      <c r="D14" s="119"/>
      <c r="E14" s="119"/>
      <c r="F14" s="119"/>
      <c r="G14" s="53" t="e">
        <f>IF(契約詳細價目表!C6="",NA(),契約詳細價目表!C6)</f>
        <v>#N/A</v>
      </c>
      <c r="H14" s="84" t="e">
        <f>IF(契約詳細價目表!D6="",NA(),契約詳細價目表!D6)</f>
        <v>#N/A</v>
      </c>
      <c r="I14" s="84" t="e">
        <f>INDEX(每日施工紀錄!$1:$1048576,MATCH($A14,每日施工紀錄!A:A,0),MATCH($H$3,每日施工紀錄!$1:$1,0))</f>
        <v>#N/A</v>
      </c>
      <c r="J14" s="57">
        <f>SUMPRODUCT((每日施工紀錄!$J$1:$WF$1&gt;=每日施工紀錄!$J$1)*(每日施工紀錄!$J$1:$WF$1&lt;=$H$3)*每日施工紀錄!$J6:$WF6)</f>
        <v>0</v>
      </c>
      <c r="N14" s="17"/>
      <c r="O14" s="13"/>
    </row>
    <row r="15" spans="1:15" x14ac:dyDescent="0.3">
      <c r="A15" s="52" t="e">
        <f>IF(契約詳細價目表!A7="",NA(),契約詳細價目表!A7)</f>
        <v>#N/A</v>
      </c>
      <c r="B15" s="119" t="e">
        <f>IF(契約詳細價目表!B7="",NA(),契約詳細價目表!B7)</f>
        <v>#N/A</v>
      </c>
      <c r="C15" s="119"/>
      <c r="D15" s="119"/>
      <c r="E15" s="119"/>
      <c r="F15" s="119"/>
      <c r="G15" s="53" t="e">
        <f>IF(契約詳細價目表!C7="",NA(),契約詳細價目表!C7)</f>
        <v>#N/A</v>
      </c>
      <c r="H15" s="84" t="e">
        <f>IF(契約詳細價目表!D7="",NA(),契約詳細價目表!D7)</f>
        <v>#N/A</v>
      </c>
      <c r="I15" s="84" t="e">
        <f>INDEX(每日施工紀錄!$1:$1048576,MATCH($A15,每日施工紀錄!A:A,0),MATCH($H$3,每日施工紀錄!$1:$1,0))</f>
        <v>#N/A</v>
      </c>
      <c r="J15" s="57">
        <f>SUMPRODUCT((每日施工紀錄!$J$1:$WF$1&gt;=每日施工紀錄!$J$1)*(每日施工紀錄!$J$1:$WF$1&lt;=$H$3)*每日施工紀錄!$J7:$WF7)</f>
        <v>0</v>
      </c>
      <c r="N15" s="17"/>
      <c r="O15" s="13"/>
    </row>
    <row r="16" spans="1:15" x14ac:dyDescent="0.3">
      <c r="A16" s="52" t="e">
        <f>IF(契約詳細價目表!A8="",NA(),契約詳細價目表!A8)</f>
        <v>#N/A</v>
      </c>
      <c r="B16" s="119" t="e">
        <f>IF(契約詳細價目表!B8="",NA(),契約詳細價目表!B8)</f>
        <v>#N/A</v>
      </c>
      <c r="C16" s="119"/>
      <c r="D16" s="119"/>
      <c r="E16" s="119"/>
      <c r="F16" s="119"/>
      <c r="G16" s="53" t="e">
        <f>IF(契約詳細價目表!C8="",NA(),契約詳細價目表!C8)</f>
        <v>#N/A</v>
      </c>
      <c r="H16" s="84" t="e">
        <f>IF(契約詳細價目表!D8="",NA(),契約詳細價目表!D8)</f>
        <v>#N/A</v>
      </c>
      <c r="I16" s="84" t="e">
        <f>INDEX(每日施工紀錄!$1:$1048576,MATCH($A16,每日施工紀錄!A:A,0),MATCH($H$3,每日施工紀錄!$1:$1,0))</f>
        <v>#N/A</v>
      </c>
      <c r="J16" s="57">
        <f>SUMPRODUCT((每日施工紀錄!$J$1:$WF$1&gt;=每日施工紀錄!$J$1)*(每日施工紀錄!$J$1:$WF$1&lt;=$H$3)*每日施工紀錄!$J8:$WF8)</f>
        <v>0</v>
      </c>
      <c r="N16" s="17"/>
      <c r="O16" s="13"/>
    </row>
    <row r="17" spans="1:15" x14ac:dyDescent="0.3">
      <c r="A17" s="52" t="e">
        <f>IF(契約詳細價目表!A9="",NA(),契約詳細價目表!A9)</f>
        <v>#N/A</v>
      </c>
      <c r="B17" s="119" t="e">
        <f>IF(契約詳細價目表!B9="",NA(),契約詳細價目表!B9)</f>
        <v>#N/A</v>
      </c>
      <c r="C17" s="119"/>
      <c r="D17" s="119"/>
      <c r="E17" s="119"/>
      <c r="F17" s="119"/>
      <c r="G17" s="53" t="e">
        <f>IF(契約詳細價目表!C9="",NA(),契約詳細價目表!C9)</f>
        <v>#N/A</v>
      </c>
      <c r="H17" s="84" t="e">
        <f>IF(契約詳細價目表!D9="",NA(),契約詳細價目表!D9)</f>
        <v>#N/A</v>
      </c>
      <c r="I17" s="84" t="e">
        <f>INDEX(每日施工紀錄!$1:$1048576,MATCH($A17,每日施工紀錄!A:A,0),MATCH($H$3,每日施工紀錄!$1:$1,0))</f>
        <v>#N/A</v>
      </c>
      <c r="J17" s="57">
        <f>SUMPRODUCT((每日施工紀錄!$J$1:$WF$1&gt;=每日施工紀錄!$J$1)*(每日施工紀錄!$J$1:$WF$1&lt;=$H$3)*每日施工紀錄!$J9:$WF9)</f>
        <v>0</v>
      </c>
      <c r="N17" s="17"/>
      <c r="O17" s="13"/>
    </row>
    <row r="18" spans="1:15" x14ac:dyDescent="0.3">
      <c r="A18" s="52" t="e">
        <f>IF(契約詳細價目表!A10="",NA(),契約詳細價目表!A10)</f>
        <v>#N/A</v>
      </c>
      <c r="B18" s="119" t="e">
        <f>IF(契約詳細價目表!B10="",NA(),契約詳細價目表!B10)</f>
        <v>#N/A</v>
      </c>
      <c r="C18" s="119"/>
      <c r="D18" s="119"/>
      <c r="E18" s="119"/>
      <c r="F18" s="119"/>
      <c r="G18" s="53" t="e">
        <f>IF(契約詳細價目表!C10="",NA(),契約詳細價目表!C10)</f>
        <v>#N/A</v>
      </c>
      <c r="H18" s="84" t="e">
        <f>IF(契約詳細價目表!D10="",NA(),契約詳細價目表!D10)</f>
        <v>#N/A</v>
      </c>
      <c r="I18" s="84" t="e">
        <f>INDEX(每日施工紀錄!$1:$1048576,MATCH($A18,每日施工紀錄!A:A,0),MATCH($H$3,每日施工紀錄!$1:$1,0))</f>
        <v>#N/A</v>
      </c>
      <c r="J18" s="57">
        <f>SUMPRODUCT((每日施工紀錄!$J$1:$WF$1&gt;=每日施工紀錄!$J$1)*(每日施工紀錄!$J$1:$WF$1&lt;=$H$3)*每日施工紀錄!$J10:$WF10)</f>
        <v>0</v>
      </c>
      <c r="N18" s="17"/>
      <c r="O18" s="13"/>
    </row>
    <row r="19" spans="1:15" x14ac:dyDescent="0.3">
      <c r="A19" s="52" t="e">
        <f>IF(契約詳細價目表!A11="",NA(),契約詳細價目表!A11)</f>
        <v>#N/A</v>
      </c>
      <c r="B19" s="119" t="e">
        <f>IF(契約詳細價目表!B11="",NA(),契約詳細價目表!B11)</f>
        <v>#N/A</v>
      </c>
      <c r="C19" s="119"/>
      <c r="D19" s="119"/>
      <c r="E19" s="119"/>
      <c r="F19" s="119"/>
      <c r="G19" s="53" t="e">
        <f>IF(契約詳細價目表!C11="",NA(),契約詳細價目表!C11)</f>
        <v>#N/A</v>
      </c>
      <c r="H19" s="84" t="e">
        <f>IF(契約詳細價目表!D11="",NA(),契約詳細價目表!D11)</f>
        <v>#N/A</v>
      </c>
      <c r="I19" s="84" t="e">
        <f>INDEX(每日施工紀錄!$1:$1048576,MATCH($A19,每日施工紀錄!A:A,0),MATCH($H$3,每日施工紀錄!$1:$1,0))</f>
        <v>#N/A</v>
      </c>
      <c r="J19" s="57">
        <f>SUMPRODUCT((每日施工紀錄!$J$1:$WF$1&gt;=每日施工紀錄!$J$1)*(每日施工紀錄!$J$1:$WF$1&lt;=$H$3)*每日施工紀錄!$J11:$WF11)</f>
        <v>0</v>
      </c>
      <c r="N19" s="17"/>
      <c r="O19" s="13"/>
    </row>
    <row r="20" spans="1:15" x14ac:dyDescent="0.3">
      <c r="A20" s="52" t="e">
        <f>IF(契約詳細價目表!A12="",NA(),契約詳細價目表!A12)</f>
        <v>#N/A</v>
      </c>
      <c r="B20" s="119" t="e">
        <f>IF(契約詳細價目表!B12="",NA(),契約詳細價目表!B12)</f>
        <v>#N/A</v>
      </c>
      <c r="C20" s="119"/>
      <c r="D20" s="119"/>
      <c r="E20" s="119"/>
      <c r="F20" s="119"/>
      <c r="G20" s="53" t="e">
        <f>IF(契約詳細價目表!C12="",NA(),契約詳細價目表!C12)</f>
        <v>#N/A</v>
      </c>
      <c r="H20" s="84" t="e">
        <f>IF(契約詳細價目表!D12="",NA(),契約詳細價目表!D12)</f>
        <v>#N/A</v>
      </c>
      <c r="I20" s="84" t="e">
        <f>INDEX(每日施工紀錄!$1:$1048576,MATCH($A20,每日施工紀錄!A:A,0),MATCH($H$3,每日施工紀錄!$1:$1,0))</f>
        <v>#N/A</v>
      </c>
      <c r="J20" s="57">
        <f>SUMPRODUCT((每日施工紀錄!$J$1:$WF$1&gt;=每日施工紀錄!$J$1)*(每日施工紀錄!$J$1:$WF$1&lt;=$H$3)*每日施工紀錄!$J12:$WF12)</f>
        <v>0</v>
      </c>
      <c r="N20" s="17"/>
      <c r="O20" s="13"/>
    </row>
    <row r="21" spans="1:15" x14ac:dyDescent="0.3">
      <c r="A21" s="52" t="e">
        <f>IF(契約詳細價目表!A13="",NA(),契約詳細價目表!A13)</f>
        <v>#N/A</v>
      </c>
      <c r="B21" s="119" t="e">
        <f>IF(契約詳細價目表!B13="",NA(),契約詳細價目表!B13)</f>
        <v>#N/A</v>
      </c>
      <c r="C21" s="119"/>
      <c r="D21" s="119"/>
      <c r="E21" s="119"/>
      <c r="F21" s="119"/>
      <c r="G21" s="53" t="e">
        <f>IF(契約詳細價目表!C13="",NA(),契約詳細價目表!C13)</f>
        <v>#N/A</v>
      </c>
      <c r="H21" s="84" t="e">
        <f>IF(契約詳細價目表!D13="",NA(),契約詳細價目表!D13)</f>
        <v>#N/A</v>
      </c>
      <c r="I21" s="84" t="e">
        <f>INDEX(每日施工紀錄!$1:$1048576,MATCH($A21,每日施工紀錄!A:A,0),MATCH($H$3,每日施工紀錄!$1:$1,0))</f>
        <v>#N/A</v>
      </c>
      <c r="J21" s="57">
        <f>SUMPRODUCT((每日施工紀錄!$J$1:$WF$1&gt;=每日施工紀錄!$J$1)*(每日施工紀錄!$J$1:$WF$1&lt;=$H$3)*每日施工紀錄!$J13:$WF13)</f>
        <v>0</v>
      </c>
      <c r="N21" s="17"/>
      <c r="O21" s="13"/>
    </row>
    <row r="22" spans="1:15" x14ac:dyDescent="0.3">
      <c r="A22" s="52" t="e">
        <f>IF(契約詳細價目表!A14="",NA(),契約詳細價目表!A14)</f>
        <v>#N/A</v>
      </c>
      <c r="B22" s="119" t="e">
        <f>IF(契約詳細價目表!B14="",NA(),契約詳細價目表!B14)</f>
        <v>#N/A</v>
      </c>
      <c r="C22" s="119"/>
      <c r="D22" s="119"/>
      <c r="E22" s="119"/>
      <c r="F22" s="119"/>
      <c r="G22" s="53" t="e">
        <f>IF(契約詳細價目表!C14="",NA(),契約詳細價目表!C14)</f>
        <v>#N/A</v>
      </c>
      <c r="H22" s="84" t="e">
        <f>IF(契約詳細價目表!D14="",NA(),契約詳細價目表!D14)</f>
        <v>#N/A</v>
      </c>
      <c r="I22" s="84" t="e">
        <f>INDEX(每日施工紀錄!$1:$1048576,MATCH($A22,每日施工紀錄!A:A,0),MATCH($H$3,每日施工紀錄!$1:$1,0))</f>
        <v>#N/A</v>
      </c>
      <c r="J22" s="57">
        <f>SUMPRODUCT((每日施工紀錄!$J$1:$WF$1&gt;=每日施工紀錄!$J$1)*(每日施工紀錄!$J$1:$WF$1&lt;=$H$3)*每日施工紀錄!$J14:$WF14)</f>
        <v>0</v>
      </c>
      <c r="N22" s="17"/>
      <c r="O22" s="13"/>
    </row>
    <row r="23" spans="1:15" x14ac:dyDescent="0.3">
      <c r="A23" s="52" t="e">
        <f>IF(契約詳細價目表!A15="",NA(),契約詳細價目表!A15)</f>
        <v>#N/A</v>
      </c>
      <c r="B23" s="119" t="e">
        <f>IF(契約詳細價目表!B15="",NA(),契約詳細價目表!B15)</f>
        <v>#N/A</v>
      </c>
      <c r="C23" s="119"/>
      <c r="D23" s="119"/>
      <c r="E23" s="119"/>
      <c r="F23" s="119"/>
      <c r="G23" s="53" t="e">
        <f>IF(契約詳細價目表!C15="",NA(),契約詳細價目表!C15)</f>
        <v>#N/A</v>
      </c>
      <c r="H23" s="84" t="e">
        <f>IF(契約詳細價目表!D15="",NA(),契約詳細價目表!D15)</f>
        <v>#N/A</v>
      </c>
      <c r="I23" s="84" t="e">
        <f>INDEX(每日施工紀錄!$1:$1048576,MATCH($A23,每日施工紀錄!A:A,0),MATCH($H$3,每日施工紀錄!$1:$1,0))</f>
        <v>#N/A</v>
      </c>
      <c r="J23" s="57">
        <f>SUMPRODUCT((每日施工紀錄!$J$1:$WF$1&gt;=每日施工紀錄!$J$1)*(每日施工紀錄!$J$1:$WF$1&lt;=$H$3)*每日施工紀錄!$J15:$WF15)</f>
        <v>0</v>
      </c>
      <c r="N23" s="17"/>
      <c r="O23" s="13"/>
    </row>
    <row r="24" spans="1:15" x14ac:dyDescent="0.3">
      <c r="A24" s="52" t="e">
        <f>IF(契約詳細價目表!A16="",NA(),契約詳細價目表!A16)</f>
        <v>#N/A</v>
      </c>
      <c r="B24" s="119" t="e">
        <f>IF(契約詳細價目表!B16="",NA(),契約詳細價目表!B16)</f>
        <v>#N/A</v>
      </c>
      <c r="C24" s="119"/>
      <c r="D24" s="119"/>
      <c r="E24" s="119"/>
      <c r="F24" s="119"/>
      <c r="G24" s="53" t="e">
        <f>IF(契約詳細價目表!C16="",NA(),契約詳細價目表!C16)</f>
        <v>#N/A</v>
      </c>
      <c r="H24" s="84" t="e">
        <f>IF(契約詳細價目表!D16="",NA(),契約詳細價目表!D16)</f>
        <v>#N/A</v>
      </c>
      <c r="I24" s="84" t="e">
        <f>INDEX(每日施工紀錄!$1:$1048576,MATCH($A24,每日施工紀錄!A:A,0),MATCH($H$3,每日施工紀錄!$1:$1,0))</f>
        <v>#N/A</v>
      </c>
      <c r="J24" s="57">
        <f>SUMPRODUCT((每日施工紀錄!$J$1:$WF$1&gt;=每日施工紀錄!$J$1)*(每日施工紀錄!$J$1:$WF$1&lt;=$H$3)*每日施工紀錄!$J16:$WF16)</f>
        <v>0</v>
      </c>
      <c r="N24" s="17"/>
      <c r="O24" s="13"/>
    </row>
    <row r="25" spans="1:15" x14ac:dyDescent="0.3">
      <c r="A25" s="52" t="e">
        <f>IF(契約詳細價目表!A17="",NA(),契約詳細價目表!A17)</f>
        <v>#N/A</v>
      </c>
      <c r="B25" s="119" t="e">
        <f>IF(契約詳細價目表!B17="",NA(),契約詳細價目表!B17)</f>
        <v>#N/A</v>
      </c>
      <c r="C25" s="119"/>
      <c r="D25" s="119"/>
      <c r="E25" s="119"/>
      <c r="F25" s="119"/>
      <c r="G25" s="53" t="e">
        <f>IF(契約詳細價目表!C17="",NA(),契約詳細價目表!C17)</f>
        <v>#N/A</v>
      </c>
      <c r="H25" s="84" t="e">
        <f>IF(契約詳細價目表!D17="",NA(),契約詳細價目表!D17)</f>
        <v>#N/A</v>
      </c>
      <c r="I25" s="84" t="e">
        <f>INDEX(每日施工紀錄!$1:$1048576,MATCH($A25,每日施工紀錄!A:A,0),MATCH($H$3,每日施工紀錄!$1:$1,0))</f>
        <v>#N/A</v>
      </c>
      <c r="J25" s="57">
        <f>SUMPRODUCT((每日施工紀錄!$J$1:$WF$1&gt;=每日施工紀錄!$J$1)*(每日施工紀錄!$J$1:$WF$1&lt;=$H$3)*每日施工紀錄!$J17:$WF17)</f>
        <v>0</v>
      </c>
      <c r="N25" s="17"/>
      <c r="O25" s="13"/>
    </row>
    <row r="26" spans="1:15" x14ac:dyDescent="0.3">
      <c r="A26" s="52" t="e">
        <f>IF(契約詳細價目表!A18="",NA(),契約詳細價目表!A18)</f>
        <v>#N/A</v>
      </c>
      <c r="B26" s="119" t="e">
        <f>IF(契約詳細價目表!B18="",NA(),契約詳細價目表!B18)</f>
        <v>#N/A</v>
      </c>
      <c r="C26" s="119"/>
      <c r="D26" s="119"/>
      <c r="E26" s="119"/>
      <c r="F26" s="119"/>
      <c r="G26" s="53" t="e">
        <f>IF(契約詳細價目表!C18="",NA(),契約詳細價目表!C18)</f>
        <v>#N/A</v>
      </c>
      <c r="H26" s="84" t="e">
        <f>IF(契約詳細價目表!D18="",NA(),契約詳細價目表!D18)</f>
        <v>#N/A</v>
      </c>
      <c r="I26" s="84" t="e">
        <f>INDEX(每日施工紀錄!$1:$1048576,MATCH($A26,每日施工紀錄!A:A,0),MATCH($H$3,每日施工紀錄!$1:$1,0))</f>
        <v>#N/A</v>
      </c>
      <c r="J26" s="57">
        <f>SUMPRODUCT((每日施工紀錄!$J$1:$WF$1&gt;=每日施工紀錄!$J$1)*(每日施工紀錄!$J$1:$WF$1&lt;=$H$3)*每日施工紀錄!$J18:$WF18)</f>
        <v>0</v>
      </c>
      <c r="N26" s="17"/>
      <c r="O26" s="13"/>
    </row>
    <row r="27" spans="1:15" x14ac:dyDescent="0.3">
      <c r="A27" s="52" t="e">
        <f>IF(契約詳細價目表!A19="",NA(),契約詳細價目表!A19)</f>
        <v>#N/A</v>
      </c>
      <c r="B27" s="119" t="e">
        <f>IF(契約詳細價目表!B19="",NA(),契約詳細價目表!B19)</f>
        <v>#N/A</v>
      </c>
      <c r="C27" s="119"/>
      <c r="D27" s="119"/>
      <c r="E27" s="119"/>
      <c r="F27" s="119"/>
      <c r="G27" s="53" t="e">
        <f>IF(契約詳細價目表!C19="",NA(),契約詳細價目表!C19)</f>
        <v>#N/A</v>
      </c>
      <c r="H27" s="84" t="e">
        <f>IF(契約詳細價目表!D19="",NA(),契約詳細價目表!D19)</f>
        <v>#N/A</v>
      </c>
      <c r="I27" s="84" t="e">
        <f>INDEX(每日施工紀錄!$1:$1048576,MATCH($A27,每日施工紀錄!A:A,0),MATCH($H$3,每日施工紀錄!$1:$1,0))</f>
        <v>#N/A</v>
      </c>
      <c r="J27" s="57">
        <f>SUMPRODUCT((每日施工紀錄!$J$1:$WF$1&gt;=每日施工紀錄!$J$1)*(每日施工紀錄!$J$1:$WF$1&lt;=$H$3)*每日施工紀錄!$J19:$WF19)</f>
        <v>0</v>
      </c>
      <c r="N27" s="17"/>
      <c r="O27" s="13"/>
    </row>
    <row r="28" spans="1:15" x14ac:dyDescent="0.3">
      <c r="A28" s="52" t="e">
        <f>IF(契約詳細價目表!A20="",NA(),契約詳細價目表!A20)</f>
        <v>#N/A</v>
      </c>
      <c r="B28" s="119" t="e">
        <f>IF(契約詳細價目表!B20="",NA(),契約詳細價目表!B20)</f>
        <v>#N/A</v>
      </c>
      <c r="C28" s="119"/>
      <c r="D28" s="119"/>
      <c r="E28" s="119"/>
      <c r="F28" s="119"/>
      <c r="G28" s="53" t="e">
        <f>IF(契約詳細價目表!C20="",NA(),契約詳細價目表!C20)</f>
        <v>#N/A</v>
      </c>
      <c r="H28" s="84" t="e">
        <f>IF(契約詳細價目表!D20="",NA(),契約詳細價目表!D20)</f>
        <v>#N/A</v>
      </c>
      <c r="I28" s="84" t="e">
        <f>INDEX(每日施工紀錄!$1:$1048576,MATCH($A28,每日施工紀錄!A:A,0),MATCH($H$3,每日施工紀錄!$1:$1,0))</f>
        <v>#N/A</v>
      </c>
      <c r="J28" s="57">
        <f>SUMPRODUCT((每日施工紀錄!$J$1:$WF$1&gt;=每日施工紀錄!$J$1)*(每日施工紀錄!$J$1:$WF$1&lt;=$H$3)*每日施工紀錄!$J20:$WF20)</f>
        <v>0</v>
      </c>
      <c r="N28" s="17"/>
      <c r="O28" s="13"/>
    </row>
    <row r="29" spans="1:15" x14ac:dyDescent="0.3">
      <c r="A29" s="52" t="e">
        <f>IF(契約詳細價目表!A21="",NA(),契約詳細價目表!A21)</f>
        <v>#N/A</v>
      </c>
      <c r="B29" s="119" t="e">
        <f>IF(契約詳細價目表!B21="",NA(),契約詳細價目表!B21)</f>
        <v>#N/A</v>
      </c>
      <c r="C29" s="119"/>
      <c r="D29" s="119"/>
      <c r="E29" s="119"/>
      <c r="F29" s="119"/>
      <c r="G29" s="53" t="e">
        <f>IF(契約詳細價目表!C21="",NA(),契約詳細價目表!C21)</f>
        <v>#N/A</v>
      </c>
      <c r="H29" s="84" t="e">
        <f>IF(契約詳細價目表!D21="",NA(),契約詳細價目表!D21)</f>
        <v>#N/A</v>
      </c>
      <c r="I29" s="84" t="e">
        <f>INDEX(每日施工紀錄!$1:$1048576,MATCH($A29,每日施工紀錄!A:A,0),MATCH($H$3,每日施工紀錄!$1:$1,0))</f>
        <v>#N/A</v>
      </c>
      <c r="J29" s="57">
        <f>SUMPRODUCT((每日施工紀錄!$J$1:$WF$1&gt;=每日施工紀錄!$J$1)*(每日施工紀錄!$J$1:$WF$1&lt;=$H$3)*每日施工紀錄!$J21:$WF21)</f>
        <v>0</v>
      </c>
      <c r="N29" s="17"/>
      <c r="O29" s="13"/>
    </row>
    <row r="30" spans="1:15" x14ac:dyDescent="0.3">
      <c r="A30" s="52" t="e">
        <f>IF(契約詳細價目表!A22="",NA(),契約詳細價目表!A22)</f>
        <v>#N/A</v>
      </c>
      <c r="B30" s="119" t="e">
        <f>IF(契約詳細價目表!B22="",NA(),契約詳細價目表!B22)</f>
        <v>#N/A</v>
      </c>
      <c r="C30" s="119"/>
      <c r="D30" s="119"/>
      <c r="E30" s="119"/>
      <c r="F30" s="119"/>
      <c r="G30" s="53" t="e">
        <f>IF(契約詳細價目表!C22="",NA(),契約詳細價目表!C22)</f>
        <v>#N/A</v>
      </c>
      <c r="H30" s="84" t="e">
        <f>IF(契約詳細價目表!D22="",NA(),契約詳細價目表!D22)</f>
        <v>#N/A</v>
      </c>
      <c r="I30" s="84" t="e">
        <f>INDEX(每日施工紀錄!$1:$1048576,MATCH($A30,每日施工紀錄!A:A,0),MATCH($H$3,每日施工紀錄!$1:$1,0))</f>
        <v>#N/A</v>
      </c>
      <c r="J30" s="57">
        <f>SUMPRODUCT((每日施工紀錄!$J$1:$WF$1&gt;=每日施工紀錄!$J$1)*(每日施工紀錄!$J$1:$WF$1&lt;=$H$3)*每日施工紀錄!$J22:$WF22)</f>
        <v>0</v>
      </c>
      <c r="N30" s="17"/>
      <c r="O30" s="13"/>
    </row>
    <row r="31" spans="1:15" x14ac:dyDescent="0.3">
      <c r="A31" s="52" t="e">
        <f>IF(契約詳細價目表!A23="",NA(),契約詳細價目表!A23)</f>
        <v>#N/A</v>
      </c>
      <c r="B31" s="119" t="e">
        <f>IF(契約詳細價目表!B23="",NA(),契約詳細價目表!B23)</f>
        <v>#N/A</v>
      </c>
      <c r="C31" s="119"/>
      <c r="D31" s="119"/>
      <c r="E31" s="119"/>
      <c r="F31" s="119"/>
      <c r="G31" s="53" t="e">
        <f>IF(契約詳細價目表!C23="",NA(),契約詳細價目表!C23)</f>
        <v>#N/A</v>
      </c>
      <c r="H31" s="84" t="e">
        <f>IF(契約詳細價目表!D23="",NA(),契約詳細價目表!D23)</f>
        <v>#N/A</v>
      </c>
      <c r="I31" s="84" t="e">
        <f>INDEX(每日施工紀錄!$1:$1048576,MATCH($A31,每日施工紀錄!A:A,0),MATCH($H$3,每日施工紀錄!$1:$1,0))</f>
        <v>#N/A</v>
      </c>
      <c r="J31" s="57">
        <f>SUMPRODUCT((每日施工紀錄!$J$1:$WF$1&gt;=每日施工紀錄!$J$1)*(每日施工紀錄!$J$1:$WF$1&lt;=$H$3)*每日施工紀錄!$J23:$WF23)</f>
        <v>0</v>
      </c>
      <c r="N31" s="17"/>
      <c r="O31" s="13"/>
    </row>
    <row r="32" spans="1:15" x14ac:dyDescent="0.3">
      <c r="A32" s="52" t="e">
        <f>IF(契約詳細價目表!A24="",NA(),契約詳細價目表!A24)</f>
        <v>#N/A</v>
      </c>
      <c r="B32" s="119" t="e">
        <f>IF(契約詳細價目表!B24="",NA(),契約詳細價目表!B24)</f>
        <v>#N/A</v>
      </c>
      <c r="C32" s="119"/>
      <c r="D32" s="119"/>
      <c r="E32" s="119"/>
      <c r="F32" s="119"/>
      <c r="G32" s="53" t="e">
        <f>IF(契約詳細價目表!C24="",NA(),契約詳細價目表!C24)</f>
        <v>#N/A</v>
      </c>
      <c r="H32" s="84" t="e">
        <f>IF(契約詳細價目表!D24="",NA(),契約詳細價目表!D24)</f>
        <v>#N/A</v>
      </c>
      <c r="I32" s="84" t="e">
        <f>INDEX(每日施工紀錄!$1:$1048576,MATCH($A32,每日施工紀錄!A:A,0),MATCH($H$3,每日施工紀錄!$1:$1,0))</f>
        <v>#N/A</v>
      </c>
      <c r="J32" s="57">
        <f>SUMPRODUCT((每日施工紀錄!$J$1:$WF$1&gt;=每日施工紀錄!$J$1)*(每日施工紀錄!$J$1:$WF$1&lt;=$H$3)*每日施工紀錄!$J24:$WF24)</f>
        <v>0</v>
      </c>
      <c r="N32" s="17"/>
      <c r="O32" s="13"/>
    </row>
    <row r="33" spans="1:15" x14ac:dyDescent="0.3">
      <c r="A33" s="52" t="e">
        <f>IF(契約詳細價目表!A25="",NA(),契約詳細價目表!A25)</f>
        <v>#N/A</v>
      </c>
      <c r="B33" s="119" t="e">
        <f>IF(契約詳細價目表!B25="",NA(),契約詳細價目表!B25)</f>
        <v>#N/A</v>
      </c>
      <c r="C33" s="119"/>
      <c r="D33" s="119"/>
      <c r="E33" s="119"/>
      <c r="F33" s="119"/>
      <c r="G33" s="53" t="e">
        <f>IF(契約詳細價目表!C25="",NA(),契約詳細價目表!C25)</f>
        <v>#N/A</v>
      </c>
      <c r="H33" s="84" t="e">
        <f>IF(契約詳細價目表!D25="",NA(),契約詳細價目表!D25)</f>
        <v>#N/A</v>
      </c>
      <c r="I33" s="84" t="e">
        <f>INDEX(每日施工紀錄!$1:$1048576,MATCH($A33,每日施工紀錄!A:A,0),MATCH($H$3,每日施工紀錄!$1:$1,0))</f>
        <v>#N/A</v>
      </c>
      <c r="J33" s="57">
        <f>SUMPRODUCT((每日施工紀錄!$J$1:$WF$1&gt;=每日施工紀錄!$J$1)*(每日施工紀錄!$J$1:$WF$1&lt;=$H$3)*每日施工紀錄!$J25:$WF25)</f>
        <v>0</v>
      </c>
      <c r="N33" s="17"/>
      <c r="O33" s="13"/>
    </row>
    <row r="34" spans="1:15" x14ac:dyDescent="0.3">
      <c r="A34" s="52" t="e">
        <f>IF(契約詳細價目表!A26="",NA(),契約詳細價目表!A26)</f>
        <v>#N/A</v>
      </c>
      <c r="B34" s="119" t="e">
        <f>IF(契約詳細價目表!B26="",NA(),契約詳細價目表!B26)</f>
        <v>#N/A</v>
      </c>
      <c r="C34" s="119"/>
      <c r="D34" s="119"/>
      <c r="E34" s="119"/>
      <c r="F34" s="119"/>
      <c r="G34" s="53" t="e">
        <f>IF(契約詳細價目表!C26="",NA(),契約詳細價目表!C26)</f>
        <v>#N/A</v>
      </c>
      <c r="H34" s="84" t="e">
        <f>IF(契約詳細價目表!D26="",NA(),契約詳細價目表!D26)</f>
        <v>#N/A</v>
      </c>
      <c r="I34" s="84" t="e">
        <f>INDEX(每日施工紀錄!$1:$1048576,MATCH($A34,每日施工紀錄!A:A,0),MATCH($H$3,每日施工紀錄!$1:$1,0))</f>
        <v>#N/A</v>
      </c>
      <c r="J34" s="57">
        <f>SUMPRODUCT((每日施工紀錄!$J$1:$WF$1&gt;=每日施工紀錄!$J$1)*(每日施工紀錄!$J$1:$WF$1&lt;=$H$3)*每日施工紀錄!$J26:$WF26)</f>
        <v>0</v>
      </c>
      <c r="N34" s="17"/>
      <c r="O34" s="13"/>
    </row>
    <row r="35" spans="1:15" x14ac:dyDescent="0.3">
      <c r="A35" s="52" t="e">
        <f>IF(契約詳細價目表!A27="",NA(),契約詳細價目表!A27)</f>
        <v>#N/A</v>
      </c>
      <c r="B35" s="119" t="e">
        <f>IF(契約詳細價目表!B27="",NA(),契約詳細價目表!B27)</f>
        <v>#N/A</v>
      </c>
      <c r="C35" s="119"/>
      <c r="D35" s="119"/>
      <c r="E35" s="119"/>
      <c r="F35" s="119"/>
      <c r="G35" s="53" t="e">
        <f>IF(契約詳細價目表!C27="",NA(),契約詳細價目表!C27)</f>
        <v>#N/A</v>
      </c>
      <c r="H35" s="84" t="e">
        <f>IF(契約詳細價目表!D27="",NA(),契約詳細價目表!D27)</f>
        <v>#N/A</v>
      </c>
      <c r="I35" s="84" t="e">
        <f>INDEX(每日施工紀錄!$1:$1048576,MATCH($A35,每日施工紀錄!A:A,0),MATCH($H$3,每日施工紀錄!$1:$1,0))</f>
        <v>#N/A</v>
      </c>
      <c r="J35" s="57">
        <f>SUMPRODUCT((每日施工紀錄!$J$1:$WF$1&gt;=每日施工紀錄!$J$1)*(每日施工紀錄!$J$1:$WF$1&lt;=$H$3)*每日施工紀錄!$J27:$WF27)</f>
        <v>0</v>
      </c>
      <c r="N35" s="17"/>
      <c r="O35" s="13"/>
    </row>
    <row r="36" spans="1:15" x14ac:dyDescent="0.3">
      <c r="A36" s="52" t="e">
        <f>IF(契約詳細價目表!A28="",NA(),契約詳細價目表!A28)</f>
        <v>#N/A</v>
      </c>
      <c r="B36" s="119" t="e">
        <f>IF(契約詳細價目表!B28="",NA(),契約詳細價目表!B28)</f>
        <v>#N/A</v>
      </c>
      <c r="C36" s="119"/>
      <c r="D36" s="119"/>
      <c r="E36" s="119"/>
      <c r="F36" s="119"/>
      <c r="G36" s="53" t="e">
        <f>IF(契約詳細價目表!C28="",NA(),契約詳細價目表!C28)</f>
        <v>#N/A</v>
      </c>
      <c r="H36" s="84" t="e">
        <f>IF(契約詳細價目表!D28="",NA(),契約詳細價目表!D28)</f>
        <v>#N/A</v>
      </c>
      <c r="I36" s="84" t="e">
        <f>INDEX(每日施工紀錄!$1:$1048576,MATCH($A36,每日施工紀錄!A:A,0),MATCH($H$3,每日施工紀錄!$1:$1,0))</f>
        <v>#N/A</v>
      </c>
      <c r="J36" s="57">
        <f>SUMPRODUCT((每日施工紀錄!$J$1:$WF$1&gt;=每日施工紀錄!$J$1)*(每日施工紀錄!$J$1:$WF$1&lt;=$H$3)*每日施工紀錄!$J28:$WF28)</f>
        <v>0</v>
      </c>
      <c r="N36" s="17"/>
      <c r="O36" s="13"/>
    </row>
    <row r="37" spans="1:15" x14ac:dyDescent="0.3">
      <c r="A37" s="52" t="e">
        <f>IF(契約詳細價目表!A29="",NA(),契約詳細價目表!A29)</f>
        <v>#N/A</v>
      </c>
      <c r="B37" s="119" t="e">
        <f>IF(契約詳細價目表!B29="",NA(),契約詳細價目表!B29)</f>
        <v>#N/A</v>
      </c>
      <c r="C37" s="119"/>
      <c r="D37" s="119"/>
      <c r="E37" s="119"/>
      <c r="F37" s="119"/>
      <c r="G37" s="53" t="e">
        <f>IF(契約詳細價目表!C29="",NA(),契約詳細價目表!C29)</f>
        <v>#N/A</v>
      </c>
      <c r="H37" s="84" t="e">
        <f>IF(契約詳細價目表!D29="",NA(),契約詳細價目表!D29)</f>
        <v>#N/A</v>
      </c>
      <c r="I37" s="84" t="e">
        <f>INDEX(每日施工紀錄!$1:$1048576,MATCH($A37,每日施工紀錄!A:A,0),MATCH($H$3,每日施工紀錄!$1:$1,0))</f>
        <v>#N/A</v>
      </c>
      <c r="J37" s="57">
        <f>SUMPRODUCT((每日施工紀錄!$J$1:$WF$1&gt;=每日施工紀錄!$J$1)*(每日施工紀錄!$J$1:$WF$1&lt;=$H$3)*每日施工紀錄!$J29:$WF29)</f>
        <v>0</v>
      </c>
      <c r="N37" s="17"/>
      <c r="O37" s="13"/>
    </row>
    <row r="38" spans="1:15" x14ac:dyDescent="0.3">
      <c r="A38" s="52" t="e">
        <f>IF(契約詳細價目表!A30="",NA(),契約詳細價目表!A30)</f>
        <v>#N/A</v>
      </c>
      <c r="B38" s="119" t="e">
        <f>IF(契約詳細價目表!B30="",NA(),契約詳細價目表!B30)</f>
        <v>#N/A</v>
      </c>
      <c r="C38" s="119"/>
      <c r="D38" s="119"/>
      <c r="E38" s="119"/>
      <c r="F38" s="119"/>
      <c r="G38" s="53" t="e">
        <f>IF(契約詳細價目表!C30="",NA(),契約詳細價目表!C30)</f>
        <v>#N/A</v>
      </c>
      <c r="H38" s="84" t="e">
        <f>IF(契約詳細價目表!D30="",NA(),契約詳細價目表!D30)</f>
        <v>#N/A</v>
      </c>
      <c r="I38" s="84" t="e">
        <f>INDEX(每日施工紀錄!$1:$1048576,MATCH($A38,每日施工紀錄!A:A,0),MATCH($H$3,每日施工紀錄!$1:$1,0))</f>
        <v>#N/A</v>
      </c>
      <c r="J38" s="57">
        <f>SUMPRODUCT((每日施工紀錄!$J$1:$WF$1&gt;=每日施工紀錄!$J$1)*(每日施工紀錄!$J$1:$WF$1&lt;=$H$3)*每日施工紀錄!$J30:$WF30)</f>
        <v>0</v>
      </c>
      <c r="N38" s="17"/>
      <c r="O38" s="13"/>
    </row>
    <row r="39" spans="1:15" x14ac:dyDescent="0.3">
      <c r="A39" s="52" t="e">
        <f>IF(契約詳細價目表!A31="",NA(),契約詳細價目表!A31)</f>
        <v>#N/A</v>
      </c>
      <c r="B39" s="119" t="e">
        <f>IF(契約詳細價目表!B31="",NA(),契約詳細價目表!B31)</f>
        <v>#N/A</v>
      </c>
      <c r="C39" s="119"/>
      <c r="D39" s="119"/>
      <c r="E39" s="119"/>
      <c r="F39" s="119"/>
      <c r="G39" s="53" t="e">
        <f>IF(契約詳細價目表!C31="",NA(),契約詳細價目表!C31)</f>
        <v>#N/A</v>
      </c>
      <c r="H39" s="84" t="e">
        <f>IF(契約詳細價目表!D31="",NA(),契約詳細價目表!D31)</f>
        <v>#N/A</v>
      </c>
      <c r="I39" s="84" t="e">
        <f>INDEX(每日施工紀錄!$1:$1048576,MATCH($A39,每日施工紀錄!A:A,0),MATCH($H$3,每日施工紀錄!$1:$1,0))</f>
        <v>#N/A</v>
      </c>
      <c r="J39" s="57">
        <f>SUMPRODUCT((每日施工紀錄!$J$1:$WF$1&gt;=每日施工紀錄!$J$1)*(每日施工紀錄!$J$1:$WF$1&lt;=$H$3)*每日施工紀錄!$J31:$WF31)</f>
        <v>0</v>
      </c>
      <c r="N39" s="17"/>
      <c r="O39" s="13"/>
    </row>
    <row r="40" spans="1:15" x14ac:dyDescent="0.3">
      <c r="A40" s="52" t="e">
        <f>IF(契約詳細價目表!A32="",NA(),契約詳細價目表!A32)</f>
        <v>#N/A</v>
      </c>
      <c r="B40" s="119" t="e">
        <f>IF(契約詳細價目表!B32="",NA(),契約詳細價目表!B32)</f>
        <v>#N/A</v>
      </c>
      <c r="C40" s="119"/>
      <c r="D40" s="119"/>
      <c r="E40" s="119"/>
      <c r="F40" s="119"/>
      <c r="G40" s="53" t="e">
        <f>IF(契約詳細價目表!C32="",NA(),契約詳細價目表!C32)</f>
        <v>#N/A</v>
      </c>
      <c r="H40" s="84" t="e">
        <f>IF(契約詳細價目表!D32="",NA(),契約詳細價目表!D32)</f>
        <v>#N/A</v>
      </c>
      <c r="I40" s="84" t="e">
        <f>INDEX(每日施工紀錄!$1:$1048576,MATCH($A40,每日施工紀錄!A:A,0),MATCH($H$3,每日施工紀錄!$1:$1,0))</f>
        <v>#N/A</v>
      </c>
      <c r="J40" s="57">
        <f>SUMPRODUCT((每日施工紀錄!$J$1:$WF$1&gt;=每日施工紀錄!$J$1)*(每日施工紀錄!$J$1:$WF$1&lt;=$H$3)*每日施工紀錄!$J32:$WF32)</f>
        <v>0</v>
      </c>
      <c r="N40" s="17"/>
      <c r="O40" s="13"/>
    </row>
    <row r="41" spans="1:15" ht="20.25" customHeight="1" x14ac:dyDescent="0.3">
      <c r="A41" s="148" t="s">
        <v>66</v>
      </c>
      <c r="B41" s="149"/>
      <c r="C41" s="149"/>
      <c r="D41" s="149"/>
      <c r="E41" s="149"/>
      <c r="F41" s="149"/>
      <c r="G41" s="149"/>
      <c r="H41" s="149"/>
      <c r="I41" s="149"/>
      <c r="J41" s="150"/>
      <c r="N41" s="19"/>
      <c r="O41" s="18"/>
    </row>
    <row r="42" spans="1:15" ht="69.900000000000006" customHeight="1" x14ac:dyDescent="0.3">
      <c r="A42" s="151" t="e">
        <f>INDEX(監造內容!$1:$1048576,MATCH($H3,監造內容!B:B,0),6)</f>
        <v>#N/A</v>
      </c>
      <c r="B42" s="152"/>
      <c r="C42" s="152"/>
      <c r="D42" s="152"/>
      <c r="E42" s="152"/>
      <c r="F42" s="152"/>
      <c r="G42" s="152"/>
      <c r="H42" s="152"/>
      <c r="I42" s="152"/>
      <c r="J42" s="153"/>
      <c r="N42" s="19"/>
      <c r="O42" s="18"/>
    </row>
    <row r="43" spans="1:15" ht="19.5" customHeight="1" x14ac:dyDescent="0.3">
      <c r="A43" s="148" t="s">
        <v>53</v>
      </c>
      <c r="B43" s="149"/>
      <c r="C43" s="149"/>
      <c r="D43" s="149"/>
      <c r="E43" s="149"/>
      <c r="F43" s="149"/>
      <c r="G43" s="149"/>
      <c r="H43" s="149"/>
      <c r="I43" s="149"/>
      <c r="J43" s="150"/>
      <c r="N43" s="19"/>
      <c r="O43" s="18"/>
    </row>
    <row r="44" spans="1:15" ht="60" customHeight="1" x14ac:dyDescent="0.3">
      <c r="A44" s="151" t="e">
        <f>INDEX(監造內容!$1:$1048576,MATCH($H3,監造內容!B:B,0),7)</f>
        <v>#N/A</v>
      </c>
      <c r="B44" s="152"/>
      <c r="C44" s="152"/>
      <c r="D44" s="152"/>
      <c r="E44" s="152"/>
      <c r="F44" s="152"/>
      <c r="G44" s="152"/>
      <c r="H44" s="152"/>
      <c r="I44" s="152"/>
      <c r="J44" s="153"/>
      <c r="N44" s="19"/>
      <c r="O44" s="18"/>
    </row>
    <row r="45" spans="1:15" ht="19.5" customHeight="1" x14ac:dyDescent="0.3">
      <c r="A45" s="154" t="s">
        <v>54</v>
      </c>
      <c r="B45" s="137"/>
      <c r="C45" s="137"/>
      <c r="D45" s="137"/>
      <c r="E45" s="137"/>
      <c r="F45" s="137"/>
      <c r="G45" s="137"/>
      <c r="H45" s="137"/>
      <c r="I45" s="137"/>
      <c r="J45" s="138"/>
      <c r="N45" s="19"/>
      <c r="O45" s="18"/>
    </row>
    <row r="46" spans="1:15" ht="63" customHeight="1" x14ac:dyDescent="0.3">
      <c r="A46" s="136" t="e">
        <f>INDEX(監造內容!$1:$1048576,MATCH($H3,監造內容!B:B,0),8)</f>
        <v>#N/A</v>
      </c>
      <c r="B46" s="137"/>
      <c r="C46" s="137"/>
      <c r="D46" s="137"/>
      <c r="E46" s="137"/>
      <c r="F46" s="137"/>
      <c r="G46" s="137"/>
      <c r="H46" s="137"/>
      <c r="I46" s="137"/>
      <c r="J46" s="138"/>
      <c r="N46" s="19"/>
      <c r="O46" s="18"/>
    </row>
    <row r="47" spans="1:15" ht="19.5" customHeight="1" x14ac:dyDescent="0.3">
      <c r="A47" s="139" t="s">
        <v>55</v>
      </c>
      <c r="B47" s="140"/>
      <c r="C47" s="140"/>
      <c r="D47" s="140"/>
      <c r="E47" s="140"/>
      <c r="F47" s="140"/>
      <c r="G47" s="140"/>
      <c r="H47" s="140"/>
      <c r="I47" s="140"/>
      <c r="J47" s="141"/>
      <c r="N47" s="19"/>
      <c r="O47" s="18"/>
    </row>
    <row r="48" spans="1:15" ht="69.900000000000006" customHeight="1" x14ac:dyDescent="0.3">
      <c r="A48" s="142" t="e">
        <f>INDEX(監造內容!$1:$1048576,MATCH($H3,監造內容!B:B,0),9)</f>
        <v>#N/A</v>
      </c>
      <c r="B48" s="143"/>
      <c r="C48" s="143"/>
      <c r="D48" s="143"/>
      <c r="E48" s="143"/>
      <c r="F48" s="143"/>
      <c r="G48" s="143"/>
      <c r="H48" s="143"/>
      <c r="I48" s="143"/>
      <c r="J48" s="144"/>
      <c r="N48" s="13"/>
      <c r="O48" s="13"/>
    </row>
    <row r="49" spans="1:15" ht="41.25" customHeight="1" thickBot="1" x14ac:dyDescent="0.35">
      <c r="A49" s="145" t="s">
        <v>56</v>
      </c>
      <c r="B49" s="146"/>
      <c r="C49" s="146"/>
      <c r="D49" s="146"/>
      <c r="E49" s="146"/>
      <c r="F49" s="146"/>
      <c r="G49" s="146"/>
      <c r="H49" s="146"/>
      <c r="I49" s="146"/>
      <c r="J49" s="147"/>
      <c r="N49" s="19"/>
      <c r="O49" s="13"/>
    </row>
    <row r="50" spans="1:15" x14ac:dyDescent="0.3">
      <c r="N50" s="19"/>
      <c r="O50" s="13"/>
    </row>
    <row r="51" spans="1:15" x14ac:dyDescent="0.3">
      <c r="N51" s="19"/>
      <c r="O51" s="13"/>
    </row>
    <row r="52" spans="1:15" x14ac:dyDescent="0.3">
      <c r="N52" s="19"/>
      <c r="O52" s="13"/>
    </row>
    <row r="53" spans="1:15" x14ac:dyDescent="0.3">
      <c r="N53" s="19"/>
      <c r="O53" s="13"/>
    </row>
    <row r="54" spans="1:15" x14ac:dyDescent="0.3">
      <c r="N54" s="19"/>
      <c r="O54" s="13"/>
    </row>
    <row r="55" spans="1:15" x14ac:dyDescent="0.3">
      <c r="N55" s="13"/>
      <c r="O55" s="13"/>
    </row>
    <row r="56" spans="1:15" x14ac:dyDescent="0.3">
      <c r="N56" s="13"/>
      <c r="O56" s="13"/>
    </row>
    <row r="57" spans="1:15" x14ac:dyDescent="0.3">
      <c r="N57" s="13"/>
      <c r="O57" s="13"/>
    </row>
    <row r="58" spans="1:15" x14ac:dyDescent="0.3">
      <c r="N58" s="13"/>
      <c r="O58" s="13"/>
    </row>
    <row r="59" spans="1:15" x14ac:dyDescent="0.3">
      <c r="N59" s="13"/>
      <c r="O59" s="13"/>
    </row>
    <row r="60" spans="1:15" x14ac:dyDescent="0.3">
      <c r="N60" s="13"/>
      <c r="O60" s="13"/>
    </row>
    <row r="61" spans="1:15" x14ac:dyDescent="0.3">
      <c r="N61" s="13"/>
      <c r="O61" s="13"/>
    </row>
    <row r="62" spans="1:15" x14ac:dyDescent="0.3">
      <c r="N62" s="13"/>
      <c r="O62" s="13"/>
    </row>
    <row r="63" spans="1:15" x14ac:dyDescent="0.3">
      <c r="N63" s="13"/>
      <c r="O63" s="13"/>
    </row>
    <row r="64" spans="1:15" x14ac:dyDescent="0.3">
      <c r="N64" s="13"/>
      <c r="O64" s="13"/>
    </row>
    <row r="65" spans="14:15" x14ac:dyDescent="0.3">
      <c r="N65" s="13"/>
      <c r="O65" s="13"/>
    </row>
    <row r="66" spans="14:15" x14ac:dyDescent="0.3">
      <c r="N66" s="13"/>
      <c r="O66" s="13"/>
    </row>
    <row r="67" spans="14:15" x14ac:dyDescent="0.3">
      <c r="N67" s="13"/>
      <c r="O67" s="13"/>
    </row>
    <row r="68" spans="14:15" x14ac:dyDescent="0.3">
      <c r="N68" s="13"/>
      <c r="O68" s="13"/>
    </row>
    <row r="69" spans="14:15" x14ac:dyDescent="0.3">
      <c r="N69" s="13"/>
      <c r="O69" s="13"/>
    </row>
    <row r="70" spans="14:15" x14ac:dyDescent="0.3">
      <c r="N70" s="13"/>
      <c r="O70" s="13"/>
    </row>
    <row r="71" spans="14:15" x14ac:dyDescent="0.3">
      <c r="N71" s="13"/>
      <c r="O71" s="13"/>
    </row>
    <row r="72" spans="14:15" x14ac:dyDescent="0.3">
      <c r="N72" s="13"/>
      <c r="O72" s="13"/>
    </row>
    <row r="73" spans="14:15" x14ac:dyDescent="0.3">
      <c r="N73" s="13"/>
      <c r="O73" s="13"/>
    </row>
    <row r="74" spans="14:15" x14ac:dyDescent="0.3">
      <c r="N74" s="13"/>
      <c r="O74" s="13"/>
    </row>
    <row r="75" spans="14:15" x14ac:dyDescent="0.3">
      <c r="N75" s="13"/>
      <c r="O75" s="13"/>
    </row>
    <row r="76" spans="14:15" x14ac:dyDescent="0.3">
      <c r="N76" s="13"/>
      <c r="O76" s="13"/>
    </row>
    <row r="77" spans="14:15" x14ac:dyDescent="0.3">
      <c r="N77" s="13"/>
      <c r="O77" s="13"/>
    </row>
    <row r="78" spans="14:15" x14ac:dyDescent="0.3">
      <c r="N78" s="13"/>
      <c r="O78" s="13"/>
    </row>
    <row r="79" spans="14:15" x14ac:dyDescent="0.3">
      <c r="N79" s="13"/>
      <c r="O79" s="13"/>
    </row>
    <row r="82" spans="14:17" x14ac:dyDescent="0.25">
      <c r="N82" s="20"/>
      <c r="O82" s="20"/>
      <c r="P82" s="20"/>
      <c r="Q82" s="20"/>
    </row>
    <row r="84" spans="14:17" x14ac:dyDescent="0.3">
      <c r="N84" s="21"/>
    </row>
    <row r="85" spans="14:17" x14ac:dyDescent="0.3">
      <c r="N85" s="21"/>
    </row>
    <row r="86" spans="14:17" x14ac:dyDescent="0.3">
      <c r="N86" s="21"/>
    </row>
    <row r="87" spans="14:17" x14ac:dyDescent="0.3">
      <c r="N87" s="21"/>
    </row>
    <row r="88" spans="14:17" x14ac:dyDescent="0.3">
      <c r="N88" s="21"/>
    </row>
    <row r="89" spans="14:17" x14ac:dyDescent="0.3">
      <c r="N89" s="21"/>
    </row>
    <row r="90" spans="14:17" x14ac:dyDescent="0.3">
      <c r="N90" s="21"/>
    </row>
    <row r="91" spans="14:17" x14ac:dyDescent="0.3">
      <c r="N91" s="21"/>
    </row>
    <row r="92" spans="14:17" x14ac:dyDescent="0.3">
      <c r="N92" s="21"/>
    </row>
    <row r="93" spans="14:17" x14ac:dyDescent="0.3">
      <c r="N93" s="21"/>
    </row>
    <row r="94" spans="14:17" x14ac:dyDescent="0.3">
      <c r="N94" s="21"/>
    </row>
    <row r="95" spans="14:17" x14ac:dyDescent="0.3">
      <c r="N95" s="21"/>
    </row>
    <row r="96" spans="14:17" x14ac:dyDescent="0.3">
      <c r="N96" s="21"/>
    </row>
    <row r="97" spans="14:14" x14ac:dyDescent="0.3">
      <c r="N97" s="21"/>
    </row>
    <row r="98" spans="14:14" x14ac:dyDescent="0.3">
      <c r="N98" s="21"/>
    </row>
    <row r="99" spans="14:14" x14ac:dyDescent="0.3">
      <c r="N99" s="21"/>
    </row>
    <row r="100" spans="14:14" x14ac:dyDescent="0.3">
      <c r="N100" s="21"/>
    </row>
    <row r="101" spans="14:14" x14ac:dyDescent="0.3">
      <c r="N101" s="21"/>
    </row>
    <row r="102" spans="14:14" x14ac:dyDescent="0.3">
      <c r="N102" s="21"/>
    </row>
    <row r="103" spans="14:14" x14ac:dyDescent="0.3">
      <c r="N103" s="21"/>
    </row>
    <row r="104" spans="14:14" x14ac:dyDescent="0.3">
      <c r="N104" s="21"/>
    </row>
    <row r="105" spans="14:14" x14ac:dyDescent="0.3">
      <c r="N105" s="21"/>
    </row>
    <row r="106" spans="14:14" x14ac:dyDescent="0.3">
      <c r="N106" s="21"/>
    </row>
    <row r="107" spans="14:14" x14ac:dyDescent="0.3">
      <c r="N107" s="21"/>
    </row>
    <row r="108" spans="14:14" x14ac:dyDescent="0.3">
      <c r="N108" s="21"/>
    </row>
    <row r="109" spans="14:14" x14ac:dyDescent="0.3">
      <c r="N109" s="21"/>
    </row>
    <row r="110" spans="14:14" x14ac:dyDescent="0.3">
      <c r="N110" s="21"/>
    </row>
    <row r="111" spans="14:14" x14ac:dyDescent="0.3">
      <c r="N111" s="21"/>
    </row>
    <row r="112" spans="14:14" x14ac:dyDescent="0.3">
      <c r="N112" s="21"/>
    </row>
    <row r="113" spans="14:14" x14ac:dyDescent="0.3">
      <c r="N113" s="21"/>
    </row>
    <row r="114" spans="14:14" x14ac:dyDescent="0.3">
      <c r="N114" s="21"/>
    </row>
    <row r="115" spans="14:14" x14ac:dyDescent="0.3">
      <c r="N115" s="21"/>
    </row>
    <row r="116" spans="14:14" x14ac:dyDescent="0.3">
      <c r="N116" s="21"/>
    </row>
    <row r="117" spans="14:14" x14ac:dyDescent="0.3">
      <c r="N117" s="21"/>
    </row>
    <row r="118" spans="14:14" x14ac:dyDescent="0.3">
      <c r="N118" s="21"/>
    </row>
    <row r="119" spans="14:14" x14ac:dyDescent="0.3">
      <c r="N119" s="21"/>
    </row>
    <row r="120" spans="14:14" x14ac:dyDescent="0.3">
      <c r="N120" s="21"/>
    </row>
    <row r="121" spans="14:14" x14ac:dyDescent="0.3">
      <c r="N121" s="21"/>
    </row>
    <row r="122" spans="14:14" x14ac:dyDescent="0.3">
      <c r="N122" s="21"/>
    </row>
    <row r="123" spans="14:14" x14ac:dyDescent="0.3">
      <c r="N123" s="21"/>
    </row>
    <row r="124" spans="14:14" x14ac:dyDescent="0.3">
      <c r="N124" s="21"/>
    </row>
    <row r="125" spans="14:14" x14ac:dyDescent="0.3">
      <c r="N125" s="21"/>
    </row>
    <row r="126" spans="14:14" x14ac:dyDescent="0.3">
      <c r="N126" s="21"/>
    </row>
    <row r="127" spans="14:14" x14ac:dyDescent="0.3">
      <c r="N127" s="21"/>
    </row>
    <row r="128" spans="14:14" x14ac:dyDescent="0.3">
      <c r="N128" s="21"/>
    </row>
    <row r="129" spans="14:14" x14ac:dyDescent="0.3">
      <c r="N129" s="21"/>
    </row>
    <row r="130" spans="14:14" x14ac:dyDescent="0.3">
      <c r="N130" s="21"/>
    </row>
    <row r="131" spans="14:14" x14ac:dyDescent="0.3">
      <c r="N131" s="21"/>
    </row>
    <row r="132" spans="14:14" x14ac:dyDescent="0.3">
      <c r="N132" s="21"/>
    </row>
    <row r="133" spans="14:14" x14ac:dyDescent="0.3">
      <c r="N133" s="21"/>
    </row>
    <row r="134" spans="14:14" x14ac:dyDescent="0.3">
      <c r="N134" s="21"/>
    </row>
    <row r="135" spans="14:14" x14ac:dyDescent="0.3">
      <c r="N135" s="21"/>
    </row>
    <row r="136" spans="14:14" x14ac:dyDescent="0.3">
      <c r="N136" s="21"/>
    </row>
    <row r="137" spans="14:14" x14ac:dyDescent="0.3">
      <c r="N137" s="21"/>
    </row>
    <row r="138" spans="14:14" x14ac:dyDescent="0.3">
      <c r="N138" s="21"/>
    </row>
    <row r="139" spans="14:14" x14ac:dyDescent="0.3">
      <c r="N139" s="21"/>
    </row>
    <row r="140" spans="14:14" x14ac:dyDescent="0.3">
      <c r="N140" s="21"/>
    </row>
    <row r="141" spans="14:14" x14ac:dyDescent="0.3">
      <c r="N141" s="21"/>
    </row>
    <row r="142" spans="14:14" x14ac:dyDescent="0.3">
      <c r="N142" s="21"/>
    </row>
  </sheetData>
  <protectedRanges>
    <protectedRange sqref="N8" name="範圍1"/>
  </protectedRanges>
  <mergeCells count="57">
    <mergeCell ref="B32:F32"/>
    <mergeCell ref="B33:F33"/>
    <mergeCell ref="B34:F34"/>
    <mergeCell ref="B23:F23"/>
    <mergeCell ref="B24:F24"/>
    <mergeCell ref="B25:F25"/>
    <mergeCell ref="B26:F26"/>
    <mergeCell ref="B31:F31"/>
    <mergeCell ref="B27:F27"/>
    <mergeCell ref="B28:F28"/>
    <mergeCell ref="B29:F29"/>
    <mergeCell ref="B30:F30"/>
    <mergeCell ref="B17:F17"/>
    <mergeCell ref="B18:F18"/>
    <mergeCell ref="B19:F19"/>
    <mergeCell ref="B9:F9"/>
    <mergeCell ref="B10:F10"/>
    <mergeCell ref="B11:F11"/>
    <mergeCell ref="B12:F12"/>
    <mergeCell ref="B13:F13"/>
    <mergeCell ref="A46:J46"/>
    <mergeCell ref="A47:J47"/>
    <mergeCell ref="A48:J48"/>
    <mergeCell ref="A49:J49"/>
    <mergeCell ref="A8:J8"/>
    <mergeCell ref="A41:J41"/>
    <mergeCell ref="A42:J42"/>
    <mergeCell ref="A43:J43"/>
    <mergeCell ref="A44:J44"/>
    <mergeCell ref="B21:F21"/>
    <mergeCell ref="B22:F22"/>
    <mergeCell ref="B20:F20"/>
    <mergeCell ref="B15:F15"/>
    <mergeCell ref="A45:J45"/>
    <mergeCell ref="B14:F14"/>
    <mergeCell ref="B16:F16"/>
    <mergeCell ref="I6:J6"/>
    <mergeCell ref="I7:J7"/>
    <mergeCell ref="A1:J1"/>
    <mergeCell ref="H3:I3"/>
    <mergeCell ref="B4:J4"/>
    <mergeCell ref="E5:F5"/>
    <mergeCell ref="I5:J5"/>
    <mergeCell ref="A2:C2"/>
    <mergeCell ref="B3:D3"/>
    <mergeCell ref="A6:B6"/>
    <mergeCell ref="D6:F6"/>
    <mergeCell ref="H6:H7"/>
    <mergeCell ref="B7:C7"/>
    <mergeCell ref="D7:E7"/>
    <mergeCell ref="F7:G7"/>
    <mergeCell ref="B40:F40"/>
    <mergeCell ref="B35:F35"/>
    <mergeCell ref="B36:F36"/>
    <mergeCell ref="B37:F37"/>
    <mergeCell ref="B38:F38"/>
    <mergeCell ref="B39:F39"/>
  </mergeCells>
  <phoneticPr fontId="32" type="noConversion"/>
  <printOptions horizontalCentered="1"/>
  <pageMargins left="0.39370078740157483" right="0.39370078740157483" top="0.27559055118110237" bottom="0.19685039370078741" header="0.31496062992125984" footer="0.11811023622047245"/>
  <pageSetup paperSize="9" scale="75" orientation="portrait" horizontalDpi="1200" verticalDpi="1200" r:id="rId1"/>
  <headerFooter>
    <oddFooter xml:space="preserve">&amp;C &amp;P / &amp;N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工作表6.Button1_Click">
                <anchor moveWithCells="1" sizeWithCells="1">
                  <from>
                    <xdr:col>10</xdr:col>
                    <xdr:colOff>678180</xdr:colOff>
                    <xdr:row>8</xdr:row>
                    <xdr:rowOff>22860</xdr:rowOff>
                  </from>
                  <to>
                    <xdr:col>13</xdr:col>
                    <xdr:colOff>876300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工作表6.Button2_Click">
                <anchor moveWithCells="1" sizeWithCells="1">
                  <from>
                    <xdr:col>13</xdr:col>
                    <xdr:colOff>883920</xdr:colOff>
                    <xdr:row>8</xdr:row>
                    <xdr:rowOff>22860</xdr:rowOff>
                  </from>
                  <to>
                    <xdr:col>15</xdr:col>
                    <xdr:colOff>22860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工作表6.Button3_Click">
                <anchor moveWithCells="1" sizeWithCells="1">
                  <from>
                    <xdr:col>15</xdr:col>
                    <xdr:colOff>0</xdr:colOff>
                    <xdr:row>2</xdr:row>
                    <xdr:rowOff>388620</xdr:rowOff>
                  </from>
                  <to>
                    <xdr:col>16</xdr:col>
                    <xdr:colOff>449580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A1:B10"/>
  <sheetViews>
    <sheetView view="pageBreakPreview" zoomScale="115" zoomScaleNormal="100" zoomScaleSheetLayoutView="115" workbookViewId="0">
      <selection activeCell="B1" sqref="B1"/>
    </sheetView>
  </sheetViews>
  <sheetFormatPr defaultColWidth="9" defaultRowHeight="16.2" x14ac:dyDescent="0.3"/>
  <cols>
    <col min="1" max="1" width="18.6640625" style="4" customWidth="1"/>
    <col min="2" max="2" width="35.6640625" style="4" customWidth="1"/>
    <col min="3" max="16384" width="9" style="4"/>
  </cols>
  <sheetData>
    <row r="1" spans="1:2" x14ac:dyDescent="0.3">
      <c r="A1" s="5" t="s">
        <v>0</v>
      </c>
    </row>
    <row r="2" spans="1:2" x14ac:dyDescent="0.3">
      <c r="A2" s="5" t="s">
        <v>8</v>
      </c>
    </row>
    <row r="3" spans="1:2" x14ac:dyDescent="0.3">
      <c r="A3" s="5" t="s">
        <v>5</v>
      </c>
    </row>
    <row r="4" spans="1:2" x14ac:dyDescent="0.3">
      <c r="A4" s="5" t="s">
        <v>29</v>
      </c>
    </row>
    <row r="5" spans="1:2" x14ac:dyDescent="0.3">
      <c r="A5" s="5" t="s">
        <v>30</v>
      </c>
    </row>
    <row r="6" spans="1:2" x14ac:dyDescent="0.3">
      <c r="A6" s="5" t="s">
        <v>6</v>
      </c>
      <c r="B6" s="37"/>
    </row>
    <row r="7" spans="1:2" x14ac:dyDescent="0.3">
      <c r="A7" s="5" t="s">
        <v>7</v>
      </c>
      <c r="B7" s="102"/>
    </row>
    <row r="8" spans="1:2" x14ac:dyDescent="0.3">
      <c r="A8" s="5" t="s">
        <v>1</v>
      </c>
      <c r="B8" s="103"/>
    </row>
    <row r="9" spans="1:2" x14ac:dyDescent="0.3">
      <c r="A9" s="5" t="s">
        <v>9</v>
      </c>
      <c r="B9" s="103">
        <f>B8+B7-1</f>
        <v>-1</v>
      </c>
    </row>
    <row r="10" spans="1:2" customFormat="1" x14ac:dyDescent="0.3">
      <c r="A10" s="5" t="s">
        <v>37</v>
      </c>
      <c r="B10" s="38"/>
    </row>
  </sheetData>
  <phoneticPr fontId="32" type="noConversion"/>
  <pageMargins left="0.7" right="0.7" top="0.75" bottom="0.75" header="0.3" footer="0.3"/>
  <pageSetup paperSize="9" scale="80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Q284"/>
  <sheetViews>
    <sheetView view="pageBreakPreview" topLeftCell="A8" zoomScale="115" zoomScaleNormal="70" zoomScaleSheetLayoutView="115" workbookViewId="0">
      <selection activeCell="E31" sqref="E3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4" width="6.77734375" customWidth="1"/>
    <col min="5" max="5" width="9.77734375" bestFit="1" customWidth="1"/>
    <col min="6" max="6" width="9.88671875" customWidth="1"/>
    <col min="7" max="7" width="9.88671875" style="78" customWidth="1"/>
    <col min="8" max="8" width="9" style="76" customWidth="1"/>
    <col min="9" max="9" width="9" style="76"/>
    <col min="10" max="11" width="9" style="75"/>
    <col min="12" max="12" width="9" style="75" customWidth="1"/>
    <col min="13" max="14" width="9" style="75"/>
    <col min="15" max="17" width="9" style="76"/>
    <col min="252" max="252" width="5.21875" customWidth="1"/>
    <col min="253" max="253" width="23.6640625" customWidth="1"/>
    <col min="254" max="254" width="5.44140625" customWidth="1"/>
    <col min="255" max="255" width="6.77734375" customWidth="1"/>
    <col min="256" max="259" width="7.6640625" customWidth="1"/>
    <col min="260" max="261" width="8.6640625" customWidth="1"/>
    <col min="262" max="262" width="4.77734375" customWidth="1"/>
    <col min="264" max="264" width="9" customWidth="1"/>
    <col min="508" max="508" width="5.21875" customWidth="1"/>
    <col min="509" max="509" width="23.6640625" customWidth="1"/>
    <col min="510" max="510" width="5.44140625" customWidth="1"/>
    <col min="511" max="511" width="6.77734375" customWidth="1"/>
    <col min="512" max="515" width="7.6640625" customWidth="1"/>
    <col min="516" max="517" width="8.6640625" customWidth="1"/>
    <col min="518" max="518" width="4.77734375" customWidth="1"/>
    <col min="520" max="520" width="9" customWidth="1"/>
    <col min="764" max="764" width="5.21875" customWidth="1"/>
    <col min="765" max="765" width="23.6640625" customWidth="1"/>
    <col min="766" max="766" width="5.44140625" customWidth="1"/>
    <col min="767" max="767" width="6.77734375" customWidth="1"/>
    <col min="768" max="771" width="7.6640625" customWidth="1"/>
    <col min="772" max="773" width="8.6640625" customWidth="1"/>
    <col min="774" max="774" width="4.77734375" customWidth="1"/>
    <col min="776" max="776" width="9" customWidth="1"/>
    <col min="1020" max="1020" width="5.21875" customWidth="1"/>
    <col min="1021" max="1021" width="23.6640625" customWidth="1"/>
    <col min="1022" max="1022" width="5.44140625" customWidth="1"/>
    <col min="1023" max="1023" width="6.77734375" customWidth="1"/>
    <col min="1024" max="1027" width="7.6640625" customWidth="1"/>
    <col min="1028" max="1029" width="8.6640625" customWidth="1"/>
    <col min="1030" max="1030" width="4.77734375" customWidth="1"/>
    <col min="1032" max="1032" width="9" customWidth="1"/>
    <col min="1276" max="1276" width="5.21875" customWidth="1"/>
    <col min="1277" max="1277" width="23.6640625" customWidth="1"/>
    <col min="1278" max="1278" width="5.44140625" customWidth="1"/>
    <col min="1279" max="1279" width="6.77734375" customWidth="1"/>
    <col min="1280" max="1283" width="7.6640625" customWidth="1"/>
    <col min="1284" max="1285" width="8.6640625" customWidth="1"/>
    <col min="1286" max="1286" width="4.77734375" customWidth="1"/>
    <col min="1288" max="1288" width="9" customWidth="1"/>
    <col min="1532" max="1532" width="5.21875" customWidth="1"/>
    <col min="1533" max="1533" width="23.6640625" customWidth="1"/>
    <col min="1534" max="1534" width="5.44140625" customWidth="1"/>
    <col min="1535" max="1535" width="6.77734375" customWidth="1"/>
    <col min="1536" max="1539" width="7.6640625" customWidth="1"/>
    <col min="1540" max="1541" width="8.6640625" customWidth="1"/>
    <col min="1542" max="1542" width="4.77734375" customWidth="1"/>
    <col min="1544" max="1544" width="9" customWidth="1"/>
    <col min="1788" max="1788" width="5.21875" customWidth="1"/>
    <col min="1789" max="1789" width="23.6640625" customWidth="1"/>
    <col min="1790" max="1790" width="5.44140625" customWidth="1"/>
    <col min="1791" max="1791" width="6.77734375" customWidth="1"/>
    <col min="1792" max="1795" width="7.6640625" customWidth="1"/>
    <col min="1796" max="1797" width="8.6640625" customWidth="1"/>
    <col min="1798" max="1798" width="4.77734375" customWidth="1"/>
    <col min="1800" max="1800" width="9" customWidth="1"/>
    <col min="2044" max="2044" width="5.21875" customWidth="1"/>
    <col min="2045" max="2045" width="23.6640625" customWidth="1"/>
    <col min="2046" max="2046" width="5.44140625" customWidth="1"/>
    <col min="2047" max="2047" width="6.77734375" customWidth="1"/>
    <col min="2048" max="2051" width="7.6640625" customWidth="1"/>
    <col min="2052" max="2053" width="8.6640625" customWidth="1"/>
    <col min="2054" max="2054" width="4.77734375" customWidth="1"/>
    <col min="2056" max="2056" width="9" customWidth="1"/>
    <col min="2300" max="2300" width="5.21875" customWidth="1"/>
    <col min="2301" max="2301" width="23.6640625" customWidth="1"/>
    <col min="2302" max="2302" width="5.44140625" customWidth="1"/>
    <col min="2303" max="2303" width="6.77734375" customWidth="1"/>
    <col min="2304" max="2307" width="7.6640625" customWidth="1"/>
    <col min="2308" max="2309" width="8.6640625" customWidth="1"/>
    <col min="2310" max="2310" width="4.77734375" customWidth="1"/>
    <col min="2312" max="2312" width="9" customWidth="1"/>
    <col min="2556" max="2556" width="5.21875" customWidth="1"/>
    <col min="2557" max="2557" width="23.6640625" customWidth="1"/>
    <col min="2558" max="2558" width="5.44140625" customWidth="1"/>
    <col min="2559" max="2559" width="6.77734375" customWidth="1"/>
    <col min="2560" max="2563" width="7.6640625" customWidth="1"/>
    <col min="2564" max="2565" width="8.6640625" customWidth="1"/>
    <col min="2566" max="2566" width="4.77734375" customWidth="1"/>
    <col min="2568" max="2568" width="9" customWidth="1"/>
    <col min="2812" max="2812" width="5.21875" customWidth="1"/>
    <col min="2813" max="2813" width="23.6640625" customWidth="1"/>
    <col min="2814" max="2814" width="5.44140625" customWidth="1"/>
    <col min="2815" max="2815" width="6.77734375" customWidth="1"/>
    <col min="2816" max="2819" width="7.6640625" customWidth="1"/>
    <col min="2820" max="2821" width="8.6640625" customWidth="1"/>
    <col min="2822" max="2822" width="4.77734375" customWidth="1"/>
    <col min="2824" max="2824" width="9" customWidth="1"/>
    <col min="3068" max="3068" width="5.21875" customWidth="1"/>
    <col min="3069" max="3069" width="23.6640625" customWidth="1"/>
    <col min="3070" max="3070" width="5.44140625" customWidth="1"/>
    <col min="3071" max="3071" width="6.77734375" customWidth="1"/>
    <col min="3072" max="3075" width="7.6640625" customWidth="1"/>
    <col min="3076" max="3077" width="8.6640625" customWidth="1"/>
    <col min="3078" max="3078" width="4.77734375" customWidth="1"/>
    <col min="3080" max="3080" width="9" customWidth="1"/>
    <col min="3324" max="3324" width="5.21875" customWidth="1"/>
    <col min="3325" max="3325" width="23.6640625" customWidth="1"/>
    <col min="3326" max="3326" width="5.44140625" customWidth="1"/>
    <col min="3327" max="3327" width="6.77734375" customWidth="1"/>
    <col min="3328" max="3331" width="7.6640625" customWidth="1"/>
    <col min="3332" max="3333" width="8.6640625" customWidth="1"/>
    <col min="3334" max="3334" width="4.77734375" customWidth="1"/>
    <col min="3336" max="3336" width="9" customWidth="1"/>
    <col min="3580" max="3580" width="5.21875" customWidth="1"/>
    <col min="3581" max="3581" width="23.6640625" customWidth="1"/>
    <col min="3582" max="3582" width="5.44140625" customWidth="1"/>
    <col min="3583" max="3583" width="6.77734375" customWidth="1"/>
    <col min="3584" max="3587" width="7.6640625" customWidth="1"/>
    <col min="3588" max="3589" width="8.6640625" customWidth="1"/>
    <col min="3590" max="3590" width="4.77734375" customWidth="1"/>
    <col min="3592" max="3592" width="9" customWidth="1"/>
    <col min="3836" max="3836" width="5.21875" customWidth="1"/>
    <col min="3837" max="3837" width="23.6640625" customWidth="1"/>
    <col min="3838" max="3838" width="5.44140625" customWidth="1"/>
    <col min="3839" max="3839" width="6.77734375" customWidth="1"/>
    <col min="3840" max="3843" width="7.6640625" customWidth="1"/>
    <col min="3844" max="3845" width="8.6640625" customWidth="1"/>
    <col min="3846" max="3846" width="4.77734375" customWidth="1"/>
    <col min="3848" max="3848" width="9" customWidth="1"/>
    <col min="4092" max="4092" width="5.21875" customWidth="1"/>
    <col min="4093" max="4093" width="23.6640625" customWidth="1"/>
    <col min="4094" max="4094" width="5.44140625" customWidth="1"/>
    <col min="4095" max="4095" width="6.77734375" customWidth="1"/>
    <col min="4096" max="4099" width="7.6640625" customWidth="1"/>
    <col min="4100" max="4101" width="8.6640625" customWidth="1"/>
    <col min="4102" max="4102" width="4.77734375" customWidth="1"/>
    <col min="4104" max="4104" width="9" customWidth="1"/>
    <col min="4348" max="4348" width="5.21875" customWidth="1"/>
    <col min="4349" max="4349" width="23.6640625" customWidth="1"/>
    <col min="4350" max="4350" width="5.44140625" customWidth="1"/>
    <col min="4351" max="4351" width="6.77734375" customWidth="1"/>
    <col min="4352" max="4355" width="7.6640625" customWidth="1"/>
    <col min="4356" max="4357" width="8.6640625" customWidth="1"/>
    <col min="4358" max="4358" width="4.77734375" customWidth="1"/>
    <col min="4360" max="4360" width="9" customWidth="1"/>
    <col min="4604" max="4604" width="5.21875" customWidth="1"/>
    <col min="4605" max="4605" width="23.6640625" customWidth="1"/>
    <col min="4606" max="4606" width="5.44140625" customWidth="1"/>
    <col min="4607" max="4607" width="6.77734375" customWidth="1"/>
    <col min="4608" max="4611" width="7.6640625" customWidth="1"/>
    <col min="4612" max="4613" width="8.6640625" customWidth="1"/>
    <col min="4614" max="4614" width="4.77734375" customWidth="1"/>
    <col min="4616" max="4616" width="9" customWidth="1"/>
    <col min="4860" max="4860" width="5.21875" customWidth="1"/>
    <col min="4861" max="4861" width="23.6640625" customWidth="1"/>
    <col min="4862" max="4862" width="5.44140625" customWidth="1"/>
    <col min="4863" max="4863" width="6.77734375" customWidth="1"/>
    <col min="4864" max="4867" width="7.6640625" customWidth="1"/>
    <col min="4868" max="4869" width="8.6640625" customWidth="1"/>
    <col min="4870" max="4870" width="4.77734375" customWidth="1"/>
    <col min="4872" max="4872" width="9" customWidth="1"/>
    <col min="5116" max="5116" width="5.21875" customWidth="1"/>
    <col min="5117" max="5117" width="23.6640625" customWidth="1"/>
    <col min="5118" max="5118" width="5.44140625" customWidth="1"/>
    <col min="5119" max="5119" width="6.77734375" customWidth="1"/>
    <col min="5120" max="5123" width="7.6640625" customWidth="1"/>
    <col min="5124" max="5125" width="8.6640625" customWidth="1"/>
    <col min="5126" max="5126" width="4.77734375" customWidth="1"/>
    <col min="5128" max="5128" width="9" customWidth="1"/>
    <col min="5372" max="5372" width="5.21875" customWidth="1"/>
    <col min="5373" max="5373" width="23.6640625" customWidth="1"/>
    <col min="5374" max="5374" width="5.44140625" customWidth="1"/>
    <col min="5375" max="5375" width="6.77734375" customWidth="1"/>
    <col min="5376" max="5379" width="7.6640625" customWidth="1"/>
    <col min="5380" max="5381" width="8.6640625" customWidth="1"/>
    <col min="5382" max="5382" width="4.77734375" customWidth="1"/>
    <col min="5384" max="5384" width="9" customWidth="1"/>
    <col min="5628" max="5628" width="5.21875" customWidth="1"/>
    <col min="5629" max="5629" width="23.6640625" customWidth="1"/>
    <col min="5630" max="5630" width="5.44140625" customWidth="1"/>
    <col min="5631" max="5631" width="6.77734375" customWidth="1"/>
    <col min="5632" max="5635" width="7.6640625" customWidth="1"/>
    <col min="5636" max="5637" width="8.6640625" customWidth="1"/>
    <col min="5638" max="5638" width="4.77734375" customWidth="1"/>
    <col min="5640" max="5640" width="9" customWidth="1"/>
    <col min="5884" max="5884" width="5.21875" customWidth="1"/>
    <col min="5885" max="5885" width="23.6640625" customWidth="1"/>
    <col min="5886" max="5886" width="5.44140625" customWidth="1"/>
    <col min="5887" max="5887" width="6.77734375" customWidth="1"/>
    <col min="5888" max="5891" width="7.6640625" customWidth="1"/>
    <col min="5892" max="5893" width="8.6640625" customWidth="1"/>
    <col min="5894" max="5894" width="4.77734375" customWidth="1"/>
    <col min="5896" max="5896" width="9" customWidth="1"/>
    <col min="6140" max="6140" width="5.21875" customWidth="1"/>
    <col min="6141" max="6141" width="23.6640625" customWidth="1"/>
    <col min="6142" max="6142" width="5.44140625" customWidth="1"/>
    <col min="6143" max="6143" width="6.77734375" customWidth="1"/>
    <col min="6144" max="6147" width="7.6640625" customWidth="1"/>
    <col min="6148" max="6149" width="8.6640625" customWidth="1"/>
    <col min="6150" max="6150" width="4.77734375" customWidth="1"/>
    <col min="6152" max="6152" width="9" customWidth="1"/>
    <col min="6396" max="6396" width="5.21875" customWidth="1"/>
    <col min="6397" max="6397" width="23.6640625" customWidth="1"/>
    <col min="6398" max="6398" width="5.44140625" customWidth="1"/>
    <col min="6399" max="6399" width="6.77734375" customWidth="1"/>
    <col min="6400" max="6403" width="7.6640625" customWidth="1"/>
    <col min="6404" max="6405" width="8.6640625" customWidth="1"/>
    <col min="6406" max="6406" width="4.77734375" customWidth="1"/>
    <col min="6408" max="6408" width="9" customWidth="1"/>
    <col min="6652" max="6652" width="5.21875" customWidth="1"/>
    <col min="6653" max="6653" width="23.6640625" customWidth="1"/>
    <col min="6654" max="6654" width="5.44140625" customWidth="1"/>
    <col min="6655" max="6655" width="6.77734375" customWidth="1"/>
    <col min="6656" max="6659" width="7.6640625" customWidth="1"/>
    <col min="6660" max="6661" width="8.6640625" customWidth="1"/>
    <col min="6662" max="6662" width="4.77734375" customWidth="1"/>
    <col min="6664" max="6664" width="9" customWidth="1"/>
    <col min="6908" max="6908" width="5.21875" customWidth="1"/>
    <col min="6909" max="6909" width="23.6640625" customWidth="1"/>
    <col min="6910" max="6910" width="5.44140625" customWidth="1"/>
    <col min="6911" max="6911" width="6.77734375" customWidth="1"/>
    <col min="6912" max="6915" width="7.6640625" customWidth="1"/>
    <col min="6916" max="6917" width="8.6640625" customWidth="1"/>
    <col min="6918" max="6918" width="4.77734375" customWidth="1"/>
    <col min="6920" max="6920" width="9" customWidth="1"/>
    <col min="7164" max="7164" width="5.21875" customWidth="1"/>
    <col min="7165" max="7165" width="23.6640625" customWidth="1"/>
    <col min="7166" max="7166" width="5.44140625" customWidth="1"/>
    <col min="7167" max="7167" width="6.77734375" customWidth="1"/>
    <col min="7168" max="7171" width="7.6640625" customWidth="1"/>
    <col min="7172" max="7173" width="8.6640625" customWidth="1"/>
    <col min="7174" max="7174" width="4.77734375" customWidth="1"/>
    <col min="7176" max="7176" width="9" customWidth="1"/>
    <col min="7420" max="7420" width="5.21875" customWidth="1"/>
    <col min="7421" max="7421" width="23.6640625" customWidth="1"/>
    <col min="7422" max="7422" width="5.44140625" customWidth="1"/>
    <col min="7423" max="7423" width="6.77734375" customWidth="1"/>
    <col min="7424" max="7427" width="7.6640625" customWidth="1"/>
    <col min="7428" max="7429" width="8.6640625" customWidth="1"/>
    <col min="7430" max="7430" width="4.77734375" customWidth="1"/>
    <col min="7432" max="7432" width="9" customWidth="1"/>
    <col min="7676" max="7676" width="5.21875" customWidth="1"/>
    <col min="7677" max="7677" width="23.6640625" customWidth="1"/>
    <col min="7678" max="7678" width="5.44140625" customWidth="1"/>
    <col min="7679" max="7679" width="6.77734375" customWidth="1"/>
    <col min="7680" max="7683" width="7.6640625" customWidth="1"/>
    <col min="7684" max="7685" width="8.6640625" customWidth="1"/>
    <col min="7686" max="7686" width="4.77734375" customWidth="1"/>
    <col min="7688" max="7688" width="9" customWidth="1"/>
    <col min="7932" max="7932" width="5.21875" customWidth="1"/>
    <col min="7933" max="7933" width="23.6640625" customWidth="1"/>
    <col min="7934" max="7934" width="5.44140625" customWidth="1"/>
    <col min="7935" max="7935" width="6.77734375" customWidth="1"/>
    <col min="7936" max="7939" width="7.6640625" customWidth="1"/>
    <col min="7940" max="7941" width="8.6640625" customWidth="1"/>
    <col min="7942" max="7942" width="4.77734375" customWidth="1"/>
    <col min="7944" max="7944" width="9" customWidth="1"/>
    <col min="8188" max="8188" width="5.21875" customWidth="1"/>
    <col min="8189" max="8189" width="23.6640625" customWidth="1"/>
    <col min="8190" max="8190" width="5.44140625" customWidth="1"/>
    <col min="8191" max="8191" width="6.77734375" customWidth="1"/>
    <col min="8192" max="8195" width="7.6640625" customWidth="1"/>
    <col min="8196" max="8197" width="8.6640625" customWidth="1"/>
    <col min="8198" max="8198" width="4.77734375" customWidth="1"/>
    <col min="8200" max="8200" width="9" customWidth="1"/>
    <col min="8444" max="8444" width="5.21875" customWidth="1"/>
    <col min="8445" max="8445" width="23.6640625" customWidth="1"/>
    <col min="8446" max="8446" width="5.44140625" customWidth="1"/>
    <col min="8447" max="8447" width="6.77734375" customWidth="1"/>
    <col min="8448" max="8451" width="7.6640625" customWidth="1"/>
    <col min="8452" max="8453" width="8.6640625" customWidth="1"/>
    <col min="8454" max="8454" width="4.77734375" customWidth="1"/>
    <col min="8456" max="8456" width="9" customWidth="1"/>
    <col min="8700" max="8700" width="5.21875" customWidth="1"/>
    <col min="8701" max="8701" width="23.6640625" customWidth="1"/>
    <col min="8702" max="8702" width="5.44140625" customWidth="1"/>
    <col min="8703" max="8703" width="6.77734375" customWidth="1"/>
    <col min="8704" max="8707" width="7.6640625" customWidth="1"/>
    <col min="8708" max="8709" width="8.6640625" customWidth="1"/>
    <col min="8710" max="8710" width="4.77734375" customWidth="1"/>
    <col min="8712" max="8712" width="9" customWidth="1"/>
    <col min="8956" max="8956" width="5.21875" customWidth="1"/>
    <col min="8957" max="8957" width="23.6640625" customWidth="1"/>
    <col min="8958" max="8958" width="5.44140625" customWidth="1"/>
    <col min="8959" max="8959" width="6.77734375" customWidth="1"/>
    <col min="8960" max="8963" width="7.6640625" customWidth="1"/>
    <col min="8964" max="8965" width="8.6640625" customWidth="1"/>
    <col min="8966" max="8966" width="4.77734375" customWidth="1"/>
    <col min="8968" max="8968" width="9" customWidth="1"/>
    <col min="9212" max="9212" width="5.21875" customWidth="1"/>
    <col min="9213" max="9213" width="23.6640625" customWidth="1"/>
    <col min="9214" max="9214" width="5.44140625" customWidth="1"/>
    <col min="9215" max="9215" width="6.77734375" customWidth="1"/>
    <col min="9216" max="9219" width="7.6640625" customWidth="1"/>
    <col min="9220" max="9221" width="8.6640625" customWidth="1"/>
    <col min="9222" max="9222" width="4.77734375" customWidth="1"/>
    <col min="9224" max="9224" width="9" customWidth="1"/>
    <col min="9468" max="9468" width="5.21875" customWidth="1"/>
    <col min="9469" max="9469" width="23.6640625" customWidth="1"/>
    <col min="9470" max="9470" width="5.44140625" customWidth="1"/>
    <col min="9471" max="9471" width="6.77734375" customWidth="1"/>
    <col min="9472" max="9475" width="7.6640625" customWidth="1"/>
    <col min="9476" max="9477" width="8.6640625" customWidth="1"/>
    <col min="9478" max="9478" width="4.77734375" customWidth="1"/>
    <col min="9480" max="9480" width="9" customWidth="1"/>
    <col min="9724" max="9724" width="5.21875" customWidth="1"/>
    <col min="9725" max="9725" width="23.6640625" customWidth="1"/>
    <col min="9726" max="9726" width="5.44140625" customWidth="1"/>
    <col min="9727" max="9727" width="6.77734375" customWidth="1"/>
    <col min="9728" max="9731" width="7.6640625" customWidth="1"/>
    <col min="9732" max="9733" width="8.6640625" customWidth="1"/>
    <col min="9734" max="9734" width="4.77734375" customWidth="1"/>
    <col min="9736" max="9736" width="9" customWidth="1"/>
    <col min="9980" max="9980" width="5.21875" customWidth="1"/>
    <col min="9981" max="9981" width="23.6640625" customWidth="1"/>
    <col min="9982" max="9982" width="5.44140625" customWidth="1"/>
    <col min="9983" max="9983" width="6.77734375" customWidth="1"/>
    <col min="9984" max="9987" width="7.6640625" customWidth="1"/>
    <col min="9988" max="9989" width="8.6640625" customWidth="1"/>
    <col min="9990" max="9990" width="4.77734375" customWidth="1"/>
    <col min="9992" max="9992" width="9" customWidth="1"/>
    <col min="10236" max="10236" width="5.21875" customWidth="1"/>
    <col min="10237" max="10237" width="23.6640625" customWidth="1"/>
    <col min="10238" max="10238" width="5.44140625" customWidth="1"/>
    <col min="10239" max="10239" width="6.77734375" customWidth="1"/>
    <col min="10240" max="10243" width="7.6640625" customWidth="1"/>
    <col min="10244" max="10245" width="8.6640625" customWidth="1"/>
    <col min="10246" max="10246" width="4.77734375" customWidth="1"/>
    <col min="10248" max="10248" width="9" customWidth="1"/>
    <col min="10492" max="10492" width="5.21875" customWidth="1"/>
    <col min="10493" max="10493" width="23.6640625" customWidth="1"/>
    <col min="10494" max="10494" width="5.44140625" customWidth="1"/>
    <col min="10495" max="10495" width="6.77734375" customWidth="1"/>
    <col min="10496" max="10499" width="7.6640625" customWidth="1"/>
    <col min="10500" max="10501" width="8.6640625" customWidth="1"/>
    <col min="10502" max="10502" width="4.77734375" customWidth="1"/>
    <col min="10504" max="10504" width="9" customWidth="1"/>
    <col min="10748" max="10748" width="5.21875" customWidth="1"/>
    <col min="10749" max="10749" width="23.6640625" customWidth="1"/>
    <col min="10750" max="10750" width="5.44140625" customWidth="1"/>
    <col min="10751" max="10751" width="6.77734375" customWidth="1"/>
    <col min="10752" max="10755" width="7.6640625" customWidth="1"/>
    <col min="10756" max="10757" width="8.6640625" customWidth="1"/>
    <col min="10758" max="10758" width="4.77734375" customWidth="1"/>
    <col min="10760" max="10760" width="9" customWidth="1"/>
    <col min="11004" max="11004" width="5.21875" customWidth="1"/>
    <col min="11005" max="11005" width="23.6640625" customWidth="1"/>
    <col min="11006" max="11006" width="5.44140625" customWidth="1"/>
    <col min="11007" max="11007" width="6.77734375" customWidth="1"/>
    <col min="11008" max="11011" width="7.6640625" customWidth="1"/>
    <col min="11012" max="11013" width="8.6640625" customWidth="1"/>
    <col min="11014" max="11014" width="4.77734375" customWidth="1"/>
    <col min="11016" max="11016" width="9" customWidth="1"/>
    <col min="11260" max="11260" width="5.21875" customWidth="1"/>
    <col min="11261" max="11261" width="23.6640625" customWidth="1"/>
    <col min="11262" max="11262" width="5.44140625" customWidth="1"/>
    <col min="11263" max="11263" width="6.77734375" customWidth="1"/>
    <col min="11264" max="11267" width="7.6640625" customWidth="1"/>
    <col min="11268" max="11269" width="8.6640625" customWidth="1"/>
    <col min="11270" max="11270" width="4.77734375" customWidth="1"/>
    <col min="11272" max="11272" width="9" customWidth="1"/>
    <col min="11516" max="11516" width="5.21875" customWidth="1"/>
    <col min="11517" max="11517" width="23.6640625" customWidth="1"/>
    <col min="11518" max="11518" width="5.44140625" customWidth="1"/>
    <col min="11519" max="11519" width="6.77734375" customWidth="1"/>
    <col min="11520" max="11523" width="7.6640625" customWidth="1"/>
    <col min="11524" max="11525" width="8.6640625" customWidth="1"/>
    <col min="11526" max="11526" width="4.77734375" customWidth="1"/>
    <col min="11528" max="11528" width="9" customWidth="1"/>
    <col min="11772" max="11772" width="5.21875" customWidth="1"/>
    <col min="11773" max="11773" width="23.6640625" customWidth="1"/>
    <col min="11774" max="11774" width="5.44140625" customWidth="1"/>
    <col min="11775" max="11775" width="6.77734375" customWidth="1"/>
    <col min="11776" max="11779" width="7.6640625" customWidth="1"/>
    <col min="11780" max="11781" width="8.6640625" customWidth="1"/>
    <col min="11782" max="11782" width="4.77734375" customWidth="1"/>
    <col min="11784" max="11784" width="9" customWidth="1"/>
    <col min="12028" max="12028" width="5.21875" customWidth="1"/>
    <col min="12029" max="12029" width="23.6640625" customWidth="1"/>
    <col min="12030" max="12030" width="5.44140625" customWidth="1"/>
    <col min="12031" max="12031" width="6.77734375" customWidth="1"/>
    <col min="12032" max="12035" width="7.6640625" customWidth="1"/>
    <col min="12036" max="12037" width="8.6640625" customWidth="1"/>
    <col min="12038" max="12038" width="4.77734375" customWidth="1"/>
    <col min="12040" max="12040" width="9" customWidth="1"/>
    <col min="12284" max="12284" width="5.21875" customWidth="1"/>
    <col min="12285" max="12285" width="23.6640625" customWidth="1"/>
    <col min="12286" max="12286" width="5.44140625" customWidth="1"/>
    <col min="12287" max="12287" width="6.77734375" customWidth="1"/>
    <col min="12288" max="12291" width="7.6640625" customWidth="1"/>
    <col min="12292" max="12293" width="8.6640625" customWidth="1"/>
    <col min="12294" max="12294" width="4.77734375" customWidth="1"/>
    <col min="12296" max="12296" width="9" customWidth="1"/>
    <col min="12540" max="12540" width="5.21875" customWidth="1"/>
    <col min="12541" max="12541" width="23.6640625" customWidth="1"/>
    <col min="12542" max="12542" width="5.44140625" customWidth="1"/>
    <col min="12543" max="12543" width="6.77734375" customWidth="1"/>
    <col min="12544" max="12547" width="7.6640625" customWidth="1"/>
    <col min="12548" max="12549" width="8.6640625" customWidth="1"/>
    <col min="12550" max="12550" width="4.77734375" customWidth="1"/>
    <col min="12552" max="12552" width="9" customWidth="1"/>
    <col min="12796" max="12796" width="5.21875" customWidth="1"/>
    <col min="12797" max="12797" width="23.6640625" customWidth="1"/>
    <col min="12798" max="12798" width="5.44140625" customWidth="1"/>
    <col min="12799" max="12799" width="6.77734375" customWidth="1"/>
    <col min="12800" max="12803" width="7.6640625" customWidth="1"/>
    <col min="12804" max="12805" width="8.6640625" customWidth="1"/>
    <col min="12806" max="12806" width="4.77734375" customWidth="1"/>
    <col min="12808" max="12808" width="9" customWidth="1"/>
    <col min="13052" max="13052" width="5.21875" customWidth="1"/>
    <col min="13053" max="13053" width="23.6640625" customWidth="1"/>
    <col min="13054" max="13054" width="5.44140625" customWidth="1"/>
    <col min="13055" max="13055" width="6.77734375" customWidth="1"/>
    <col min="13056" max="13059" width="7.6640625" customWidth="1"/>
    <col min="13060" max="13061" width="8.6640625" customWidth="1"/>
    <col min="13062" max="13062" width="4.77734375" customWidth="1"/>
    <col min="13064" max="13064" width="9" customWidth="1"/>
    <col min="13308" max="13308" width="5.21875" customWidth="1"/>
    <col min="13309" max="13309" width="23.6640625" customWidth="1"/>
    <col min="13310" max="13310" width="5.44140625" customWidth="1"/>
    <col min="13311" max="13311" width="6.77734375" customWidth="1"/>
    <col min="13312" max="13315" width="7.6640625" customWidth="1"/>
    <col min="13316" max="13317" width="8.6640625" customWidth="1"/>
    <col min="13318" max="13318" width="4.77734375" customWidth="1"/>
    <col min="13320" max="13320" width="9" customWidth="1"/>
    <col min="13564" max="13564" width="5.21875" customWidth="1"/>
    <col min="13565" max="13565" width="23.6640625" customWidth="1"/>
    <col min="13566" max="13566" width="5.44140625" customWidth="1"/>
    <col min="13567" max="13567" width="6.77734375" customWidth="1"/>
    <col min="13568" max="13571" width="7.6640625" customWidth="1"/>
    <col min="13572" max="13573" width="8.6640625" customWidth="1"/>
    <col min="13574" max="13574" width="4.77734375" customWidth="1"/>
    <col min="13576" max="13576" width="9" customWidth="1"/>
    <col min="13820" max="13820" width="5.21875" customWidth="1"/>
    <col min="13821" max="13821" width="23.6640625" customWidth="1"/>
    <col min="13822" max="13822" width="5.44140625" customWidth="1"/>
    <col min="13823" max="13823" width="6.77734375" customWidth="1"/>
    <col min="13824" max="13827" width="7.6640625" customWidth="1"/>
    <col min="13828" max="13829" width="8.6640625" customWidth="1"/>
    <col min="13830" max="13830" width="4.77734375" customWidth="1"/>
    <col min="13832" max="13832" width="9" customWidth="1"/>
    <col min="14076" max="14076" width="5.21875" customWidth="1"/>
    <col min="14077" max="14077" width="23.6640625" customWidth="1"/>
    <col min="14078" max="14078" width="5.44140625" customWidth="1"/>
    <col min="14079" max="14079" width="6.77734375" customWidth="1"/>
    <col min="14080" max="14083" width="7.6640625" customWidth="1"/>
    <col min="14084" max="14085" width="8.6640625" customWidth="1"/>
    <col min="14086" max="14086" width="4.77734375" customWidth="1"/>
    <col min="14088" max="14088" width="9" customWidth="1"/>
    <col min="14332" max="14332" width="5.21875" customWidth="1"/>
    <col min="14333" max="14333" width="23.6640625" customWidth="1"/>
    <col min="14334" max="14334" width="5.44140625" customWidth="1"/>
    <col min="14335" max="14335" width="6.77734375" customWidth="1"/>
    <col min="14336" max="14339" width="7.6640625" customWidth="1"/>
    <col min="14340" max="14341" width="8.6640625" customWidth="1"/>
    <col min="14342" max="14342" width="4.77734375" customWidth="1"/>
    <col min="14344" max="14344" width="9" customWidth="1"/>
    <col min="14588" max="14588" width="5.21875" customWidth="1"/>
    <col min="14589" max="14589" width="23.6640625" customWidth="1"/>
    <col min="14590" max="14590" width="5.44140625" customWidth="1"/>
    <col min="14591" max="14591" width="6.77734375" customWidth="1"/>
    <col min="14592" max="14595" width="7.6640625" customWidth="1"/>
    <col min="14596" max="14597" width="8.6640625" customWidth="1"/>
    <col min="14598" max="14598" width="4.77734375" customWidth="1"/>
    <col min="14600" max="14600" width="9" customWidth="1"/>
    <col min="14844" max="14844" width="5.21875" customWidth="1"/>
    <col min="14845" max="14845" width="23.6640625" customWidth="1"/>
    <col min="14846" max="14846" width="5.44140625" customWidth="1"/>
    <col min="14847" max="14847" width="6.77734375" customWidth="1"/>
    <col min="14848" max="14851" width="7.6640625" customWidth="1"/>
    <col min="14852" max="14853" width="8.6640625" customWidth="1"/>
    <col min="14854" max="14854" width="4.77734375" customWidth="1"/>
    <col min="14856" max="14856" width="9" customWidth="1"/>
    <col min="15100" max="15100" width="5.21875" customWidth="1"/>
    <col min="15101" max="15101" width="23.6640625" customWidth="1"/>
    <col min="15102" max="15102" width="5.44140625" customWidth="1"/>
    <col min="15103" max="15103" width="6.77734375" customWidth="1"/>
    <col min="15104" max="15107" width="7.6640625" customWidth="1"/>
    <col min="15108" max="15109" width="8.6640625" customWidth="1"/>
    <col min="15110" max="15110" width="4.77734375" customWidth="1"/>
    <col min="15112" max="15112" width="9" customWidth="1"/>
    <col min="15356" max="15356" width="5.21875" customWidth="1"/>
    <col min="15357" max="15357" width="23.6640625" customWidth="1"/>
    <col min="15358" max="15358" width="5.44140625" customWidth="1"/>
    <col min="15359" max="15359" width="6.77734375" customWidth="1"/>
    <col min="15360" max="15363" width="7.6640625" customWidth="1"/>
    <col min="15364" max="15365" width="8.6640625" customWidth="1"/>
    <col min="15366" max="15366" width="4.77734375" customWidth="1"/>
    <col min="15368" max="15368" width="9" customWidth="1"/>
    <col min="15612" max="15612" width="5.21875" customWidth="1"/>
    <col min="15613" max="15613" width="23.6640625" customWidth="1"/>
    <col min="15614" max="15614" width="5.44140625" customWidth="1"/>
    <col min="15615" max="15615" width="6.77734375" customWidth="1"/>
    <col min="15616" max="15619" width="7.6640625" customWidth="1"/>
    <col min="15620" max="15621" width="8.6640625" customWidth="1"/>
    <col min="15622" max="15622" width="4.77734375" customWidth="1"/>
    <col min="15624" max="15624" width="9" customWidth="1"/>
    <col min="15868" max="15868" width="5.21875" customWidth="1"/>
    <col min="15869" max="15869" width="23.6640625" customWidth="1"/>
    <col min="15870" max="15870" width="5.44140625" customWidth="1"/>
    <col min="15871" max="15871" width="6.77734375" customWidth="1"/>
    <col min="15872" max="15875" width="7.6640625" customWidth="1"/>
    <col min="15876" max="15877" width="8.6640625" customWidth="1"/>
    <col min="15878" max="15878" width="4.77734375" customWidth="1"/>
    <col min="15880" max="15880" width="9" customWidth="1"/>
    <col min="16124" max="16124" width="5.21875" customWidth="1"/>
    <col min="16125" max="16125" width="23.6640625" customWidth="1"/>
    <col min="16126" max="16126" width="5.44140625" customWidth="1"/>
    <col min="16127" max="16127" width="6.77734375" customWidth="1"/>
    <col min="16128" max="16131" width="7.6640625" customWidth="1"/>
    <col min="16132" max="16133" width="8.6640625" customWidth="1"/>
    <col min="16134" max="16134" width="4.77734375" customWidth="1"/>
    <col min="16136" max="16136" width="9" customWidth="1"/>
  </cols>
  <sheetData>
    <row r="1" spans="1:8" ht="34.5" customHeight="1" x14ac:dyDescent="0.3">
      <c r="A1" s="25" t="s">
        <v>10</v>
      </c>
      <c r="B1" s="25" t="s">
        <v>11</v>
      </c>
      <c r="C1" s="25" t="s">
        <v>12</v>
      </c>
      <c r="D1" s="25" t="s">
        <v>13</v>
      </c>
      <c r="E1" s="25" t="s">
        <v>14</v>
      </c>
      <c r="F1" s="25" t="s">
        <v>15</v>
      </c>
      <c r="G1" s="79"/>
    </row>
    <row r="2" spans="1:8" ht="17.25" customHeight="1" x14ac:dyDescent="0.3">
      <c r="A2" s="25"/>
      <c r="B2" s="46"/>
      <c r="C2" s="25"/>
      <c r="D2" s="27"/>
      <c r="E2" s="28"/>
      <c r="F2" s="28">
        <f>ROUND(E2*D2,0)</f>
        <v>0</v>
      </c>
      <c r="G2" s="80"/>
    </row>
    <row r="3" spans="1:8" ht="17.25" customHeight="1" x14ac:dyDescent="0.3">
      <c r="A3" s="25"/>
      <c r="B3" s="46"/>
      <c r="C3" s="25"/>
      <c r="D3" s="27"/>
      <c r="E3" s="28"/>
      <c r="F3" s="28">
        <f t="shared" ref="F3:F37" si="0">ROUND(E3*D3,0)</f>
        <v>0</v>
      </c>
      <c r="G3" s="80"/>
    </row>
    <row r="4" spans="1:8" ht="17.25" customHeight="1" x14ac:dyDescent="0.3">
      <c r="A4" s="25"/>
      <c r="B4" s="46"/>
      <c r="C4" s="25"/>
      <c r="D4" s="27"/>
      <c r="E4" s="28"/>
      <c r="F4" s="28">
        <f t="shared" si="0"/>
        <v>0</v>
      </c>
      <c r="G4" s="80"/>
    </row>
    <row r="5" spans="1:8" ht="17.25" customHeight="1" x14ac:dyDescent="0.3">
      <c r="A5" s="25"/>
      <c r="B5" s="46"/>
      <c r="C5" s="25"/>
      <c r="D5" s="27"/>
      <c r="E5" s="28"/>
      <c r="F5" s="28">
        <f t="shared" si="0"/>
        <v>0</v>
      </c>
      <c r="G5" s="80"/>
    </row>
    <row r="6" spans="1:8" ht="17.25" customHeight="1" x14ac:dyDescent="0.3">
      <c r="A6" s="25"/>
      <c r="B6" s="46"/>
      <c r="C6" s="25"/>
      <c r="D6" s="27"/>
      <c r="E6" s="28"/>
      <c r="F6" s="28">
        <f t="shared" si="0"/>
        <v>0</v>
      </c>
      <c r="G6" s="80"/>
      <c r="H6" s="77"/>
    </row>
    <row r="7" spans="1:8" ht="17.25" customHeight="1" x14ac:dyDescent="0.3">
      <c r="A7" s="25"/>
      <c r="B7" s="46"/>
      <c r="C7" s="25"/>
      <c r="D7" s="27"/>
      <c r="E7" s="28"/>
      <c r="F7" s="28">
        <f t="shared" si="0"/>
        <v>0</v>
      </c>
      <c r="G7" s="80"/>
    </row>
    <row r="8" spans="1:8" ht="24" customHeight="1" x14ac:dyDescent="0.3">
      <c r="A8" s="25"/>
      <c r="B8" s="46"/>
      <c r="C8" s="25"/>
      <c r="D8" s="27"/>
      <c r="E8" s="28"/>
      <c r="F8" s="28">
        <f t="shared" si="0"/>
        <v>0</v>
      </c>
      <c r="G8" s="80"/>
    </row>
    <row r="9" spans="1:8" ht="17.25" customHeight="1" x14ac:dyDescent="0.3">
      <c r="A9" s="25"/>
      <c r="B9" s="46"/>
      <c r="C9" s="25"/>
      <c r="D9" s="27"/>
      <c r="E9" s="28"/>
      <c r="F9" s="28">
        <f t="shared" si="0"/>
        <v>0</v>
      </c>
      <c r="G9" s="80"/>
    </row>
    <row r="10" spans="1:8" ht="17.25" customHeight="1" x14ac:dyDescent="0.3">
      <c r="A10" s="25"/>
      <c r="B10" s="46"/>
      <c r="C10" s="25"/>
      <c r="D10" s="27"/>
      <c r="E10" s="28"/>
      <c r="F10" s="28">
        <f t="shared" si="0"/>
        <v>0</v>
      </c>
      <c r="G10" s="80"/>
    </row>
    <row r="11" spans="1:8" ht="17.25" customHeight="1" x14ac:dyDescent="0.3">
      <c r="A11" s="25"/>
      <c r="B11" s="46"/>
      <c r="C11" s="25"/>
      <c r="D11" s="27"/>
      <c r="E11" s="28"/>
      <c r="F11" s="28">
        <f t="shared" si="0"/>
        <v>0</v>
      </c>
      <c r="G11" s="80"/>
    </row>
    <row r="12" spans="1:8" ht="17.25" customHeight="1" x14ac:dyDescent="0.3">
      <c r="A12" s="25"/>
      <c r="B12" s="46"/>
      <c r="C12" s="25"/>
      <c r="D12" s="27"/>
      <c r="E12" s="28"/>
      <c r="F12" s="28">
        <f t="shared" si="0"/>
        <v>0</v>
      </c>
      <c r="G12" s="80"/>
    </row>
    <row r="13" spans="1:8" ht="17.25" customHeight="1" x14ac:dyDescent="0.3">
      <c r="A13" s="25"/>
      <c r="B13" s="46"/>
      <c r="C13" s="25"/>
      <c r="D13" s="27"/>
      <c r="E13" s="28"/>
      <c r="F13" s="28">
        <f t="shared" si="0"/>
        <v>0</v>
      </c>
      <c r="G13" s="80"/>
    </row>
    <row r="14" spans="1:8" ht="17.25" customHeight="1" x14ac:dyDescent="0.3">
      <c r="A14" s="25"/>
      <c r="B14" s="46"/>
      <c r="C14" s="25"/>
      <c r="D14" s="27"/>
      <c r="E14" s="28"/>
      <c r="F14" s="28">
        <f t="shared" si="0"/>
        <v>0</v>
      </c>
      <c r="G14" s="80"/>
    </row>
    <row r="15" spans="1:8" ht="17.25" customHeight="1" x14ac:dyDescent="0.3">
      <c r="A15" s="25"/>
      <c r="B15" s="46"/>
      <c r="C15" s="25"/>
      <c r="D15" s="27"/>
      <c r="E15" s="28"/>
      <c r="F15" s="28">
        <f t="shared" si="0"/>
        <v>0</v>
      </c>
      <c r="G15" s="80"/>
      <c r="H15" s="77"/>
    </row>
    <row r="16" spans="1:8" ht="17.25" customHeight="1" x14ac:dyDescent="0.3">
      <c r="A16" s="25"/>
      <c r="B16" s="46"/>
      <c r="C16" s="25"/>
      <c r="D16" s="27"/>
      <c r="E16" s="28"/>
      <c r="F16" s="28">
        <f t="shared" si="0"/>
        <v>0</v>
      </c>
      <c r="G16" s="80"/>
    </row>
    <row r="17" spans="1:7" ht="17.25" customHeight="1" x14ac:dyDescent="0.3">
      <c r="A17" s="25"/>
      <c r="B17" s="46"/>
      <c r="C17" s="25"/>
      <c r="D17" s="27"/>
      <c r="E17" s="28"/>
      <c r="F17" s="28">
        <f t="shared" si="0"/>
        <v>0</v>
      </c>
      <c r="G17" s="80"/>
    </row>
    <row r="18" spans="1:7" ht="17.25" customHeight="1" x14ac:dyDescent="0.3">
      <c r="A18" s="25"/>
      <c r="B18" s="46"/>
      <c r="C18" s="25"/>
      <c r="D18" s="27"/>
      <c r="E18" s="28"/>
      <c r="F18" s="28">
        <f t="shared" si="0"/>
        <v>0</v>
      </c>
    </row>
    <row r="19" spans="1:7" ht="17.25" customHeight="1" x14ac:dyDescent="0.3">
      <c r="A19" s="25"/>
      <c r="B19" s="95"/>
      <c r="C19" s="94"/>
      <c r="D19" s="162"/>
      <c r="E19" s="96"/>
      <c r="F19" s="28">
        <f t="shared" si="0"/>
        <v>0</v>
      </c>
      <c r="G19" s="80"/>
    </row>
    <row r="20" spans="1:7" ht="17.25" customHeight="1" x14ac:dyDescent="0.3">
      <c r="A20" s="25"/>
      <c r="B20" s="95"/>
      <c r="C20" s="94"/>
      <c r="D20" s="162"/>
      <c r="E20" s="96"/>
      <c r="F20" s="28">
        <f t="shared" si="0"/>
        <v>0</v>
      </c>
      <c r="G20" s="80"/>
    </row>
    <row r="21" spans="1:7" ht="17.25" customHeight="1" x14ac:dyDescent="0.3">
      <c r="A21" s="25"/>
      <c r="B21" s="95"/>
      <c r="C21" s="94"/>
      <c r="D21" s="162"/>
      <c r="E21" s="96"/>
      <c r="F21" s="28">
        <f t="shared" si="0"/>
        <v>0</v>
      </c>
      <c r="G21" s="80"/>
    </row>
    <row r="22" spans="1:7" ht="17.25" customHeight="1" x14ac:dyDescent="0.3">
      <c r="A22" s="25"/>
      <c r="B22" s="95"/>
      <c r="C22" s="94"/>
      <c r="D22" s="162"/>
      <c r="E22" s="96"/>
      <c r="F22" s="28">
        <f t="shared" si="0"/>
        <v>0</v>
      </c>
      <c r="G22" s="80"/>
    </row>
    <row r="23" spans="1:7" ht="17.25" customHeight="1" x14ac:dyDescent="0.3">
      <c r="A23" s="25"/>
      <c r="B23" s="95"/>
      <c r="C23" s="94"/>
      <c r="D23" s="162"/>
      <c r="E23" s="96"/>
      <c r="F23" s="28">
        <f t="shared" si="0"/>
        <v>0</v>
      </c>
      <c r="G23" s="80"/>
    </row>
    <row r="24" spans="1:7" ht="17.25" customHeight="1" x14ac:dyDescent="0.3">
      <c r="A24" s="25"/>
      <c r="B24" s="95"/>
      <c r="C24" s="94"/>
      <c r="D24" s="162"/>
      <c r="E24" s="96"/>
      <c r="F24" s="28">
        <f t="shared" si="0"/>
        <v>0</v>
      </c>
      <c r="G24" s="80"/>
    </row>
    <row r="25" spans="1:7" ht="17.25" customHeight="1" x14ac:dyDescent="0.3">
      <c r="A25" s="25"/>
      <c r="B25" s="95"/>
      <c r="C25" s="94"/>
      <c r="D25" s="162"/>
      <c r="E25" s="96"/>
      <c r="F25" s="28">
        <f t="shared" si="0"/>
        <v>0</v>
      </c>
      <c r="G25" s="80"/>
    </row>
    <row r="26" spans="1:7" ht="17.25" customHeight="1" x14ac:dyDescent="0.3">
      <c r="A26" s="25"/>
      <c r="B26" s="95"/>
      <c r="C26" s="94"/>
      <c r="D26" s="162"/>
      <c r="E26" s="96"/>
      <c r="F26" s="28">
        <f t="shared" si="0"/>
        <v>0</v>
      </c>
      <c r="G26" s="80"/>
    </row>
    <row r="27" spans="1:7" ht="17.25" customHeight="1" x14ac:dyDescent="0.3">
      <c r="A27" s="25"/>
      <c r="B27" s="95"/>
      <c r="C27" s="94"/>
      <c r="D27" s="162"/>
      <c r="E27" s="96"/>
      <c r="F27" s="28">
        <f t="shared" si="0"/>
        <v>0</v>
      </c>
      <c r="G27" s="80"/>
    </row>
    <row r="28" spans="1:7" ht="17.25" customHeight="1" x14ac:dyDescent="0.3">
      <c r="A28" s="25"/>
      <c r="B28" s="95"/>
      <c r="C28" s="94"/>
      <c r="D28" s="162"/>
      <c r="E28" s="96"/>
      <c r="F28" s="28">
        <f t="shared" si="0"/>
        <v>0</v>
      </c>
      <c r="G28" s="80"/>
    </row>
    <row r="29" spans="1:7" ht="17.25" customHeight="1" x14ac:dyDescent="0.3">
      <c r="A29" s="25"/>
      <c r="B29" s="95"/>
      <c r="C29" s="94"/>
      <c r="D29" s="162"/>
      <c r="E29" s="96"/>
      <c r="F29" s="28">
        <f t="shared" si="0"/>
        <v>0</v>
      </c>
      <c r="G29" s="80"/>
    </row>
    <row r="30" spans="1:7" ht="17.25" customHeight="1" x14ac:dyDescent="0.3">
      <c r="A30" s="25"/>
      <c r="B30" s="95"/>
      <c r="C30" s="94"/>
      <c r="D30" s="162"/>
      <c r="E30" s="96"/>
      <c r="F30" s="28">
        <f t="shared" si="0"/>
        <v>0</v>
      </c>
      <c r="G30" s="80"/>
    </row>
    <row r="31" spans="1:7" ht="17.25" customHeight="1" x14ac:dyDescent="0.3">
      <c r="A31" s="25"/>
      <c r="B31" s="95"/>
      <c r="C31" s="94"/>
      <c r="D31" s="162"/>
      <c r="E31" s="96"/>
      <c r="F31" s="28">
        <f t="shared" si="0"/>
        <v>0</v>
      </c>
      <c r="G31" s="80"/>
    </row>
    <row r="32" spans="1:7" ht="17.25" customHeight="1" x14ac:dyDescent="0.3">
      <c r="A32" s="25"/>
      <c r="B32" s="95"/>
      <c r="C32" s="94"/>
      <c r="D32" s="162"/>
      <c r="E32" s="96"/>
      <c r="F32" s="28">
        <f t="shared" si="0"/>
        <v>0</v>
      </c>
      <c r="G32" s="80">
        <f>SUM(F2:F32)</f>
        <v>0</v>
      </c>
    </row>
    <row r="33" spans="1:12" ht="17.25" customHeight="1" x14ac:dyDescent="0.3">
      <c r="A33" s="25"/>
      <c r="B33" s="26"/>
      <c r="C33" s="25"/>
      <c r="D33" s="27"/>
      <c r="E33" s="28">
        <f>ROUND(SUM($F$2:$F$32)*1%,0)</f>
        <v>0</v>
      </c>
      <c r="F33" s="28">
        <f t="shared" si="0"/>
        <v>0</v>
      </c>
      <c r="G33" s="80"/>
    </row>
    <row r="34" spans="1:12" ht="17.25" customHeight="1" x14ac:dyDescent="0.3">
      <c r="A34" s="25"/>
      <c r="B34" s="26"/>
      <c r="C34" s="25"/>
      <c r="D34" s="27"/>
      <c r="E34" s="28">
        <f t="shared" ref="E34" si="1">ROUND(SUM($F$2:$F$32)*1%,0)</f>
        <v>0</v>
      </c>
      <c r="F34" s="28">
        <f t="shared" si="0"/>
        <v>0</v>
      </c>
      <c r="G34" s="80"/>
      <c r="J34" s="75" t="e">
        <f>I34/H34</f>
        <v>#DIV/0!</v>
      </c>
      <c r="L34" s="75" t="e">
        <f>J34*K34</f>
        <v>#DIV/0!</v>
      </c>
    </row>
    <row r="35" spans="1:12" ht="17.25" customHeight="1" x14ac:dyDescent="0.3">
      <c r="A35" s="25"/>
      <c r="B35" s="26"/>
      <c r="C35" s="25"/>
      <c r="D35" s="27"/>
      <c r="E35" s="28">
        <f>ROUND(SUM($F$2:$F$32)*7%,0)</f>
        <v>0</v>
      </c>
      <c r="F35" s="28">
        <f t="shared" si="0"/>
        <v>0</v>
      </c>
      <c r="G35" s="80"/>
    </row>
    <row r="36" spans="1:12" ht="17.25" customHeight="1" x14ac:dyDescent="0.3">
      <c r="A36" s="25"/>
      <c r="B36" s="26"/>
      <c r="C36" s="25"/>
      <c r="D36" s="27"/>
      <c r="E36" s="28">
        <f>ROUND(SUM($F$2:$F$35)*0.3%,0)</f>
        <v>0</v>
      </c>
      <c r="F36" s="28">
        <f t="shared" si="0"/>
        <v>0</v>
      </c>
      <c r="G36" s="80"/>
      <c r="J36" s="75" t="e">
        <f>I36/H36</f>
        <v>#DIV/0!</v>
      </c>
      <c r="L36" s="93" t="e">
        <f>J36*K36</f>
        <v>#DIV/0!</v>
      </c>
    </row>
    <row r="37" spans="1:12" ht="17.25" customHeight="1" x14ac:dyDescent="0.3">
      <c r="A37" s="25"/>
      <c r="B37" s="26"/>
      <c r="C37" s="25"/>
      <c r="D37" s="27"/>
      <c r="E37" s="28">
        <f>ROUND(SUM($F$2:$F$36)*5%,0)</f>
        <v>0</v>
      </c>
      <c r="F37" s="28">
        <f t="shared" si="0"/>
        <v>0</v>
      </c>
      <c r="G37" s="80"/>
    </row>
    <row r="38" spans="1:12" ht="17.25" hidden="1" customHeight="1" x14ac:dyDescent="0.3">
      <c r="A38" s="25"/>
      <c r="B38" s="26"/>
      <c r="C38" s="25"/>
      <c r="D38" s="27"/>
      <c r="E38" s="28"/>
      <c r="F38" s="28"/>
      <c r="G38" s="80"/>
    </row>
    <row r="39" spans="1:12" ht="17.25" hidden="1" customHeight="1" x14ac:dyDescent="0.3">
      <c r="A39" s="25"/>
      <c r="B39" s="26"/>
      <c r="C39" s="25"/>
      <c r="D39" s="27"/>
      <c r="E39" s="28"/>
      <c r="F39" s="28"/>
      <c r="G39" s="80"/>
    </row>
    <row r="40" spans="1:12" ht="17.25" hidden="1" customHeight="1" x14ac:dyDescent="0.3">
      <c r="A40" s="25"/>
      <c r="B40" s="26"/>
      <c r="C40" s="25"/>
      <c r="D40" s="27"/>
      <c r="E40" s="28"/>
      <c r="F40" s="28"/>
      <c r="G40" s="80"/>
    </row>
    <row r="41" spans="1:12" ht="17.25" hidden="1" customHeight="1" x14ac:dyDescent="0.3">
      <c r="A41" s="25"/>
      <c r="B41" s="26"/>
      <c r="C41" s="25"/>
      <c r="D41" s="27"/>
      <c r="E41" s="28"/>
      <c r="F41" s="28"/>
      <c r="G41" s="80"/>
    </row>
    <row r="42" spans="1:12" ht="17.25" hidden="1" customHeight="1" x14ac:dyDescent="0.3">
      <c r="A42" s="25"/>
      <c r="B42" s="26"/>
      <c r="C42" s="25"/>
      <c r="D42" s="27"/>
      <c r="E42" s="28"/>
      <c r="F42" s="28"/>
      <c r="G42" s="80"/>
    </row>
    <row r="43" spans="1:12" ht="17.25" hidden="1" customHeight="1" x14ac:dyDescent="0.3">
      <c r="A43" s="25"/>
      <c r="B43" s="26"/>
      <c r="C43" s="25"/>
      <c r="D43" s="27"/>
      <c r="E43" s="28"/>
      <c r="F43" s="28"/>
      <c r="G43" s="80"/>
    </row>
    <row r="44" spans="1:12" ht="17.25" hidden="1" customHeight="1" x14ac:dyDescent="0.3">
      <c r="A44" s="25"/>
      <c r="B44" s="26"/>
      <c r="C44" s="25"/>
      <c r="D44" s="27"/>
      <c r="E44" s="28"/>
      <c r="F44" s="28"/>
      <c r="G44" s="80"/>
    </row>
    <row r="45" spans="1:12" ht="17.25" hidden="1" customHeight="1" x14ac:dyDescent="0.3">
      <c r="A45" s="25"/>
      <c r="B45" s="26"/>
      <c r="C45" s="25"/>
      <c r="D45" s="27"/>
      <c r="E45" s="28"/>
      <c r="F45" s="28"/>
      <c r="G45" s="80"/>
    </row>
    <row r="46" spans="1:12" ht="17.25" hidden="1" customHeight="1" x14ac:dyDescent="0.3">
      <c r="A46" s="25"/>
      <c r="B46" s="26"/>
      <c r="C46" s="25"/>
      <c r="D46" s="27"/>
      <c r="E46" s="28"/>
      <c r="F46" s="28"/>
      <c r="G46" s="80"/>
    </row>
    <row r="47" spans="1:12" ht="17.25" hidden="1" customHeight="1" x14ac:dyDescent="0.3">
      <c r="A47" s="25"/>
      <c r="B47" s="26"/>
      <c r="C47" s="25"/>
      <c r="D47" s="27"/>
      <c r="E47" s="28"/>
      <c r="F47" s="28"/>
      <c r="G47" s="80"/>
    </row>
    <row r="48" spans="1:12" ht="17.25" hidden="1" customHeight="1" x14ac:dyDescent="0.3">
      <c r="A48" s="25"/>
      <c r="B48" s="26"/>
      <c r="C48" s="25"/>
      <c r="D48" s="27"/>
      <c r="E48" s="28"/>
      <c r="F48" s="28"/>
      <c r="G48" s="80"/>
    </row>
    <row r="49" spans="1:7" ht="17.25" hidden="1" customHeight="1" x14ac:dyDescent="0.3">
      <c r="A49" s="25"/>
      <c r="B49" s="26"/>
      <c r="C49" s="25"/>
      <c r="D49" s="27"/>
      <c r="E49" s="28"/>
      <c r="F49" s="28"/>
      <c r="G49" s="80"/>
    </row>
    <row r="50" spans="1:7" ht="17.25" hidden="1" customHeight="1" x14ac:dyDescent="0.3">
      <c r="A50" s="25"/>
      <c r="B50" s="26"/>
      <c r="C50" s="25"/>
      <c r="D50" s="27"/>
      <c r="E50" s="28"/>
      <c r="F50" s="28"/>
      <c r="G50" s="80"/>
    </row>
    <row r="51" spans="1:7" ht="17.25" hidden="1" customHeight="1" x14ac:dyDescent="0.3">
      <c r="A51" s="25"/>
      <c r="B51" s="26"/>
      <c r="C51" s="25"/>
      <c r="D51" s="27"/>
      <c r="E51" s="28"/>
      <c r="F51" s="28"/>
      <c r="G51" s="80"/>
    </row>
    <row r="52" spans="1:7" ht="17.25" hidden="1" customHeight="1" x14ac:dyDescent="0.3">
      <c r="A52" s="25"/>
      <c r="B52" s="26"/>
      <c r="C52" s="25"/>
      <c r="D52" s="27"/>
      <c r="E52" s="28"/>
      <c r="F52" s="28"/>
      <c r="G52" s="80"/>
    </row>
    <row r="53" spans="1:7" ht="17.25" hidden="1" customHeight="1" x14ac:dyDescent="0.3">
      <c r="A53" s="25"/>
      <c r="B53" s="26"/>
      <c r="C53" s="25"/>
      <c r="D53" s="27"/>
      <c r="E53" s="28"/>
      <c r="F53" s="28"/>
      <c r="G53" s="80"/>
    </row>
    <row r="54" spans="1:7" ht="17.25" hidden="1" customHeight="1" x14ac:dyDescent="0.3">
      <c r="A54" s="25"/>
      <c r="B54" s="26"/>
      <c r="C54" s="25"/>
      <c r="D54" s="27"/>
      <c r="E54" s="28"/>
      <c r="F54" s="28"/>
      <c r="G54" s="80"/>
    </row>
    <row r="55" spans="1:7" ht="17.25" hidden="1" customHeight="1" x14ac:dyDescent="0.3">
      <c r="A55" s="25"/>
      <c r="B55" s="26"/>
      <c r="C55" s="25"/>
      <c r="D55" s="27"/>
      <c r="E55" s="28"/>
      <c r="F55" s="28"/>
      <c r="G55" s="80"/>
    </row>
    <row r="56" spans="1:7" ht="17.25" hidden="1" customHeight="1" x14ac:dyDescent="0.3">
      <c r="A56" s="25"/>
      <c r="B56" s="26"/>
      <c r="C56" s="25"/>
      <c r="D56" s="27"/>
      <c r="E56" s="28"/>
      <c r="F56" s="28"/>
      <c r="G56" s="80"/>
    </row>
    <row r="57" spans="1:7" ht="17.25" hidden="1" customHeight="1" x14ac:dyDescent="0.3">
      <c r="A57" s="25"/>
      <c r="B57" s="26"/>
      <c r="C57" s="25"/>
      <c r="D57" s="27"/>
      <c r="E57" s="28"/>
      <c r="F57" s="28"/>
      <c r="G57" s="80"/>
    </row>
    <row r="58" spans="1:7" ht="17.25" hidden="1" customHeight="1" x14ac:dyDescent="0.3">
      <c r="A58" s="25"/>
      <c r="B58" s="26"/>
      <c r="C58" s="25"/>
      <c r="D58" s="27"/>
      <c r="E58" s="28"/>
      <c r="F58" s="28"/>
      <c r="G58" s="80"/>
    </row>
    <row r="59" spans="1:7" ht="17.25" hidden="1" customHeight="1" x14ac:dyDescent="0.3">
      <c r="A59" s="25"/>
      <c r="B59" s="26"/>
      <c r="C59" s="25"/>
      <c r="D59" s="27"/>
      <c r="E59" s="28"/>
      <c r="F59" s="28"/>
      <c r="G59" s="80"/>
    </row>
    <row r="60" spans="1:7" ht="17.25" hidden="1" customHeight="1" x14ac:dyDescent="0.3">
      <c r="A60" s="25"/>
      <c r="B60" s="26"/>
      <c r="C60" s="25"/>
      <c r="D60" s="27"/>
      <c r="E60" s="28"/>
      <c r="F60" s="28"/>
      <c r="G60" s="80"/>
    </row>
    <row r="61" spans="1:7" ht="17.25" hidden="1" customHeight="1" x14ac:dyDescent="0.3">
      <c r="A61" s="25"/>
      <c r="B61" s="26"/>
      <c r="C61" s="25"/>
      <c r="D61" s="27"/>
      <c r="E61" s="28"/>
      <c r="F61" s="28"/>
      <c r="G61" s="80"/>
    </row>
    <row r="62" spans="1:7" ht="17.25" hidden="1" customHeight="1" x14ac:dyDescent="0.3">
      <c r="A62" s="25"/>
      <c r="B62" s="26"/>
      <c r="C62" s="25"/>
      <c r="D62" s="27"/>
      <c r="E62" s="28"/>
      <c r="F62" s="28"/>
      <c r="G62" s="80"/>
    </row>
    <row r="63" spans="1:7" ht="17.25" hidden="1" customHeight="1" x14ac:dyDescent="0.3">
      <c r="A63" s="25"/>
      <c r="B63" s="26"/>
      <c r="C63" s="25"/>
      <c r="D63" s="27"/>
      <c r="E63" s="28"/>
      <c r="F63" s="28"/>
      <c r="G63" s="80"/>
    </row>
    <row r="64" spans="1:7" ht="17.25" hidden="1" customHeight="1" x14ac:dyDescent="0.3">
      <c r="A64" s="25"/>
      <c r="B64" s="26"/>
      <c r="C64" s="25"/>
      <c r="D64" s="27"/>
      <c r="E64" s="28"/>
      <c r="F64" s="28"/>
      <c r="G64" s="80"/>
    </row>
    <row r="65" spans="1:7" ht="17.25" hidden="1" customHeight="1" x14ac:dyDescent="0.3">
      <c r="A65" s="25"/>
      <c r="B65" s="26"/>
      <c r="C65" s="25"/>
      <c r="D65" s="27"/>
      <c r="E65" s="28"/>
      <c r="F65" s="28"/>
      <c r="G65" s="80"/>
    </row>
    <row r="66" spans="1:7" ht="17.25" hidden="1" customHeight="1" x14ac:dyDescent="0.3">
      <c r="A66" s="25"/>
      <c r="B66" s="26"/>
      <c r="C66" s="25"/>
      <c r="D66" s="27"/>
      <c r="E66" s="28"/>
      <c r="F66" s="28"/>
      <c r="G66" s="80"/>
    </row>
    <row r="67" spans="1:7" ht="17.25" hidden="1" customHeight="1" x14ac:dyDescent="0.3">
      <c r="A67" s="25"/>
      <c r="B67" s="26"/>
      <c r="C67" s="25"/>
      <c r="D67" s="27"/>
      <c r="E67" s="28"/>
      <c r="F67" s="28"/>
      <c r="G67" s="80"/>
    </row>
    <row r="68" spans="1:7" ht="17.25" hidden="1" customHeight="1" x14ac:dyDescent="0.3">
      <c r="A68" s="25"/>
      <c r="B68" s="26"/>
      <c r="C68" s="25"/>
      <c r="D68" s="27"/>
      <c r="E68" s="28"/>
      <c r="F68" s="28"/>
      <c r="G68" s="80"/>
    </row>
    <row r="69" spans="1:7" ht="17.25" hidden="1" customHeight="1" x14ac:dyDescent="0.3">
      <c r="A69" s="25"/>
      <c r="B69" s="26"/>
      <c r="C69" s="25"/>
      <c r="D69" s="27"/>
      <c r="E69" s="28"/>
      <c r="F69" s="28"/>
      <c r="G69" s="80"/>
    </row>
    <row r="70" spans="1:7" ht="17.25" hidden="1" customHeight="1" x14ac:dyDescent="0.3">
      <c r="A70" s="25"/>
      <c r="B70" s="26"/>
      <c r="C70" s="25"/>
      <c r="D70" s="27"/>
      <c r="E70" s="28"/>
      <c r="F70" s="28"/>
      <c r="G70" s="80"/>
    </row>
    <row r="71" spans="1:7" ht="17.25" hidden="1" customHeight="1" x14ac:dyDescent="0.3">
      <c r="A71" s="25"/>
      <c r="B71" s="26"/>
      <c r="C71" s="25"/>
      <c r="D71" s="27"/>
      <c r="E71" s="28"/>
      <c r="F71" s="28"/>
      <c r="G71" s="80"/>
    </row>
    <row r="72" spans="1:7" ht="17.25" hidden="1" customHeight="1" x14ac:dyDescent="0.3">
      <c r="A72" s="25"/>
      <c r="B72" s="26"/>
      <c r="C72" s="25"/>
      <c r="D72" s="27"/>
      <c r="E72" s="28"/>
      <c r="F72" s="28"/>
      <c r="G72" s="80"/>
    </row>
    <row r="73" spans="1:7" ht="17.25" hidden="1" customHeight="1" x14ac:dyDescent="0.3">
      <c r="A73" s="25"/>
      <c r="B73" s="26"/>
      <c r="C73" s="25"/>
      <c r="D73" s="27"/>
      <c r="E73" s="28"/>
      <c r="F73" s="28"/>
      <c r="G73" s="80"/>
    </row>
    <row r="74" spans="1:7" ht="17.25" hidden="1" customHeight="1" x14ac:dyDescent="0.3">
      <c r="A74" s="25"/>
      <c r="B74" s="26"/>
      <c r="C74" s="25"/>
      <c r="D74" s="27"/>
      <c r="E74" s="28"/>
      <c r="F74" s="28"/>
      <c r="G74" s="80"/>
    </row>
    <row r="75" spans="1:7" ht="17.25" hidden="1" customHeight="1" x14ac:dyDescent="0.3">
      <c r="A75" s="25"/>
      <c r="B75" s="26"/>
      <c r="C75" s="25"/>
      <c r="D75" s="27"/>
      <c r="E75" s="28"/>
      <c r="F75" s="28"/>
      <c r="G75" s="80"/>
    </row>
    <row r="76" spans="1:7" ht="17.25" hidden="1" customHeight="1" x14ac:dyDescent="0.3">
      <c r="A76" s="25"/>
      <c r="B76" s="26"/>
      <c r="C76" s="25"/>
      <c r="D76" s="27"/>
      <c r="E76" s="28"/>
      <c r="F76" s="28"/>
      <c r="G76" s="80"/>
    </row>
    <row r="77" spans="1:7" ht="17.25" hidden="1" customHeight="1" x14ac:dyDescent="0.3">
      <c r="A77" s="25"/>
      <c r="B77" s="26"/>
      <c r="C77" s="25"/>
      <c r="D77" s="27"/>
      <c r="E77" s="28"/>
      <c r="F77" s="28"/>
      <c r="G77" s="80"/>
    </row>
    <row r="78" spans="1:7" ht="17.25" hidden="1" customHeight="1" x14ac:dyDescent="0.3">
      <c r="A78" s="25"/>
      <c r="B78" s="26"/>
      <c r="C78" s="25"/>
      <c r="D78" s="27"/>
      <c r="E78" s="28"/>
      <c r="F78" s="28"/>
      <c r="G78" s="80"/>
    </row>
    <row r="79" spans="1:7" ht="17.25" hidden="1" customHeight="1" x14ac:dyDescent="0.3">
      <c r="A79" s="25"/>
      <c r="B79" s="26"/>
      <c r="C79" s="25"/>
      <c r="D79" s="27"/>
      <c r="E79" s="28"/>
      <c r="F79" s="28"/>
      <c r="G79" s="80"/>
    </row>
    <row r="80" spans="1:7" ht="17.25" hidden="1" customHeight="1" x14ac:dyDescent="0.3">
      <c r="A80" s="25"/>
      <c r="B80" s="26"/>
      <c r="C80" s="25"/>
      <c r="D80" s="27"/>
      <c r="E80" s="28"/>
      <c r="F80" s="28"/>
      <c r="G80" s="80"/>
    </row>
    <row r="81" spans="1:7" ht="17.25" hidden="1" customHeight="1" x14ac:dyDescent="0.3">
      <c r="A81" s="25"/>
      <c r="B81" s="26"/>
      <c r="C81" s="25"/>
      <c r="D81" s="27"/>
      <c r="E81" s="28"/>
      <c r="F81" s="28"/>
      <c r="G81" s="80"/>
    </row>
    <row r="82" spans="1:7" ht="17.25" hidden="1" customHeight="1" x14ac:dyDescent="0.3">
      <c r="A82" s="25"/>
      <c r="B82" s="26"/>
      <c r="C82" s="25"/>
      <c r="D82" s="27"/>
      <c r="E82" s="28"/>
      <c r="F82" s="28"/>
      <c r="G82" s="80"/>
    </row>
    <row r="83" spans="1:7" ht="17.25" hidden="1" customHeight="1" x14ac:dyDescent="0.3">
      <c r="A83" s="25"/>
      <c r="B83" s="26"/>
      <c r="C83" s="25"/>
      <c r="D83" s="27"/>
      <c r="E83" s="28"/>
      <c r="F83" s="28"/>
      <c r="G83" s="80"/>
    </row>
    <row r="84" spans="1:7" ht="17.25" hidden="1" customHeight="1" x14ac:dyDescent="0.3">
      <c r="A84" s="25"/>
      <c r="B84" s="26"/>
      <c r="C84" s="25"/>
      <c r="D84" s="27"/>
      <c r="E84" s="28"/>
      <c r="F84" s="28"/>
      <c r="G84" s="80"/>
    </row>
    <row r="85" spans="1:7" ht="17.25" hidden="1" customHeight="1" x14ac:dyDescent="0.3">
      <c r="A85" s="25"/>
      <c r="B85" s="26"/>
      <c r="C85" s="25"/>
      <c r="D85" s="27"/>
      <c r="E85" s="28"/>
      <c r="F85" s="28"/>
      <c r="G85" s="80"/>
    </row>
    <row r="86" spans="1:7" ht="17.25" hidden="1" customHeight="1" x14ac:dyDescent="0.3">
      <c r="A86" s="25"/>
      <c r="B86" s="26"/>
      <c r="C86" s="25"/>
      <c r="D86" s="27"/>
      <c r="E86" s="28"/>
      <c r="F86" s="28"/>
      <c r="G86" s="80"/>
    </row>
    <row r="87" spans="1:7" ht="17.25" hidden="1" customHeight="1" x14ac:dyDescent="0.3">
      <c r="A87" s="25"/>
      <c r="B87" s="26"/>
      <c r="C87" s="25"/>
      <c r="D87" s="27"/>
      <c r="E87" s="28"/>
      <c r="F87" s="28"/>
      <c r="G87" s="80"/>
    </row>
    <row r="88" spans="1:7" ht="17.25" hidden="1" customHeight="1" x14ac:dyDescent="0.3">
      <c r="A88" s="25"/>
      <c r="B88" s="26"/>
      <c r="C88" s="25"/>
      <c r="D88" s="27"/>
      <c r="E88" s="28"/>
      <c r="F88" s="28"/>
      <c r="G88" s="80"/>
    </row>
    <row r="89" spans="1:7" ht="17.25" hidden="1" customHeight="1" x14ac:dyDescent="0.3">
      <c r="A89" s="25"/>
      <c r="B89" s="26"/>
      <c r="C89" s="25"/>
      <c r="D89" s="27"/>
      <c r="E89" s="28"/>
      <c r="F89" s="28"/>
      <c r="G89" s="80"/>
    </row>
    <row r="90" spans="1:7" ht="17.25" hidden="1" customHeight="1" x14ac:dyDescent="0.3">
      <c r="A90" s="25"/>
      <c r="B90" s="26"/>
      <c r="C90" s="25"/>
      <c r="D90" s="27"/>
      <c r="E90" s="28"/>
      <c r="F90" s="28"/>
      <c r="G90" s="80"/>
    </row>
    <row r="91" spans="1:7" ht="17.25" hidden="1" customHeight="1" x14ac:dyDescent="0.3">
      <c r="A91" s="25"/>
      <c r="B91" s="26"/>
      <c r="C91" s="25"/>
      <c r="D91" s="27"/>
      <c r="E91" s="28"/>
      <c r="F91" s="28"/>
      <c r="G91" s="80"/>
    </row>
    <row r="92" spans="1:7" ht="17.25" hidden="1" customHeight="1" x14ac:dyDescent="0.3">
      <c r="A92" s="25"/>
      <c r="B92" s="26"/>
      <c r="C92" s="25"/>
      <c r="D92" s="27"/>
      <c r="E92" s="28"/>
      <c r="F92" s="28"/>
      <c r="G92" s="80"/>
    </row>
    <row r="93" spans="1:7" ht="17.25" hidden="1" customHeight="1" x14ac:dyDescent="0.3">
      <c r="A93" s="25"/>
      <c r="B93" s="26"/>
      <c r="C93" s="25"/>
      <c r="D93" s="27"/>
      <c r="E93" s="28"/>
      <c r="F93" s="28"/>
      <c r="G93" s="80"/>
    </row>
    <row r="94" spans="1:7" ht="17.25" hidden="1" customHeight="1" x14ac:dyDescent="0.3">
      <c r="A94" s="25"/>
      <c r="B94" s="26"/>
      <c r="C94" s="25"/>
      <c r="D94" s="27"/>
      <c r="E94" s="28"/>
      <c r="F94" s="28"/>
      <c r="G94" s="80"/>
    </row>
    <row r="95" spans="1:7" ht="17.25" hidden="1" customHeight="1" x14ac:dyDescent="0.3">
      <c r="A95" s="25"/>
      <c r="B95" s="26"/>
      <c r="C95" s="25"/>
      <c r="D95" s="27"/>
      <c r="E95" s="28"/>
      <c r="F95" s="28"/>
      <c r="G95" s="80"/>
    </row>
    <row r="96" spans="1:7" ht="17.25" hidden="1" customHeight="1" x14ac:dyDescent="0.3">
      <c r="A96" s="25"/>
      <c r="B96" s="26"/>
      <c r="C96" s="25"/>
      <c r="D96" s="27"/>
      <c r="E96" s="28"/>
      <c r="F96" s="28"/>
      <c r="G96" s="80"/>
    </row>
    <row r="97" spans="1:7" ht="17.25" hidden="1" customHeight="1" x14ac:dyDescent="0.3">
      <c r="A97" s="25"/>
      <c r="B97" s="26"/>
      <c r="C97" s="25"/>
      <c r="D97" s="27"/>
      <c r="E97" s="28"/>
      <c r="F97" s="28"/>
      <c r="G97" s="80"/>
    </row>
    <row r="98" spans="1:7" ht="17.25" hidden="1" customHeight="1" x14ac:dyDescent="0.3">
      <c r="A98" s="25"/>
      <c r="B98" s="26"/>
      <c r="C98" s="25"/>
      <c r="D98" s="27"/>
      <c r="E98" s="28"/>
      <c r="F98" s="28"/>
      <c r="G98" s="80"/>
    </row>
    <row r="99" spans="1:7" ht="17.25" hidden="1" customHeight="1" x14ac:dyDescent="0.3">
      <c r="A99" s="25"/>
      <c r="B99" s="26"/>
      <c r="C99" s="25"/>
      <c r="D99" s="27"/>
      <c r="E99" s="28"/>
      <c r="F99" s="28"/>
      <c r="G99" s="80"/>
    </row>
    <row r="100" spans="1:7" ht="17.25" hidden="1" customHeight="1" x14ac:dyDescent="0.3">
      <c r="A100" s="25"/>
      <c r="B100" s="26"/>
      <c r="C100" s="25"/>
      <c r="D100" s="27"/>
      <c r="E100" s="28"/>
      <c r="F100" s="28"/>
      <c r="G100" s="80"/>
    </row>
    <row r="101" spans="1:7" ht="17.25" hidden="1" customHeight="1" x14ac:dyDescent="0.3">
      <c r="A101" s="25"/>
      <c r="B101" s="26"/>
      <c r="C101" s="25"/>
      <c r="D101" s="27"/>
      <c r="E101" s="28"/>
      <c r="F101" s="28"/>
      <c r="G101" s="80"/>
    </row>
    <row r="102" spans="1:7" ht="17.25" hidden="1" customHeight="1" x14ac:dyDescent="0.3">
      <c r="A102" s="25"/>
      <c r="B102" s="26"/>
      <c r="C102" s="25"/>
      <c r="D102" s="27"/>
      <c r="E102" s="28"/>
      <c r="F102" s="28"/>
      <c r="G102" s="80"/>
    </row>
    <row r="103" spans="1:7" ht="17.25" hidden="1" customHeight="1" x14ac:dyDescent="0.3">
      <c r="A103" s="25"/>
      <c r="B103" s="26"/>
      <c r="C103" s="25"/>
      <c r="D103" s="27"/>
      <c r="E103" s="28"/>
      <c r="F103" s="28"/>
      <c r="G103" s="80"/>
    </row>
    <row r="104" spans="1:7" ht="17.25" hidden="1" customHeight="1" x14ac:dyDescent="0.3">
      <c r="A104" s="25"/>
      <c r="B104" s="26"/>
      <c r="C104" s="25"/>
      <c r="D104" s="27"/>
      <c r="E104" s="28"/>
      <c r="F104" s="28"/>
      <c r="G104" s="80"/>
    </row>
    <row r="105" spans="1:7" ht="17.25" hidden="1" customHeight="1" x14ac:dyDescent="0.3">
      <c r="A105" s="25"/>
      <c r="B105" s="26"/>
      <c r="C105" s="25"/>
      <c r="D105" s="27"/>
      <c r="E105" s="28"/>
      <c r="F105" s="28"/>
      <c r="G105" s="80"/>
    </row>
    <row r="106" spans="1:7" ht="17.25" hidden="1" customHeight="1" x14ac:dyDescent="0.3">
      <c r="A106" s="25"/>
      <c r="B106" s="26"/>
      <c r="C106" s="25"/>
      <c r="D106" s="27"/>
      <c r="E106" s="28"/>
      <c r="F106" s="28"/>
      <c r="G106" s="80"/>
    </row>
    <row r="107" spans="1:7" ht="17.25" hidden="1" customHeight="1" x14ac:dyDescent="0.3">
      <c r="A107" s="25"/>
      <c r="B107" s="26"/>
      <c r="C107" s="25"/>
      <c r="D107" s="27"/>
      <c r="E107" s="28"/>
      <c r="F107" s="28"/>
      <c r="G107" s="80"/>
    </row>
    <row r="108" spans="1:7" ht="17.25" hidden="1" customHeight="1" x14ac:dyDescent="0.3">
      <c r="A108" s="25"/>
      <c r="B108" s="26"/>
      <c r="C108" s="25"/>
      <c r="D108" s="27"/>
      <c r="E108" s="28"/>
      <c r="F108" s="28"/>
      <c r="G108" s="80"/>
    </row>
    <row r="109" spans="1:7" ht="17.25" hidden="1" customHeight="1" x14ac:dyDescent="0.3">
      <c r="A109" s="25"/>
      <c r="B109" s="26"/>
      <c r="C109" s="25"/>
      <c r="D109" s="27"/>
      <c r="E109" s="28"/>
      <c r="F109" s="28"/>
      <c r="G109" s="80"/>
    </row>
    <row r="110" spans="1:7" ht="17.25" hidden="1" customHeight="1" x14ac:dyDescent="0.3">
      <c r="A110" s="25"/>
      <c r="B110" s="26"/>
      <c r="C110" s="25"/>
      <c r="D110" s="27"/>
      <c r="E110" s="28"/>
      <c r="F110" s="28"/>
      <c r="G110" s="80"/>
    </row>
    <row r="111" spans="1:7" ht="17.25" hidden="1" customHeight="1" x14ac:dyDescent="0.3">
      <c r="A111" s="25"/>
      <c r="B111" s="26"/>
      <c r="C111" s="25"/>
      <c r="D111" s="27"/>
      <c r="E111" s="28"/>
      <c r="F111" s="28"/>
      <c r="G111" s="80"/>
    </row>
    <row r="112" spans="1:7" ht="17.25" hidden="1" customHeight="1" x14ac:dyDescent="0.3">
      <c r="A112" s="25"/>
      <c r="B112" s="26"/>
      <c r="C112" s="25"/>
      <c r="D112" s="27"/>
      <c r="E112" s="28"/>
      <c r="F112" s="28"/>
      <c r="G112" s="80"/>
    </row>
    <row r="113" spans="1:7" ht="17.25" hidden="1" customHeight="1" x14ac:dyDescent="0.3">
      <c r="A113" s="25"/>
      <c r="B113" s="26"/>
      <c r="C113" s="25"/>
      <c r="D113" s="27"/>
      <c r="E113" s="28"/>
      <c r="F113" s="28"/>
      <c r="G113" s="80"/>
    </row>
    <row r="114" spans="1:7" ht="17.25" hidden="1" customHeight="1" x14ac:dyDescent="0.3">
      <c r="A114" s="25"/>
      <c r="B114" s="26"/>
      <c r="C114" s="25"/>
      <c r="D114" s="27"/>
      <c r="E114" s="28"/>
      <c r="F114" s="28"/>
      <c r="G114" s="80"/>
    </row>
    <row r="115" spans="1:7" ht="17.25" hidden="1" customHeight="1" x14ac:dyDescent="0.3">
      <c r="A115" s="25"/>
      <c r="B115" s="26"/>
      <c r="C115" s="25"/>
      <c r="D115" s="27"/>
      <c r="E115" s="28"/>
      <c r="F115" s="28"/>
      <c r="G115" s="80"/>
    </row>
    <row r="116" spans="1:7" ht="17.25" hidden="1" customHeight="1" x14ac:dyDescent="0.3">
      <c r="A116" s="25"/>
      <c r="B116" s="26"/>
      <c r="C116" s="25"/>
      <c r="D116" s="27"/>
      <c r="E116" s="28"/>
      <c r="F116" s="28"/>
      <c r="G116" s="80"/>
    </row>
    <row r="117" spans="1:7" ht="17.25" hidden="1" customHeight="1" x14ac:dyDescent="0.3">
      <c r="A117" s="25"/>
      <c r="B117" s="26"/>
      <c r="C117" s="25"/>
      <c r="D117" s="27"/>
      <c r="E117" s="28"/>
      <c r="F117" s="28"/>
      <c r="G117" s="80"/>
    </row>
    <row r="118" spans="1:7" ht="17.25" hidden="1" customHeight="1" x14ac:dyDescent="0.3">
      <c r="A118" s="25"/>
      <c r="B118" s="26"/>
      <c r="C118" s="25"/>
      <c r="D118" s="27"/>
      <c r="E118" s="28"/>
      <c r="F118" s="28"/>
      <c r="G118" s="80"/>
    </row>
    <row r="119" spans="1:7" ht="17.25" hidden="1" customHeight="1" x14ac:dyDescent="0.3">
      <c r="A119" s="25"/>
      <c r="B119" s="26"/>
      <c r="C119" s="25"/>
      <c r="D119" s="27"/>
      <c r="E119" s="28"/>
      <c r="F119" s="28"/>
      <c r="G119" s="80"/>
    </row>
    <row r="120" spans="1:7" ht="17.25" hidden="1" customHeight="1" x14ac:dyDescent="0.3">
      <c r="A120" s="25"/>
      <c r="B120" s="26"/>
      <c r="C120" s="25"/>
      <c r="D120" s="27"/>
      <c r="E120" s="28"/>
      <c r="F120" s="28"/>
      <c r="G120" s="80"/>
    </row>
    <row r="121" spans="1:7" ht="17.25" hidden="1" customHeight="1" x14ac:dyDescent="0.3">
      <c r="A121" s="25"/>
      <c r="B121" s="26"/>
      <c r="C121" s="25"/>
      <c r="D121" s="27"/>
      <c r="E121" s="28"/>
      <c r="F121" s="28"/>
      <c r="G121" s="80"/>
    </row>
    <row r="122" spans="1:7" ht="17.25" hidden="1" customHeight="1" x14ac:dyDescent="0.3">
      <c r="A122" s="25"/>
      <c r="B122" s="26"/>
      <c r="C122" s="25"/>
      <c r="D122" s="27"/>
      <c r="E122" s="28"/>
      <c r="F122" s="28"/>
      <c r="G122" s="80"/>
    </row>
    <row r="123" spans="1:7" ht="17.25" hidden="1" customHeight="1" x14ac:dyDescent="0.3">
      <c r="A123" s="25"/>
      <c r="B123" s="26"/>
      <c r="C123" s="25"/>
      <c r="D123" s="27"/>
      <c r="E123" s="28"/>
      <c r="F123" s="28"/>
      <c r="G123" s="80"/>
    </row>
    <row r="124" spans="1:7" ht="17.25" hidden="1" customHeight="1" x14ac:dyDescent="0.3">
      <c r="A124" s="25"/>
      <c r="B124" s="26"/>
      <c r="C124" s="25"/>
      <c r="D124" s="27"/>
      <c r="E124" s="28"/>
      <c r="F124" s="28"/>
      <c r="G124" s="80"/>
    </row>
    <row r="125" spans="1:7" ht="17.25" hidden="1" customHeight="1" x14ac:dyDescent="0.3">
      <c r="A125" s="25"/>
      <c r="B125" s="26"/>
      <c r="C125" s="25"/>
      <c r="D125" s="27"/>
      <c r="E125" s="28"/>
      <c r="F125" s="28"/>
      <c r="G125" s="80"/>
    </row>
    <row r="126" spans="1:7" ht="17.25" hidden="1" customHeight="1" x14ac:dyDescent="0.3">
      <c r="A126" s="25"/>
      <c r="B126" s="26"/>
      <c r="C126" s="25"/>
      <c r="D126" s="27"/>
      <c r="E126" s="28"/>
      <c r="F126" s="28"/>
      <c r="G126" s="80"/>
    </row>
    <row r="127" spans="1:7" ht="17.25" hidden="1" customHeight="1" x14ac:dyDescent="0.3">
      <c r="A127" s="25"/>
      <c r="B127" s="26"/>
      <c r="C127" s="25"/>
      <c r="D127" s="27"/>
      <c r="E127" s="28"/>
      <c r="F127" s="28"/>
      <c r="G127" s="80"/>
    </row>
    <row r="128" spans="1:7" ht="17.25" hidden="1" customHeight="1" x14ac:dyDescent="0.3">
      <c r="A128" s="25"/>
      <c r="B128" s="26"/>
      <c r="C128" s="25"/>
      <c r="D128" s="27"/>
      <c r="E128" s="28"/>
      <c r="F128" s="28"/>
      <c r="G128" s="80"/>
    </row>
    <row r="129" spans="1:7" ht="17.25" hidden="1" customHeight="1" x14ac:dyDescent="0.3">
      <c r="A129" s="25"/>
      <c r="B129" s="26"/>
      <c r="C129" s="25"/>
      <c r="D129" s="27"/>
      <c r="E129" s="28"/>
      <c r="F129" s="28"/>
      <c r="G129" s="80"/>
    </row>
    <row r="130" spans="1:7" ht="17.25" hidden="1" customHeight="1" x14ac:dyDescent="0.3">
      <c r="A130" s="25"/>
      <c r="B130" s="26"/>
      <c r="C130" s="25"/>
      <c r="D130" s="27"/>
      <c r="E130" s="28"/>
      <c r="F130" s="28"/>
      <c r="G130" s="80"/>
    </row>
    <row r="131" spans="1:7" ht="17.25" hidden="1" customHeight="1" x14ac:dyDescent="0.3">
      <c r="A131" s="25"/>
      <c r="B131" s="26"/>
      <c r="C131" s="25"/>
      <c r="D131" s="27"/>
      <c r="E131" s="28"/>
      <c r="F131" s="28"/>
      <c r="G131" s="80"/>
    </row>
    <row r="132" spans="1:7" ht="17.25" hidden="1" customHeight="1" x14ac:dyDescent="0.3">
      <c r="A132" s="25"/>
      <c r="B132" s="26"/>
      <c r="C132" s="25"/>
      <c r="D132" s="27"/>
      <c r="E132" s="28"/>
      <c r="F132" s="28"/>
      <c r="G132" s="80"/>
    </row>
    <row r="133" spans="1:7" ht="17.25" hidden="1" customHeight="1" x14ac:dyDescent="0.3">
      <c r="A133" s="25"/>
      <c r="B133" s="26"/>
      <c r="C133" s="25"/>
      <c r="D133" s="27"/>
      <c r="E133" s="28"/>
      <c r="F133" s="28"/>
      <c r="G133" s="80"/>
    </row>
    <row r="134" spans="1:7" ht="17.25" hidden="1" customHeight="1" x14ac:dyDescent="0.3">
      <c r="A134" s="25"/>
      <c r="B134" s="26"/>
      <c r="C134" s="25"/>
      <c r="D134" s="27"/>
      <c r="E134" s="28"/>
      <c r="F134" s="28"/>
      <c r="G134" s="80"/>
    </row>
    <row r="135" spans="1:7" ht="17.25" hidden="1" customHeight="1" x14ac:dyDescent="0.3">
      <c r="A135" s="25"/>
      <c r="B135" s="26"/>
      <c r="C135" s="25"/>
      <c r="D135" s="27"/>
      <c r="E135" s="28"/>
      <c r="F135" s="28"/>
      <c r="G135" s="80"/>
    </row>
    <row r="136" spans="1:7" ht="17.25" hidden="1" customHeight="1" x14ac:dyDescent="0.3">
      <c r="A136" s="25"/>
      <c r="B136" s="26"/>
      <c r="C136" s="25"/>
      <c r="D136" s="27"/>
      <c r="E136" s="28"/>
      <c r="F136" s="28"/>
      <c r="G136" s="80"/>
    </row>
    <row r="137" spans="1:7" ht="17.25" hidden="1" customHeight="1" x14ac:dyDescent="0.3">
      <c r="A137" s="25"/>
      <c r="B137" s="26"/>
      <c r="C137" s="25"/>
      <c r="D137" s="27"/>
      <c r="E137" s="28"/>
      <c r="F137" s="28"/>
      <c r="G137" s="80"/>
    </row>
    <row r="138" spans="1:7" ht="17.25" hidden="1" customHeight="1" x14ac:dyDescent="0.3">
      <c r="A138" s="25"/>
      <c r="B138" s="26"/>
      <c r="C138" s="25"/>
      <c r="D138" s="27"/>
      <c r="E138" s="28"/>
      <c r="F138" s="28"/>
      <c r="G138" s="80"/>
    </row>
    <row r="139" spans="1:7" ht="17.25" hidden="1" customHeight="1" x14ac:dyDescent="0.3">
      <c r="A139" s="25"/>
      <c r="B139" s="26"/>
      <c r="C139" s="25"/>
      <c r="D139" s="27"/>
      <c r="E139" s="28"/>
      <c r="F139" s="28"/>
      <c r="G139" s="80"/>
    </row>
    <row r="140" spans="1:7" ht="17.25" hidden="1" customHeight="1" x14ac:dyDescent="0.3">
      <c r="A140" s="25"/>
      <c r="B140" s="26"/>
      <c r="C140" s="25"/>
      <c r="D140" s="27"/>
      <c r="E140" s="28"/>
      <c r="F140" s="28"/>
      <c r="G140" s="80"/>
    </row>
    <row r="141" spans="1:7" ht="17.25" hidden="1" customHeight="1" x14ac:dyDescent="0.3">
      <c r="A141" s="25"/>
      <c r="B141" s="26"/>
      <c r="C141" s="25"/>
      <c r="D141" s="27"/>
      <c r="E141" s="28"/>
      <c r="F141" s="28"/>
      <c r="G141" s="80"/>
    </row>
    <row r="142" spans="1:7" ht="17.25" hidden="1" customHeight="1" x14ac:dyDescent="0.3">
      <c r="A142" s="25"/>
      <c r="B142" s="26"/>
      <c r="C142" s="25"/>
      <c r="D142" s="27"/>
      <c r="E142" s="28"/>
      <c r="F142" s="28"/>
      <c r="G142" s="80"/>
    </row>
    <row r="143" spans="1:7" ht="17.25" hidden="1" customHeight="1" x14ac:dyDescent="0.3">
      <c r="A143" s="25"/>
      <c r="B143" s="26"/>
      <c r="C143" s="25"/>
      <c r="D143" s="27"/>
      <c r="E143" s="28"/>
      <c r="F143" s="28"/>
      <c r="G143" s="80"/>
    </row>
    <row r="144" spans="1:7" ht="17.25" hidden="1" customHeight="1" x14ac:dyDescent="0.3">
      <c r="A144" s="25"/>
      <c r="B144" s="26"/>
      <c r="C144" s="25"/>
      <c r="D144" s="27"/>
      <c r="E144" s="28"/>
      <c r="F144" s="28"/>
      <c r="G144" s="80"/>
    </row>
    <row r="145" spans="1:7" ht="17.25" hidden="1" customHeight="1" x14ac:dyDescent="0.3">
      <c r="A145" s="25"/>
      <c r="B145" s="26"/>
      <c r="C145" s="25"/>
      <c r="D145" s="27"/>
      <c r="E145" s="28"/>
      <c r="F145" s="28"/>
      <c r="G145" s="80"/>
    </row>
    <row r="146" spans="1:7" ht="17.25" hidden="1" customHeight="1" x14ac:dyDescent="0.3">
      <c r="A146" s="25"/>
      <c r="B146" s="26"/>
      <c r="C146" s="25"/>
      <c r="D146" s="27"/>
      <c r="E146" s="28"/>
      <c r="F146" s="28"/>
      <c r="G146" s="80"/>
    </row>
    <row r="147" spans="1:7" ht="17.25" hidden="1" customHeight="1" x14ac:dyDescent="0.3">
      <c r="A147" s="25"/>
      <c r="B147" s="26"/>
      <c r="C147" s="25"/>
      <c r="D147" s="27"/>
      <c r="E147" s="28"/>
      <c r="F147" s="28"/>
      <c r="G147" s="80"/>
    </row>
    <row r="148" spans="1:7" ht="17.25" hidden="1" customHeight="1" x14ac:dyDescent="0.3">
      <c r="A148" s="25"/>
      <c r="B148" s="26"/>
      <c r="C148" s="25"/>
      <c r="D148" s="27"/>
      <c r="E148" s="28"/>
      <c r="F148" s="28"/>
      <c r="G148" s="80"/>
    </row>
    <row r="149" spans="1:7" ht="17.25" hidden="1" customHeight="1" x14ac:dyDescent="0.3">
      <c r="A149" s="25"/>
      <c r="B149" s="26"/>
      <c r="C149" s="25"/>
      <c r="D149" s="27"/>
      <c r="E149" s="28"/>
      <c r="F149" s="28"/>
      <c r="G149" s="80"/>
    </row>
    <row r="150" spans="1:7" ht="17.25" hidden="1" customHeight="1" x14ac:dyDescent="0.3">
      <c r="A150" s="25"/>
      <c r="B150" s="26"/>
      <c r="C150" s="25"/>
      <c r="D150" s="27"/>
      <c r="E150" s="28"/>
      <c r="F150" s="28"/>
      <c r="G150" s="80"/>
    </row>
    <row r="151" spans="1:7" ht="17.25" hidden="1" customHeight="1" x14ac:dyDescent="0.3">
      <c r="A151" s="25"/>
      <c r="B151" s="26"/>
      <c r="C151" s="25"/>
      <c r="D151" s="27"/>
      <c r="E151" s="28"/>
      <c r="F151" s="28"/>
      <c r="G151" s="80"/>
    </row>
    <row r="152" spans="1:7" ht="17.25" hidden="1" customHeight="1" x14ac:dyDescent="0.3">
      <c r="A152" s="25"/>
      <c r="B152" s="26"/>
      <c r="C152" s="25"/>
      <c r="D152" s="27"/>
      <c r="E152" s="28"/>
      <c r="F152" s="28"/>
      <c r="G152" s="80"/>
    </row>
    <row r="153" spans="1:7" ht="17.25" hidden="1" customHeight="1" x14ac:dyDescent="0.3">
      <c r="A153" s="25"/>
      <c r="B153" s="26"/>
      <c r="C153" s="25"/>
      <c r="D153" s="27"/>
      <c r="E153" s="28"/>
      <c r="F153" s="28"/>
      <c r="G153" s="80"/>
    </row>
    <row r="154" spans="1:7" ht="17.25" hidden="1" customHeight="1" x14ac:dyDescent="0.3">
      <c r="A154" s="25"/>
      <c r="B154" s="26"/>
      <c r="C154" s="25"/>
      <c r="D154" s="27"/>
      <c r="E154" s="28"/>
      <c r="F154" s="28"/>
      <c r="G154" s="80"/>
    </row>
    <row r="155" spans="1:7" ht="17.25" hidden="1" customHeight="1" x14ac:dyDescent="0.3">
      <c r="A155" s="25"/>
      <c r="B155" s="26"/>
      <c r="C155" s="25"/>
      <c r="D155" s="27"/>
      <c r="E155" s="28"/>
      <c r="F155" s="28"/>
      <c r="G155" s="80"/>
    </row>
    <row r="156" spans="1:7" ht="17.25" hidden="1" customHeight="1" x14ac:dyDescent="0.3">
      <c r="A156" s="25"/>
      <c r="B156" s="26"/>
      <c r="C156" s="25"/>
      <c r="D156" s="27"/>
      <c r="E156" s="28"/>
      <c r="F156" s="28"/>
      <c r="G156" s="80"/>
    </row>
    <row r="157" spans="1:7" ht="17.25" hidden="1" customHeight="1" x14ac:dyDescent="0.3">
      <c r="A157" s="25"/>
      <c r="B157" s="26"/>
      <c r="C157" s="25"/>
      <c r="D157" s="27"/>
      <c r="E157" s="28"/>
      <c r="F157" s="28"/>
      <c r="G157" s="80"/>
    </row>
    <row r="158" spans="1:7" ht="17.25" hidden="1" customHeight="1" x14ac:dyDescent="0.3">
      <c r="A158" s="25"/>
      <c r="B158" s="26"/>
      <c r="C158" s="25"/>
      <c r="D158" s="27"/>
      <c r="E158" s="28"/>
      <c r="F158" s="28"/>
      <c r="G158" s="80"/>
    </row>
    <row r="159" spans="1:7" ht="17.25" hidden="1" customHeight="1" x14ac:dyDescent="0.3">
      <c r="A159" s="25"/>
      <c r="B159" s="26"/>
      <c r="C159" s="25"/>
      <c r="D159" s="27"/>
      <c r="E159" s="28"/>
      <c r="F159" s="28"/>
      <c r="G159" s="80"/>
    </row>
    <row r="160" spans="1:7" ht="17.25" hidden="1" customHeight="1" x14ac:dyDescent="0.3">
      <c r="A160" s="25"/>
      <c r="B160" s="26"/>
      <c r="C160" s="25"/>
      <c r="D160" s="27"/>
      <c r="E160" s="28"/>
      <c r="F160" s="28"/>
      <c r="G160" s="80"/>
    </row>
    <row r="161" spans="1:7" ht="17.25" hidden="1" customHeight="1" x14ac:dyDescent="0.3">
      <c r="A161" s="25"/>
      <c r="B161" s="26"/>
      <c r="C161" s="25"/>
      <c r="D161" s="27"/>
      <c r="E161" s="28"/>
      <c r="F161" s="28"/>
      <c r="G161" s="80"/>
    </row>
    <row r="162" spans="1:7" ht="17.25" hidden="1" customHeight="1" x14ac:dyDescent="0.3">
      <c r="A162" s="25"/>
      <c r="B162" s="26"/>
      <c r="C162" s="25"/>
      <c r="D162" s="27"/>
      <c r="E162" s="28"/>
      <c r="F162" s="28"/>
      <c r="G162" s="80"/>
    </row>
    <row r="163" spans="1:7" ht="17.25" hidden="1" customHeight="1" x14ac:dyDescent="0.3">
      <c r="A163" s="25"/>
      <c r="B163" s="26"/>
      <c r="C163" s="25"/>
      <c r="D163" s="27"/>
      <c r="E163" s="28"/>
      <c r="F163" s="28"/>
      <c r="G163" s="80"/>
    </row>
    <row r="164" spans="1:7" ht="17.25" hidden="1" customHeight="1" x14ac:dyDescent="0.3">
      <c r="A164" s="25"/>
      <c r="B164" s="26"/>
      <c r="C164" s="25"/>
      <c r="D164" s="27"/>
      <c r="E164" s="28"/>
      <c r="F164" s="28"/>
      <c r="G164" s="80"/>
    </row>
    <row r="165" spans="1:7" ht="17.25" hidden="1" customHeight="1" x14ac:dyDescent="0.3">
      <c r="A165" s="25"/>
      <c r="B165" s="26"/>
      <c r="C165" s="25"/>
      <c r="D165" s="27"/>
      <c r="E165" s="28"/>
      <c r="F165" s="28"/>
      <c r="G165" s="80"/>
    </row>
    <row r="166" spans="1:7" ht="17.25" hidden="1" customHeight="1" x14ac:dyDescent="0.3">
      <c r="A166" s="25"/>
      <c r="B166" s="26"/>
      <c r="C166" s="25"/>
      <c r="D166" s="27"/>
      <c r="E166" s="28"/>
      <c r="F166" s="28"/>
      <c r="G166" s="80"/>
    </row>
    <row r="167" spans="1:7" ht="17.25" hidden="1" customHeight="1" x14ac:dyDescent="0.3">
      <c r="A167" s="25"/>
      <c r="B167" s="26"/>
      <c r="C167" s="25"/>
      <c r="D167" s="27"/>
      <c r="E167" s="28"/>
      <c r="F167" s="28"/>
      <c r="G167" s="80"/>
    </row>
    <row r="168" spans="1:7" ht="17.25" hidden="1" customHeight="1" x14ac:dyDescent="0.3">
      <c r="A168" s="25"/>
      <c r="B168" s="26"/>
      <c r="C168" s="25"/>
      <c r="D168" s="27"/>
      <c r="E168" s="28"/>
      <c r="F168" s="28"/>
      <c r="G168" s="80"/>
    </row>
    <row r="169" spans="1:7" ht="17.25" hidden="1" customHeight="1" x14ac:dyDescent="0.3">
      <c r="A169" s="25"/>
      <c r="B169" s="26"/>
      <c r="C169" s="25"/>
      <c r="D169" s="27"/>
      <c r="E169" s="28"/>
      <c r="F169" s="28"/>
      <c r="G169" s="80"/>
    </row>
    <row r="170" spans="1:7" ht="17.25" hidden="1" customHeight="1" x14ac:dyDescent="0.3">
      <c r="A170" s="25"/>
      <c r="B170" s="26"/>
      <c r="C170" s="25"/>
      <c r="D170" s="27"/>
      <c r="E170" s="28"/>
      <c r="F170" s="28"/>
      <c r="G170" s="80"/>
    </row>
    <row r="171" spans="1:7" ht="17.25" hidden="1" customHeight="1" x14ac:dyDescent="0.3">
      <c r="A171" s="25"/>
      <c r="B171" s="26"/>
      <c r="C171" s="25"/>
      <c r="D171" s="27"/>
      <c r="E171" s="28"/>
      <c r="F171" s="28"/>
      <c r="G171" s="80"/>
    </row>
    <row r="172" spans="1:7" ht="17.25" hidden="1" customHeight="1" x14ac:dyDescent="0.3">
      <c r="A172" s="25"/>
      <c r="B172" s="26"/>
      <c r="C172" s="25"/>
      <c r="D172" s="27"/>
      <c r="E172" s="28"/>
      <c r="F172" s="28"/>
      <c r="G172" s="80"/>
    </row>
    <row r="173" spans="1:7" ht="17.25" hidden="1" customHeight="1" x14ac:dyDescent="0.3">
      <c r="A173" s="25"/>
      <c r="B173" s="26"/>
      <c r="C173" s="25"/>
      <c r="D173" s="27"/>
      <c r="E173" s="28"/>
      <c r="F173" s="28"/>
      <c r="G173" s="80"/>
    </row>
    <row r="174" spans="1:7" ht="17.25" hidden="1" customHeight="1" x14ac:dyDescent="0.3">
      <c r="A174" s="25"/>
      <c r="B174" s="26"/>
      <c r="C174" s="25"/>
      <c r="D174" s="27"/>
      <c r="E174" s="28"/>
      <c r="F174" s="28"/>
      <c r="G174" s="80"/>
    </row>
    <row r="175" spans="1:7" ht="17.25" hidden="1" customHeight="1" x14ac:dyDescent="0.3">
      <c r="A175" s="25"/>
      <c r="B175" s="26"/>
      <c r="C175" s="25"/>
      <c r="D175" s="27"/>
      <c r="E175" s="28"/>
      <c r="F175" s="28"/>
      <c r="G175" s="80"/>
    </row>
    <row r="176" spans="1:7" ht="17.25" hidden="1" customHeight="1" x14ac:dyDescent="0.3">
      <c r="A176" s="25"/>
      <c r="B176" s="26"/>
      <c r="C176" s="25"/>
      <c r="D176" s="27"/>
      <c r="E176" s="28"/>
      <c r="F176" s="28"/>
      <c r="G176" s="80"/>
    </row>
    <row r="177" spans="1:7" ht="17.25" hidden="1" customHeight="1" x14ac:dyDescent="0.3">
      <c r="A177" s="25"/>
      <c r="B177" s="26"/>
      <c r="C177" s="25"/>
      <c r="D177" s="27"/>
      <c r="E177" s="28"/>
      <c r="F177" s="28"/>
      <c r="G177" s="80"/>
    </row>
    <row r="178" spans="1:7" ht="17.25" hidden="1" customHeight="1" x14ac:dyDescent="0.3">
      <c r="A178" s="25"/>
      <c r="B178" s="26"/>
      <c r="C178" s="25"/>
      <c r="D178" s="27"/>
      <c r="E178" s="28"/>
      <c r="F178" s="28"/>
      <c r="G178" s="80"/>
    </row>
    <row r="179" spans="1:7" ht="17.25" hidden="1" customHeight="1" x14ac:dyDescent="0.3">
      <c r="A179" s="25"/>
      <c r="B179" s="26"/>
      <c r="C179" s="25"/>
      <c r="D179" s="27"/>
      <c r="E179" s="28"/>
      <c r="F179" s="28"/>
      <c r="G179" s="80"/>
    </row>
    <row r="180" spans="1:7" ht="17.25" hidden="1" customHeight="1" x14ac:dyDescent="0.3">
      <c r="A180" s="25"/>
      <c r="B180" s="26"/>
      <c r="C180" s="25"/>
      <c r="D180" s="27"/>
      <c r="E180" s="28"/>
      <c r="F180" s="28"/>
      <c r="G180" s="80"/>
    </row>
    <row r="181" spans="1:7" ht="17.25" hidden="1" customHeight="1" x14ac:dyDescent="0.3">
      <c r="A181" s="25"/>
      <c r="B181" s="26"/>
      <c r="C181" s="25"/>
      <c r="D181" s="27"/>
      <c r="E181" s="28"/>
      <c r="F181" s="28"/>
      <c r="G181" s="80"/>
    </row>
    <row r="182" spans="1:7" ht="17.25" hidden="1" customHeight="1" x14ac:dyDescent="0.3">
      <c r="A182" s="25"/>
      <c r="B182" s="26"/>
      <c r="C182" s="25"/>
      <c r="D182" s="27"/>
      <c r="E182" s="28"/>
      <c r="F182" s="28"/>
      <c r="G182" s="80"/>
    </row>
    <row r="183" spans="1:7" ht="17.25" hidden="1" customHeight="1" x14ac:dyDescent="0.3">
      <c r="A183" s="25"/>
      <c r="B183" s="26"/>
      <c r="C183" s="25"/>
      <c r="D183" s="27"/>
      <c r="E183" s="28"/>
      <c r="F183" s="28"/>
      <c r="G183" s="80"/>
    </row>
    <row r="184" spans="1:7" ht="17.25" hidden="1" customHeight="1" x14ac:dyDescent="0.3">
      <c r="A184" s="25"/>
      <c r="B184" s="26"/>
      <c r="C184" s="25"/>
      <c r="D184" s="27"/>
      <c r="E184" s="28"/>
      <c r="F184" s="28"/>
      <c r="G184" s="80"/>
    </row>
    <row r="185" spans="1:7" ht="17.25" hidden="1" customHeight="1" x14ac:dyDescent="0.3">
      <c r="A185" s="25"/>
      <c r="B185" s="26"/>
      <c r="C185" s="25"/>
      <c r="D185" s="27"/>
      <c r="E185" s="28"/>
      <c r="F185" s="28"/>
      <c r="G185" s="80"/>
    </row>
    <row r="186" spans="1:7" ht="17.25" hidden="1" customHeight="1" x14ac:dyDescent="0.3">
      <c r="A186" s="25"/>
      <c r="B186" s="26"/>
      <c r="C186" s="25"/>
      <c r="D186" s="27"/>
      <c r="E186" s="28"/>
      <c r="F186" s="28"/>
      <c r="G186" s="80"/>
    </row>
    <row r="187" spans="1:7" ht="17.25" hidden="1" customHeight="1" x14ac:dyDescent="0.3">
      <c r="A187" s="25"/>
      <c r="B187" s="26"/>
      <c r="C187" s="25"/>
      <c r="D187" s="27"/>
      <c r="E187" s="28"/>
      <c r="F187" s="28"/>
      <c r="G187" s="80"/>
    </row>
    <row r="188" spans="1:7" ht="17.25" hidden="1" customHeight="1" x14ac:dyDescent="0.3">
      <c r="A188" s="25"/>
      <c r="B188" s="26"/>
      <c r="C188" s="25"/>
      <c r="D188" s="27"/>
      <c r="E188" s="28"/>
      <c r="F188" s="28"/>
      <c r="G188" s="80"/>
    </row>
    <row r="189" spans="1:7" ht="17.25" hidden="1" customHeight="1" x14ac:dyDescent="0.3">
      <c r="A189" s="25"/>
      <c r="B189" s="26"/>
      <c r="C189" s="25"/>
      <c r="D189" s="27"/>
      <c r="E189" s="28"/>
      <c r="F189" s="28"/>
      <c r="G189" s="80"/>
    </row>
    <row r="190" spans="1:7" ht="17.25" hidden="1" customHeight="1" x14ac:dyDescent="0.3">
      <c r="A190" s="25"/>
      <c r="B190" s="26"/>
      <c r="C190" s="25"/>
      <c r="D190" s="27"/>
      <c r="E190" s="28"/>
      <c r="F190" s="28"/>
      <c r="G190" s="80"/>
    </row>
    <row r="191" spans="1:7" ht="17.25" hidden="1" customHeight="1" x14ac:dyDescent="0.3">
      <c r="A191" s="25"/>
      <c r="B191" s="26"/>
      <c r="C191" s="25"/>
      <c r="D191" s="27"/>
      <c r="E191" s="28"/>
      <c r="F191" s="28"/>
      <c r="G191" s="80"/>
    </row>
    <row r="192" spans="1:7" ht="17.25" hidden="1" customHeight="1" x14ac:dyDescent="0.3">
      <c r="A192" s="25"/>
      <c r="B192" s="26"/>
      <c r="C192" s="25"/>
      <c r="D192" s="27"/>
      <c r="E192" s="28"/>
      <c r="F192" s="28"/>
      <c r="G192" s="80"/>
    </row>
    <row r="193" spans="1:7" ht="17.25" hidden="1" customHeight="1" x14ac:dyDescent="0.3">
      <c r="A193" s="25"/>
      <c r="B193" s="26"/>
      <c r="C193" s="25"/>
      <c r="D193" s="27"/>
      <c r="E193" s="28"/>
      <c r="F193" s="28"/>
      <c r="G193" s="80"/>
    </row>
    <row r="194" spans="1:7" ht="17.25" hidden="1" customHeight="1" x14ac:dyDescent="0.3">
      <c r="A194" s="25"/>
      <c r="B194" s="26"/>
      <c r="C194" s="25"/>
      <c r="D194" s="27"/>
      <c r="E194" s="28"/>
      <c r="F194" s="28"/>
      <c r="G194" s="80"/>
    </row>
    <row r="195" spans="1:7" ht="17.25" hidden="1" customHeight="1" x14ac:dyDescent="0.3">
      <c r="A195" s="25"/>
      <c r="B195" s="26"/>
      <c r="C195" s="25"/>
      <c r="D195" s="27"/>
      <c r="E195" s="28"/>
      <c r="F195" s="28"/>
      <c r="G195" s="80"/>
    </row>
    <row r="196" spans="1:7" ht="17.25" hidden="1" customHeight="1" x14ac:dyDescent="0.3">
      <c r="A196" s="25"/>
      <c r="B196" s="26"/>
      <c r="C196" s="25"/>
      <c r="D196" s="27"/>
      <c r="E196" s="28"/>
      <c r="F196" s="28"/>
      <c r="G196" s="80"/>
    </row>
    <row r="197" spans="1:7" ht="17.25" hidden="1" customHeight="1" x14ac:dyDescent="0.3">
      <c r="A197" s="25"/>
      <c r="B197" s="26"/>
      <c r="C197" s="25"/>
      <c r="D197" s="27"/>
      <c r="E197" s="28"/>
      <c r="F197" s="28"/>
      <c r="G197" s="80"/>
    </row>
    <row r="198" spans="1:7" ht="17.25" hidden="1" customHeight="1" x14ac:dyDescent="0.3">
      <c r="A198" s="25"/>
      <c r="B198" s="26"/>
      <c r="C198" s="25"/>
      <c r="D198" s="27"/>
      <c r="E198" s="28"/>
      <c r="F198" s="28"/>
      <c r="G198" s="80"/>
    </row>
    <row r="199" spans="1:7" ht="17.25" hidden="1" customHeight="1" x14ac:dyDescent="0.3">
      <c r="A199" s="25"/>
      <c r="B199" s="26"/>
      <c r="C199" s="25"/>
      <c r="D199" s="27"/>
      <c r="E199" s="28"/>
      <c r="F199" s="28"/>
      <c r="G199" s="80"/>
    </row>
    <row r="200" spans="1:7" ht="17.25" hidden="1" customHeight="1" x14ac:dyDescent="0.3">
      <c r="A200" s="25"/>
      <c r="B200" s="26"/>
      <c r="C200" s="25"/>
      <c r="D200" s="27"/>
      <c r="E200" s="28"/>
      <c r="F200" s="28"/>
      <c r="G200" s="80"/>
    </row>
    <row r="201" spans="1:7" ht="17.25" hidden="1" customHeight="1" x14ac:dyDescent="0.3">
      <c r="A201" s="25"/>
      <c r="B201" s="26"/>
      <c r="C201" s="25"/>
      <c r="D201" s="27"/>
      <c r="E201" s="28"/>
      <c r="F201" s="28"/>
      <c r="G201" s="80"/>
    </row>
    <row r="202" spans="1:7" ht="17.25" hidden="1" customHeight="1" x14ac:dyDescent="0.3">
      <c r="A202" s="25"/>
      <c r="B202" s="26"/>
      <c r="C202" s="25"/>
      <c r="D202" s="27"/>
      <c r="E202" s="28"/>
      <c r="F202" s="28"/>
      <c r="G202" s="80"/>
    </row>
    <row r="203" spans="1:7" ht="17.25" hidden="1" customHeight="1" x14ac:dyDescent="0.3">
      <c r="A203" s="25"/>
      <c r="B203" s="26"/>
      <c r="C203" s="25"/>
      <c r="D203" s="27"/>
      <c r="E203" s="28"/>
      <c r="F203" s="28"/>
      <c r="G203" s="80"/>
    </row>
    <row r="204" spans="1:7" ht="17.25" hidden="1" customHeight="1" x14ac:dyDescent="0.3">
      <c r="A204" s="25"/>
      <c r="B204" s="26"/>
      <c r="C204" s="25"/>
      <c r="D204" s="27"/>
      <c r="E204" s="28"/>
      <c r="F204" s="28"/>
      <c r="G204" s="80"/>
    </row>
    <row r="205" spans="1:7" ht="17.25" hidden="1" customHeight="1" x14ac:dyDescent="0.3">
      <c r="A205" s="25"/>
      <c r="B205" s="26"/>
      <c r="C205" s="25"/>
      <c r="D205" s="27"/>
      <c r="E205" s="28"/>
      <c r="F205" s="28"/>
      <c r="G205" s="80"/>
    </row>
    <row r="206" spans="1:7" ht="17.25" hidden="1" customHeight="1" x14ac:dyDescent="0.3">
      <c r="A206" s="25"/>
      <c r="B206" s="26"/>
      <c r="C206" s="25"/>
      <c r="D206" s="27"/>
      <c r="E206" s="28"/>
      <c r="F206" s="28"/>
      <c r="G206" s="80"/>
    </row>
    <row r="207" spans="1:7" ht="17.25" hidden="1" customHeight="1" x14ac:dyDescent="0.3">
      <c r="A207" s="25"/>
      <c r="B207" s="26"/>
      <c r="C207" s="25"/>
      <c r="D207" s="27"/>
      <c r="E207" s="28"/>
      <c r="F207" s="28"/>
      <c r="G207" s="80"/>
    </row>
    <row r="208" spans="1:7" ht="17.25" hidden="1" customHeight="1" x14ac:dyDescent="0.3">
      <c r="A208" s="25"/>
      <c r="B208" s="26"/>
      <c r="C208" s="25"/>
      <c r="D208" s="27"/>
      <c r="E208" s="28"/>
      <c r="F208" s="28"/>
      <c r="G208" s="80"/>
    </row>
    <row r="209" spans="1:7" ht="17.25" hidden="1" customHeight="1" x14ac:dyDescent="0.3">
      <c r="A209" s="25"/>
      <c r="B209" s="26"/>
      <c r="C209" s="25"/>
      <c r="D209" s="27"/>
      <c r="E209" s="28"/>
      <c r="F209" s="28"/>
      <c r="G209" s="80"/>
    </row>
    <row r="210" spans="1:7" ht="17.25" hidden="1" customHeight="1" x14ac:dyDescent="0.3">
      <c r="A210" s="25"/>
      <c r="B210" s="26"/>
      <c r="C210" s="25"/>
      <c r="D210" s="27"/>
      <c r="E210" s="28"/>
      <c r="F210" s="28"/>
      <c r="G210" s="80"/>
    </row>
    <row r="211" spans="1:7" ht="17.25" hidden="1" customHeight="1" x14ac:dyDescent="0.3">
      <c r="A211" s="25"/>
      <c r="B211" s="26"/>
      <c r="C211" s="25"/>
      <c r="D211" s="27"/>
      <c r="E211" s="28"/>
      <c r="F211" s="28"/>
      <c r="G211" s="80"/>
    </row>
    <row r="212" spans="1:7" ht="17.25" hidden="1" customHeight="1" x14ac:dyDescent="0.3">
      <c r="A212" s="25"/>
      <c r="B212" s="26"/>
      <c r="C212" s="25"/>
      <c r="D212" s="27"/>
      <c r="E212" s="28"/>
      <c r="F212" s="28"/>
      <c r="G212" s="80"/>
    </row>
    <row r="213" spans="1:7" ht="17.25" hidden="1" customHeight="1" x14ac:dyDescent="0.3">
      <c r="A213" s="25"/>
      <c r="B213" s="26"/>
      <c r="C213" s="25"/>
      <c r="D213" s="27"/>
      <c r="E213" s="28"/>
      <c r="F213" s="28"/>
      <c r="G213" s="80"/>
    </row>
    <row r="214" spans="1:7" ht="17.25" hidden="1" customHeight="1" x14ac:dyDescent="0.3">
      <c r="A214" s="25"/>
      <c r="B214" s="26"/>
      <c r="C214" s="25"/>
      <c r="D214" s="27"/>
      <c r="E214" s="28"/>
      <c r="F214" s="28"/>
      <c r="G214" s="80"/>
    </row>
    <row r="215" spans="1:7" ht="17.25" hidden="1" customHeight="1" x14ac:dyDescent="0.3">
      <c r="A215" s="25"/>
      <c r="B215" s="26"/>
      <c r="C215" s="25"/>
      <c r="D215" s="27"/>
      <c r="E215" s="28"/>
      <c r="F215" s="28"/>
      <c r="G215" s="80"/>
    </row>
    <row r="216" spans="1:7" ht="17.25" hidden="1" customHeight="1" x14ac:dyDescent="0.3">
      <c r="A216" s="25"/>
      <c r="B216" s="26"/>
      <c r="C216" s="25"/>
      <c r="D216" s="27"/>
      <c r="E216" s="28"/>
      <c r="F216" s="28"/>
      <c r="G216" s="80"/>
    </row>
    <row r="217" spans="1:7" ht="17.25" hidden="1" customHeight="1" x14ac:dyDescent="0.3">
      <c r="A217" s="25"/>
      <c r="B217" s="26"/>
      <c r="C217" s="25"/>
      <c r="D217" s="27"/>
      <c r="E217" s="28"/>
      <c r="F217" s="28"/>
      <c r="G217" s="80"/>
    </row>
    <row r="218" spans="1:7" ht="17.25" hidden="1" customHeight="1" x14ac:dyDescent="0.3">
      <c r="A218" s="25"/>
      <c r="B218" s="26"/>
      <c r="C218" s="25"/>
      <c r="D218" s="27"/>
      <c r="E218" s="28"/>
      <c r="F218" s="28"/>
      <c r="G218" s="80"/>
    </row>
    <row r="219" spans="1:7" ht="17.25" hidden="1" customHeight="1" x14ac:dyDescent="0.3">
      <c r="A219" s="25"/>
      <c r="B219" s="26"/>
      <c r="C219" s="25"/>
      <c r="D219" s="27"/>
      <c r="E219" s="28"/>
      <c r="F219" s="28"/>
      <c r="G219" s="80"/>
    </row>
    <row r="220" spans="1:7" ht="17.25" hidden="1" customHeight="1" x14ac:dyDescent="0.3">
      <c r="A220" s="25"/>
      <c r="B220" s="26"/>
      <c r="C220" s="25"/>
      <c r="D220" s="27"/>
      <c r="E220" s="28"/>
      <c r="F220" s="28"/>
      <c r="G220" s="80"/>
    </row>
    <row r="221" spans="1:7" ht="17.25" hidden="1" customHeight="1" x14ac:dyDescent="0.3">
      <c r="A221" s="25"/>
      <c r="B221" s="26"/>
      <c r="C221" s="25"/>
      <c r="D221" s="27"/>
      <c r="E221" s="28"/>
      <c r="F221" s="28"/>
      <c r="G221" s="80"/>
    </row>
    <row r="222" spans="1:7" ht="17.25" hidden="1" customHeight="1" x14ac:dyDescent="0.3">
      <c r="A222" s="25"/>
      <c r="B222" s="26"/>
      <c r="C222" s="25"/>
      <c r="D222" s="27"/>
      <c r="E222" s="28"/>
      <c r="F222" s="28"/>
      <c r="G222" s="80"/>
    </row>
    <row r="223" spans="1:7" ht="17.25" hidden="1" customHeight="1" x14ac:dyDescent="0.3">
      <c r="A223" s="25"/>
      <c r="B223" s="26"/>
      <c r="C223" s="25"/>
      <c r="D223" s="27"/>
      <c r="E223" s="28"/>
      <c r="F223" s="28"/>
      <c r="G223" s="80"/>
    </row>
    <row r="224" spans="1:7" ht="17.25" hidden="1" customHeight="1" x14ac:dyDescent="0.3">
      <c r="A224" s="25"/>
      <c r="B224" s="26"/>
      <c r="C224" s="25"/>
      <c r="D224" s="27"/>
      <c r="E224" s="28"/>
      <c r="F224" s="28"/>
      <c r="G224" s="80"/>
    </row>
    <row r="225" spans="1:7" ht="17.25" hidden="1" customHeight="1" x14ac:dyDescent="0.3">
      <c r="A225" s="25"/>
      <c r="B225" s="26"/>
      <c r="C225" s="25"/>
      <c r="D225" s="27"/>
      <c r="E225" s="28"/>
      <c r="F225" s="28"/>
      <c r="G225" s="80"/>
    </row>
    <row r="226" spans="1:7" ht="17.25" hidden="1" customHeight="1" x14ac:dyDescent="0.3">
      <c r="A226" s="25"/>
      <c r="B226" s="26"/>
      <c r="C226" s="25"/>
      <c r="D226" s="27"/>
      <c r="E226" s="28"/>
      <c r="F226" s="28"/>
      <c r="G226" s="80"/>
    </row>
    <row r="227" spans="1:7" ht="17.25" hidden="1" customHeight="1" x14ac:dyDescent="0.3">
      <c r="A227" s="25"/>
      <c r="B227" s="26"/>
      <c r="C227" s="25"/>
      <c r="D227" s="27"/>
      <c r="E227" s="28"/>
      <c r="F227" s="28"/>
      <c r="G227" s="80"/>
    </row>
    <row r="228" spans="1:7" ht="17.25" hidden="1" customHeight="1" x14ac:dyDescent="0.3">
      <c r="A228" s="25"/>
      <c r="B228" s="26"/>
      <c r="C228" s="25"/>
      <c r="D228" s="27"/>
      <c r="E228" s="28"/>
      <c r="F228" s="28"/>
      <c r="G228" s="80"/>
    </row>
    <row r="229" spans="1:7" ht="17.25" hidden="1" customHeight="1" x14ac:dyDescent="0.3">
      <c r="A229" s="25"/>
      <c r="B229" s="26"/>
      <c r="C229" s="25"/>
      <c r="D229" s="27"/>
      <c r="E229" s="28"/>
      <c r="F229" s="28"/>
      <c r="G229" s="80"/>
    </row>
    <row r="230" spans="1:7" ht="17.25" hidden="1" customHeight="1" x14ac:dyDescent="0.3">
      <c r="A230" s="25"/>
      <c r="B230" s="26"/>
      <c r="C230" s="25"/>
      <c r="D230" s="27"/>
      <c r="E230" s="28"/>
      <c r="F230" s="28"/>
      <c r="G230" s="80"/>
    </row>
    <row r="231" spans="1:7" ht="17.25" hidden="1" customHeight="1" x14ac:dyDescent="0.3">
      <c r="A231" s="25"/>
      <c r="B231" s="26"/>
      <c r="C231" s="25"/>
      <c r="D231" s="27"/>
      <c r="E231" s="28"/>
      <c r="F231" s="28"/>
      <c r="G231" s="80"/>
    </row>
    <row r="232" spans="1:7" ht="17.25" hidden="1" customHeight="1" x14ac:dyDescent="0.3">
      <c r="A232" s="25"/>
      <c r="B232" s="26"/>
      <c r="C232" s="25"/>
      <c r="D232" s="27"/>
      <c r="E232" s="28"/>
      <c r="F232" s="28"/>
      <c r="G232" s="80"/>
    </row>
    <row r="233" spans="1:7" ht="17.25" hidden="1" customHeight="1" x14ac:dyDescent="0.3">
      <c r="A233" s="25"/>
      <c r="B233" s="26"/>
      <c r="C233" s="25"/>
      <c r="D233" s="27"/>
      <c r="E233" s="28"/>
      <c r="F233" s="28"/>
      <c r="G233" s="80"/>
    </row>
    <row r="234" spans="1:7" ht="17.25" hidden="1" customHeight="1" x14ac:dyDescent="0.3">
      <c r="A234" s="25"/>
      <c r="B234" s="26"/>
      <c r="C234" s="25"/>
      <c r="D234" s="27"/>
      <c r="E234" s="28"/>
      <c r="F234" s="28"/>
      <c r="G234" s="80"/>
    </row>
    <row r="235" spans="1:7" ht="17.25" hidden="1" customHeight="1" x14ac:dyDescent="0.3">
      <c r="A235" s="25"/>
      <c r="B235" s="26"/>
      <c r="C235" s="25"/>
      <c r="D235" s="27"/>
      <c r="E235" s="28"/>
      <c r="F235" s="28"/>
      <c r="G235" s="80"/>
    </row>
    <row r="236" spans="1:7" ht="17.25" hidden="1" customHeight="1" x14ac:dyDescent="0.3">
      <c r="A236" s="25"/>
      <c r="B236" s="26"/>
      <c r="C236" s="25"/>
      <c r="D236" s="27"/>
      <c r="E236" s="28"/>
      <c r="F236" s="28"/>
      <c r="G236" s="80"/>
    </row>
    <row r="237" spans="1:7" ht="17.25" hidden="1" customHeight="1" x14ac:dyDescent="0.3">
      <c r="A237" s="25"/>
      <c r="B237" s="26"/>
      <c r="C237" s="25"/>
      <c r="D237" s="27"/>
      <c r="E237" s="28"/>
      <c r="F237" s="28"/>
      <c r="G237" s="80"/>
    </row>
    <row r="238" spans="1:7" ht="17.25" hidden="1" customHeight="1" x14ac:dyDescent="0.3">
      <c r="A238" s="25"/>
      <c r="B238" s="26"/>
      <c r="C238" s="25"/>
      <c r="D238" s="27"/>
      <c r="E238" s="28"/>
      <c r="F238" s="28"/>
      <c r="G238" s="80"/>
    </row>
    <row r="239" spans="1:7" ht="17.25" hidden="1" customHeight="1" x14ac:dyDescent="0.3">
      <c r="A239" s="25"/>
      <c r="B239" s="26"/>
      <c r="C239" s="25"/>
      <c r="D239" s="27"/>
      <c r="E239" s="28"/>
      <c r="F239" s="28"/>
      <c r="G239" s="80"/>
    </row>
    <row r="240" spans="1:7" ht="17.25" hidden="1" customHeight="1" x14ac:dyDescent="0.3">
      <c r="A240" s="25"/>
      <c r="B240" s="26"/>
      <c r="C240" s="25"/>
      <c r="D240" s="27"/>
      <c r="E240" s="28"/>
      <c r="F240" s="28"/>
      <c r="G240" s="80"/>
    </row>
    <row r="241" spans="1:7" ht="17.25" hidden="1" customHeight="1" x14ac:dyDescent="0.3">
      <c r="A241" s="25"/>
      <c r="B241" s="26"/>
      <c r="C241" s="25"/>
      <c r="D241" s="27"/>
      <c r="E241" s="28"/>
      <c r="F241" s="28"/>
      <c r="G241" s="80"/>
    </row>
    <row r="242" spans="1:7" ht="17.25" hidden="1" customHeight="1" x14ac:dyDescent="0.3">
      <c r="A242" s="25"/>
      <c r="B242" s="26"/>
      <c r="C242" s="25"/>
      <c r="D242" s="27"/>
      <c r="E242" s="28"/>
      <c r="F242" s="28"/>
      <c r="G242" s="80"/>
    </row>
    <row r="243" spans="1:7" ht="17.25" hidden="1" customHeight="1" x14ac:dyDescent="0.3">
      <c r="A243" s="25"/>
      <c r="B243" s="26"/>
      <c r="C243" s="25"/>
      <c r="D243" s="27"/>
      <c r="E243" s="28"/>
      <c r="F243" s="28"/>
      <c r="G243" s="80"/>
    </row>
    <row r="244" spans="1:7" ht="17.25" hidden="1" customHeight="1" x14ac:dyDescent="0.3">
      <c r="A244" s="25"/>
      <c r="B244" s="26"/>
      <c r="C244" s="25"/>
      <c r="D244" s="27"/>
      <c r="E244" s="28"/>
      <c r="F244" s="28"/>
      <c r="G244" s="80"/>
    </row>
    <row r="245" spans="1:7" ht="17.25" hidden="1" customHeight="1" x14ac:dyDescent="0.3">
      <c r="A245" s="25"/>
      <c r="B245" s="26"/>
      <c r="C245" s="25"/>
      <c r="D245" s="27"/>
      <c r="E245" s="28"/>
      <c r="F245" s="28"/>
      <c r="G245" s="80"/>
    </row>
    <row r="246" spans="1:7" ht="17.25" hidden="1" customHeight="1" x14ac:dyDescent="0.3">
      <c r="A246" s="25"/>
      <c r="B246" s="26"/>
      <c r="C246" s="25"/>
      <c r="D246" s="27"/>
      <c r="E246" s="28"/>
      <c r="F246" s="28"/>
      <c r="G246" s="80"/>
    </row>
    <row r="247" spans="1:7" ht="17.25" hidden="1" customHeight="1" x14ac:dyDescent="0.3">
      <c r="A247" s="25"/>
      <c r="B247" s="26"/>
      <c r="C247" s="25"/>
      <c r="D247" s="27"/>
      <c r="E247" s="28"/>
      <c r="F247" s="28"/>
      <c r="G247" s="80"/>
    </row>
    <row r="248" spans="1:7" ht="17.25" hidden="1" customHeight="1" x14ac:dyDescent="0.3">
      <c r="A248" s="25"/>
      <c r="B248" s="26"/>
      <c r="C248" s="25"/>
      <c r="D248" s="27"/>
      <c r="E248" s="28"/>
      <c r="F248" s="28"/>
      <c r="G248" s="80"/>
    </row>
    <row r="249" spans="1:7" ht="17.25" hidden="1" customHeight="1" x14ac:dyDescent="0.3">
      <c r="A249" s="25"/>
      <c r="B249" s="26"/>
      <c r="C249" s="25"/>
      <c r="D249" s="27"/>
      <c r="E249" s="28"/>
      <c r="F249" s="28"/>
      <c r="G249" s="80"/>
    </row>
    <row r="250" spans="1:7" ht="17.25" hidden="1" customHeight="1" x14ac:dyDescent="0.3">
      <c r="A250" s="25"/>
      <c r="B250" s="26"/>
      <c r="C250" s="25"/>
      <c r="D250" s="27"/>
      <c r="E250" s="28"/>
      <c r="F250" s="28"/>
      <c r="G250" s="80"/>
    </row>
    <row r="251" spans="1:7" ht="17.25" hidden="1" customHeight="1" x14ac:dyDescent="0.3">
      <c r="A251" s="25"/>
      <c r="B251" s="26"/>
      <c r="C251" s="25"/>
      <c r="D251" s="27"/>
      <c r="E251" s="28"/>
      <c r="F251" s="28"/>
      <c r="G251" s="80"/>
    </row>
    <row r="252" spans="1:7" ht="17.25" hidden="1" customHeight="1" x14ac:dyDescent="0.3">
      <c r="A252" s="25"/>
      <c r="B252" s="26"/>
      <c r="C252" s="25"/>
      <c r="D252" s="27"/>
      <c r="E252" s="28"/>
      <c r="F252" s="28"/>
      <c r="G252" s="80"/>
    </row>
    <row r="253" spans="1:7" ht="17.25" hidden="1" customHeight="1" x14ac:dyDescent="0.3">
      <c r="A253" s="25"/>
      <c r="B253" s="26"/>
      <c r="C253" s="25"/>
      <c r="D253" s="27"/>
      <c r="E253" s="28"/>
      <c r="F253" s="28"/>
      <c r="G253" s="80"/>
    </row>
    <row r="254" spans="1:7" ht="17.25" hidden="1" customHeight="1" x14ac:dyDescent="0.3">
      <c r="A254" s="25"/>
      <c r="B254" s="26"/>
      <c r="C254" s="25"/>
      <c r="D254" s="27"/>
      <c r="E254" s="28"/>
      <c r="F254" s="28"/>
      <c r="G254" s="80"/>
    </row>
    <row r="255" spans="1:7" ht="17.25" hidden="1" customHeight="1" x14ac:dyDescent="0.3">
      <c r="A255" s="25"/>
      <c r="B255" s="26"/>
      <c r="C255" s="25"/>
      <c r="D255" s="27"/>
      <c r="E255" s="28"/>
      <c r="F255" s="28"/>
      <c r="G255" s="80"/>
    </row>
    <row r="256" spans="1:7" ht="17.25" hidden="1" customHeight="1" x14ac:dyDescent="0.3">
      <c r="A256" s="25"/>
      <c r="B256" s="26"/>
      <c r="C256" s="25"/>
      <c r="D256" s="27"/>
      <c r="E256" s="28"/>
      <c r="F256" s="28"/>
      <c r="G256" s="80"/>
    </row>
    <row r="257" spans="1:7" ht="17.25" hidden="1" customHeight="1" x14ac:dyDescent="0.3">
      <c r="A257" s="25"/>
      <c r="B257" s="26"/>
      <c r="C257" s="25"/>
      <c r="D257" s="27"/>
      <c r="E257" s="28"/>
      <c r="F257" s="28"/>
      <c r="G257" s="80"/>
    </row>
    <row r="258" spans="1:7" ht="17.25" hidden="1" customHeight="1" x14ac:dyDescent="0.3">
      <c r="A258" s="25"/>
      <c r="B258" s="26"/>
      <c r="C258" s="25"/>
      <c r="D258" s="27"/>
      <c r="E258" s="28"/>
      <c r="F258" s="28"/>
      <c r="G258" s="80"/>
    </row>
    <row r="259" spans="1:7" ht="17.25" hidden="1" customHeight="1" x14ac:dyDescent="0.3">
      <c r="A259" s="25"/>
      <c r="B259" s="26"/>
      <c r="C259" s="25"/>
      <c r="D259" s="27"/>
      <c r="E259" s="28"/>
      <c r="F259" s="28"/>
      <c r="G259" s="80"/>
    </row>
    <row r="260" spans="1:7" ht="17.25" hidden="1" customHeight="1" x14ac:dyDescent="0.3">
      <c r="A260" s="25"/>
      <c r="B260" s="26"/>
      <c r="C260" s="25"/>
      <c r="D260" s="27"/>
      <c r="E260" s="28"/>
      <c r="F260" s="28"/>
      <c r="G260" s="80"/>
    </row>
    <row r="261" spans="1:7" ht="17.25" hidden="1" customHeight="1" x14ac:dyDescent="0.3">
      <c r="A261" s="25"/>
      <c r="B261" s="26"/>
      <c r="C261" s="25"/>
      <c r="D261" s="27"/>
      <c r="E261" s="28"/>
      <c r="F261" s="28"/>
      <c r="G261" s="80"/>
    </row>
    <row r="262" spans="1:7" ht="17.25" hidden="1" customHeight="1" x14ac:dyDescent="0.3">
      <c r="A262" s="25"/>
      <c r="B262" s="26"/>
      <c r="C262" s="25"/>
      <c r="D262" s="27"/>
      <c r="E262" s="28"/>
      <c r="F262" s="28"/>
      <c r="G262" s="80"/>
    </row>
    <row r="263" spans="1:7" ht="17.25" hidden="1" customHeight="1" x14ac:dyDescent="0.3">
      <c r="A263" s="25"/>
      <c r="B263" s="26"/>
      <c r="C263" s="25"/>
      <c r="D263" s="27"/>
      <c r="E263" s="28"/>
      <c r="F263" s="28"/>
      <c r="G263" s="80"/>
    </row>
    <row r="264" spans="1:7" ht="17.25" hidden="1" customHeight="1" x14ac:dyDescent="0.3">
      <c r="A264" s="25"/>
      <c r="B264" s="26"/>
      <c r="C264" s="25"/>
      <c r="D264" s="27"/>
      <c r="E264" s="28"/>
      <c r="F264" s="28"/>
      <c r="G264" s="80"/>
    </row>
    <row r="265" spans="1:7" ht="17.25" hidden="1" customHeight="1" x14ac:dyDescent="0.3">
      <c r="A265" s="25"/>
      <c r="B265" s="26"/>
      <c r="C265" s="25"/>
      <c r="D265" s="27"/>
      <c r="E265" s="28"/>
      <c r="F265" s="28"/>
      <c r="G265" s="80"/>
    </row>
    <row r="266" spans="1:7" ht="17.25" hidden="1" customHeight="1" x14ac:dyDescent="0.3">
      <c r="A266" s="25"/>
      <c r="B266" s="26"/>
      <c r="C266" s="25"/>
      <c r="D266" s="27"/>
      <c r="E266" s="28"/>
      <c r="F266" s="28"/>
      <c r="G266" s="80"/>
    </row>
    <row r="267" spans="1:7" ht="17.25" hidden="1" customHeight="1" x14ac:dyDescent="0.3">
      <c r="A267" s="25"/>
      <c r="B267" s="26"/>
      <c r="C267" s="25"/>
      <c r="D267" s="27"/>
      <c r="E267" s="28"/>
      <c r="F267" s="28"/>
      <c r="G267" s="80"/>
    </row>
    <row r="268" spans="1:7" ht="17.25" hidden="1" customHeight="1" x14ac:dyDescent="0.3">
      <c r="A268" s="25"/>
      <c r="B268" s="26"/>
      <c r="C268" s="25"/>
      <c r="D268" s="27"/>
      <c r="E268" s="28"/>
      <c r="F268" s="28"/>
      <c r="G268" s="80"/>
    </row>
    <row r="269" spans="1:7" ht="17.25" hidden="1" customHeight="1" x14ac:dyDescent="0.3">
      <c r="A269" s="25"/>
      <c r="B269" s="26"/>
      <c r="C269" s="25"/>
      <c r="D269" s="27"/>
      <c r="E269" s="28"/>
      <c r="F269" s="28"/>
      <c r="G269" s="80"/>
    </row>
    <row r="270" spans="1:7" ht="17.25" hidden="1" customHeight="1" x14ac:dyDescent="0.3">
      <c r="A270" s="25"/>
      <c r="B270" s="26"/>
      <c r="C270" s="25"/>
      <c r="D270" s="27"/>
      <c r="E270" s="28"/>
      <c r="F270" s="28"/>
      <c r="G270" s="80"/>
    </row>
    <row r="271" spans="1:7" ht="17.25" hidden="1" customHeight="1" x14ac:dyDescent="0.3">
      <c r="A271" s="25"/>
      <c r="B271" s="26"/>
      <c r="C271" s="25"/>
      <c r="D271" s="27"/>
      <c r="E271" s="28"/>
      <c r="F271" s="28"/>
      <c r="G271" s="80"/>
    </row>
    <row r="272" spans="1:7" ht="17.25" hidden="1" customHeight="1" x14ac:dyDescent="0.3">
      <c r="A272" s="25"/>
      <c r="B272" s="26"/>
      <c r="C272" s="25"/>
      <c r="D272" s="27"/>
      <c r="E272" s="28"/>
      <c r="F272" s="28"/>
      <c r="G272" s="80"/>
    </row>
    <row r="273" spans="1:7" ht="17.25" hidden="1" customHeight="1" x14ac:dyDescent="0.3">
      <c r="A273" s="25"/>
      <c r="B273" s="26"/>
      <c r="C273" s="25"/>
      <c r="D273" s="27"/>
      <c r="E273" s="28"/>
      <c r="F273" s="28"/>
      <c r="G273" s="80"/>
    </row>
    <row r="274" spans="1:7" ht="17.25" hidden="1" customHeight="1" x14ac:dyDescent="0.3">
      <c r="A274" s="25"/>
      <c r="B274" s="26"/>
      <c r="C274" s="25"/>
      <c r="D274" s="27"/>
      <c r="E274" s="28"/>
      <c r="F274" s="28"/>
      <c r="G274" s="80"/>
    </row>
    <row r="275" spans="1:7" ht="17.25" hidden="1" customHeight="1" x14ac:dyDescent="0.3">
      <c r="A275" s="25"/>
      <c r="B275" s="26"/>
      <c r="C275" s="25"/>
      <c r="D275" s="27"/>
      <c r="E275" s="28"/>
      <c r="F275" s="28"/>
      <c r="G275" s="80"/>
    </row>
    <row r="276" spans="1:7" ht="17.25" hidden="1" customHeight="1" x14ac:dyDescent="0.3">
      <c r="A276" s="25"/>
      <c r="B276" s="26"/>
      <c r="C276" s="25"/>
      <c r="D276" s="27"/>
      <c r="E276" s="28"/>
      <c r="F276" s="28"/>
      <c r="G276" s="80"/>
    </row>
    <row r="277" spans="1:7" ht="17.25" hidden="1" customHeight="1" x14ac:dyDescent="0.3">
      <c r="A277" s="25"/>
      <c r="B277" s="26"/>
      <c r="C277" s="25"/>
      <c r="D277" s="27"/>
      <c r="E277" s="28"/>
      <c r="F277" s="28"/>
      <c r="G277" s="80"/>
    </row>
    <row r="278" spans="1:7" ht="17.25" hidden="1" customHeight="1" x14ac:dyDescent="0.3">
      <c r="A278" s="25"/>
      <c r="B278" s="26"/>
      <c r="C278" s="25"/>
      <c r="D278" s="27"/>
      <c r="E278" s="28"/>
      <c r="F278" s="28"/>
      <c r="G278" s="80"/>
    </row>
    <row r="279" spans="1:7" ht="17.25" hidden="1" customHeight="1" x14ac:dyDescent="0.3">
      <c r="A279" s="25"/>
      <c r="B279" s="26"/>
      <c r="C279" s="25"/>
      <c r="D279" s="27"/>
      <c r="E279" s="28"/>
      <c r="F279" s="28"/>
      <c r="G279" s="80"/>
    </row>
    <row r="280" spans="1:7" ht="17.25" hidden="1" customHeight="1" x14ac:dyDescent="0.3">
      <c r="A280" s="25"/>
      <c r="B280" s="26"/>
      <c r="C280" s="25"/>
      <c r="D280" s="27"/>
      <c r="E280" s="28"/>
      <c r="F280" s="28"/>
      <c r="G280" s="80"/>
    </row>
    <row r="281" spans="1:7" ht="17.25" hidden="1" customHeight="1" x14ac:dyDescent="0.3">
      <c r="A281" s="25"/>
      <c r="B281" s="26"/>
      <c r="C281" s="25"/>
      <c r="D281" s="27"/>
      <c r="E281" s="28"/>
      <c r="F281" s="28"/>
      <c r="G281" s="80"/>
    </row>
    <row r="282" spans="1:7" ht="17.25" hidden="1" customHeight="1" x14ac:dyDescent="0.3">
      <c r="A282" s="25"/>
      <c r="B282" s="26"/>
      <c r="C282" s="25"/>
      <c r="D282" s="27"/>
      <c r="E282" s="28"/>
      <c r="F282" s="28"/>
      <c r="G282" s="80"/>
    </row>
    <row r="283" spans="1:7" ht="17.25" customHeight="1" x14ac:dyDescent="0.3">
      <c r="A283" s="30"/>
      <c r="B283" s="31"/>
      <c r="C283" s="30"/>
      <c r="D283" s="32"/>
      <c r="E283" s="33"/>
      <c r="F283" s="33">
        <f>ROUND(SUM(F2:F282),0)</f>
        <v>0</v>
      </c>
      <c r="G283" s="81"/>
    </row>
    <row r="284" spans="1:7" x14ac:dyDescent="0.3">
      <c r="D284" s="156"/>
      <c r="E284" s="156"/>
      <c r="F284" s="8"/>
      <c r="G284" s="82"/>
    </row>
  </sheetData>
  <mergeCells count="1">
    <mergeCell ref="D284:E284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9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rgb="FFFFC000"/>
  </sheetPr>
  <dimension ref="A1:R763"/>
  <sheetViews>
    <sheetView tabSelected="1" view="pageBreakPreview" zoomScale="80" zoomScaleNormal="100" zoomScaleSheetLayoutView="80" workbookViewId="0">
      <pane xSplit="4" ySplit="2" topLeftCell="E110" activePane="bottomRight" state="frozen"/>
      <selection activeCell="K284" sqref="K284"/>
      <selection pane="topRight" activeCell="K284" sqref="K284"/>
      <selection pane="bottomLeft" activeCell="K284" sqref="K284"/>
      <selection pane="bottomRight" activeCell="G115" sqref="G115"/>
    </sheetView>
  </sheetViews>
  <sheetFormatPr defaultColWidth="9" defaultRowHeight="13.8" x14ac:dyDescent="0.3"/>
  <cols>
    <col min="1" max="1" width="5.6640625" style="9" customWidth="1"/>
    <col min="2" max="2" width="11.6640625" style="9" bestFit="1" customWidth="1"/>
    <col min="3" max="4" width="5.6640625" style="45" customWidth="1"/>
    <col min="5" max="9" width="20.6640625" style="45" customWidth="1"/>
    <col min="10" max="14" width="8.6640625" style="10" customWidth="1"/>
    <col min="15" max="15" width="13.6640625" style="69" customWidth="1"/>
    <col min="16" max="16" width="10.6640625" style="11" bestFit="1" customWidth="1"/>
    <col min="17" max="17" width="0" style="9" hidden="1" customWidth="1"/>
    <col min="18" max="18" width="18" style="9" hidden="1" customWidth="1"/>
    <col min="19" max="16384" width="9" style="9"/>
  </cols>
  <sheetData>
    <row r="1" spans="1:18" ht="14.25" customHeight="1" x14ac:dyDescent="0.3">
      <c r="A1" s="107" t="s">
        <v>28</v>
      </c>
      <c r="B1" s="107" t="s">
        <v>16</v>
      </c>
      <c r="C1" s="107" t="s">
        <v>17</v>
      </c>
      <c r="D1" s="107"/>
      <c r="E1" s="111" t="s">
        <v>19</v>
      </c>
      <c r="F1" s="111" t="s">
        <v>20</v>
      </c>
      <c r="G1" s="111" t="s">
        <v>64</v>
      </c>
      <c r="H1" s="111" t="s">
        <v>21</v>
      </c>
      <c r="I1" s="111" t="s">
        <v>22</v>
      </c>
      <c r="J1" s="108" t="s">
        <v>24</v>
      </c>
      <c r="K1" s="108" t="s">
        <v>23</v>
      </c>
      <c r="L1" s="109" t="s">
        <v>25</v>
      </c>
      <c r="M1" s="109" t="s">
        <v>18</v>
      </c>
      <c r="N1" s="109" t="s">
        <v>26</v>
      </c>
      <c r="O1" s="111" t="s">
        <v>27</v>
      </c>
      <c r="P1" s="110" t="s">
        <v>65</v>
      </c>
    </row>
    <row r="2" spans="1:18" x14ac:dyDescent="0.3">
      <c r="A2" s="107"/>
      <c r="B2" s="107"/>
      <c r="C2" s="59"/>
      <c r="D2" s="59"/>
      <c r="E2" s="111"/>
      <c r="F2" s="111"/>
      <c r="G2" s="111"/>
      <c r="H2" s="111"/>
      <c r="I2" s="111"/>
      <c r="J2" s="108"/>
      <c r="K2" s="108"/>
      <c r="L2" s="109"/>
      <c r="M2" s="109"/>
      <c r="N2" s="109"/>
      <c r="O2" s="111"/>
      <c r="P2" s="110"/>
    </row>
    <row r="3" spans="1:18" x14ac:dyDescent="0.3">
      <c r="A3" s="60"/>
      <c r="B3" s="61">
        <f>工程基本資料!B8</f>
        <v>0</v>
      </c>
      <c r="C3" s="62"/>
      <c r="D3" s="62"/>
      <c r="E3" s="104"/>
      <c r="F3" s="63"/>
      <c r="G3" s="63"/>
      <c r="H3" s="64" t="e">
        <f>IF(Q3&gt;1,$R$3,$R$4)</f>
        <v>#N/A</v>
      </c>
      <c r="I3" s="63"/>
      <c r="J3" s="65"/>
      <c r="K3" s="65">
        <f>工程基本資料!$B$7-$J3+$L3+$M3</f>
        <v>0</v>
      </c>
      <c r="L3" s="66"/>
      <c r="M3" s="66"/>
      <c r="N3" s="66"/>
      <c r="O3" s="70"/>
      <c r="P3" s="58">
        <f>工程基本資料!$B$8+工程基本資料!$B$7+$L3+$M3-1</f>
        <v>-1</v>
      </c>
      <c r="Q3" s="9" t="e" cm="1">
        <f t="array" ref="Q3:Q597">TRANSPOSE(每日施工紀錄!J284:WF284)</f>
        <v>#N/A</v>
      </c>
      <c r="R3" s="88"/>
    </row>
    <row r="4" spans="1:18" x14ac:dyDescent="0.3">
      <c r="A4" s="60"/>
      <c r="B4" s="61">
        <f>B3+1</f>
        <v>1</v>
      </c>
      <c r="C4" s="62"/>
      <c r="D4" s="62"/>
      <c r="E4" s="63"/>
      <c r="F4" s="63"/>
      <c r="G4" s="63"/>
      <c r="H4" s="64" t="e">
        <f t="shared" ref="H4:H67" si="0">IF(Q4&gt;1,$R$3,$R$4)</f>
        <v>#N/A</v>
      </c>
      <c r="I4" s="63"/>
      <c r="J4" s="65">
        <f>J3+1</f>
        <v>1</v>
      </c>
      <c r="K4" s="65">
        <f>工程基本資料!$B$7-$J4+$L4+$M4</f>
        <v>-1</v>
      </c>
      <c r="L4" s="66"/>
      <c r="M4" s="66"/>
      <c r="N4" s="66"/>
      <c r="O4" s="70"/>
      <c r="P4" s="58">
        <f>工程基本資料!$B$8+工程基本資料!$B$7+$L4+$M4-1</f>
        <v>-1</v>
      </c>
      <c r="Q4" s="9" t="e">
        <v>#N/A</v>
      </c>
      <c r="R4" s="88"/>
    </row>
    <row r="5" spans="1:18" ht="63" customHeight="1" x14ac:dyDescent="0.3">
      <c r="A5" s="60"/>
      <c r="B5" s="61">
        <f t="shared" ref="B5:B68" si="1">B4+1</f>
        <v>2</v>
      </c>
      <c r="C5" s="62"/>
      <c r="D5" s="62"/>
      <c r="E5" s="63"/>
      <c r="F5" s="63"/>
      <c r="G5" s="63"/>
      <c r="H5" s="64" t="e">
        <f t="shared" si="0"/>
        <v>#N/A</v>
      </c>
      <c r="I5" s="63"/>
      <c r="J5" s="65">
        <f t="shared" ref="J5:J68" si="2">J4+1</f>
        <v>2</v>
      </c>
      <c r="K5" s="65">
        <f>工程基本資料!$B$7-$J5+$L5+$M5</f>
        <v>-2</v>
      </c>
      <c r="L5" s="66"/>
      <c r="M5" s="66"/>
      <c r="N5" s="66"/>
      <c r="O5" s="70"/>
      <c r="P5" s="58">
        <f>工程基本資料!$B$8+工程基本資料!$B$7+$L5+$M5-1</f>
        <v>-1</v>
      </c>
      <c r="Q5" s="9" t="e">
        <v>#N/A</v>
      </c>
    </row>
    <row r="6" spans="1:18" ht="63" customHeight="1" x14ac:dyDescent="0.3">
      <c r="A6" s="60"/>
      <c r="B6" s="61">
        <f t="shared" si="1"/>
        <v>3</v>
      </c>
      <c r="C6" s="62"/>
      <c r="D6" s="62"/>
      <c r="E6" s="63"/>
      <c r="F6" s="63"/>
      <c r="G6" s="63"/>
      <c r="H6" s="64" t="e">
        <f t="shared" si="0"/>
        <v>#N/A</v>
      </c>
      <c r="I6" s="63"/>
      <c r="J6" s="65">
        <f t="shared" si="2"/>
        <v>3</v>
      </c>
      <c r="K6" s="65">
        <f>工程基本資料!$B$7-$J6+$L6+$M6</f>
        <v>-3</v>
      </c>
      <c r="L6" s="66"/>
      <c r="M6" s="66"/>
      <c r="N6" s="66"/>
      <c r="O6" s="70"/>
      <c r="P6" s="58">
        <f>工程基本資料!$B$8+工程基本資料!$B$7+$L6+$M6-1</f>
        <v>-1</v>
      </c>
      <c r="Q6" s="9" t="e">
        <v>#N/A</v>
      </c>
    </row>
    <row r="7" spans="1:18" ht="63" customHeight="1" x14ac:dyDescent="0.3">
      <c r="A7" s="60"/>
      <c r="B7" s="61">
        <f t="shared" si="1"/>
        <v>4</v>
      </c>
      <c r="C7" s="62"/>
      <c r="D7" s="62"/>
      <c r="E7" s="63"/>
      <c r="F7" s="63"/>
      <c r="G7" s="63"/>
      <c r="H7" s="64" t="e">
        <f t="shared" si="0"/>
        <v>#N/A</v>
      </c>
      <c r="I7" s="63"/>
      <c r="J7" s="65">
        <f t="shared" si="2"/>
        <v>4</v>
      </c>
      <c r="K7" s="65">
        <f>工程基本資料!$B$7-$J7+$L7+$M7</f>
        <v>-4</v>
      </c>
      <c r="L7" s="66"/>
      <c r="M7" s="66"/>
      <c r="N7" s="66"/>
      <c r="O7" s="70"/>
      <c r="P7" s="58">
        <f>工程基本資料!$B$8+工程基本資料!$B$7+$L7+$M7-1</f>
        <v>-1</v>
      </c>
      <c r="Q7" s="9" t="e">
        <v>#N/A</v>
      </c>
    </row>
    <row r="8" spans="1:18" ht="72.75" customHeight="1" x14ac:dyDescent="0.3">
      <c r="A8" s="60"/>
      <c r="B8" s="61">
        <f t="shared" si="1"/>
        <v>5</v>
      </c>
      <c r="C8" s="62"/>
      <c r="D8" s="62"/>
      <c r="E8" s="63"/>
      <c r="F8" s="63"/>
      <c r="G8" s="63"/>
      <c r="H8" s="64" t="e">
        <f t="shared" si="0"/>
        <v>#N/A</v>
      </c>
      <c r="I8" s="63"/>
      <c r="J8" s="65">
        <f t="shared" si="2"/>
        <v>5</v>
      </c>
      <c r="K8" s="65">
        <f>工程基本資料!$B$7-$J8+$L8+$M8</f>
        <v>-5</v>
      </c>
      <c r="L8" s="66"/>
      <c r="M8" s="66"/>
      <c r="N8" s="66"/>
      <c r="O8" s="70"/>
      <c r="P8" s="58">
        <f>工程基本資料!$B$8+工程基本資料!$B$7+$L8+$M8-1</f>
        <v>-1</v>
      </c>
      <c r="Q8" s="9" t="e">
        <v>#N/A</v>
      </c>
    </row>
    <row r="9" spans="1:18" ht="63" customHeight="1" x14ac:dyDescent="0.3">
      <c r="A9" s="60"/>
      <c r="B9" s="61">
        <f t="shared" si="1"/>
        <v>6</v>
      </c>
      <c r="C9" s="62"/>
      <c r="D9" s="62"/>
      <c r="E9" s="63"/>
      <c r="F9" s="63"/>
      <c r="G9" s="63"/>
      <c r="H9" s="64" t="e">
        <f t="shared" si="0"/>
        <v>#N/A</v>
      </c>
      <c r="I9" s="63"/>
      <c r="J9" s="65">
        <f t="shared" si="2"/>
        <v>6</v>
      </c>
      <c r="K9" s="65">
        <f>工程基本資料!$B$7-$J9+$L9+$M9</f>
        <v>-6</v>
      </c>
      <c r="L9" s="66"/>
      <c r="M9" s="66"/>
      <c r="N9" s="66"/>
      <c r="O9" s="70"/>
      <c r="P9" s="58">
        <f>工程基本資料!$B$8+工程基本資料!$B$7+$L9+$M9-1</f>
        <v>-1</v>
      </c>
      <c r="Q9" s="9" t="e">
        <v>#N/A</v>
      </c>
    </row>
    <row r="10" spans="1:18" ht="63" customHeight="1" x14ac:dyDescent="0.3">
      <c r="A10" s="60"/>
      <c r="B10" s="61">
        <f t="shared" si="1"/>
        <v>7</v>
      </c>
      <c r="C10" s="62"/>
      <c r="D10" s="62"/>
      <c r="E10" s="63"/>
      <c r="F10" s="63"/>
      <c r="G10" s="63"/>
      <c r="H10" s="64" t="e">
        <f t="shared" si="0"/>
        <v>#N/A</v>
      </c>
      <c r="I10" s="63"/>
      <c r="J10" s="65">
        <f t="shared" si="2"/>
        <v>7</v>
      </c>
      <c r="K10" s="65">
        <f>工程基本資料!$B$7-$J10+$L10+$M10</f>
        <v>-7</v>
      </c>
      <c r="L10" s="66"/>
      <c r="M10" s="66"/>
      <c r="N10" s="66"/>
      <c r="O10" s="70"/>
      <c r="P10" s="58">
        <f>工程基本資料!$B$8+工程基本資料!$B$7+$L10+$M10-1</f>
        <v>-1</v>
      </c>
      <c r="Q10" s="9" t="e">
        <v>#N/A</v>
      </c>
    </row>
    <row r="11" spans="1:18" ht="87.75" customHeight="1" x14ac:dyDescent="0.3">
      <c r="A11" s="60"/>
      <c r="B11" s="61">
        <f t="shared" si="1"/>
        <v>8</v>
      </c>
      <c r="C11" s="62"/>
      <c r="D11" s="62"/>
      <c r="E11" s="63"/>
      <c r="F11" s="63"/>
      <c r="G11" s="63"/>
      <c r="H11" s="64" t="e">
        <f t="shared" si="0"/>
        <v>#N/A</v>
      </c>
      <c r="I11" s="63"/>
      <c r="J11" s="65">
        <f t="shared" si="2"/>
        <v>8</v>
      </c>
      <c r="K11" s="65">
        <f>工程基本資料!$B$7-$J11+$L11+$M11</f>
        <v>-8</v>
      </c>
      <c r="L11" s="66"/>
      <c r="M11" s="66"/>
      <c r="N11" s="66"/>
      <c r="O11" s="70"/>
      <c r="P11" s="58">
        <f>工程基本資料!$B$8+工程基本資料!$B$7+$L11+$M11-1</f>
        <v>-1</v>
      </c>
      <c r="Q11" s="9" t="e">
        <v>#N/A</v>
      </c>
    </row>
    <row r="12" spans="1:18" ht="63" customHeight="1" x14ac:dyDescent="0.3">
      <c r="A12" s="60"/>
      <c r="B12" s="61">
        <f t="shared" si="1"/>
        <v>9</v>
      </c>
      <c r="C12" s="62"/>
      <c r="D12" s="62"/>
      <c r="E12" s="63"/>
      <c r="F12" s="67"/>
      <c r="G12" s="67"/>
      <c r="H12" s="64" t="e">
        <f t="shared" si="0"/>
        <v>#N/A</v>
      </c>
      <c r="I12" s="67"/>
      <c r="J12" s="65">
        <f t="shared" si="2"/>
        <v>9</v>
      </c>
      <c r="K12" s="65">
        <f>工程基本資料!$B$7-$J12+$L12+$M12</f>
        <v>-9</v>
      </c>
      <c r="L12" s="66"/>
      <c r="M12" s="66"/>
      <c r="N12" s="66"/>
      <c r="O12" s="70"/>
      <c r="P12" s="58">
        <f>工程基本資料!$B$8+工程基本資料!$B$7+$L12+$M12-1</f>
        <v>-1</v>
      </c>
      <c r="Q12" s="9" t="e">
        <v>#N/A</v>
      </c>
    </row>
    <row r="13" spans="1:18" ht="63" customHeight="1" x14ac:dyDescent="0.3">
      <c r="A13" s="60"/>
      <c r="B13" s="61">
        <f t="shared" si="1"/>
        <v>10</v>
      </c>
      <c r="C13" s="62"/>
      <c r="D13" s="62"/>
      <c r="E13" s="63"/>
      <c r="F13" s="63"/>
      <c r="G13" s="63"/>
      <c r="H13" s="64" t="e">
        <f t="shared" si="0"/>
        <v>#N/A</v>
      </c>
      <c r="I13" s="63"/>
      <c r="J13" s="65">
        <f t="shared" si="2"/>
        <v>10</v>
      </c>
      <c r="K13" s="65">
        <f>工程基本資料!$B$7-$J13+$L13+$M13</f>
        <v>-10</v>
      </c>
      <c r="L13" s="66"/>
      <c r="M13" s="66"/>
      <c r="N13" s="66"/>
      <c r="O13" s="70"/>
      <c r="P13" s="58">
        <f>工程基本資料!$B$8+工程基本資料!$B$7+$L13+$M13-1</f>
        <v>-1</v>
      </c>
      <c r="Q13" s="9" t="e">
        <v>#N/A</v>
      </c>
    </row>
    <row r="14" spans="1:18" ht="63" customHeight="1" x14ac:dyDescent="0.3">
      <c r="A14" s="60"/>
      <c r="B14" s="61">
        <f t="shared" si="1"/>
        <v>11</v>
      </c>
      <c r="C14" s="62"/>
      <c r="D14" s="62"/>
      <c r="E14" s="63"/>
      <c r="F14" s="63"/>
      <c r="G14" s="63"/>
      <c r="H14" s="64" t="e">
        <f t="shared" si="0"/>
        <v>#N/A</v>
      </c>
      <c r="I14" s="63"/>
      <c r="J14" s="65">
        <f t="shared" si="2"/>
        <v>11</v>
      </c>
      <c r="K14" s="65">
        <f>工程基本資料!$B$7-$J14+$L14+$M14</f>
        <v>-11</v>
      </c>
      <c r="L14" s="66"/>
      <c r="M14" s="66"/>
      <c r="N14" s="66"/>
      <c r="O14" s="70"/>
      <c r="P14" s="58">
        <f>工程基本資料!$B$8+工程基本資料!$B$7+$L14+$M14-1</f>
        <v>-1</v>
      </c>
      <c r="Q14" s="9" t="e">
        <v>#N/A</v>
      </c>
    </row>
    <row r="15" spans="1:18" ht="58.5" customHeight="1" x14ac:dyDescent="0.3">
      <c r="A15" s="60"/>
      <c r="B15" s="61">
        <f t="shared" si="1"/>
        <v>12</v>
      </c>
      <c r="C15" s="62"/>
      <c r="D15" s="62"/>
      <c r="E15" s="63"/>
      <c r="F15" s="63"/>
      <c r="G15" s="63"/>
      <c r="H15" s="64"/>
      <c r="I15" s="63"/>
      <c r="J15" s="65">
        <f t="shared" si="2"/>
        <v>12</v>
      </c>
      <c r="K15" s="65">
        <f>工程基本資料!$B$7-$J15+$L15+$M15</f>
        <v>-12</v>
      </c>
      <c r="L15" s="66"/>
      <c r="M15" s="66"/>
      <c r="N15" s="66"/>
      <c r="O15" s="70"/>
      <c r="P15" s="58">
        <f>工程基本資料!$B$8+工程基本資料!$B$7+$L15+$M15-1</f>
        <v>-1</v>
      </c>
      <c r="Q15" s="9" t="e">
        <v>#N/A</v>
      </c>
    </row>
    <row r="16" spans="1:18" ht="57" customHeight="1" x14ac:dyDescent="0.3">
      <c r="A16" s="60"/>
      <c r="B16" s="61">
        <f t="shared" si="1"/>
        <v>13</v>
      </c>
      <c r="C16" s="62"/>
      <c r="D16" s="62"/>
      <c r="E16" s="63"/>
      <c r="F16" s="63"/>
      <c r="G16" s="63"/>
      <c r="H16" s="64" t="e">
        <f t="shared" si="0"/>
        <v>#N/A</v>
      </c>
      <c r="I16" s="63"/>
      <c r="J16" s="65">
        <f t="shared" si="2"/>
        <v>13</v>
      </c>
      <c r="K16" s="65">
        <f>工程基本資料!$B$7-$J16+$L16+$M16</f>
        <v>-13</v>
      </c>
      <c r="L16" s="66"/>
      <c r="M16" s="66"/>
      <c r="N16" s="66"/>
      <c r="O16" s="70"/>
      <c r="P16" s="58">
        <f>工程基本資料!$B$8+工程基本資料!$B$7+$L16+$M16-1</f>
        <v>-1</v>
      </c>
      <c r="Q16" s="9" t="e">
        <v>#N/A</v>
      </c>
    </row>
    <row r="17" spans="1:17" ht="73.5" customHeight="1" x14ac:dyDescent="0.3">
      <c r="A17" s="60"/>
      <c r="B17" s="61">
        <f t="shared" si="1"/>
        <v>14</v>
      </c>
      <c r="C17" s="62"/>
      <c r="D17" s="62"/>
      <c r="E17" s="63"/>
      <c r="F17" s="63"/>
      <c r="G17" s="63"/>
      <c r="H17" s="64" t="e">
        <f t="shared" si="0"/>
        <v>#N/A</v>
      </c>
      <c r="I17" s="63"/>
      <c r="J17" s="65">
        <f t="shared" si="2"/>
        <v>14</v>
      </c>
      <c r="K17" s="65">
        <f>工程基本資料!$B$7-$J17+$L17+$M17</f>
        <v>-14</v>
      </c>
      <c r="L17" s="66"/>
      <c r="M17" s="66"/>
      <c r="N17" s="66"/>
      <c r="O17" s="70"/>
      <c r="P17" s="58">
        <f>工程基本資料!$B$8+工程基本資料!$B$7+$L17+$M17-1</f>
        <v>-1</v>
      </c>
      <c r="Q17" s="9" t="e">
        <v>#N/A</v>
      </c>
    </row>
    <row r="18" spans="1:17" ht="63" customHeight="1" x14ac:dyDescent="0.3">
      <c r="A18" s="60"/>
      <c r="B18" s="61">
        <f t="shared" si="1"/>
        <v>15</v>
      </c>
      <c r="C18" s="62"/>
      <c r="D18" s="62"/>
      <c r="E18" s="63"/>
      <c r="F18" s="63"/>
      <c r="G18" s="63"/>
      <c r="H18" s="64" t="e">
        <f t="shared" si="0"/>
        <v>#N/A</v>
      </c>
      <c r="I18" s="63"/>
      <c r="J18" s="65">
        <f t="shared" si="2"/>
        <v>15</v>
      </c>
      <c r="K18" s="65">
        <f>工程基本資料!$B$7-$J18+$L18+$M18</f>
        <v>-15</v>
      </c>
      <c r="L18" s="66"/>
      <c r="M18" s="66"/>
      <c r="N18" s="66"/>
      <c r="O18" s="70"/>
      <c r="P18" s="58">
        <f>工程基本資料!$B$8+工程基本資料!$B$7+$L18+$M18-1</f>
        <v>-1</v>
      </c>
      <c r="Q18" s="9" t="e">
        <v>#N/A</v>
      </c>
    </row>
    <row r="19" spans="1:17" ht="63" customHeight="1" x14ac:dyDescent="0.3">
      <c r="A19" s="60"/>
      <c r="B19" s="61">
        <f t="shared" si="1"/>
        <v>16</v>
      </c>
      <c r="C19" s="62"/>
      <c r="D19" s="62"/>
      <c r="E19" s="63"/>
      <c r="F19" s="63"/>
      <c r="G19" s="63"/>
      <c r="H19" s="64" t="e">
        <f t="shared" si="0"/>
        <v>#N/A</v>
      </c>
      <c r="I19" s="63"/>
      <c r="J19" s="65">
        <f t="shared" si="2"/>
        <v>16</v>
      </c>
      <c r="K19" s="65">
        <f>工程基本資料!$B$7-$J19+$L19+$M19</f>
        <v>-16</v>
      </c>
      <c r="L19" s="66"/>
      <c r="M19" s="66"/>
      <c r="N19" s="66"/>
      <c r="O19" s="70"/>
      <c r="P19" s="58">
        <f>工程基本資料!$B$8+工程基本資料!$B$7+$L19+$M19-1</f>
        <v>-1</v>
      </c>
      <c r="Q19" s="9" t="e">
        <v>#N/A</v>
      </c>
    </row>
    <row r="20" spans="1:17" ht="63" customHeight="1" x14ac:dyDescent="0.3">
      <c r="A20" s="60"/>
      <c r="B20" s="61">
        <f t="shared" si="1"/>
        <v>17</v>
      </c>
      <c r="C20" s="62"/>
      <c r="D20" s="62"/>
      <c r="E20" s="63"/>
      <c r="F20" s="63"/>
      <c r="G20" s="63"/>
      <c r="H20" s="64" t="e">
        <f t="shared" si="0"/>
        <v>#N/A</v>
      </c>
      <c r="I20" s="63"/>
      <c r="J20" s="65">
        <f t="shared" si="2"/>
        <v>17</v>
      </c>
      <c r="K20" s="65">
        <f>工程基本資料!$B$7-$J20+$L20+$M20</f>
        <v>-17</v>
      </c>
      <c r="L20" s="66"/>
      <c r="M20" s="66"/>
      <c r="N20" s="66"/>
      <c r="O20" s="70"/>
      <c r="P20" s="58">
        <f>工程基本資料!$B$8+工程基本資料!$B$7+$L20+$M20-1</f>
        <v>-1</v>
      </c>
      <c r="Q20" s="9" t="e">
        <v>#N/A</v>
      </c>
    </row>
    <row r="21" spans="1:17" ht="63" customHeight="1" x14ac:dyDescent="0.3">
      <c r="A21" s="60"/>
      <c r="B21" s="61">
        <f t="shared" si="1"/>
        <v>18</v>
      </c>
      <c r="C21" s="62"/>
      <c r="D21" s="62"/>
      <c r="E21" s="63"/>
      <c r="F21" s="63"/>
      <c r="G21" s="63"/>
      <c r="H21" s="64" t="e">
        <f t="shared" si="0"/>
        <v>#N/A</v>
      </c>
      <c r="I21" s="63"/>
      <c r="J21" s="65">
        <f t="shared" si="2"/>
        <v>18</v>
      </c>
      <c r="K21" s="65">
        <f>工程基本資料!$B$7-$J21+$L21+$M21</f>
        <v>-18</v>
      </c>
      <c r="L21" s="66"/>
      <c r="M21" s="66"/>
      <c r="N21" s="66"/>
      <c r="O21" s="70"/>
      <c r="P21" s="58">
        <f>工程基本資料!$B$8+工程基本資料!$B$7+$L21+$M21-1</f>
        <v>-1</v>
      </c>
      <c r="Q21" s="9" t="e">
        <v>#N/A</v>
      </c>
    </row>
    <row r="22" spans="1:17" ht="63" customHeight="1" x14ac:dyDescent="0.3">
      <c r="A22" s="60"/>
      <c r="B22" s="61">
        <f t="shared" si="1"/>
        <v>19</v>
      </c>
      <c r="C22" s="62"/>
      <c r="D22" s="62"/>
      <c r="E22" s="63"/>
      <c r="F22" s="63"/>
      <c r="G22" s="63"/>
      <c r="H22" s="64" t="e">
        <f t="shared" si="0"/>
        <v>#N/A</v>
      </c>
      <c r="I22" s="63"/>
      <c r="J22" s="65">
        <f t="shared" si="2"/>
        <v>19</v>
      </c>
      <c r="K22" s="65">
        <f>工程基本資料!$B$7-$J22+$L22+$M22</f>
        <v>-19</v>
      </c>
      <c r="L22" s="66"/>
      <c r="M22" s="66"/>
      <c r="N22" s="66"/>
      <c r="O22" s="70"/>
      <c r="P22" s="58">
        <f>工程基本資料!$B$8+工程基本資料!$B$7+$L22+$M22-1</f>
        <v>-1</v>
      </c>
      <c r="Q22" s="9" t="e">
        <v>#N/A</v>
      </c>
    </row>
    <row r="23" spans="1:17" ht="63" customHeight="1" x14ac:dyDescent="0.3">
      <c r="A23" s="60"/>
      <c r="B23" s="61">
        <f t="shared" si="1"/>
        <v>20</v>
      </c>
      <c r="C23" s="62"/>
      <c r="D23" s="62"/>
      <c r="E23" s="63"/>
      <c r="F23" s="63"/>
      <c r="G23" s="63"/>
      <c r="H23" s="64" t="e">
        <f t="shared" si="0"/>
        <v>#N/A</v>
      </c>
      <c r="I23" s="63"/>
      <c r="J23" s="65">
        <f t="shared" si="2"/>
        <v>20</v>
      </c>
      <c r="K23" s="65">
        <f>工程基本資料!$B$7-$J23+$L23+$M23</f>
        <v>-20</v>
      </c>
      <c r="L23" s="66"/>
      <c r="M23" s="66"/>
      <c r="N23" s="66"/>
      <c r="O23" s="70"/>
      <c r="P23" s="58">
        <f>工程基本資料!$B$8+工程基本資料!$B$7+$L23+$M23-1</f>
        <v>-1</v>
      </c>
      <c r="Q23" s="9" t="e">
        <v>#N/A</v>
      </c>
    </row>
    <row r="24" spans="1:17" ht="63" customHeight="1" x14ac:dyDescent="0.3">
      <c r="A24" s="60"/>
      <c r="B24" s="61">
        <f t="shared" si="1"/>
        <v>21</v>
      </c>
      <c r="C24" s="62"/>
      <c r="D24" s="62"/>
      <c r="E24" s="63"/>
      <c r="F24" s="63"/>
      <c r="G24" s="63"/>
      <c r="H24" s="64"/>
      <c r="I24" s="63"/>
      <c r="J24" s="65">
        <f t="shared" si="2"/>
        <v>21</v>
      </c>
      <c r="K24" s="65">
        <f>工程基本資料!$B$7-$J24+$L24+$M24</f>
        <v>-21</v>
      </c>
      <c r="L24" s="66"/>
      <c r="M24" s="66"/>
      <c r="N24" s="66"/>
      <c r="O24" s="70"/>
      <c r="P24" s="58">
        <f>工程基本資料!$B$8+工程基本資料!$B$7+$L24+$M24-1</f>
        <v>-1</v>
      </c>
      <c r="Q24" s="9" t="e">
        <v>#N/A</v>
      </c>
    </row>
    <row r="25" spans="1:17" ht="63" customHeight="1" x14ac:dyDescent="0.3">
      <c r="A25" s="60"/>
      <c r="B25" s="61">
        <f t="shared" si="1"/>
        <v>22</v>
      </c>
      <c r="C25" s="62"/>
      <c r="D25" s="62"/>
      <c r="E25" s="63"/>
      <c r="F25" s="63"/>
      <c r="G25" s="63"/>
      <c r="H25" s="64" t="e">
        <f t="shared" si="0"/>
        <v>#N/A</v>
      </c>
      <c r="I25" s="63"/>
      <c r="J25" s="65">
        <f t="shared" si="2"/>
        <v>22</v>
      </c>
      <c r="K25" s="65">
        <f>工程基本資料!$B$7-$J25+$L25+$M25</f>
        <v>-22</v>
      </c>
      <c r="L25" s="66"/>
      <c r="M25" s="66"/>
      <c r="N25" s="66"/>
      <c r="O25" s="70"/>
      <c r="P25" s="58">
        <f>工程基本資料!$B$8+工程基本資料!$B$7+$L25+$M25-1</f>
        <v>-1</v>
      </c>
      <c r="Q25" s="9" t="e">
        <v>#N/A</v>
      </c>
    </row>
    <row r="26" spans="1:17" ht="63" customHeight="1" x14ac:dyDescent="0.3">
      <c r="A26" s="60"/>
      <c r="B26" s="61">
        <f t="shared" si="1"/>
        <v>23</v>
      </c>
      <c r="C26" s="62"/>
      <c r="D26" s="62"/>
      <c r="E26" s="63"/>
      <c r="F26" s="63"/>
      <c r="G26" s="63"/>
      <c r="H26" s="64" t="e">
        <f t="shared" si="0"/>
        <v>#N/A</v>
      </c>
      <c r="I26" s="63"/>
      <c r="J26" s="65">
        <f t="shared" si="2"/>
        <v>23</v>
      </c>
      <c r="K26" s="65">
        <f>工程基本資料!$B$7-$J26+$L26+$M26</f>
        <v>-23</v>
      </c>
      <c r="L26" s="66"/>
      <c r="M26" s="66"/>
      <c r="N26" s="66"/>
      <c r="O26" s="70"/>
      <c r="P26" s="58">
        <f>工程基本資料!$B$8+工程基本資料!$B$7+$L26+$M26-1</f>
        <v>-1</v>
      </c>
      <c r="Q26" s="9" t="e">
        <v>#N/A</v>
      </c>
    </row>
    <row r="27" spans="1:17" ht="63" customHeight="1" x14ac:dyDescent="0.3">
      <c r="A27" s="60"/>
      <c r="B27" s="61">
        <f t="shared" si="1"/>
        <v>24</v>
      </c>
      <c r="C27" s="62"/>
      <c r="D27" s="62"/>
      <c r="E27" s="63"/>
      <c r="F27" s="63"/>
      <c r="G27" s="63"/>
      <c r="H27" s="64" t="e">
        <f t="shared" si="0"/>
        <v>#N/A</v>
      </c>
      <c r="I27" s="63"/>
      <c r="J27" s="65">
        <f t="shared" si="2"/>
        <v>24</v>
      </c>
      <c r="K27" s="65">
        <f>工程基本資料!$B$7-$J27+$L27+$M27</f>
        <v>-24</v>
      </c>
      <c r="L27" s="66"/>
      <c r="M27" s="66"/>
      <c r="N27" s="66"/>
      <c r="O27" s="70"/>
      <c r="P27" s="58">
        <f>工程基本資料!$B$8+工程基本資料!$B$7+$L27+$M27-1</f>
        <v>-1</v>
      </c>
      <c r="Q27" s="9" t="e">
        <v>#N/A</v>
      </c>
    </row>
    <row r="28" spans="1:17" ht="63" customHeight="1" x14ac:dyDescent="0.3">
      <c r="A28" s="60"/>
      <c r="B28" s="61">
        <f t="shared" si="1"/>
        <v>25</v>
      </c>
      <c r="C28" s="62"/>
      <c r="D28" s="62"/>
      <c r="E28" s="63"/>
      <c r="F28" s="63"/>
      <c r="G28" s="63"/>
      <c r="H28" s="64" t="e">
        <f t="shared" si="0"/>
        <v>#N/A</v>
      </c>
      <c r="I28" s="63"/>
      <c r="J28" s="65">
        <f t="shared" si="2"/>
        <v>25</v>
      </c>
      <c r="K28" s="65">
        <f>工程基本資料!$B$7-$J28+$L28+$M28</f>
        <v>-25</v>
      </c>
      <c r="L28" s="66"/>
      <c r="M28" s="66"/>
      <c r="N28" s="66"/>
      <c r="O28" s="70"/>
      <c r="P28" s="58">
        <f>工程基本資料!$B$8+工程基本資料!$B$7+$L28+$M28-1</f>
        <v>-1</v>
      </c>
      <c r="Q28" s="9" t="e">
        <v>#N/A</v>
      </c>
    </row>
    <row r="29" spans="1:17" ht="63" customHeight="1" x14ac:dyDescent="0.3">
      <c r="A29" s="60"/>
      <c r="B29" s="61">
        <f t="shared" si="1"/>
        <v>26</v>
      </c>
      <c r="C29" s="62"/>
      <c r="D29" s="62"/>
      <c r="E29" s="63"/>
      <c r="F29" s="63"/>
      <c r="G29" s="63"/>
      <c r="H29" s="64" t="e">
        <f t="shared" si="0"/>
        <v>#N/A</v>
      </c>
      <c r="I29" s="63"/>
      <c r="J29" s="65">
        <f t="shared" si="2"/>
        <v>26</v>
      </c>
      <c r="K29" s="65">
        <f>工程基本資料!$B$7-$J29+$L29+$M29</f>
        <v>-26</v>
      </c>
      <c r="L29" s="66"/>
      <c r="M29" s="66"/>
      <c r="N29" s="66"/>
      <c r="O29" s="70"/>
      <c r="P29" s="58">
        <f>工程基本資料!$B$8+工程基本資料!$B$7+$L29+$M29-1</f>
        <v>-1</v>
      </c>
      <c r="Q29" s="9" t="e">
        <v>#N/A</v>
      </c>
    </row>
    <row r="30" spans="1:17" ht="63" customHeight="1" x14ac:dyDescent="0.3">
      <c r="A30" s="60"/>
      <c r="B30" s="61">
        <f t="shared" si="1"/>
        <v>27</v>
      </c>
      <c r="C30" s="62"/>
      <c r="D30" s="62"/>
      <c r="E30" s="63"/>
      <c r="F30" s="63"/>
      <c r="G30" s="63"/>
      <c r="H30" s="64" t="e">
        <f t="shared" si="0"/>
        <v>#N/A</v>
      </c>
      <c r="I30" s="63"/>
      <c r="J30" s="65">
        <f t="shared" si="2"/>
        <v>27</v>
      </c>
      <c r="K30" s="65">
        <f>工程基本資料!$B$7-$J30+$L30+$M30</f>
        <v>-27</v>
      </c>
      <c r="L30" s="66"/>
      <c r="M30" s="66"/>
      <c r="N30" s="66"/>
      <c r="O30" s="70"/>
      <c r="P30" s="58">
        <f>工程基本資料!$B$8+工程基本資料!$B$7+$L30+$M30-1</f>
        <v>-1</v>
      </c>
      <c r="Q30" s="9" t="e">
        <v>#N/A</v>
      </c>
    </row>
    <row r="31" spans="1:17" ht="63" customHeight="1" x14ac:dyDescent="0.3">
      <c r="A31" s="60"/>
      <c r="B31" s="61">
        <f t="shared" si="1"/>
        <v>28</v>
      </c>
      <c r="C31" s="62"/>
      <c r="D31" s="62"/>
      <c r="E31" s="63"/>
      <c r="F31" s="63"/>
      <c r="G31" s="63"/>
      <c r="H31" s="64" t="e">
        <f t="shared" si="0"/>
        <v>#N/A</v>
      </c>
      <c r="I31" s="63"/>
      <c r="J31" s="65">
        <f t="shared" si="2"/>
        <v>28</v>
      </c>
      <c r="K31" s="65">
        <f>工程基本資料!$B$7-$J31+$L31+$M31</f>
        <v>-28</v>
      </c>
      <c r="L31" s="66"/>
      <c r="M31" s="66"/>
      <c r="N31" s="66"/>
      <c r="O31" s="70"/>
      <c r="P31" s="58">
        <f>工程基本資料!$B$8+工程基本資料!$B$7+$L31+$M31-1</f>
        <v>-1</v>
      </c>
      <c r="Q31" s="9" t="e">
        <v>#N/A</v>
      </c>
    </row>
    <row r="32" spans="1:17" ht="63" customHeight="1" x14ac:dyDescent="0.3">
      <c r="A32" s="60"/>
      <c r="B32" s="61">
        <f t="shared" si="1"/>
        <v>29</v>
      </c>
      <c r="C32" s="62"/>
      <c r="D32" s="62"/>
      <c r="E32" s="63"/>
      <c r="F32" s="63"/>
      <c r="G32" s="63"/>
      <c r="H32" s="64" t="e">
        <f t="shared" si="0"/>
        <v>#N/A</v>
      </c>
      <c r="I32" s="63"/>
      <c r="J32" s="65">
        <f t="shared" si="2"/>
        <v>29</v>
      </c>
      <c r="K32" s="65">
        <f>工程基本資料!$B$7-$J32+$L32+$M32</f>
        <v>-29</v>
      </c>
      <c r="L32" s="66"/>
      <c r="M32" s="66"/>
      <c r="N32" s="66"/>
      <c r="O32" s="70"/>
      <c r="P32" s="58">
        <f>工程基本資料!$B$8+工程基本資料!$B$7+$L32+$M32-1</f>
        <v>-1</v>
      </c>
      <c r="Q32" s="9" t="e">
        <v>#N/A</v>
      </c>
    </row>
    <row r="33" spans="1:17" ht="63" customHeight="1" x14ac:dyDescent="0.3">
      <c r="A33" s="60"/>
      <c r="B33" s="61">
        <f t="shared" si="1"/>
        <v>30</v>
      </c>
      <c r="C33" s="62"/>
      <c r="D33" s="62"/>
      <c r="E33" s="63"/>
      <c r="F33" s="63"/>
      <c r="G33" s="63"/>
      <c r="H33" s="64"/>
      <c r="I33" s="63"/>
      <c r="J33" s="65">
        <f t="shared" si="2"/>
        <v>30</v>
      </c>
      <c r="K33" s="65">
        <f>工程基本資料!$B$7-$J33+$L33+$M33</f>
        <v>-30</v>
      </c>
      <c r="L33" s="66"/>
      <c r="M33" s="66"/>
      <c r="N33" s="66"/>
      <c r="O33" s="70"/>
      <c r="P33" s="58">
        <f>工程基本資料!$B$8+工程基本資料!$B$7+$L33+$M33-1</f>
        <v>-1</v>
      </c>
      <c r="Q33" s="9" t="e">
        <v>#N/A</v>
      </c>
    </row>
    <row r="34" spans="1:17" ht="63" customHeight="1" x14ac:dyDescent="0.3">
      <c r="A34" s="60"/>
      <c r="B34" s="61">
        <f t="shared" si="1"/>
        <v>31</v>
      </c>
      <c r="C34" s="62"/>
      <c r="D34" s="62"/>
      <c r="E34" s="63"/>
      <c r="F34" s="63"/>
      <c r="G34" s="63"/>
      <c r="H34" s="64" t="e">
        <f t="shared" si="0"/>
        <v>#N/A</v>
      </c>
      <c r="I34" s="63"/>
      <c r="J34" s="65">
        <f t="shared" si="2"/>
        <v>31</v>
      </c>
      <c r="K34" s="65">
        <f>工程基本資料!$B$7-$J34+$L34+$M34</f>
        <v>-31</v>
      </c>
      <c r="L34" s="66"/>
      <c r="M34" s="66"/>
      <c r="N34" s="66"/>
      <c r="O34" s="70"/>
      <c r="P34" s="58">
        <f>工程基本資料!$B$8+工程基本資料!$B$7+$L34+$M34-1</f>
        <v>-1</v>
      </c>
      <c r="Q34" s="9" t="e">
        <v>#N/A</v>
      </c>
    </row>
    <row r="35" spans="1:17" ht="63" customHeight="1" x14ac:dyDescent="0.3">
      <c r="A35" s="60"/>
      <c r="B35" s="61">
        <f t="shared" si="1"/>
        <v>32</v>
      </c>
      <c r="C35" s="62"/>
      <c r="D35" s="62"/>
      <c r="E35" s="63"/>
      <c r="F35" s="63"/>
      <c r="G35" s="63"/>
      <c r="H35" s="64" t="e">
        <f t="shared" si="0"/>
        <v>#N/A</v>
      </c>
      <c r="I35" s="63"/>
      <c r="J35" s="65">
        <f t="shared" si="2"/>
        <v>32</v>
      </c>
      <c r="K35" s="65">
        <f>工程基本資料!$B$7-$J35+$L35+$M35</f>
        <v>-32</v>
      </c>
      <c r="L35" s="66"/>
      <c r="M35" s="66"/>
      <c r="N35" s="66"/>
      <c r="O35" s="70"/>
      <c r="P35" s="58">
        <f>工程基本資料!$B$8+工程基本資料!$B$7+$L35+$M35-1</f>
        <v>-1</v>
      </c>
      <c r="Q35" s="9" t="e">
        <v>#N/A</v>
      </c>
    </row>
    <row r="36" spans="1:17" ht="63" customHeight="1" x14ac:dyDescent="0.3">
      <c r="A36" s="60"/>
      <c r="B36" s="61">
        <f t="shared" si="1"/>
        <v>33</v>
      </c>
      <c r="C36" s="62"/>
      <c r="D36" s="62"/>
      <c r="E36" s="63"/>
      <c r="F36" s="63"/>
      <c r="G36" s="63"/>
      <c r="H36" s="64" t="e">
        <f t="shared" si="0"/>
        <v>#N/A</v>
      </c>
      <c r="I36" s="63"/>
      <c r="J36" s="65">
        <f t="shared" si="2"/>
        <v>33</v>
      </c>
      <c r="K36" s="65">
        <f>工程基本資料!$B$7-$J36+$L36+$M36</f>
        <v>-33</v>
      </c>
      <c r="L36" s="66"/>
      <c r="M36" s="66"/>
      <c r="N36" s="66"/>
      <c r="O36" s="70"/>
      <c r="P36" s="58">
        <f>工程基本資料!$B$8+工程基本資料!$B$7+$L36+$M36-1</f>
        <v>-1</v>
      </c>
      <c r="Q36" s="9" t="e">
        <v>#N/A</v>
      </c>
    </row>
    <row r="37" spans="1:17" ht="63" customHeight="1" x14ac:dyDescent="0.3">
      <c r="A37" s="60"/>
      <c r="B37" s="61">
        <f t="shared" si="1"/>
        <v>34</v>
      </c>
      <c r="C37" s="62"/>
      <c r="D37" s="62"/>
      <c r="E37" s="63"/>
      <c r="F37" s="63"/>
      <c r="G37" s="63"/>
      <c r="H37" s="64" t="e">
        <f t="shared" si="0"/>
        <v>#N/A</v>
      </c>
      <c r="I37" s="63"/>
      <c r="J37" s="65">
        <f t="shared" si="2"/>
        <v>34</v>
      </c>
      <c r="K37" s="65">
        <f>工程基本資料!$B$7-$J37+$L37+$M37</f>
        <v>-34</v>
      </c>
      <c r="L37" s="66"/>
      <c r="M37" s="66"/>
      <c r="N37" s="66"/>
      <c r="O37" s="70"/>
      <c r="P37" s="58">
        <f>工程基本資料!$B$8+工程基本資料!$B$7+$L37+$M37-1</f>
        <v>-1</v>
      </c>
      <c r="Q37" s="9" t="e">
        <v>#N/A</v>
      </c>
    </row>
    <row r="38" spans="1:17" ht="63" customHeight="1" x14ac:dyDescent="0.3">
      <c r="A38" s="60"/>
      <c r="B38" s="61">
        <f t="shared" si="1"/>
        <v>35</v>
      </c>
      <c r="C38" s="62"/>
      <c r="D38" s="62"/>
      <c r="E38" s="63"/>
      <c r="F38" s="63"/>
      <c r="G38" s="63"/>
      <c r="H38" s="64" t="e">
        <f t="shared" si="0"/>
        <v>#N/A</v>
      </c>
      <c r="I38" s="63"/>
      <c r="J38" s="65">
        <f t="shared" si="2"/>
        <v>35</v>
      </c>
      <c r="K38" s="65">
        <f>工程基本資料!$B$7-$J38+$L38+$M38</f>
        <v>-35</v>
      </c>
      <c r="L38" s="66"/>
      <c r="M38" s="66"/>
      <c r="N38" s="66"/>
      <c r="O38" s="70"/>
      <c r="P38" s="58">
        <f>工程基本資料!$B$8+工程基本資料!$B$7+$L38+$M38-1</f>
        <v>-1</v>
      </c>
      <c r="Q38" s="9" t="e">
        <v>#N/A</v>
      </c>
    </row>
    <row r="39" spans="1:17" ht="63" customHeight="1" x14ac:dyDescent="0.3">
      <c r="A39" s="60"/>
      <c r="B39" s="61">
        <f t="shared" si="1"/>
        <v>36</v>
      </c>
      <c r="C39" s="62"/>
      <c r="D39" s="62"/>
      <c r="E39" s="63"/>
      <c r="F39" s="63"/>
      <c r="G39" s="63"/>
      <c r="H39" s="64" t="e">
        <f t="shared" si="0"/>
        <v>#N/A</v>
      </c>
      <c r="I39" s="63"/>
      <c r="J39" s="65">
        <f t="shared" si="2"/>
        <v>36</v>
      </c>
      <c r="K39" s="65">
        <f>工程基本資料!$B$7-$J39+$L39+$M39</f>
        <v>-36</v>
      </c>
      <c r="L39" s="66"/>
      <c r="M39" s="66"/>
      <c r="N39" s="66"/>
      <c r="O39" s="70"/>
      <c r="P39" s="58">
        <f>工程基本資料!$B$8+工程基本資料!$B$7+$L39+$M39-1</f>
        <v>-1</v>
      </c>
      <c r="Q39" s="9" t="e">
        <v>#N/A</v>
      </c>
    </row>
    <row r="40" spans="1:17" ht="63" customHeight="1" x14ac:dyDescent="0.3">
      <c r="A40" s="60"/>
      <c r="B40" s="61">
        <f t="shared" si="1"/>
        <v>37</v>
      </c>
      <c r="C40" s="62"/>
      <c r="D40" s="62"/>
      <c r="E40" s="63"/>
      <c r="F40" s="63"/>
      <c r="G40" s="63"/>
      <c r="H40" s="64" t="e">
        <f t="shared" si="0"/>
        <v>#N/A</v>
      </c>
      <c r="I40" s="63"/>
      <c r="J40" s="65">
        <f t="shared" si="2"/>
        <v>37</v>
      </c>
      <c r="K40" s="65">
        <f>工程基本資料!$B$7-$J40+$L40+$M40</f>
        <v>-37</v>
      </c>
      <c r="L40" s="66"/>
      <c r="M40" s="66"/>
      <c r="N40" s="66"/>
      <c r="O40" s="70"/>
      <c r="P40" s="58">
        <f>工程基本資料!$B$8+工程基本資料!$B$7+$L40+$M40-1</f>
        <v>-1</v>
      </c>
      <c r="Q40" s="9" t="e">
        <v>#N/A</v>
      </c>
    </row>
    <row r="41" spans="1:17" ht="63" customHeight="1" x14ac:dyDescent="0.3">
      <c r="A41" s="60"/>
      <c r="B41" s="61">
        <f t="shared" si="1"/>
        <v>38</v>
      </c>
      <c r="C41" s="62"/>
      <c r="D41" s="62"/>
      <c r="E41" s="63"/>
      <c r="F41" s="63"/>
      <c r="G41" s="63"/>
      <c r="H41" s="64" t="e">
        <f t="shared" si="0"/>
        <v>#N/A</v>
      </c>
      <c r="I41" s="63"/>
      <c r="J41" s="65">
        <f t="shared" si="2"/>
        <v>38</v>
      </c>
      <c r="K41" s="65">
        <f>工程基本資料!$B$7-$J41+$L41+$M41</f>
        <v>-38</v>
      </c>
      <c r="L41" s="66"/>
      <c r="M41" s="66"/>
      <c r="N41" s="66"/>
      <c r="O41" s="70"/>
      <c r="P41" s="58">
        <f>工程基本資料!$B$8+工程基本資料!$B$7+$L41+$M41-1</f>
        <v>-1</v>
      </c>
      <c r="Q41" s="9" t="e">
        <v>#N/A</v>
      </c>
    </row>
    <row r="42" spans="1:17" ht="63" customHeight="1" x14ac:dyDescent="0.3">
      <c r="A42" s="60"/>
      <c r="B42" s="61">
        <f t="shared" si="1"/>
        <v>39</v>
      </c>
      <c r="C42" s="62"/>
      <c r="D42" s="62"/>
      <c r="E42" s="63"/>
      <c r="F42" s="63"/>
      <c r="G42" s="63"/>
      <c r="H42" s="64" t="e">
        <f t="shared" si="0"/>
        <v>#N/A</v>
      </c>
      <c r="I42" s="63"/>
      <c r="J42" s="65">
        <f t="shared" si="2"/>
        <v>39</v>
      </c>
      <c r="K42" s="65">
        <f>工程基本資料!$B$7-$J42+$L42+$M42</f>
        <v>-39</v>
      </c>
      <c r="L42" s="66"/>
      <c r="M42" s="66"/>
      <c r="N42" s="66"/>
      <c r="O42" s="70"/>
      <c r="P42" s="58">
        <f>工程基本資料!$B$8+工程基本資料!$B$7+$L42+$M42-1</f>
        <v>-1</v>
      </c>
      <c r="Q42" s="9" t="e">
        <v>#N/A</v>
      </c>
    </row>
    <row r="43" spans="1:17" ht="63" customHeight="1" x14ac:dyDescent="0.3">
      <c r="A43" s="60"/>
      <c r="B43" s="61">
        <f t="shared" si="1"/>
        <v>40</v>
      </c>
      <c r="C43" s="62"/>
      <c r="D43" s="62"/>
      <c r="E43" s="63"/>
      <c r="F43" s="63"/>
      <c r="G43" s="63"/>
      <c r="H43" s="64" t="e">
        <f t="shared" si="0"/>
        <v>#N/A</v>
      </c>
      <c r="I43" s="63"/>
      <c r="J43" s="65">
        <f t="shared" si="2"/>
        <v>40</v>
      </c>
      <c r="K43" s="65">
        <f>工程基本資料!$B$7-$J43+$L43+$M43</f>
        <v>-40</v>
      </c>
      <c r="L43" s="66"/>
      <c r="M43" s="66"/>
      <c r="N43" s="66"/>
      <c r="O43" s="70"/>
      <c r="P43" s="58">
        <f>工程基本資料!$B$8+工程基本資料!$B$7+$L43+$M43-1</f>
        <v>-1</v>
      </c>
      <c r="Q43" s="9" t="e">
        <v>#N/A</v>
      </c>
    </row>
    <row r="44" spans="1:17" ht="63" customHeight="1" x14ac:dyDescent="0.3">
      <c r="A44" s="60"/>
      <c r="B44" s="61">
        <f t="shared" si="1"/>
        <v>41</v>
      </c>
      <c r="C44" s="62"/>
      <c r="D44" s="62"/>
      <c r="E44" s="63"/>
      <c r="F44" s="63"/>
      <c r="G44" s="63"/>
      <c r="H44" s="64" t="e">
        <f t="shared" si="0"/>
        <v>#N/A</v>
      </c>
      <c r="I44" s="63"/>
      <c r="J44" s="65">
        <f t="shared" si="2"/>
        <v>41</v>
      </c>
      <c r="K44" s="65">
        <f>工程基本資料!$B$7-$J44+$L44+$M44</f>
        <v>-41</v>
      </c>
      <c r="L44" s="66"/>
      <c r="M44" s="66"/>
      <c r="N44" s="66"/>
      <c r="O44" s="70"/>
      <c r="P44" s="58">
        <f>工程基本資料!$B$8+工程基本資料!$B$7+$L44+$M44-1</f>
        <v>-1</v>
      </c>
      <c r="Q44" s="9" t="e">
        <v>#N/A</v>
      </c>
    </row>
    <row r="45" spans="1:17" ht="63" customHeight="1" x14ac:dyDescent="0.3">
      <c r="A45" s="60"/>
      <c r="B45" s="61">
        <f t="shared" si="1"/>
        <v>42</v>
      </c>
      <c r="C45" s="62"/>
      <c r="D45" s="62"/>
      <c r="E45" s="63"/>
      <c r="F45" s="63"/>
      <c r="G45" s="63"/>
      <c r="H45" s="64" t="e">
        <f t="shared" si="0"/>
        <v>#N/A</v>
      </c>
      <c r="I45" s="63"/>
      <c r="J45" s="65">
        <f t="shared" si="2"/>
        <v>42</v>
      </c>
      <c r="K45" s="65">
        <f>工程基本資料!$B$7-$J45+$L45+$M45</f>
        <v>-42</v>
      </c>
      <c r="L45" s="66"/>
      <c r="M45" s="66"/>
      <c r="N45" s="66"/>
      <c r="O45" s="70"/>
      <c r="P45" s="58">
        <f>工程基本資料!$B$8+工程基本資料!$B$7+$L45+$M45-1</f>
        <v>-1</v>
      </c>
      <c r="Q45" s="9" t="e">
        <v>#N/A</v>
      </c>
    </row>
    <row r="46" spans="1:17" ht="63" customHeight="1" x14ac:dyDescent="0.3">
      <c r="A46" s="60"/>
      <c r="B46" s="61">
        <f t="shared" si="1"/>
        <v>43</v>
      </c>
      <c r="C46" s="62"/>
      <c r="D46" s="62"/>
      <c r="E46" s="63"/>
      <c r="F46" s="63"/>
      <c r="G46" s="63"/>
      <c r="H46" s="64" t="e">
        <f t="shared" si="0"/>
        <v>#N/A</v>
      </c>
      <c r="I46" s="63"/>
      <c r="J46" s="65">
        <f t="shared" si="2"/>
        <v>43</v>
      </c>
      <c r="K46" s="65">
        <f>工程基本資料!$B$7-$J46+$L46+$M46</f>
        <v>-43</v>
      </c>
      <c r="L46" s="66"/>
      <c r="M46" s="66"/>
      <c r="N46" s="66"/>
      <c r="O46" s="70"/>
      <c r="P46" s="58">
        <f>工程基本資料!$B$8+工程基本資料!$B$7+$L46+$M46-1</f>
        <v>-1</v>
      </c>
      <c r="Q46" s="9" t="e">
        <v>#N/A</v>
      </c>
    </row>
    <row r="47" spans="1:17" ht="63" customHeight="1" x14ac:dyDescent="0.3">
      <c r="A47" s="60"/>
      <c r="B47" s="61">
        <f t="shared" si="1"/>
        <v>44</v>
      </c>
      <c r="C47" s="62"/>
      <c r="D47" s="62"/>
      <c r="E47" s="63"/>
      <c r="F47" s="63"/>
      <c r="G47" s="63"/>
      <c r="H47" s="64" t="e">
        <f t="shared" si="0"/>
        <v>#N/A</v>
      </c>
      <c r="I47" s="63"/>
      <c r="J47" s="65">
        <f t="shared" si="2"/>
        <v>44</v>
      </c>
      <c r="K47" s="65">
        <f>工程基本資料!$B$7-$J47+$L47+$M47</f>
        <v>-44</v>
      </c>
      <c r="L47" s="66"/>
      <c r="M47" s="66"/>
      <c r="N47" s="66"/>
      <c r="O47" s="70"/>
      <c r="P47" s="58">
        <f>工程基本資料!$B$8+工程基本資料!$B$7+$L47+$M47-1</f>
        <v>-1</v>
      </c>
      <c r="Q47" s="9" t="e">
        <v>#N/A</v>
      </c>
    </row>
    <row r="48" spans="1:17" ht="63" customHeight="1" x14ac:dyDescent="0.3">
      <c r="A48" s="60"/>
      <c r="B48" s="61">
        <f t="shared" si="1"/>
        <v>45</v>
      </c>
      <c r="C48" s="62"/>
      <c r="D48" s="62"/>
      <c r="E48" s="63"/>
      <c r="F48" s="63"/>
      <c r="G48" s="63"/>
      <c r="H48" s="64" t="e">
        <f t="shared" si="0"/>
        <v>#N/A</v>
      </c>
      <c r="I48" s="63"/>
      <c r="J48" s="65">
        <f t="shared" si="2"/>
        <v>45</v>
      </c>
      <c r="K48" s="65">
        <f>工程基本資料!$B$7-$J48+$L48+$M48</f>
        <v>-45</v>
      </c>
      <c r="L48" s="66"/>
      <c r="M48" s="66"/>
      <c r="N48" s="66"/>
      <c r="O48" s="70"/>
      <c r="P48" s="58">
        <f>工程基本資料!$B$8+工程基本資料!$B$7+$L48+$M48-1</f>
        <v>-1</v>
      </c>
      <c r="Q48" s="9" t="e">
        <v>#N/A</v>
      </c>
    </row>
    <row r="49" spans="1:17" ht="63" customHeight="1" x14ac:dyDescent="0.3">
      <c r="A49" s="60"/>
      <c r="B49" s="61">
        <f t="shared" si="1"/>
        <v>46</v>
      </c>
      <c r="C49" s="62"/>
      <c r="D49" s="62"/>
      <c r="E49" s="63"/>
      <c r="F49" s="63"/>
      <c r="G49" s="63"/>
      <c r="H49" s="64" t="e">
        <f t="shared" si="0"/>
        <v>#N/A</v>
      </c>
      <c r="I49" s="63"/>
      <c r="J49" s="65">
        <f t="shared" si="2"/>
        <v>46</v>
      </c>
      <c r="K49" s="65">
        <f>工程基本資料!$B$7-$J49+$L49+$M49</f>
        <v>-46</v>
      </c>
      <c r="L49" s="66"/>
      <c r="M49" s="66"/>
      <c r="N49" s="66"/>
      <c r="O49" s="70"/>
      <c r="P49" s="58">
        <f>工程基本資料!$B$8+工程基本資料!$B$7+$L49+$M49-1</f>
        <v>-1</v>
      </c>
      <c r="Q49" s="9" t="e">
        <v>#N/A</v>
      </c>
    </row>
    <row r="50" spans="1:17" ht="63" customHeight="1" x14ac:dyDescent="0.3">
      <c r="A50" s="60"/>
      <c r="B50" s="61">
        <f t="shared" si="1"/>
        <v>47</v>
      </c>
      <c r="C50" s="62"/>
      <c r="D50" s="62"/>
      <c r="E50" s="63"/>
      <c r="F50" s="63"/>
      <c r="G50" s="63"/>
      <c r="H50" s="64" t="e">
        <f t="shared" si="0"/>
        <v>#N/A</v>
      </c>
      <c r="I50" s="63"/>
      <c r="J50" s="65">
        <f t="shared" si="2"/>
        <v>47</v>
      </c>
      <c r="K50" s="65">
        <f>工程基本資料!$B$7-$J50+$L50+$M50</f>
        <v>-47</v>
      </c>
      <c r="L50" s="66"/>
      <c r="M50" s="66"/>
      <c r="N50" s="66"/>
      <c r="O50" s="70"/>
      <c r="P50" s="58">
        <f>工程基本資料!$B$8+工程基本資料!$B$7+$L50+$M50-1</f>
        <v>-1</v>
      </c>
      <c r="Q50" s="9" t="e">
        <v>#N/A</v>
      </c>
    </row>
    <row r="51" spans="1:17" ht="63" customHeight="1" x14ac:dyDescent="0.3">
      <c r="A51" s="60"/>
      <c r="B51" s="61">
        <f t="shared" si="1"/>
        <v>48</v>
      </c>
      <c r="C51" s="62"/>
      <c r="D51" s="62"/>
      <c r="E51" s="63"/>
      <c r="F51" s="63"/>
      <c r="G51" s="63"/>
      <c r="H51" s="64" t="e">
        <f t="shared" si="0"/>
        <v>#N/A</v>
      </c>
      <c r="I51" s="63"/>
      <c r="J51" s="65">
        <f t="shared" si="2"/>
        <v>48</v>
      </c>
      <c r="K51" s="65">
        <f>工程基本資料!$B$7-$J51+$L51+$M51</f>
        <v>-48</v>
      </c>
      <c r="L51" s="66"/>
      <c r="M51" s="66"/>
      <c r="N51" s="66"/>
      <c r="O51" s="70"/>
      <c r="P51" s="58">
        <f>工程基本資料!$B$8+工程基本資料!$B$7+$L51+$M51-1</f>
        <v>-1</v>
      </c>
      <c r="Q51" s="9" t="e">
        <v>#N/A</v>
      </c>
    </row>
    <row r="52" spans="1:17" ht="63" customHeight="1" x14ac:dyDescent="0.3">
      <c r="A52" s="60"/>
      <c r="B52" s="61">
        <f t="shared" si="1"/>
        <v>49</v>
      </c>
      <c r="C52" s="62"/>
      <c r="D52" s="62"/>
      <c r="E52" s="63"/>
      <c r="F52" s="63"/>
      <c r="G52" s="63"/>
      <c r="H52" s="64"/>
      <c r="I52" s="63"/>
      <c r="J52" s="65">
        <f t="shared" si="2"/>
        <v>49</v>
      </c>
      <c r="K52" s="65">
        <f>工程基本資料!$B$7-$J52+$L52+$M52</f>
        <v>-49</v>
      </c>
      <c r="L52" s="66"/>
      <c r="M52" s="66"/>
      <c r="N52" s="66"/>
      <c r="O52" s="70"/>
      <c r="P52" s="58">
        <f>工程基本資料!$B$8+工程基本資料!$B$7+$L52+$M52-1</f>
        <v>-1</v>
      </c>
      <c r="Q52" s="9" t="e">
        <v>#N/A</v>
      </c>
    </row>
    <row r="53" spans="1:17" ht="63" customHeight="1" x14ac:dyDescent="0.3">
      <c r="A53" s="60"/>
      <c r="B53" s="61">
        <f t="shared" si="1"/>
        <v>50</v>
      </c>
      <c r="C53" s="62"/>
      <c r="D53" s="62"/>
      <c r="E53" s="63"/>
      <c r="F53" s="63"/>
      <c r="G53" s="63"/>
      <c r="H53" s="64" t="e">
        <f>IF(Q53&gt;1,$R$3,$R$4)</f>
        <v>#N/A</v>
      </c>
      <c r="I53" s="63"/>
      <c r="J53" s="65">
        <f t="shared" si="2"/>
        <v>50</v>
      </c>
      <c r="K53" s="65">
        <f>工程基本資料!$B$7-$J53+$L53+$M53</f>
        <v>-50</v>
      </c>
      <c r="L53" s="66"/>
      <c r="M53" s="66"/>
      <c r="N53" s="66"/>
      <c r="O53" s="70"/>
      <c r="P53" s="58">
        <f>工程基本資料!$B$8+工程基本資料!$B$7+$L53+$M53-1</f>
        <v>-1</v>
      </c>
      <c r="Q53" s="9" t="e">
        <v>#N/A</v>
      </c>
    </row>
    <row r="54" spans="1:17" ht="63" customHeight="1" x14ac:dyDescent="0.3">
      <c r="A54" s="60"/>
      <c r="B54" s="61">
        <f t="shared" si="1"/>
        <v>51</v>
      </c>
      <c r="C54" s="62"/>
      <c r="D54" s="62"/>
      <c r="E54" s="63"/>
      <c r="F54" s="63"/>
      <c r="G54" s="63"/>
      <c r="H54" s="64" t="e">
        <f t="shared" si="0"/>
        <v>#N/A</v>
      </c>
      <c r="I54" s="63"/>
      <c r="J54" s="65">
        <f t="shared" si="2"/>
        <v>51</v>
      </c>
      <c r="K54" s="65">
        <f>工程基本資料!$B$7-$J54+$L54+$M54</f>
        <v>-51</v>
      </c>
      <c r="L54" s="66"/>
      <c r="M54" s="66"/>
      <c r="N54" s="66"/>
      <c r="O54" s="70"/>
      <c r="P54" s="58">
        <f>工程基本資料!$B$8+工程基本資料!$B$7+$L54+$M54-1</f>
        <v>-1</v>
      </c>
      <c r="Q54" s="9" t="e">
        <v>#N/A</v>
      </c>
    </row>
    <row r="55" spans="1:17" ht="63" customHeight="1" x14ac:dyDescent="0.3">
      <c r="A55" s="60"/>
      <c r="B55" s="61">
        <f t="shared" si="1"/>
        <v>52</v>
      </c>
      <c r="C55" s="62"/>
      <c r="D55" s="62"/>
      <c r="E55" s="63"/>
      <c r="F55" s="63"/>
      <c r="G55" s="63"/>
      <c r="H55" s="64" t="e">
        <f t="shared" si="0"/>
        <v>#N/A</v>
      </c>
      <c r="I55" s="63"/>
      <c r="J55" s="65">
        <f t="shared" si="2"/>
        <v>52</v>
      </c>
      <c r="K55" s="65">
        <f>工程基本資料!$B$7-$J55+$L55+$M55</f>
        <v>-52</v>
      </c>
      <c r="L55" s="66"/>
      <c r="M55" s="66"/>
      <c r="N55" s="66"/>
      <c r="O55" s="70"/>
      <c r="P55" s="58">
        <f>工程基本資料!$B$8+工程基本資料!$B$7+$L55+$M55-1</f>
        <v>-1</v>
      </c>
      <c r="Q55" s="9" t="e">
        <v>#N/A</v>
      </c>
    </row>
    <row r="56" spans="1:17" ht="63" customHeight="1" x14ac:dyDescent="0.3">
      <c r="A56" s="60"/>
      <c r="B56" s="61">
        <f t="shared" si="1"/>
        <v>53</v>
      </c>
      <c r="C56" s="62"/>
      <c r="D56" s="62"/>
      <c r="E56" s="63"/>
      <c r="F56" s="63"/>
      <c r="G56" s="63"/>
      <c r="H56" s="64" t="e">
        <f t="shared" si="0"/>
        <v>#N/A</v>
      </c>
      <c r="I56" s="63"/>
      <c r="J56" s="65">
        <f t="shared" si="2"/>
        <v>53</v>
      </c>
      <c r="K56" s="65">
        <f>工程基本資料!$B$7-$J56+$L56+$M56</f>
        <v>-53</v>
      </c>
      <c r="L56" s="66"/>
      <c r="M56" s="66"/>
      <c r="N56" s="66"/>
      <c r="O56" s="70"/>
      <c r="P56" s="58">
        <f>工程基本資料!$B$8+工程基本資料!$B$7+$L56+$M56-1</f>
        <v>-1</v>
      </c>
      <c r="Q56" s="9" t="e">
        <v>#N/A</v>
      </c>
    </row>
    <row r="57" spans="1:17" ht="63" customHeight="1" x14ac:dyDescent="0.3">
      <c r="A57" s="60"/>
      <c r="B57" s="61">
        <f t="shared" si="1"/>
        <v>54</v>
      </c>
      <c r="C57" s="62"/>
      <c r="D57" s="62"/>
      <c r="E57" s="63"/>
      <c r="F57" s="63"/>
      <c r="G57" s="63"/>
      <c r="H57" s="64" t="e">
        <f t="shared" si="0"/>
        <v>#N/A</v>
      </c>
      <c r="I57" s="63"/>
      <c r="J57" s="65">
        <f t="shared" si="2"/>
        <v>54</v>
      </c>
      <c r="K57" s="65">
        <f>工程基本資料!$B$7-$J57+$L57+$M57</f>
        <v>-54</v>
      </c>
      <c r="L57" s="66"/>
      <c r="M57" s="66"/>
      <c r="N57" s="66"/>
      <c r="O57" s="70"/>
      <c r="P57" s="58">
        <f>工程基本資料!$B$8+工程基本資料!$B$7+$L57+$M57-1</f>
        <v>-1</v>
      </c>
      <c r="Q57" s="9" t="e">
        <v>#N/A</v>
      </c>
    </row>
    <row r="58" spans="1:17" ht="63" customHeight="1" x14ac:dyDescent="0.3">
      <c r="A58" s="60"/>
      <c r="B58" s="61">
        <f t="shared" si="1"/>
        <v>55</v>
      </c>
      <c r="C58" s="62"/>
      <c r="D58" s="62"/>
      <c r="E58" s="63"/>
      <c r="F58" s="63"/>
      <c r="G58" s="63"/>
      <c r="H58" s="64" t="e">
        <f t="shared" si="0"/>
        <v>#N/A</v>
      </c>
      <c r="I58" s="63"/>
      <c r="J58" s="65">
        <f t="shared" si="2"/>
        <v>55</v>
      </c>
      <c r="K58" s="65">
        <f>工程基本資料!$B$7-$J58+$L58+$M58</f>
        <v>-55</v>
      </c>
      <c r="L58" s="66"/>
      <c r="M58" s="66"/>
      <c r="N58" s="66"/>
      <c r="O58" s="70"/>
      <c r="P58" s="58">
        <f>工程基本資料!$B$8+工程基本資料!$B$7+$L58+$M58-1</f>
        <v>-1</v>
      </c>
      <c r="Q58" s="9" t="e">
        <v>#N/A</v>
      </c>
    </row>
    <row r="59" spans="1:17" ht="63" customHeight="1" x14ac:dyDescent="0.3">
      <c r="A59" s="60"/>
      <c r="B59" s="61">
        <f t="shared" si="1"/>
        <v>56</v>
      </c>
      <c r="C59" s="62"/>
      <c r="D59" s="62"/>
      <c r="E59" s="63"/>
      <c r="F59" s="63"/>
      <c r="G59" s="63"/>
      <c r="H59" s="64" t="e">
        <f t="shared" si="0"/>
        <v>#N/A</v>
      </c>
      <c r="I59" s="63"/>
      <c r="J59" s="65">
        <f t="shared" si="2"/>
        <v>56</v>
      </c>
      <c r="K59" s="65">
        <f>工程基本資料!$B$7-$J59+$L59+$M59</f>
        <v>-56</v>
      </c>
      <c r="L59" s="66"/>
      <c r="M59" s="66"/>
      <c r="N59" s="66"/>
      <c r="O59" s="70"/>
      <c r="P59" s="58">
        <f>工程基本資料!$B$8+工程基本資料!$B$7+$L59+$M59-1</f>
        <v>-1</v>
      </c>
      <c r="Q59" s="9" t="e">
        <v>#N/A</v>
      </c>
    </row>
    <row r="60" spans="1:17" ht="63" customHeight="1" x14ac:dyDescent="0.3">
      <c r="A60" s="60"/>
      <c r="B60" s="61">
        <f t="shared" si="1"/>
        <v>57</v>
      </c>
      <c r="C60" s="62"/>
      <c r="D60" s="62"/>
      <c r="E60" s="63"/>
      <c r="F60" s="63"/>
      <c r="G60" s="63"/>
      <c r="H60" s="64" t="e">
        <f t="shared" si="0"/>
        <v>#N/A</v>
      </c>
      <c r="I60" s="63"/>
      <c r="J60" s="65">
        <f t="shared" si="2"/>
        <v>57</v>
      </c>
      <c r="K60" s="65">
        <f>工程基本資料!$B$7-$J60+$L60+$M60</f>
        <v>-57</v>
      </c>
      <c r="L60" s="66"/>
      <c r="M60" s="66"/>
      <c r="N60" s="66"/>
      <c r="O60" s="70"/>
      <c r="P60" s="58">
        <f>工程基本資料!$B$8+工程基本資料!$B$7+$L60+$M60-1</f>
        <v>-1</v>
      </c>
      <c r="Q60" s="9" t="e">
        <v>#N/A</v>
      </c>
    </row>
    <row r="61" spans="1:17" ht="63" customHeight="1" x14ac:dyDescent="0.3">
      <c r="A61" s="60"/>
      <c r="B61" s="61">
        <f t="shared" si="1"/>
        <v>58</v>
      </c>
      <c r="C61" s="62"/>
      <c r="D61" s="62"/>
      <c r="E61" s="63"/>
      <c r="F61" s="63"/>
      <c r="G61" s="63"/>
      <c r="H61" s="64" t="e">
        <f t="shared" si="0"/>
        <v>#N/A</v>
      </c>
      <c r="I61" s="63"/>
      <c r="J61" s="65">
        <f t="shared" si="2"/>
        <v>58</v>
      </c>
      <c r="K61" s="65">
        <f>工程基本資料!$B$7-$J61+$L61+$M61</f>
        <v>-58</v>
      </c>
      <c r="L61" s="66"/>
      <c r="M61" s="66"/>
      <c r="N61" s="66"/>
      <c r="O61" s="70"/>
      <c r="P61" s="58">
        <f>工程基本資料!$B$8+工程基本資料!$B$7+$L61+$M61-1</f>
        <v>-1</v>
      </c>
      <c r="Q61" s="9" t="e">
        <v>#N/A</v>
      </c>
    </row>
    <row r="62" spans="1:17" ht="63" customHeight="1" x14ac:dyDescent="0.3">
      <c r="A62" s="60"/>
      <c r="B62" s="61">
        <f t="shared" si="1"/>
        <v>59</v>
      </c>
      <c r="C62" s="62"/>
      <c r="D62" s="62"/>
      <c r="E62" s="63"/>
      <c r="F62" s="63"/>
      <c r="G62" s="63"/>
      <c r="H62" s="64" t="e">
        <f t="shared" si="0"/>
        <v>#N/A</v>
      </c>
      <c r="I62" s="63"/>
      <c r="J62" s="65">
        <f t="shared" si="2"/>
        <v>59</v>
      </c>
      <c r="K62" s="65">
        <f>工程基本資料!$B$7-$J62+$L62+$M62</f>
        <v>-59</v>
      </c>
      <c r="L62" s="66"/>
      <c r="M62" s="66"/>
      <c r="N62" s="66"/>
      <c r="O62" s="70"/>
      <c r="P62" s="58">
        <f>工程基本資料!$B$8+工程基本資料!$B$7+$L62+$M62-1</f>
        <v>-1</v>
      </c>
      <c r="Q62" s="9" t="e">
        <v>#N/A</v>
      </c>
    </row>
    <row r="63" spans="1:17" ht="63" customHeight="1" x14ac:dyDescent="0.3">
      <c r="A63" s="60"/>
      <c r="B63" s="61">
        <f t="shared" si="1"/>
        <v>60</v>
      </c>
      <c r="C63" s="62"/>
      <c r="D63" s="62"/>
      <c r="E63" s="63"/>
      <c r="F63" s="63"/>
      <c r="G63" s="63"/>
      <c r="H63" s="64" t="e">
        <f t="shared" si="0"/>
        <v>#N/A</v>
      </c>
      <c r="I63" s="63"/>
      <c r="J63" s="65">
        <f t="shared" si="2"/>
        <v>60</v>
      </c>
      <c r="K63" s="65">
        <f>工程基本資料!$B$7-$J63+$L63+$M63</f>
        <v>-60</v>
      </c>
      <c r="L63" s="66"/>
      <c r="M63" s="66"/>
      <c r="N63" s="66"/>
      <c r="O63" s="70"/>
      <c r="P63" s="58">
        <f>工程基本資料!$B$8+工程基本資料!$B$7+$L63+$M63-1</f>
        <v>-1</v>
      </c>
      <c r="Q63" s="9" t="e">
        <v>#N/A</v>
      </c>
    </row>
    <row r="64" spans="1:17" ht="63" customHeight="1" x14ac:dyDescent="0.3">
      <c r="A64" s="60"/>
      <c r="B64" s="61">
        <f t="shared" si="1"/>
        <v>61</v>
      </c>
      <c r="C64" s="62"/>
      <c r="D64" s="62"/>
      <c r="E64" s="63"/>
      <c r="F64" s="63"/>
      <c r="G64" s="63"/>
      <c r="H64" s="64" t="e">
        <f t="shared" si="0"/>
        <v>#N/A</v>
      </c>
      <c r="I64" s="63"/>
      <c r="J64" s="65">
        <f t="shared" si="2"/>
        <v>61</v>
      </c>
      <c r="K64" s="65">
        <f>工程基本資料!$B$7-$J64+$L64+$M64</f>
        <v>-61</v>
      </c>
      <c r="L64" s="66"/>
      <c r="M64" s="66"/>
      <c r="N64" s="66"/>
      <c r="O64" s="70"/>
      <c r="P64" s="58">
        <f>工程基本資料!$B$8+工程基本資料!$B$7+$L64+$M64-1</f>
        <v>-1</v>
      </c>
      <c r="Q64" s="9" t="e">
        <v>#N/A</v>
      </c>
    </row>
    <row r="65" spans="1:17" ht="63" customHeight="1" x14ac:dyDescent="0.3">
      <c r="A65" s="60"/>
      <c r="B65" s="61">
        <f t="shared" si="1"/>
        <v>62</v>
      </c>
      <c r="C65" s="62"/>
      <c r="D65" s="62"/>
      <c r="E65" s="63"/>
      <c r="F65" s="63"/>
      <c r="G65" s="63"/>
      <c r="H65" s="64"/>
      <c r="I65" s="63"/>
      <c r="J65" s="65">
        <f t="shared" si="2"/>
        <v>62</v>
      </c>
      <c r="K65" s="65">
        <f>工程基本資料!$B$7-$J65+$L65+$M65</f>
        <v>-62</v>
      </c>
      <c r="L65" s="66"/>
      <c r="M65" s="66"/>
      <c r="N65" s="66"/>
      <c r="O65" s="70"/>
      <c r="P65" s="58">
        <f>工程基本資料!$B$8+工程基本資料!$B$7+$L65+$M65-1</f>
        <v>-1</v>
      </c>
      <c r="Q65" s="9" t="e">
        <v>#N/A</v>
      </c>
    </row>
    <row r="66" spans="1:17" ht="63" customHeight="1" x14ac:dyDescent="0.3">
      <c r="A66" s="60"/>
      <c r="B66" s="61">
        <f t="shared" si="1"/>
        <v>63</v>
      </c>
      <c r="C66" s="62"/>
      <c r="D66" s="62"/>
      <c r="E66" s="63"/>
      <c r="F66" s="63"/>
      <c r="G66" s="63"/>
      <c r="H66" s="64" t="e">
        <f t="shared" si="0"/>
        <v>#N/A</v>
      </c>
      <c r="I66" s="63"/>
      <c r="J66" s="65">
        <f t="shared" si="2"/>
        <v>63</v>
      </c>
      <c r="K66" s="65">
        <f>工程基本資料!$B$7-$J66+$L66+$M66</f>
        <v>-63</v>
      </c>
      <c r="L66" s="66"/>
      <c r="M66" s="66"/>
      <c r="N66" s="66"/>
      <c r="O66" s="70"/>
      <c r="P66" s="58">
        <f>工程基本資料!$B$8+工程基本資料!$B$7+$L66+$M66-1</f>
        <v>-1</v>
      </c>
      <c r="Q66" s="9" t="e">
        <v>#N/A</v>
      </c>
    </row>
    <row r="67" spans="1:17" ht="63" customHeight="1" x14ac:dyDescent="0.3">
      <c r="A67" s="60"/>
      <c r="B67" s="61">
        <f t="shared" si="1"/>
        <v>64</v>
      </c>
      <c r="C67" s="62"/>
      <c r="D67" s="62"/>
      <c r="E67" s="63"/>
      <c r="F67" s="63"/>
      <c r="G67" s="63"/>
      <c r="H67" s="64" t="e">
        <f t="shared" si="0"/>
        <v>#N/A</v>
      </c>
      <c r="I67" s="63"/>
      <c r="J67" s="65">
        <f t="shared" si="2"/>
        <v>64</v>
      </c>
      <c r="K67" s="65">
        <f>工程基本資料!$B$7-$J67+$L67+$M67</f>
        <v>-64</v>
      </c>
      <c r="L67" s="66"/>
      <c r="M67" s="66"/>
      <c r="N67" s="66"/>
      <c r="O67" s="70"/>
      <c r="P67" s="58">
        <f>工程基本資料!$B$8+工程基本資料!$B$7+$L67+$M67-1</f>
        <v>-1</v>
      </c>
      <c r="Q67" s="9" t="e">
        <v>#N/A</v>
      </c>
    </row>
    <row r="68" spans="1:17" ht="63" customHeight="1" x14ac:dyDescent="0.3">
      <c r="A68" s="60"/>
      <c r="B68" s="61">
        <f t="shared" si="1"/>
        <v>65</v>
      </c>
      <c r="C68" s="62"/>
      <c r="D68" s="62"/>
      <c r="E68" s="63"/>
      <c r="F68" s="63"/>
      <c r="G68" s="63"/>
      <c r="H68" s="64" t="e">
        <f t="shared" ref="H68:H131" si="3">IF(Q68&gt;1,$R$3,$R$4)</f>
        <v>#N/A</v>
      </c>
      <c r="I68" s="63"/>
      <c r="J68" s="65">
        <f t="shared" si="2"/>
        <v>65</v>
      </c>
      <c r="K68" s="65">
        <f>工程基本資料!$B$7-$J68+$L68+$M68</f>
        <v>-65</v>
      </c>
      <c r="L68" s="66"/>
      <c r="M68" s="66"/>
      <c r="N68" s="66"/>
      <c r="O68" s="70"/>
      <c r="P68" s="58">
        <f>工程基本資料!$B$8+工程基本資料!$B$7+$L68+$M68-1</f>
        <v>-1</v>
      </c>
      <c r="Q68" s="9" t="e">
        <v>#N/A</v>
      </c>
    </row>
    <row r="69" spans="1:17" ht="63" customHeight="1" x14ac:dyDescent="0.3">
      <c r="A69" s="60"/>
      <c r="B69" s="61">
        <f t="shared" ref="B69:B132" si="4">B68+1</f>
        <v>66</v>
      </c>
      <c r="C69" s="62"/>
      <c r="D69" s="62"/>
      <c r="E69" s="63"/>
      <c r="F69" s="63"/>
      <c r="G69" s="63"/>
      <c r="H69" s="64" t="e">
        <f t="shared" si="3"/>
        <v>#N/A</v>
      </c>
      <c r="I69" s="63"/>
      <c r="J69" s="65">
        <f t="shared" ref="J69:J132" si="5">J68+1</f>
        <v>66</v>
      </c>
      <c r="K69" s="65">
        <f>工程基本資料!$B$7-$J69+$L69+$M69</f>
        <v>-66</v>
      </c>
      <c r="L69" s="66"/>
      <c r="M69" s="66"/>
      <c r="N69" s="66"/>
      <c r="O69" s="70"/>
      <c r="P69" s="58">
        <f>工程基本資料!$B$8+工程基本資料!$B$7+$L69+$M69-1</f>
        <v>-1</v>
      </c>
      <c r="Q69" s="9" t="e">
        <v>#N/A</v>
      </c>
    </row>
    <row r="70" spans="1:17" ht="63" customHeight="1" x14ac:dyDescent="0.3">
      <c r="A70" s="60"/>
      <c r="B70" s="61">
        <f t="shared" si="4"/>
        <v>67</v>
      </c>
      <c r="C70" s="62"/>
      <c r="D70" s="62"/>
      <c r="E70" s="63"/>
      <c r="F70" s="63"/>
      <c r="G70" s="63"/>
      <c r="H70" s="64" t="e">
        <f t="shared" si="3"/>
        <v>#N/A</v>
      </c>
      <c r="I70" s="63"/>
      <c r="J70" s="65">
        <f t="shared" si="5"/>
        <v>67</v>
      </c>
      <c r="K70" s="65">
        <f>工程基本資料!$B$7-$J70+$L70+$M70</f>
        <v>-67</v>
      </c>
      <c r="L70" s="66"/>
      <c r="M70" s="66"/>
      <c r="N70" s="66"/>
      <c r="O70" s="70"/>
      <c r="P70" s="58">
        <f>工程基本資料!$B$8+工程基本資料!$B$7+$L70+$M70-1</f>
        <v>-1</v>
      </c>
      <c r="Q70" s="9" t="e">
        <v>#N/A</v>
      </c>
    </row>
    <row r="71" spans="1:17" ht="63" customHeight="1" x14ac:dyDescent="0.3">
      <c r="A71" s="60"/>
      <c r="B71" s="61">
        <f t="shared" si="4"/>
        <v>68</v>
      </c>
      <c r="C71" s="62"/>
      <c r="D71" s="62"/>
      <c r="E71" s="63"/>
      <c r="F71" s="63"/>
      <c r="G71" s="63"/>
      <c r="H71" s="64" t="e">
        <f t="shared" si="3"/>
        <v>#N/A</v>
      </c>
      <c r="I71" s="63"/>
      <c r="J71" s="65">
        <f t="shared" si="5"/>
        <v>68</v>
      </c>
      <c r="K71" s="65">
        <f>工程基本資料!$B$7-$J71+$L71+$M71</f>
        <v>-68</v>
      </c>
      <c r="L71" s="66"/>
      <c r="M71" s="66"/>
      <c r="N71" s="66"/>
      <c r="O71" s="70"/>
      <c r="P71" s="58">
        <f>工程基本資料!$B$8+工程基本資料!$B$7+$L71+$M71-1</f>
        <v>-1</v>
      </c>
      <c r="Q71" s="9" t="e">
        <v>#N/A</v>
      </c>
    </row>
    <row r="72" spans="1:17" ht="63" customHeight="1" x14ac:dyDescent="0.3">
      <c r="A72" s="60"/>
      <c r="B72" s="61">
        <f t="shared" si="4"/>
        <v>69</v>
      </c>
      <c r="C72" s="62"/>
      <c r="D72" s="62"/>
      <c r="E72" s="63"/>
      <c r="F72" s="63"/>
      <c r="G72" s="63"/>
      <c r="H72" s="64" t="e">
        <f t="shared" si="3"/>
        <v>#N/A</v>
      </c>
      <c r="I72" s="63"/>
      <c r="J72" s="65">
        <f t="shared" si="5"/>
        <v>69</v>
      </c>
      <c r="K72" s="65">
        <f>工程基本資料!$B$7-$J72+$L72+$M72</f>
        <v>-69</v>
      </c>
      <c r="L72" s="66"/>
      <c r="M72" s="66"/>
      <c r="N72" s="66"/>
      <c r="O72" s="70"/>
      <c r="P72" s="58">
        <f>工程基本資料!$B$8+工程基本資料!$B$7+$L72+$M72-1</f>
        <v>-1</v>
      </c>
      <c r="Q72" s="9" t="e">
        <v>#N/A</v>
      </c>
    </row>
    <row r="73" spans="1:17" ht="63" customHeight="1" x14ac:dyDescent="0.3">
      <c r="A73" s="60"/>
      <c r="B73" s="61">
        <f t="shared" si="4"/>
        <v>70</v>
      </c>
      <c r="C73" s="62"/>
      <c r="D73" s="62"/>
      <c r="E73" s="63"/>
      <c r="F73" s="63"/>
      <c r="G73" s="63"/>
      <c r="H73" s="64" t="e">
        <f t="shared" si="3"/>
        <v>#N/A</v>
      </c>
      <c r="I73" s="63"/>
      <c r="J73" s="65">
        <f t="shared" si="5"/>
        <v>70</v>
      </c>
      <c r="K73" s="65">
        <f>工程基本資料!$B$7-$J73+$L73+$M73</f>
        <v>-70</v>
      </c>
      <c r="L73" s="66"/>
      <c r="M73" s="66"/>
      <c r="N73" s="66"/>
      <c r="O73" s="70"/>
      <c r="P73" s="58">
        <f>工程基本資料!$B$8+工程基本資料!$B$7+$L73+$M73-1</f>
        <v>-1</v>
      </c>
      <c r="Q73" s="9" t="e">
        <v>#N/A</v>
      </c>
    </row>
    <row r="74" spans="1:17" ht="63" customHeight="1" x14ac:dyDescent="0.3">
      <c r="A74" s="60"/>
      <c r="B74" s="61">
        <f t="shared" si="4"/>
        <v>71</v>
      </c>
      <c r="C74" s="62"/>
      <c r="D74" s="62"/>
      <c r="E74" s="63"/>
      <c r="F74" s="63"/>
      <c r="G74" s="63"/>
      <c r="H74" s="64" t="e">
        <f t="shared" si="3"/>
        <v>#N/A</v>
      </c>
      <c r="I74" s="63"/>
      <c r="J74" s="65">
        <f t="shared" si="5"/>
        <v>71</v>
      </c>
      <c r="K74" s="65">
        <f>工程基本資料!$B$7-$J74+$L74+$M74</f>
        <v>-71</v>
      </c>
      <c r="L74" s="66"/>
      <c r="M74" s="66"/>
      <c r="N74" s="66"/>
      <c r="O74" s="70"/>
      <c r="P74" s="58">
        <f>工程基本資料!$B$8+工程基本資料!$B$7+$L74+$M74-1</f>
        <v>-1</v>
      </c>
      <c r="Q74" s="9" t="e">
        <v>#N/A</v>
      </c>
    </row>
    <row r="75" spans="1:17" ht="63" customHeight="1" x14ac:dyDescent="0.3">
      <c r="A75" s="60"/>
      <c r="B75" s="61">
        <f t="shared" si="4"/>
        <v>72</v>
      </c>
      <c r="C75" s="62"/>
      <c r="D75" s="62"/>
      <c r="E75" s="63"/>
      <c r="F75" s="63"/>
      <c r="G75" s="63"/>
      <c r="H75" s="64" t="e">
        <f t="shared" si="3"/>
        <v>#N/A</v>
      </c>
      <c r="I75" s="63"/>
      <c r="J75" s="65">
        <f t="shared" si="5"/>
        <v>72</v>
      </c>
      <c r="K75" s="65">
        <f>工程基本資料!$B$7-$J75+$L75+$M75</f>
        <v>-72</v>
      </c>
      <c r="L75" s="66"/>
      <c r="M75" s="66"/>
      <c r="N75" s="66"/>
      <c r="O75" s="70"/>
      <c r="P75" s="58">
        <f>工程基本資料!$B$8+工程基本資料!$B$7+$L75+$M75-1</f>
        <v>-1</v>
      </c>
      <c r="Q75" s="9" t="e">
        <v>#N/A</v>
      </c>
    </row>
    <row r="76" spans="1:17" ht="63" customHeight="1" x14ac:dyDescent="0.3">
      <c r="A76" s="60"/>
      <c r="B76" s="61">
        <f t="shared" si="4"/>
        <v>73</v>
      </c>
      <c r="C76" s="62"/>
      <c r="D76" s="62"/>
      <c r="E76" s="63"/>
      <c r="F76" s="63"/>
      <c r="G76" s="63"/>
      <c r="H76" s="64" t="e">
        <f t="shared" si="3"/>
        <v>#N/A</v>
      </c>
      <c r="I76" s="63"/>
      <c r="J76" s="65">
        <f t="shared" si="5"/>
        <v>73</v>
      </c>
      <c r="K76" s="65">
        <f>工程基本資料!$B$7-$J76+$L76+$M76</f>
        <v>-73</v>
      </c>
      <c r="L76" s="66"/>
      <c r="M76" s="66"/>
      <c r="N76" s="66"/>
      <c r="O76" s="70"/>
      <c r="P76" s="58">
        <f>工程基本資料!$B$8+工程基本資料!$B$7+$L76+$M76-1</f>
        <v>-1</v>
      </c>
      <c r="Q76" s="9" t="e">
        <v>#N/A</v>
      </c>
    </row>
    <row r="77" spans="1:17" ht="63" customHeight="1" x14ac:dyDescent="0.3">
      <c r="A77" s="60"/>
      <c r="B77" s="61">
        <f t="shared" si="4"/>
        <v>74</v>
      </c>
      <c r="C77" s="62"/>
      <c r="D77" s="62"/>
      <c r="E77" s="63"/>
      <c r="F77" s="63"/>
      <c r="G77" s="63"/>
      <c r="H77" s="64" t="e">
        <f t="shared" si="3"/>
        <v>#N/A</v>
      </c>
      <c r="I77" s="63"/>
      <c r="J77" s="65">
        <f t="shared" si="5"/>
        <v>74</v>
      </c>
      <c r="K77" s="65">
        <f>工程基本資料!$B$7-$J77+$L77+$M77</f>
        <v>-74</v>
      </c>
      <c r="L77" s="66"/>
      <c r="M77" s="66"/>
      <c r="N77" s="66"/>
      <c r="O77" s="70"/>
      <c r="P77" s="58">
        <f>工程基本資料!$B$8+工程基本資料!$B$7+$L77+$M77-1</f>
        <v>-1</v>
      </c>
      <c r="Q77" s="9" t="e">
        <v>#N/A</v>
      </c>
    </row>
    <row r="78" spans="1:17" ht="63" customHeight="1" x14ac:dyDescent="0.3">
      <c r="A78" s="60"/>
      <c r="B78" s="61">
        <f t="shared" si="4"/>
        <v>75</v>
      </c>
      <c r="C78" s="62"/>
      <c r="D78" s="62"/>
      <c r="E78" s="63"/>
      <c r="F78" s="63"/>
      <c r="G78" s="63"/>
      <c r="H78" s="64" t="e">
        <f t="shared" si="3"/>
        <v>#N/A</v>
      </c>
      <c r="I78" s="63"/>
      <c r="J78" s="65">
        <f t="shared" si="5"/>
        <v>75</v>
      </c>
      <c r="K78" s="65">
        <f>工程基本資料!$B$7-$J78+$L78+$M78</f>
        <v>-75</v>
      </c>
      <c r="L78" s="66"/>
      <c r="M78" s="66"/>
      <c r="N78" s="66"/>
      <c r="O78" s="70"/>
      <c r="P78" s="58">
        <f>工程基本資料!$B$8+工程基本資料!$B$7+$L78+$M78-1</f>
        <v>-1</v>
      </c>
      <c r="Q78" s="9" t="e">
        <v>#N/A</v>
      </c>
    </row>
    <row r="79" spans="1:17" ht="63" customHeight="1" x14ac:dyDescent="0.3">
      <c r="A79" s="60"/>
      <c r="B79" s="61">
        <f t="shared" si="4"/>
        <v>76</v>
      </c>
      <c r="C79" s="62"/>
      <c r="D79" s="62"/>
      <c r="E79" s="63"/>
      <c r="F79" s="63"/>
      <c r="G79" s="63"/>
      <c r="H79" s="64" t="e">
        <f t="shared" si="3"/>
        <v>#N/A</v>
      </c>
      <c r="I79" s="63"/>
      <c r="J79" s="65">
        <f t="shared" si="5"/>
        <v>76</v>
      </c>
      <c r="K79" s="65">
        <f>工程基本資料!$B$7-$J79+$L79+$M79</f>
        <v>-76</v>
      </c>
      <c r="L79" s="66"/>
      <c r="M79" s="66"/>
      <c r="N79" s="66"/>
      <c r="O79" s="70"/>
      <c r="P79" s="58">
        <f>工程基本資料!$B$8+工程基本資料!$B$7+$L79+$M79-1</f>
        <v>-1</v>
      </c>
      <c r="Q79" s="9" t="e">
        <v>#N/A</v>
      </c>
    </row>
    <row r="80" spans="1:17" ht="63" customHeight="1" x14ac:dyDescent="0.3">
      <c r="A80" s="60"/>
      <c r="B80" s="61">
        <f t="shared" si="4"/>
        <v>77</v>
      </c>
      <c r="C80" s="62"/>
      <c r="D80" s="62"/>
      <c r="E80" s="63"/>
      <c r="F80" s="63"/>
      <c r="G80" s="63"/>
      <c r="H80" s="64" t="e">
        <f t="shared" si="3"/>
        <v>#N/A</v>
      </c>
      <c r="I80" s="63"/>
      <c r="J80" s="65">
        <f t="shared" si="5"/>
        <v>77</v>
      </c>
      <c r="K80" s="65">
        <f>工程基本資料!$B$7-$J80+$L80+$M80</f>
        <v>-77</v>
      </c>
      <c r="L80" s="66"/>
      <c r="M80" s="66"/>
      <c r="N80" s="66"/>
      <c r="O80" s="70"/>
      <c r="P80" s="58">
        <f>工程基本資料!$B$8+工程基本資料!$B$7+$L80+$M80-1</f>
        <v>-1</v>
      </c>
      <c r="Q80" s="9" t="e">
        <v>#N/A</v>
      </c>
    </row>
    <row r="81" spans="1:17" ht="63" customHeight="1" x14ac:dyDescent="0.3">
      <c r="A81" s="60"/>
      <c r="B81" s="61">
        <f t="shared" si="4"/>
        <v>78</v>
      </c>
      <c r="C81" s="62"/>
      <c r="D81" s="62"/>
      <c r="E81" s="63"/>
      <c r="F81" s="63"/>
      <c r="G81" s="63"/>
      <c r="H81" s="64" t="e">
        <f t="shared" si="3"/>
        <v>#N/A</v>
      </c>
      <c r="I81" s="63"/>
      <c r="J81" s="65">
        <f t="shared" si="5"/>
        <v>78</v>
      </c>
      <c r="K81" s="65">
        <f>工程基本資料!$B$7-$J81+$L81+$M81</f>
        <v>-78</v>
      </c>
      <c r="L81" s="66"/>
      <c r="M81" s="66"/>
      <c r="N81" s="66"/>
      <c r="O81" s="70"/>
      <c r="P81" s="58">
        <f>工程基本資料!$B$8+工程基本資料!$B$7+$L81+$M81-1</f>
        <v>-1</v>
      </c>
      <c r="Q81" s="9" t="e">
        <v>#N/A</v>
      </c>
    </row>
    <row r="82" spans="1:17" ht="63" customHeight="1" x14ac:dyDescent="0.3">
      <c r="A82" s="60"/>
      <c r="B82" s="61">
        <f t="shared" si="4"/>
        <v>79</v>
      </c>
      <c r="C82" s="62"/>
      <c r="D82" s="62"/>
      <c r="E82" s="63"/>
      <c r="F82" s="63"/>
      <c r="G82" s="63"/>
      <c r="H82" s="64" t="e">
        <f t="shared" si="3"/>
        <v>#N/A</v>
      </c>
      <c r="I82" s="63"/>
      <c r="J82" s="65">
        <f t="shared" si="5"/>
        <v>79</v>
      </c>
      <c r="K82" s="65">
        <f>工程基本資料!$B$7-$J82+$L82+$M82</f>
        <v>-79</v>
      </c>
      <c r="L82" s="66"/>
      <c r="M82" s="66"/>
      <c r="N82" s="66"/>
      <c r="O82" s="70"/>
      <c r="P82" s="58">
        <f>工程基本資料!$B$8+工程基本資料!$B$7+$L82+$M82-1</f>
        <v>-1</v>
      </c>
      <c r="Q82" s="9" t="e">
        <v>#N/A</v>
      </c>
    </row>
    <row r="83" spans="1:17" ht="63" customHeight="1" x14ac:dyDescent="0.3">
      <c r="A83" s="60"/>
      <c r="B83" s="61">
        <f t="shared" si="4"/>
        <v>80</v>
      </c>
      <c r="C83" s="62"/>
      <c r="D83" s="62"/>
      <c r="E83" s="63"/>
      <c r="F83" s="63"/>
      <c r="G83" s="63"/>
      <c r="H83" s="64" t="e">
        <f t="shared" si="3"/>
        <v>#N/A</v>
      </c>
      <c r="I83" s="63"/>
      <c r="J83" s="65">
        <f t="shared" si="5"/>
        <v>80</v>
      </c>
      <c r="K83" s="65">
        <f>工程基本資料!$B$7-$J83+$L83+$M83</f>
        <v>-80</v>
      </c>
      <c r="L83" s="66"/>
      <c r="M83" s="66"/>
      <c r="N83" s="66"/>
      <c r="O83" s="70"/>
      <c r="P83" s="58">
        <f>工程基本資料!$B$8+工程基本資料!$B$7+$L83+$M83-1</f>
        <v>-1</v>
      </c>
      <c r="Q83" s="9" t="e">
        <v>#N/A</v>
      </c>
    </row>
    <row r="84" spans="1:17" ht="63" customHeight="1" x14ac:dyDescent="0.3">
      <c r="A84" s="60"/>
      <c r="B84" s="61">
        <f t="shared" si="4"/>
        <v>81</v>
      </c>
      <c r="C84" s="62"/>
      <c r="D84" s="62"/>
      <c r="E84" s="63"/>
      <c r="F84" s="63"/>
      <c r="G84" s="63"/>
      <c r="H84" s="64" t="e">
        <f t="shared" si="3"/>
        <v>#N/A</v>
      </c>
      <c r="I84" s="63"/>
      <c r="J84" s="65">
        <f t="shared" si="5"/>
        <v>81</v>
      </c>
      <c r="K84" s="65">
        <f>工程基本資料!$B$7-$J84+$L84+$M84</f>
        <v>-81</v>
      </c>
      <c r="L84" s="66"/>
      <c r="M84" s="66"/>
      <c r="N84" s="66"/>
      <c r="O84" s="70"/>
      <c r="P84" s="58">
        <f>工程基本資料!$B$8+工程基本資料!$B$7+$L84+$M84-1</f>
        <v>-1</v>
      </c>
      <c r="Q84" s="9" t="e">
        <v>#N/A</v>
      </c>
    </row>
    <row r="85" spans="1:17" ht="63" customHeight="1" x14ac:dyDescent="0.3">
      <c r="A85" s="60"/>
      <c r="B85" s="61">
        <f t="shared" si="4"/>
        <v>82</v>
      </c>
      <c r="C85" s="62"/>
      <c r="D85" s="62"/>
      <c r="E85" s="63"/>
      <c r="F85" s="63"/>
      <c r="G85" s="63"/>
      <c r="H85" s="64" t="e">
        <f t="shared" si="3"/>
        <v>#N/A</v>
      </c>
      <c r="I85" s="63"/>
      <c r="J85" s="65">
        <f t="shared" si="5"/>
        <v>82</v>
      </c>
      <c r="K85" s="65">
        <f>工程基本資料!$B$7-$J85+$L85+$M85</f>
        <v>-82</v>
      </c>
      <c r="L85" s="66"/>
      <c r="M85" s="66"/>
      <c r="N85" s="66"/>
      <c r="O85" s="70"/>
      <c r="P85" s="58">
        <f>工程基本資料!$B$8+工程基本資料!$B$7+$L85+$M85-1</f>
        <v>-1</v>
      </c>
      <c r="Q85" s="9" t="e">
        <v>#N/A</v>
      </c>
    </row>
    <row r="86" spans="1:17" ht="63" customHeight="1" x14ac:dyDescent="0.3">
      <c r="A86" s="60"/>
      <c r="B86" s="61">
        <f t="shared" si="4"/>
        <v>83</v>
      </c>
      <c r="C86" s="62"/>
      <c r="D86" s="62"/>
      <c r="E86" s="63"/>
      <c r="F86" s="63"/>
      <c r="G86" s="63"/>
      <c r="H86" s="64" t="e">
        <f t="shared" si="3"/>
        <v>#N/A</v>
      </c>
      <c r="I86" s="63"/>
      <c r="J86" s="65">
        <f t="shared" si="5"/>
        <v>83</v>
      </c>
      <c r="K86" s="65">
        <f>工程基本資料!$B$7-$J86+$L86+$M86</f>
        <v>-83</v>
      </c>
      <c r="L86" s="66"/>
      <c r="M86" s="66"/>
      <c r="N86" s="66"/>
      <c r="O86" s="70"/>
      <c r="P86" s="58">
        <f>工程基本資料!$B$8+工程基本資料!$B$7+$L86+$M86-1</f>
        <v>-1</v>
      </c>
      <c r="Q86" s="9" t="e">
        <v>#N/A</v>
      </c>
    </row>
    <row r="87" spans="1:17" ht="63" customHeight="1" x14ac:dyDescent="0.3">
      <c r="A87" s="60"/>
      <c r="B87" s="61">
        <f t="shared" si="4"/>
        <v>84</v>
      </c>
      <c r="C87" s="62"/>
      <c r="D87" s="62"/>
      <c r="E87" s="63"/>
      <c r="F87" s="63"/>
      <c r="G87" s="63"/>
      <c r="H87" s="64" t="e">
        <f t="shared" si="3"/>
        <v>#N/A</v>
      </c>
      <c r="I87" s="63"/>
      <c r="J87" s="65">
        <f t="shared" si="5"/>
        <v>84</v>
      </c>
      <c r="K87" s="65">
        <f>工程基本資料!$B$7-$J87+$L87+$M87</f>
        <v>-84</v>
      </c>
      <c r="L87" s="66"/>
      <c r="M87" s="66"/>
      <c r="N87" s="66"/>
      <c r="O87" s="70"/>
      <c r="P87" s="58">
        <f>工程基本資料!$B$8+工程基本資料!$B$7+$L87+$M87-1</f>
        <v>-1</v>
      </c>
      <c r="Q87" s="9" t="e">
        <v>#N/A</v>
      </c>
    </row>
    <row r="88" spans="1:17" ht="63" customHeight="1" x14ac:dyDescent="0.3">
      <c r="A88" s="60"/>
      <c r="B88" s="61">
        <f t="shared" si="4"/>
        <v>85</v>
      </c>
      <c r="C88" s="62"/>
      <c r="D88" s="62"/>
      <c r="E88" s="63"/>
      <c r="F88" s="63"/>
      <c r="G88" s="63"/>
      <c r="H88" s="64" t="e">
        <f t="shared" si="3"/>
        <v>#N/A</v>
      </c>
      <c r="I88" s="63"/>
      <c r="J88" s="65">
        <f t="shared" si="5"/>
        <v>85</v>
      </c>
      <c r="K88" s="65">
        <f>工程基本資料!$B$7-$J88+$L88+$M88</f>
        <v>-85</v>
      </c>
      <c r="L88" s="66"/>
      <c r="M88" s="66"/>
      <c r="N88" s="66"/>
      <c r="O88" s="70"/>
      <c r="P88" s="58">
        <f>工程基本資料!$B$8+工程基本資料!$B$7+$L88+$M88-1</f>
        <v>-1</v>
      </c>
      <c r="Q88" s="9" t="e">
        <v>#N/A</v>
      </c>
    </row>
    <row r="89" spans="1:17" ht="63" customHeight="1" x14ac:dyDescent="0.3">
      <c r="A89" s="60"/>
      <c r="B89" s="61">
        <f t="shared" si="4"/>
        <v>86</v>
      </c>
      <c r="C89" s="62"/>
      <c r="D89" s="62"/>
      <c r="E89" s="63"/>
      <c r="F89" s="63"/>
      <c r="G89" s="63"/>
      <c r="H89" s="64" t="e">
        <f t="shared" si="3"/>
        <v>#N/A</v>
      </c>
      <c r="I89" s="63"/>
      <c r="J89" s="65">
        <f t="shared" si="5"/>
        <v>86</v>
      </c>
      <c r="K89" s="65">
        <f>工程基本資料!$B$7-$J89+$L89+$M89</f>
        <v>-86</v>
      </c>
      <c r="L89" s="66"/>
      <c r="M89" s="66"/>
      <c r="N89" s="66"/>
      <c r="O89" s="70"/>
      <c r="P89" s="58">
        <f>工程基本資料!$B$8+工程基本資料!$B$7+$L89+$M89-1</f>
        <v>-1</v>
      </c>
      <c r="Q89" s="9" t="e">
        <v>#N/A</v>
      </c>
    </row>
    <row r="90" spans="1:17" ht="63" customHeight="1" x14ac:dyDescent="0.3">
      <c r="A90" s="60"/>
      <c r="B90" s="61">
        <f t="shared" si="4"/>
        <v>87</v>
      </c>
      <c r="C90" s="62"/>
      <c r="D90" s="62"/>
      <c r="E90" s="63"/>
      <c r="F90" s="63"/>
      <c r="G90" s="63"/>
      <c r="H90" s="64" t="e">
        <f t="shared" si="3"/>
        <v>#N/A</v>
      </c>
      <c r="I90" s="63"/>
      <c r="J90" s="65">
        <f t="shared" si="5"/>
        <v>87</v>
      </c>
      <c r="K90" s="65">
        <f>工程基本資料!$B$7-$J90+$L90+$M90</f>
        <v>-87</v>
      </c>
      <c r="L90" s="66"/>
      <c r="M90" s="66"/>
      <c r="N90" s="66"/>
      <c r="O90" s="70"/>
      <c r="P90" s="58">
        <f>工程基本資料!$B$8+工程基本資料!$B$7+$L90+$M90-1</f>
        <v>-1</v>
      </c>
      <c r="Q90" s="9" t="e">
        <v>#N/A</v>
      </c>
    </row>
    <row r="91" spans="1:17" ht="63" customHeight="1" x14ac:dyDescent="0.3">
      <c r="A91" s="60"/>
      <c r="B91" s="61">
        <f t="shared" si="4"/>
        <v>88</v>
      </c>
      <c r="C91" s="62"/>
      <c r="D91" s="62"/>
      <c r="E91" s="63"/>
      <c r="F91" s="63"/>
      <c r="G91" s="63"/>
      <c r="H91" s="64" t="e">
        <f t="shared" si="3"/>
        <v>#N/A</v>
      </c>
      <c r="I91" s="63"/>
      <c r="J91" s="65">
        <f t="shared" si="5"/>
        <v>88</v>
      </c>
      <c r="K91" s="65">
        <f>工程基本資料!$B$7-$J91+$L91+$M91</f>
        <v>-88</v>
      </c>
      <c r="L91" s="66"/>
      <c r="M91" s="66"/>
      <c r="N91" s="66"/>
      <c r="O91" s="70"/>
      <c r="P91" s="58">
        <f>工程基本資料!$B$8+工程基本資料!$B$7+$L91+$M91-1</f>
        <v>-1</v>
      </c>
      <c r="Q91" s="9" t="e">
        <v>#N/A</v>
      </c>
    </row>
    <row r="92" spans="1:17" ht="63" customHeight="1" x14ac:dyDescent="0.3">
      <c r="A92" s="60"/>
      <c r="B92" s="61">
        <f t="shared" si="4"/>
        <v>89</v>
      </c>
      <c r="C92" s="62"/>
      <c r="D92" s="62"/>
      <c r="E92" s="63"/>
      <c r="F92" s="63"/>
      <c r="G92" s="63"/>
      <c r="H92" s="64" t="e">
        <f t="shared" si="3"/>
        <v>#N/A</v>
      </c>
      <c r="I92" s="63"/>
      <c r="J92" s="65">
        <f t="shared" si="5"/>
        <v>89</v>
      </c>
      <c r="K92" s="65">
        <f>工程基本資料!$B$7-$J92+$L92+$M92</f>
        <v>-89</v>
      </c>
      <c r="L92" s="66"/>
      <c r="M92" s="66"/>
      <c r="N92" s="66"/>
      <c r="O92" s="70"/>
      <c r="P92" s="58">
        <f>工程基本資料!$B$8+工程基本資料!$B$7+$L92+$M92-1</f>
        <v>-1</v>
      </c>
      <c r="Q92" s="9" t="e">
        <v>#N/A</v>
      </c>
    </row>
    <row r="93" spans="1:17" ht="63" customHeight="1" x14ac:dyDescent="0.3">
      <c r="A93" s="60"/>
      <c r="B93" s="61">
        <f t="shared" si="4"/>
        <v>90</v>
      </c>
      <c r="C93" s="62"/>
      <c r="D93" s="62"/>
      <c r="E93" s="63"/>
      <c r="F93" s="63"/>
      <c r="G93" s="63"/>
      <c r="H93" s="64" t="e">
        <f t="shared" si="3"/>
        <v>#N/A</v>
      </c>
      <c r="I93" s="63"/>
      <c r="J93" s="65">
        <f t="shared" si="5"/>
        <v>90</v>
      </c>
      <c r="K93" s="65">
        <f>工程基本資料!$B$7-$J93+$L93+$M93</f>
        <v>-90</v>
      </c>
      <c r="L93" s="66"/>
      <c r="M93" s="66"/>
      <c r="N93" s="66"/>
      <c r="O93" s="70"/>
      <c r="P93" s="58">
        <f>工程基本資料!$B$8+工程基本資料!$B$7+$L93+$M93-1</f>
        <v>-1</v>
      </c>
      <c r="Q93" s="9" t="e">
        <v>#N/A</v>
      </c>
    </row>
    <row r="94" spans="1:17" ht="63" customHeight="1" x14ac:dyDescent="0.3">
      <c r="A94" s="60"/>
      <c r="B94" s="61">
        <f t="shared" si="4"/>
        <v>91</v>
      </c>
      <c r="C94" s="62"/>
      <c r="D94" s="62"/>
      <c r="E94" s="63"/>
      <c r="F94" s="63"/>
      <c r="G94" s="63"/>
      <c r="H94" s="64" t="e">
        <f t="shared" si="3"/>
        <v>#N/A</v>
      </c>
      <c r="I94" s="63"/>
      <c r="J94" s="65">
        <f t="shared" si="5"/>
        <v>91</v>
      </c>
      <c r="K94" s="65">
        <f>工程基本資料!$B$7-$J94+$L94+$M94</f>
        <v>-91</v>
      </c>
      <c r="L94" s="66"/>
      <c r="M94" s="66"/>
      <c r="N94" s="66"/>
      <c r="O94" s="70"/>
      <c r="P94" s="58">
        <f>工程基本資料!$B$8+工程基本資料!$B$7+$L94+$M94-1</f>
        <v>-1</v>
      </c>
      <c r="Q94" s="9" t="e">
        <v>#N/A</v>
      </c>
    </row>
    <row r="95" spans="1:17" ht="63" customHeight="1" x14ac:dyDescent="0.3">
      <c r="A95" s="60"/>
      <c r="B95" s="61">
        <f t="shared" si="4"/>
        <v>92</v>
      </c>
      <c r="C95" s="62"/>
      <c r="D95" s="62"/>
      <c r="E95" s="63"/>
      <c r="F95" s="63"/>
      <c r="G95" s="63"/>
      <c r="H95" s="64" t="e">
        <f t="shared" si="3"/>
        <v>#N/A</v>
      </c>
      <c r="I95" s="63"/>
      <c r="J95" s="65">
        <f t="shared" si="5"/>
        <v>92</v>
      </c>
      <c r="K95" s="65">
        <f>工程基本資料!$B$7-$J95+$L95+$M95</f>
        <v>-92</v>
      </c>
      <c r="L95" s="66"/>
      <c r="M95" s="66"/>
      <c r="N95" s="66"/>
      <c r="O95" s="70"/>
      <c r="P95" s="58">
        <f>工程基本資料!$B$8+工程基本資料!$B$7+$L95+$M95-1</f>
        <v>-1</v>
      </c>
      <c r="Q95" s="9" t="e">
        <v>#N/A</v>
      </c>
    </row>
    <row r="96" spans="1:17" ht="63" customHeight="1" x14ac:dyDescent="0.3">
      <c r="A96" s="60"/>
      <c r="B96" s="61">
        <f t="shared" si="4"/>
        <v>93</v>
      </c>
      <c r="C96" s="62"/>
      <c r="D96" s="62"/>
      <c r="E96" s="63"/>
      <c r="F96" s="63"/>
      <c r="G96" s="63"/>
      <c r="H96" s="64" t="e">
        <f t="shared" si="3"/>
        <v>#N/A</v>
      </c>
      <c r="I96" s="63"/>
      <c r="J96" s="65">
        <f t="shared" si="5"/>
        <v>93</v>
      </c>
      <c r="K96" s="65">
        <f>工程基本資料!$B$7-$J96+$L96+$M96</f>
        <v>-93</v>
      </c>
      <c r="L96" s="66"/>
      <c r="M96" s="66"/>
      <c r="N96" s="66"/>
      <c r="O96" s="70"/>
      <c r="P96" s="58">
        <f>工程基本資料!$B$8+工程基本資料!$B$7+$L96+$M96-1</f>
        <v>-1</v>
      </c>
      <c r="Q96" s="9" t="e">
        <v>#N/A</v>
      </c>
    </row>
    <row r="97" spans="1:17" ht="63" customHeight="1" x14ac:dyDescent="0.3">
      <c r="A97" s="60"/>
      <c r="B97" s="61">
        <f t="shared" si="4"/>
        <v>94</v>
      </c>
      <c r="C97" s="62"/>
      <c r="D97" s="62"/>
      <c r="E97" s="63"/>
      <c r="F97" s="63"/>
      <c r="G97" s="63"/>
      <c r="H97" s="64" t="e">
        <f t="shared" si="3"/>
        <v>#N/A</v>
      </c>
      <c r="I97" s="63"/>
      <c r="J97" s="65">
        <f t="shared" si="5"/>
        <v>94</v>
      </c>
      <c r="K97" s="65">
        <f>工程基本資料!$B$7-$J97+$L97+$M97</f>
        <v>-94</v>
      </c>
      <c r="L97" s="66"/>
      <c r="M97" s="66"/>
      <c r="N97" s="66"/>
      <c r="O97" s="70"/>
      <c r="P97" s="58">
        <f>工程基本資料!$B$8+工程基本資料!$B$7+$L97+$M97-1</f>
        <v>-1</v>
      </c>
      <c r="Q97" s="9" t="e">
        <v>#N/A</v>
      </c>
    </row>
    <row r="98" spans="1:17" ht="63" customHeight="1" x14ac:dyDescent="0.3">
      <c r="A98" s="60"/>
      <c r="B98" s="61">
        <f t="shared" si="4"/>
        <v>95</v>
      </c>
      <c r="C98" s="62"/>
      <c r="D98" s="62"/>
      <c r="E98" s="63"/>
      <c r="F98" s="63"/>
      <c r="G98" s="63"/>
      <c r="H98" s="64" t="e">
        <f t="shared" si="3"/>
        <v>#N/A</v>
      </c>
      <c r="I98" s="63"/>
      <c r="J98" s="65">
        <f t="shared" si="5"/>
        <v>95</v>
      </c>
      <c r="K98" s="65">
        <f>工程基本資料!$B$7-$J98+$L98+$M98</f>
        <v>-95</v>
      </c>
      <c r="L98" s="66"/>
      <c r="M98" s="66"/>
      <c r="N98" s="66"/>
      <c r="O98" s="70"/>
      <c r="P98" s="58">
        <f>工程基本資料!$B$8+工程基本資料!$B$7+$L98+$M98-1</f>
        <v>-1</v>
      </c>
      <c r="Q98" s="9" t="e">
        <v>#N/A</v>
      </c>
    </row>
    <row r="99" spans="1:17" ht="63" customHeight="1" x14ac:dyDescent="0.3">
      <c r="A99" s="60"/>
      <c r="B99" s="61">
        <f t="shared" si="4"/>
        <v>96</v>
      </c>
      <c r="C99" s="62"/>
      <c r="D99" s="62"/>
      <c r="E99" s="63"/>
      <c r="F99" s="63"/>
      <c r="G99" s="63"/>
      <c r="H99" s="64" t="e">
        <f t="shared" si="3"/>
        <v>#N/A</v>
      </c>
      <c r="I99" s="63"/>
      <c r="J99" s="65">
        <f t="shared" si="5"/>
        <v>96</v>
      </c>
      <c r="K99" s="65">
        <f>工程基本資料!$B$7-$J99+$L99+$M99</f>
        <v>-96</v>
      </c>
      <c r="L99" s="66"/>
      <c r="M99" s="66"/>
      <c r="N99" s="66"/>
      <c r="O99" s="70"/>
      <c r="P99" s="58">
        <f>工程基本資料!$B$8+工程基本資料!$B$7+$L99+$M99-1</f>
        <v>-1</v>
      </c>
      <c r="Q99" s="9" t="e">
        <v>#N/A</v>
      </c>
    </row>
    <row r="100" spans="1:17" ht="63" customHeight="1" x14ac:dyDescent="0.3">
      <c r="A100" s="60"/>
      <c r="B100" s="61">
        <f t="shared" si="4"/>
        <v>97</v>
      </c>
      <c r="C100" s="62"/>
      <c r="D100" s="62"/>
      <c r="E100" s="63"/>
      <c r="F100" s="63"/>
      <c r="G100" s="63"/>
      <c r="H100" s="64" t="e">
        <f t="shared" si="3"/>
        <v>#N/A</v>
      </c>
      <c r="I100" s="63"/>
      <c r="J100" s="65">
        <f t="shared" si="5"/>
        <v>97</v>
      </c>
      <c r="K100" s="65">
        <f>工程基本資料!$B$7-$J100+$L100+$M100</f>
        <v>-97</v>
      </c>
      <c r="L100" s="66"/>
      <c r="M100" s="66"/>
      <c r="N100" s="66"/>
      <c r="O100" s="70"/>
      <c r="P100" s="58">
        <f>工程基本資料!$B$8+工程基本資料!$B$7+$L100+$M100-1</f>
        <v>-1</v>
      </c>
      <c r="Q100" s="9" t="e">
        <v>#N/A</v>
      </c>
    </row>
    <row r="101" spans="1:17" ht="63" customHeight="1" x14ac:dyDescent="0.3">
      <c r="A101" s="60"/>
      <c r="B101" s="61">
        <f t="shared" si="4"/>
        <v>98</v>
      </c>
      <c r="C101" s="62"/>
      <c r="D101" s="62"/>
      <c r="E101" s="63"/>
      <c r="F101" s="63"/>
      <c r="G101" s="63"/>
      <c r="H101" s="64" t="e">
        <f t="shared" si="3"/>
        <v>#N/A</v>
      </c>
      <c r="I101" s="63"/>
      <c r="J101" s="65">
        <f t="shared" si="5"/>
        <v>98</v>
      </c>
      <c r="K101" s="65">
        <f>工程基本資料!$B$7-$J101+$L101+$M101</f>
        <v>-98</v>
      </c>
      <c r="L101" s="66"/>
      <c r="M101" s="66"/>
      <c r="N101" s="66"/>
      <c r="O101" s="70"/>
      <c r="P101" s="58">
        <f>工程基本資料!$B$8+工程基本資料!$B$7+$L101+$M101-1</f>
        <v>-1</v>
      </c>
      <c r="Q101" s="9" t="e">
        <v>#N/A</v>
      </c>
    </row>
    <row r="102" spans="1:17" ht="63" customHeight="1" x14ac:dyDescent="0.3">
      <c r="A102" s="60"/>
      <c r="B102" s="61">
        <f t="shared" si="4"/>
        <v>99</v>
      </c>
      <c r="C102" s="62"/>
      <c r="D102" s="62"/>
      <c r="E102" s="63"/>
      <c r="F102" s="63"/>
      <c r="G102" s="63"/>
      <c r="H102" s="64" t="e">
        <f t="shared" si="3"/>
        <v>#N/A</v>
      </c>
      <c r="I102" s="63"/>
      <c r="J102" s="65">
        <f t="shared" si="5"/>
        <v>99</v>
      </c>
      <c r="K102" s="65">
        <f>工程基本資料!$B$7-$J102+$L102+$M102</f>
        <v>-99</v>
      </c>
      <c r="L102" s="66"/>
      <c r="M102" s="66"/>
      <c r="N102" s="66"/>
      <c r="O102" s="70"/>
      <c r="P102" s="58">
        <f>工程基本資料!$B$8+工程基本資料!$B$7+$L102+$M102-1</f>
        <v>-1</v>
      </c>
      <c r="Q102" s="9" t="e">
        <v>#N/A</v>
      </c>
    </row>
    <row r="103" spans="1:17" ht="63" customHeight="1" x14ac:dyDescent="0.3">
      <c r="A103" s="60"/>
      <c r="B103" s="61">
        <f t="shared" si="4"/>
        <v>100</v>
      </c>
      <c r="C103" s="62"/>
      <c r="D103" s="62"/>
      <c r="E103" s="63"/>
      <c r="F103" s="63"/>
      <c r="G103" s="63"/>
      <c r="H103" s="64" t="e">
        <f t="shared" si="3"/>
        <v>#N/A</v>
      </c>
      <c r="I103" s="63"/>
      <c r="J103" s="65">
        <f t="shared" si="5"/>
        <v>100</v>
      </c>
      <c r="K103" s="65">
        <f>工程基本資料!$B$7-$J103+$L103+$M103</f>
        <v>-100</v>
      </c>
      <c r="L103" s="66"/>
      <c r="M103" s="66"/>
      <c r="N103" s="66"/>
      <c r="O103" s="70"/>
      <c r="P103" s="58">
        <f>工程基本資料!$B$8+工程基本資料!$B$7+$L103+$M103-1</f>
        <v>-1</v>
      </c>
      <c r="Q103" s="9" t="e">
        <v>#N/A</v>
      </c>
    </row>
    <row r="104" spans="1:17" ht="63" customHeight="1" x14ac:dyDescent="0.3">
      <c r="A104" s="60"/>
      <c r="B104" s="61">
        <f t="shared" si="4"/>
        <v>101</v>
      </c>
      <c r="C104" s="62"/>
      <c r="D104" s="62"/>
      <c r="E104" s="63"/>
      <c r="F104" s="63"/>
      <c r="G104" s="63"/>
      <c r="H104" s="64" t="e">
        <f t="shared" si="3"/>
        <v>#N/A</v>
      </c>
      <c r="I104" s="63"/>
      <c r="J104" s="65">
        <f t="shared" si="5"/>
        <v>101</v>
      </c>
      <c r="K104" s="65">
        <f>工程基本資料!$B$7-$J104+$L104+$M104</f>
        <v>-101</v>
      </c>
      <c r="L104" s="66"/>
      <c r="M104" s="66"/>
      <c r="N104" s="66"/>
      <c r="O104" s="70"/>
      <c r="P104" s="58">
        <f>工程基本資料!$B$8+工程基本資料!$B$7+$L104+$M104-1</f>
        <v>-1</v>
      </c>
      <c r="Q104" s="9" t="e">
        <v>#N/A</v>
      </c>
    </row>
    <row r="105" spans="1:17" ht="63" customHeight="1" x14ac:dyDescent="0.3">
      <c r="A105" s="60"/>
      <c r="B105" s="61">
        <f t="shared" si="4"/>
        <v>102</v>
      </c>
      <c r="C105" s="62"/>
      <c r="D105" s="62"/>
      <c r="E105" s="63"/>
      <c r="F105" s="63"/>
      <c r="G105" s="63"/>
      <c r="H105" s="64" t="e">
        <f t="shared" si="3"/>
        <v>#N/A</v>
      </c>
      <c r="I105" s="63"/>
      <c r="J105" s="65">
        <f t="shared" si="5"/>
        <v>102</v>
      </c>
      <c r="K105" s="65">
        <f>工程基本資料!$B$7-$J105+$L105+$M105</f>
        <v>-102</v>
      </c>
      <c r="L105" s="66"/>
      <c r="M105" s="66"/>
      <c r="N105" s="66"/>
      <c r="O105" s="70"/>
      <c r="P105" s="58">
        <f>工程基本資料!$B$8+工程基本資料!$B$7+$L105+$M105-1</f>
        <v>-1</v>
      </c>
      <c r="Q105" s="9" t="e">
        <v>#N/A</v>
      </c>
    </row>
    <row r="106" spans="1:17" ht="63" customHeight="1" x14ac:dyDescent="0.3">
      <c r="A106" s="60"/>
      <c r="B106" s="61">
        <f t="shared" si="4"/>
        <v>103</v>
      </c>
      <c r="C106" s="62"/>
      <c r="D106" s="62"/>
      <c r="E106" s="63"/>
      <c r="F106" s="63"/>
      <c r="G106" s="63"/>
      <c r="H106" s="64" t="e">
        <f t="shared" si="3"/>
        <v>#N/A</v>
      </c>
      <c r="I106" s="63"/>
      <c r="J106" s="65">
        <f t="shared" si="5"/>
        <v>103</v>
      </c>
      <c r="K106" s="65">
        <f>工程基本資料!$B$7-$J106+$L106+$M106</f>
        <v>-103</v>
      </c>
      <c r="L106" s="66"/>
      <c r="M106" s="66"/>
      <c r="N106" s="66"/>
      <c r="O106" s="70"/>
      <c r="P106" s="58">
        <f>工程基本資料!$B$8+工程基本資料!$B$7+$L106+$M106-1</f>
        <v>-1</v>
      </c>
      <c r="Q106" s="9" t="e">
        <v>#N/A</v>
      </c>
    </row>
    <row r="107" spans="1:17" ht="63" customHeight="1" x14ac:dyDescent="0.3">
      <c r="A107" s="60"/>
      <c r="B107" s="61">
        <f t="shared" si="4"/>
        <v>104</v>
      </c>
      <c r="C107" s="62"/>
      <c r="D107" s="62"/>
      <c r="E107" s="63"/>
      <c r="F107" s="63"/>
      <c r="G107" s="63"/>
      <c r="H107" s="64" t="e">
        <f t="shared" si="3"/>
        <v>#N/A</v>
      </c>
      <c r="I107" s="63"/>
      <c r="J107" s="65">
        <f t="shared" si="5"/>
        <v>104</v>
      </c>
      <c r="K107" s="65">
        <f>工程基本資料!$B$7-$J107+$L107+$M107</f>
        <v>-104</v>
      </c>
      <c r="L107" s="66"/>
      <c r="M107" s="66"/>
      <c r="N107" s="66"/>
      <c r="O107" s="70"/>
      <c r="P107" s="58">
        <f>工程基本資料!$B$8+工程基本資料!$B$7+$L107+$M107-1</f>
        <v>-1</v>
      </c>
      <c r="Q107" s="9" t="e">
        <v>#N/A</v>
      </c>
    </row>
    <row r="108" spans="1:17" ht="63" customHeight="1" x14ac:dyDescent="0.3">
      <c r="A108" s="60"/>
      <c r="B108" s="61">
        <f t="shared" si="4"/>
        <v>105</v>
      </c>
      <c r="C108" s="62"/>
      <c r="D108" s="62"/>
      <c r="E108" s="63"/>
      <c r="F108" s="63"/>
      <c r="G108" s="63"/>
      <c r="H108" s="64" t="e">
        <f t="shared" si="3"/>
        <v>#N/A</v>
      </c>
      <c r="I108" s="63"/>
      <c r="J108" s="65">
        <f t="shared" si="5"/>
        <v>105</v>
      </c>
      <c r="K108" s="65">
        <f>工程基本資料!$B$7-$J108+$L108+$M108</f>
        <v>-105</v>
      </c>
      <c r="L108" s="66"/>
      <c r="M108" s="66"/>
      <c r="N108" s="66"/>
      <c r="O108" s="70"/>
      <c r="P108" s="58">
        <f>工程基本資料!$B$8+工程基本資料!$B$7+$L108+$M108-1</f>
        <v>-1</v>
      </c>
      <c r="Q108" s="9" t="e">
        <v>#N/A</v>
      </c>
    </row>
    <row r="109" spans="1:17" ht="63" customHeight="1" x14ac:dyDescent="0.3">
      <c r="A109" s="60"/>
      <c r="B109" s="61">
        <f t="shared" si="4"/>
        <v>106</v>
      </c>
      <c r="C109" s="62"/>
      <c r="D109" s="62"/>
      <c r="E109" s="63"/>
      <c r="F109" s="63"/>
      <c r="G109" s="63"/>
      <c r="H109" s="64" t="e">
        <f t="shared" si="3"/>
        <v>#N/A</v>
      </c>
      <c r="I109" s="63"/>
      <c r="J109" s="65">
        <f t="shared" si="5"/>
        <v>106</v>
      </c>
      <c r="K109" s="65">
        <f>工程基本資料!$B$7-$J109+$L109+$M109</f>
        <v>-106</v>
      </c>
      <c r="L109" s="66"/>
      <c r="M109" s="66"/>
      <c r="N109" s="66"/>
      <c r="O109" s="70"/>
      <c r="P109" s="58">
        <f>工程基本資料!$B$8+工程基本資料!$B$7+$L109+$M109-1</f>
        <v>-1</v>
      </c>
      <c r="Q109" s="9" t="e">
        <v>#N/A</v>
      </c>
    </row>
    <row r="110" spans="1:17" ht="63" customHeight="1" x14ac:dyDescent="0.3">
      <c r="A110" s="60"/>
      <c r="B110" s="61">
        <f t="shared" si="4"/>
        <v>107</v>
      </c>
      <c r="C110" s="62"/>
      <c r="D110" s="62"/>
      <c r="E110" s="63"/>
      <c r="F110" s="63"/>
      <c r="G110" s="63"/>
      <c r="H110" s="64" t="e">
        <f t="shared" si="3"/>
        <v>#N/A</v>
      </c>
      <c r="I110" s="63"/>
      <c r="J110" s="65">
        <f t="shared" si="5"/>
        <v>107</v>
      </c>
      <c r="K110" s="65">
        <f>工程基本資料!$B$7-$J110+$L110+$M110</f>
        <v>-107</v>
      </c>
      <c r="L110" s="66"/>
      <c r="M110" s="66"/>
      <c r="N110" s="66"/>
      <c r="O110" s="70"/>
      <c r="P110" s="58">
        <f>工程基本資料!$B$8+工程基本資料!$B$7+$L110+$M110-1</f>
        <v>-1</v>
      </c>
      <c r="Q110" s="9" t="e">
        <v>#N/A</v>
      </c>
    </row>
    <row r="111" spans="1:17" ht="63" customHeight="1" x14ac:dyDescent="0.3">
      <c r="A111" s="60"/>
      <c r="B111" s="61">
        <f t="shared" si="4"/>
        <v>108</v>
      </c>
      <c r="C111" s="62"/>
      <c r="D111" s="62"/>
      <c r="E111" s="63"/>
      <c r="F111" s="63"/>
      <c r="G111" s="63"/>
      <c r="H111" s="64" t="e">
        <f t="shared" si="3"/>
        <v>#N/A</v>
      </c>
      <c r="I111" s="63"/>
      <c r="J111" s="65">
        <f t="shared" si="5"/>
        <v>108</v>
      </c>
      <c r="K111" s="65">
        <f>工程基本資料!$B$7-$J111+$L111+$M111</f>
        <v>-108</v>
      </c>
      <c r="L111" s="66"/>
      <c r="M111" s="66"/>
      <c r="N111" s="66"/>
      <c r="O111" s="70"/>
      <c r="P111" s="58">
        <f>工程基本資料!$B$8+工程基本資料!$B$7+$L111+$M111-1</f>
        <v>-1</v>
      </c>
      <c r="Q111" s="9" t="e">
        <v>#N/A</v>
      </c>
    </row>
    <row r="112" spans="1:17" ht="63" customHeight="1" x14ac:dyDescent="0.3">
      <c r="A112" s="60"/>
      <c r="B112" s="61">
        <f t="shared" si="4"/>
        <v>109</v>
      </c>
      <c r="C112" s="62"/>
      <c r="D112" s="62"/>
      <c r="E112" s="63"/>
      <c r="F112" s="63"/>
      <c r="G112" s="63"/>
      <c r="H112" s="64" t="e">
        <f t="shared" si="3"/>
        <v>#N/A</v>
      </c>
      <c r="I112" s="63"/>
      <c r="J112" s="65">
        <f t="shared" si="5"/>
        <v>109</v>
      </c>
      <c r="K112" s="65">
        <f>工程基本資料!$B$7-$J112+$L112+$M112</f>
        <v>-109</v>
      </c>
      <c r="L112" s="66"/>
      <c r="M112" s="66"/>
      <c r="N112" s="66"/>
      <c r="O112" s="70"/>
      <c r="P112" s="58">
        <f>工程基本資料!$B$8+工程基本資料!$B$7+$L112+$M112-1</f>
        <v>-1</v>
      </c>
      <c r="Q112" s="9" t="e">
        <v>#N/A</v>
      </c>
    </row>
    <row r="113" spans="1:17" ht="63" customHeight="1" x14ac:dyDescent="0.3">
      <c r="A113" s="60"/>
      <c r="B113" s="61">
        <f t="shared" si="4"/>
        <v>110</v>
      </c>
      <c r="C113" s="62"/>
      <c r="D113" s="62"/>
      <c r="E113" s="63"/>
      <c r="F113" s="63"/>
      <c r="G113" s="63"/>
      <c r="H113" s="64" t="e">
        <f t="shared" si="3"/>
        <v>#N/A</v>
      </c>
      <c r="I113" s="63"/>
      <c r="J113" s="65">
        <f t="shared" si="5"/>
        <v>110</v>
      </c>
      <c r="K113" s="65">
        <f>工程基本資料!$B$7-$J113+$L113+$M113</f>
        <v>-110</v>
      </c>
      <c r="L113" s="66"/>
      <c r="M113" s="66"/>
      <c r="N113" s="66"/>
      <c r="O113" s="70"/>
      <c r="P113" s="58">
        <f>工程基本資料!$B$8+工程基本資料!$B$7+$L113+$M113-1</f>
        <v>-1</v>
      </c>
      <c r="Q113" s="9" t="e">
        <v>#N/A</v>
      </c>
    </row>
    <row r="114" spans="1:17" ht="63" customHeight="1" x14ac:dyDescent="0.3">
      <c r="A114" s="60"/>
      <c r="B114" s="61">
        <f t="shared" si="4"/>
        <v>111</v>
      </c>
      <c r="C114" s="62"/>
      <c r="D114" s="62"/>
      <c r="E114" s="63"/>
      <c r="F114" s="63"/>
      <c r="G114" s="63"/>
      <c r="H114" s="64" t="e">
        <f t="shared" si="3"/>
        <v>#N/A</v>
      </c>
      <c r="I114" s="63"/>
      <c r="J114" s="65">
        <f t="shared" si="5"/>
        <v>111</v>
      </c>
      <c r="K114" s="65">
        <f>工程基本資料!$B$7-$J114+$L114+$M114</f>
        <v>-111</v>
      </c>
      <c r="L114" s="66"/>
      <c r="M114" s="66"/>
      <c r="N114" s="66"/>
      <c r="O114" s="70"/>
      <c r="P114" s="58">
        <f>工程基本資料!$B$8+工程基本資料!$B$7+$L114+$M114-1</f>
        <v>-1</v>
      </c>
      <c r="Q114" s="9" t="e">
        <v>#N/A</v>
      </c>
    </row>
    <row r="115" spans="1:17" ht="63" customHeight="1" x14ac:dyDescent="0.3">
      <c r="A115" s="60"/>
      <c r="B115" s="61">
        <f t="shared" si="4"/>
        <v>112</v>
      </c>
      <c r="C115" s="62"/>
      <c r="D115" s="62"/>
      <c r="E115" s="63"/>
      <c r="F115" s="63"/>
      <c r="G115" s="63"/>
      <c r="H115" s="64" t="e">
        <f t="shared" si="3"/>
        <v>#N/A</v>
      </c>
      <c r="I115" s="63"/>
      <c r="J115" s="65">
        <f t="shared" si="5"/>
        <v>112</v>
      </c>
      <c r="K115" s="65">
        <f>工程基本資料!$B$7-$J115+$L115+$M115</f>
        <v>-112</v>
      </c>
      <c r="L115" s="66"/>
      <c r="M115" s="66"/>
      <c r="N115" s="66"/>
      <c r="O115" s="70"/>
      <c r="P115" s="58">
        <f>工程基本資料!$B$8+工程基本資料!$B$7+$L115+$M115-1</f>
        <v>-1</v>
      </c>
      <c r="Q115" s="9" t="e">
        <v>#N/A</v>
      </c>
    </row>
    <row r="116" spans="1:17" ht="63" customHeight="1" x14ac:dyDescent="0.3">
      <c r="A116" s="60"/>
      <c r="B116" s="61">
        <f t="shared" si="4"/>
        <v>113</v>
      </c>
      <c r="C116" s="62"/>
      <c r="D116" s="62"/>
      <c r="E116" s="63"/>
      <c r="F116" s="63"/>
      <c r="G116" s="63"/>
      <c r="H116" s="64" t="e">
        <f t="shared" si="3"/>
        <v>#N/A</v>
      </c>
      <c r="I116" s="63"/>
      <c r="J116" s="65">
        <f t="shared" si="5"/>
        <v>113</v>
      </c>
      <c r="K116" s="65">
        <f>工程基本資料!$B$7-$J116+$L116+$M116</f>
        <v>-113</v>
      </c>
      <c r="L116" s="66"/>
      <c r="M116" s="66"/>
      <c r="N116" s="66"/>
      <c r="O116" s="70"/>
      <c r="P116" s="58">
        <f>工程基本資料!$B$8+工程基本資料!$B$7+$L116+$M116-1</f>
        <v>-1</v>
      </c>
      <c r="Q116" s="9" t="e">
        <v>#N/A</v>
      </c>
    </row>
    <row r="117" spans="1:17" ht="63" customHeight="1" x14ac:dyDescent="0.3">
      <c r="A117" s="60"/>
      <c r="B117" s="61">
        <f t="shared" si="4"/>
        <v>114</v>
      </c>
      <c r="C117" s="62"/>
      <c r="D117" s="62"/>
      <c r="E117" s="63"/>
      <c r="F117" s="63"/>
      <c r="G117" s="63"/>
      <c r="H117" s="64" t="e">
        <f t="shared" si="3"/>
        <v>#N/A</v>
      </c>
      <c r="I117" s="63"/>
      <c r="J117" s="65">
        <f t="shared" si="5"/>
        <v>114</v>
      </c>
      <c r="K117" s="65">
        <f>工程基本資料!$B$7-$J117+$L117+$M117</f>
        <v>-114</v>
      </c>
      <c r="L117" s="66"/>
      <c r="M117" s="66"/>
      <c r="N117" s="66"/>
      <c r="O117" s="70"/>
      <c r="P117" s="58">
        <f>工程基本資料!$B$8+工程基本資料!$B$7+$L117+$M117-1</f>
        <v>-1</v>
      </c>
      <c r="Q117" s="9" t="e">
        <v>#N/A</v>
      </c>
    </row>
    <row r="118" spans="1:17" ht="63" customHeight="1" x14ac:dyDescent="0.3">
      <c r="A118" s="60"/>
      <c r="B118" s="61">
        <f t="shared" si="4"/>
        <v>115</v>
      </c>
      <c r="C118" s="62"/>
      <c r="D118" s="62"/>
      <c r="E118" s="63"/>
      <c r="F118" s="63"/>
      <c r="G118" s="63"/>
      <c r="H118" s="64" t="e">
        <f t="shared" si="3"/>
        <v>#N/A</v>
      </c>
      <c r="I118" s="63"/>
      <c r="J118" s="65">
        <f t="shared" si="5"/>
        <v>115</v>
      </c>
      <c r="K118" s="65">
        <f>工程基本資料!$B$7-$J118+$L118+$M118</f>
        <v>-115</v>
      </c>
      <c r="L118" s="66"/>
      <c r="M118" s="66"/>
      <c r="N118" s="66"/>
      <c r="O118" s="70"/>
      <c r="P118" s="58">
        <f>工程基本資料!$B$8+工程基本資料!$B$7+$L118+$M118-1</f>
        <v>-1</v>
      </c>
      <c r="Q118" s="9" t="e">
        <v>#N/A</v>
      </c>
    </row>
    <row r="119" spans="1:17" ht="63" customHeight="1" x14ac:dyDescent="0.3">
      <c r="A119" s="60"/>
      <c r="B119" s="61">
        <f t="shared" si="4"/>
        <v>116</v>
      </c>
      <c r="C119" s="62"/>
      <c r="D119" s="62"/>
      <c r="E119" s="63"/>
      <c r="F119" s="63"/>
      <c r="G119" s="63"/>
      <c r="H119" s="64" t="e">
        <f t="shared" si="3"/>
        <v>#N/A</v>
      </c>
      <c r="I119" s="63"/>
      <c r="J119" s="65">
        <f t="shared" si="5"/>
        <v>116</v>
      </c>
      <c r="K119" s="65">
        <f>工程基本資料!$B$7-$J119+$L119+$M119</f>
        <v>-116</v>
      </c>
      <c r="L119" s="66"/>
      <c r="M119" s="66"/>
      <c r="N119" s="66"/>
      <c r="O119" s="70"/>
      <c r="P119" s="58">
        <f>工程基本資料!$B$8+工程基本資料!$B$7+$L119+$M119-1</f>
        <v>-1</v>
      </c>
      <c r="Q119" s="9" t="e">
        <v>#N/A</v>
      </c>
    </row>
    <row r="120" spans="1:17" ht="63" customHeight="1" x14ac:dyDescent="0.3">
      <c r="A120" s="60"/>
      <c r="B120" s="61">
        <f t="shared" si="4"/>
        <v>117</v>
      </c>
      <c r="C120" s="62"/>
      <c r="D120" s="62"/>
      <c r="E120" s="63"/>
      <c r="F120" s="63"/>
      <c r="G120" s="63"/>
      <c r="H120" s="64" t="e">
        <f t="shared" si="3"/>
        <v>#N/A</v>
      </c>
      <c r="I120" s="63"/>
      <c r="J120" s="65">
        <f t="shared" si="5"/>
        <v>117</v>
      </c>
      <c r="K120" s="65">
        <f>工程基本資料!$B$7-$J120+$L120+$M120</f>
        <v>-117</v>
      </c>
      <c r="L120" s="66"/>
      <c r="M120" s="66"/>
      <c r="N120" s="66"/>
      <c r="O120" s="70"/>
      <c r="P120" s="58">
        <f>工程基本資料!$B$8+工程基本資料!$B$7+$L120+$M120-1</f>
        <v>-1</v>
      </c>
      <c r="Q120" s="9" t="e">
        <v>#N/A</v>
      </c>
    </row>
    <row r="121" spans="1:17" ht="63" customHeight="1" x14ac:dyDescent="0.3">
      <c r="A121" s="60"/>
      <c r="B121" s="61">
        <f t="shared" si="4"/>
        <v>118</v>
      </c>
      <c r="C121" s="62"/>
      <c r="D121" s="62"/>
      <c r="E121" s="63"/>
      <c r="F121" s="63"/>
      <c r="G121" s="63"/>
      <c r="H121" s="64" t="e">
        <f t="shared" si="3"/>
        <v>#N/A</v>
      </c>
      <c r="I121" s="63"/>
      <c r="J121" s="65">
        <f t="shared" si="5"/>
        <v>118</v>
      </c>
      <c r="K121" s="65">
        <f>工程基本資料!$B$7-$J121+$L121+$M121</f>
        <v>-118</v>
      </c>
      <c r="L121" s="66"/>
      <c r="M121" s="66"/>
      <c r="N121" s="66"/>
      <c r="O121" s="70"/>
      <c r="P121" s="58">
        <f>工程基本資料!$B$8+工程基本資料!$B$7+$L121+$M121-1</f>
        <v>-1</v>
      </c>
      <c r="Q121" s="9" t="e">
        <v>#N/A</v>
      </c>
    </row>
    <row r="122" spans="1:17" ht="63" customHeight="1" x14ac:dyDescent="0.3">
      <c r="A122" s="60"/>
      <c r="B122" s="61">
        <f t="shared" si="4"/>
        <v>119</v>
      </c>
      <c r="C122" s="62"/>
      <c r="D122" s="62"/>
      <c r="E122" s="63"/>
      <c r="F122" s="63"/>
      <c r="G122" s="63"/>
      <c r="H122" s="64" t="e">
        <f t="shared" si="3"/>
        <v>#N/A</v>
      </c>
      <c r="I122" s="63"/>
      <c r="J122" s="65">
        <f t="shared" si="5"/>
        <v>119</v>
      </c>
      <c r="K122" s="65">
        <f>工程基本資料!$B$7-$J122+$L122+$M122</f>
        <v>-119</v>
      </c>
      <c r="L122" s="66"/>
      <c r="M122" s="66"/>
      <c r="N122" s="66"/>
      <c r="O122" s="70"/>
      <c r="P122" s="58">
        <f>工程基本資料!$B$8+工程基本資料!$B$7+$L122+$M122-1</f>
        <v>-1</v>
      </c>
      <c r="Q122" s="9" t="e">
        <v>#N/A</v>
      </c>
    </row>
    <row r="123" spans="1:17" ht="63" customHeight="1" x14ac:dyDescent="0.3">
      <c r="A123" s="60"/>
      <c r="B123" s="61">
        <f t="shared" si="4"/>
        <v>120</v>
      </c>
      <c r="C123" s="62"/>
      <c r="D123" s="62"/>
      <c r="E123" s="63"/>
      <c r="F123" s="63"/>
      <c r="G123" s="63"/>
      <c r="H123" s="64" t="e">
        <f t="shared" si="3"/>
        <v>#N/A</v>
      </c>
      <c r="I123" s="63"/>
      <c r="J123" s="65">
        <f t="shared" si="5"/>
        <v>120</v>
      </c>
      <c r="K123" s="65">
        <f>工程基本資料!$B$7-$J123+$L123+$M123</f>
        <v>-120</v>
      </c>
      <c r="L123" s="66"/>
      <c r="M123" s="66"/>
      <c r="N123" s="66"/>
      <c r="O123" s="70"/>
      <c r="P123" s="58">
        <f>工程基本資料!$B$8+工程基本資料!$B$7+$L123+$M123-1</f>
        <v>-1</v>
      </c>
      <c r="Q123" s="9" t="e">
        <v>#N/A</v>
      </c>
    </row>
    <row r="124" spans="1:17" ht="63" customHeight="1" x14ac:dyDescent="0.3">
      <c r="A124" s="60"/>
      <c r="B124" s="61">
        <f t="shared" si="4"/>
        <v>121</v>
      </c>
      <c r="C124" s="62"/>
      <c r="D124" s="62"/>
      <c r="E124" s="63"/>
      <c r="F124" s="63"/>
      <c r="G124" s="63"/>
      <c r="H124" s="64" t="e">
        <f t="shared" si="3"/>
        <v>#N/A</v>
      </c>
      <c r="I124" s="63"/>
      <c r="J124" s="65">
        <f t="shared" si="5"/>
        <v>121</v>
      </c>
      <c r="K124" s="65">
        <f>工程基本資料!$B$7-$J124+$L124+$M124</f>
        <v>-121</v>
      </c>
      <c r="L124" s="66"/>
      <c r="M124" s="66"/>
      <c r="N124" s="66"/>
      <c r="O124" s="70"/>
      <c r="P124" s="58">
        <f>工程基本資料!$B$8+工程基本資料!$B$7+$L124+$M124-1</f>
        <v>-1</v>
      </c>
      <c r="Q124" s="9" t="e">
        <v>#N/A</v>
      </c>
    </row>
    <row r="125" spans="1:17" ht="63" customHeight="1" x14ac:dyDescent="0.3">
      <c r="A125" s="60"/>
      <c r="B125" s="61">
        <f t="shared" si="4"/>
        <v>122</v>
      </c>
      <c r="C125" s="62"/>
      <c r="D125" s="62"/>
      <c r="E125" s="63"/>
      <c r="F125" s="63"/>
      <c r="G125" s="63"/>
      <c r="H125" s="64" t="e">
        <f t="shared" si="3"/>
        <v>#N/A</v>
      </c>
      <c r="I125" s="63"/>
      <c r="J125" s="65">
        <f t="shared" si="5"/>
        <v>122</v>
      </c>
      <c r="K125" s="65">
        <f>工程基本資料!$B$7-$J125+$L125+$M125</f>
        <v>-122</v>
      </c>
      <c r="L125" s="66"/>
      <c r="M125" s="66"/>
      <c r="N125" s="66"/>
      <c r="O125" s="70"/>
      <c r="P125" s="58">
        <f>工程基本資料!$B$8+工程基本資料!$B$7+$L125+$M125-1</f>
        <v>-1</v>
      </c>
      <c r="Q125" s="9" t="e">
        <v>#N/A</v>
      </c>
    </row>
    <row r="126" spans="1:17" ht="63" customHeight="1" x14ac:dyDescent="0.3">
      <c r="A126" s="60"/>
      <c r="B126" s="61">
        <f t="shared" si="4"/>
        <v>123</v>
      </c>
      <c r="C126" s="62"/>
      <c r="D126" s="62"/>
      <c r="E126" s="63"/>
      <c r="F126" s="63"/>
      <c r="G126" s="63"/>
      <c r="H126" s="64" t="e">
        <f t="shared" si="3"/>
        <v>#N/A</v>
      </c>
      <c r="I126" s="63"/>
      <c r="J126" s="65">
        <f t="shared" si="5"/>
        <v>123</v>
      </c>
      <c r="K126" s="65">
        <f>工程基本資料!$B$7-$J126+$L126+$M126</f>
        <v>-123</v>
      </c>
      <c r="L126" s="66"/>
      <c r="M126" s="66"/>
      <c r="N126" s="66"/>
      <c r="O126" s="70"/>
      <c r="P126" s="58">
        <f>工程基本資料!$B$8+工程基本資料!$B$7+$L126+$M126-1</f>
        <v>-1</v>
      </c>
      <c r="Q126" s="9" t="e">
        <v>#N/A</v>
      </c>
    </row>
    <row r="127" spans="1:17" ht="63" customHeight="1" x14ac:dyDescent="0.3">
      <c r="A127" s="60"/>
      <c r="B127" s="61">
        <f t="shared" si="4"/>
        <v>124</v>
      </c>
      <c r="C127" s="62"/>
      <c r="D127" s="62"/>
      <c r="E127" s="63"/>
      <c r="F127" s="63"/>
      <c r="G127" s="63"/>
      <c r="H127" s="64" t="e">
        <f t="shared" si="3"/>
        <v>#N/A</v>
      </c>
      <c r="I127" s="63"/>
      <c r="J127" s="65">
        <f t="shared" si="5"/>
        <v>124</v>
      </c>
      <c r="K127" s="65">
        <f>工程基本資料!$B$7-$J127+$L127+$M127</f>
        <v>-124</v>
      </c>
      <c r="L127" s="66"/>
      <c r="M127" s="66"/>
      <c r="N127" s="66"/>
      <c r="O127" s="70"/>
      <c r="P127" s="58">
        <f>工程基本資料!$B$8+工程基本資料!$B$7+$L127+$M127-1</f>
        <v>-1</v>
      </c>
      <c r="Q127" s="9" t="e">
        <v>#N/A</v>
      </c>
    </row>
    <row r="128" spans="1:17" ht="63" customHeight="1" x14ac:dyDescent="0.3">
      <c r="A128" s="60"/>
      <c r="B128" s="61">
        <f t="shared" si="4"/>
        <v>125</v>
      </c>
      <c r="C128" s="62"/>
      <c r="D128" s="62"/>
      <c r="E128" s="63"/>
      <c r="F128" s="63"/>
      <c r="G128" s="63"/>
      <c r="H128" s="64" t="e">
        <f t="shared" si="3"/>
        <v>#N/A</v>
      </c>
      <c r="I128" s="63"/>
      <c r="J128" s="65">
        <f t="shared" si="5"/>
        <v>125</v>
      </c>
      <c r="K128" s="65">
        <f>工程基本資料!$B$7-$J128+$L128+$M128</f>
        <v>-125</v>
      </c>
      <c r="L128" s="66"/>
      <c r="M128" s="66"/>
      <c r="N128" s="66"/>
      <c r="O128" s="70"/>
      <c r="P128" s="58">
        <f>工程基本資料!$B$8+工程基本資料!$B$7+$L128+$M128-1</f>
        <v>-1</v>
      </c>
      <c r="Q128" s="9" t="e">
        <v>#N/A</v>
      </c>
    </row>
    <row r="129" spans="1:17" ht="63" customHeight="1" x14ac:dyDescent="0.3">
      <c r="A129" s="60"/>
      <c r="B129" s="61">
        <f t="shared" si="4"/>
        <v>126</v>
      </c>
      <c r="C129" s="62"/>
      <c r="D129" s="62"/>
      <c r="E129" s="63"/>
      <c r="F129" s="63"/>
      <c r="G129" s="63"/>
      <c r="H129" s="64" t="e">
        <f t="shared" si="3"/>
        <v>#N/A</v>
      </c>
      <c r="I129" s="63"/>
      <c r="J129" s="65">
        <f t="shared" si="5"/>
        <v>126</v>
      </c>
      <c r="K129" s="65">
        <f>工程基本資料!$B$7-$J129+$L129+$M129</f>
        <v>-126</v>
      </c>
      <c r="L129" s="66"/>
      <c r="M129" s="66"/>
      <c r="N129" s="66"/>
      <c r="O129" s="70"/>
      <c r="P129" s="58">
        <f>工程基本資料!$B$8+工程基本資料!$B$7+$L129+$M129-1</f>
        <v>-1</v>
      </c>
      <c r="Q129" s="9" t="e">
        <v>#N/A</v>
      </c>
    </row>
    <row r="130" spans="1:17" ht="63" customHeight="1" x14ac:dyDescent="0.3">
      <c r="A130" s="60"/>
      <c r="B130" s="61">
        <f t="shared" si="4"/>
        <v>127</v>
      </c>
      <c r="C130" s="62"/>
      <c r="D130" s="62"/>
      <c r="E130" s="63"/>
      <c r="F130" s="63"/>
      <c r="G130" s="63"/>
      <c r="H130" s="64" t="e">
        <f t="shared" si="3"/>
        <v>#N/A</v>
      </c>
      <c r="I130" s="63"/>
      <c r="J130" s="65">
        <f t="shared" si="5"/>
        <v>127</v>
      </c>
      <c r="K130" s="65">
        <f>工程基本資料!$B$7-$J130+$L130+$M130</f>
        <v>-127</v>
      </c>
      <c r="L130" s="66"/>
      <c r="M130" s="66"/>
      <c r="N130" s="66"/>
      <c r="O130" s="70"/>
      <c r="P130" s="58">
        <f>工程基本資料!$B$8+工程基本資料!$B$7+$L130+$M130-1</f>
        <v>-1</v>
      </c>
      <c r="Q130" s="9" t="e">
        <v>#N/A</v>
      </c>
    </row>
    <row r="131" spans="1:17" ht="63" customHeight="1" x14ac:dyDescent="0.3">
      <c r="A131" s="60"/>
      <c r="B131" s="61">
        <f t="shared" si="4"/>
        <v>128</v>
      </c>
      <c r="C131" s="62"/>
      <c r="D131" s="62"/>
      <c r="E131" s="63"/>
      <c r="F131" s="63"/>
      <c r="G131" s="63"/>
      <c r="H131" s="64" t="e">
        <f t="shared" si="3"/>
        <v>#N/A</v>
      </c>
      <c r="I131" s="63"/>
      <c r="J131" s="65">
        <f t="shared" si="5"/>
        <v>128</v>
      </c>
      <c r="K131" s="65">
        <f>工程基本資料!$B$7-$J131+$L131+$M131</f>
        <v>-128</v>
      </c>
      <c r="L131" s="66"/>
      <c r="M131" s="66"/>
      <c r="N131" s="66"/>
      <c r="O131" s="70"/>
      <c r="P131" s="58">
        <f>工程基本資料!$B$8+工程基本資料!$B$7+$L131+$M131-1</f>
        <v>-1</v>
      </c>
      <c r="Q131" s="9" t="e">
        <v>#N/A</v>
      </c>
    </row>
    <row r="132" spans="1:17" ht="63" customHeight="1" x14ac:dyDescent="0.3">
      <c r="A132" s="60"/>
      <c r="B132" s="61">
        <f t="shared" si="4"/>
        <v>129</v>
      </c>
      <c r="C132" s="62"/>
      <c r="D132" s="62"/>
      <c r="E132" s="63"/>
      <c r="F132" s="63"/>
      <c r="G132" s="63"/>
      <c r="H132" s="64" t="e">
        <f t="shared" ref="H132:H195" si="6">IF(Q132&gt;1,$R$3,$R$4)</f>
        <v>#N/A</v>
      </c>
      <c r="I132" s="63"/>
      <c r="J132" s="65">
        <f t="shared" si="5"/>
        <v>129</v>
      </c>
      <c r="K132" s="65">
        <f>工程基本資料!$B$7-$J132+$L132+$M132</f>
        <v>-129</v>
      </c>
      <c r="L132" s="66"/>
      <c r="M132" s="66"/>
      <c r="N132" s="66"/>
      <c r="O132" s="70"/>
      <c r="P132" s="58">
        <f>工程基本資料!$B$8+工程基本資料!$B$7+$L132+$M132-1</f>
        <v>-1</v>
      </c>
      <c r="Q132" s="9" t="e">
        <v>#N/A</v>
      </c>
    </row>
    <row r="133" spans="1:17" ht="63" customHeight="1" x14ac:dyDescent="0.3">
      <c r="A133" s="60"/>
      <c r="B133" s="61">
        <f t="shared" ref="B133:B196" si="7">B132+1</f>
        <v>130</v>
      </c>
      <c r="C133" s="62"/>
      <c r="D133" s="62"/>
      <c r="E133" s="63"/>
      <c r="F133" s="63"/>
      <c r="G133" s="63"/>
      <c r="H133" s="64" t="e">
        <f t="shared" si="6"/>
        <v>#N/A</v>
      </c>
      <c r="I133" s="63"/>
      <c r="J133" s="65">
        <f t="shared" ref="J133:J196" si="8">J132+1</f>
        <v>130</v>
      </c>
      <c r="K133" s="65">
        <f>工程基本資料!$B$7-$J133+$L133+$M133</f>
        <v>-130</v>
      </c>
      <c r="L133" s="66"/>
      <c r="M133" s="66"/>
      <c r="N133" s="66"/>
      <c r="O133" s="70"/>
      <c r="P133" s="58">
        <f>工程基本資料!$B$8+工程基本資料!$B$7+$L133+$M133-1</f>
        <v>-1</v>
      </c>
      <c r="Q133" s="9" t="e">
        <v>#N/A</v>
      </c>
    </row>
    <row r="134" spans="1:17" ht="63" customHeight="1" x14ac:dyDescent="0.3">
      <c r="A134" s="60"/>
      <c r="B134" s="61">
        <f t="shared" si="7"/>
        <v>131</v>
      </c>
      <c r="C134" s="62"/>
      <c r="D134" s="62"/>
      <c r="E134" s="63"/>
      <c r="F134" s="63"/>
      <c r="G134" s="63"/>
      <c r="H134" s="64" t="e">
        <f t="shared" si="6"/>
        <v>#N/A</v>
      </c>
      <c r="I134" s="63"/>
      <c r="J134" s="65">
        <f t="shared" si="8"/>
        <v>131</v>
      </c>
      <c r="K134" s="65">
        <f>工程基本資料!$B$7-$J134+$L134+$M134</f>
        <v>-131</v>
      </c>
      <c r="L134" s="66"/>
      <c r="M134" s="66"/>
      <c r="N134" s="66"/>
      <c r="O134" s="70"/>
      <c r="P134" s="58">
        <f>工程基本資料!$B$8+工程基本資料!$B$7+$L134+$M134-1</f>
        <v>-1</v>
      </c>
      <c r="Q134" s="9" t="e">
        <v>#N/A</v>
      </c>
    </row>
    <row r="135" spans="1:17" ht="63" customHeight="1" x14ac:dyDescent="0.3">
      <c r="A135" s="60"/>
      <c r="B135" s="61">
        <f t="shared" si="7"/>
        <v>132</v>
      </c>
      <c r="C135" s="62"/>
      <c r="D135" s="62"/>
      <c r="E135" s="63"/>
      <c r="F135" s="63"/>
      <c r="G135" s="63"/>
      <c r="H135" s="64" t="e">
        <f t="shared" si="6"/>
        <v>#N/A</v>
      </c>
      <c r="I135" s="63"/>
      <c r="J135" s="65">
        <f t="shared" si="8"/>
        <v>132</v>
      </c>
      <c r="K135" s="65">
        <f>工程基本資料!$B$7-$J135+$L135+$M135</f>
        <v>-132</v>
      </c>
      <c r="L135" s="66"/>
      <c r="M135" s="66"/>
      <c r="N135" s="66"/>
      <c r="O135" s="70"/>
      <c r="P135" s="58">
        <f>工程基本資料!$B$8+工程基本資料!$B$7+$L135+$M135-1</f>
        <v>-1</v>
      </c>
      <c r="Q135" s="9" t="e">
        <v>#N/A</v>
      </c>
    </row>
    <row r="136" spans="1:17" ht="63" customHeight="1" x14ac:dyDescent="0.3">
      <c r="A136" s="60"/>
      <c r="B136" s="61">
        <f t="shared" si="7"/>
        <v>133</v>
      </c>
      <c r="C136" s="62"/>
      <c r="D136" s="62"/>
      <c r="E136" s="63"/>
      <c r="F136" s="63"/>
      <c r="G136" s="63"/>
      <c r="H136" s="64" t="e">
        <f t="shared" si="6"/>
        <v>#N/A</v>
      </c>
      <c r="I136" s="63"/>
      <c r="J136" s="65">
        <f t="shared" si="8"/>
        <v>133</v>
      </c>
      <c r="K136" s="65">
        <f>工程基本資料!$B$7-$J136+$L136+$M136</f>
        <v>-133</v>
      </c>
      <c r="L136" s="66"/>
      <c r="M136" s="66"/>
      <c r="N136" s="66"/>
      <c r="O136" s="70"/>
      <c r="P136" s="58">
        <f>工程基本資料!$B$8+工程基本資料!$B$7+$L136+$M136-1</f>
        <v>-1</v>
      </c>
      <c r="Q136" s="9" t="e">
        <v>#N/A</v>
      </c>
    </row>
    <row r="137" spans="1:17" ht="63" customHeight="1" x14ac:dyDescent="0.3">
      <c r="A137" s="60"/>
      <c r="B137" s="61">
        <f t="shared" si="7"/>
        <v>134</v>
      </c>
      <c r="C137" s="62"/>
      <c r="D137" s="62"/>
      <c r="E137" s="63"/>
      <c r="F137" s="63"/>
      <c r="G137" s="63"/>
      <c r="H137" s="64" t="e">
        <f t="shared" si="6"/>
        <v>#N/A</v>
      </c>
      <c r="I137" s="63"/>
      <c r="J137" s="65">
        <f t="shared" si="8"/>
        <v>134</v>
      </c>
      <c r="K137" s="65">
        <f>工程基本資料!$B$7-$J137+$L137+$M137</f>
        <v>-134</v>
      </c>
      <c r="L137" s="66"/>
      <c r="M137" s="66"/>
      <c r="N137" s="66"/>
      <c r="O137" s="70"/>
      <c r="P137" s="58">
        <f>工程基本資料!$B$8+工程基本資料!$B$7+$L137+$M137-1</f>
        <v>-1</v>
      </c>
      <c r="Q137" s="9" t="e">
        <v>#N/A</v>
      </c>
    </row>
    <row r="138" spans="1:17" ht="63" customHeight="1" x14ac:dyDescent="0.3">
      <c r="A138" s="60"/>
      <c r="B138" s="61">
        <f t="shared" si="7"/>
        <v>135</v>
      </c>
      <c r="C138" s="62"/>
      <c r="D138" s="62"/>
      <c r="E138" s="63"/>
      <c r="F138" s="63"/>
      <c r="G138" s="63"/>
      <c r="H138" s="64" t="e">
        <f t="shared" si="6"/>
        <v>#N/A</v>
      </c>
      <c r="I138" s="63"/>
      <c r="J138" s="65">
        <f t="shared" si="8"/>
        <v>135</v>
      </c>
      <c r="K138" s="65">
        <f>工程基本資料!$B$7-$J138+$L138+$M138</f>
        <v>-135</v>
      </c>
      <c r="L138" s="66"/>
      <c r="M138" s="66"/>
      <c r="N138" s="66"/>
      <c r="O138" s="70"/>
      <c r="P138" s="58">
        <f>工程基本資料!$B$8+工程基本資料!$B$7+$L138+$M138-1</f>
        <v>-1</v>
      </c>
      <c r="Q138" s="9" t="e">
        <v>#N/A</v>
      </c>
    </row>
    <row r="139" spans="1:17" ht="63" customHeight="1" x14ac:dyDescent="0.3">
      <c r="A139" s="60"/>
      <c r="B139" s="61">
        <f t="shared" si="7"/>
        <v>136</v>
      </c>
      <c r="C139" s="62"/>
      <c r="D139" s="62"/>
      <c r="E139" s="63"/>
      <c r="F139" s="63"/>
      <c r="G139" s="63"/>
      <c r="H139" s="64" t="e">
        <f t="shared" si="6"/>
        <v>#N/A</v>
      </c>
      <c r="I139" s="63"/>
      <c r="J139" s="65">
        <f t="shared" si="8"/>
        <v>136</v>
      </c>
      <c r="K139" s="65">
        <f>工程基本資料!$B$7-$J139+$L139+$M139</f>
        <v>-136</v>
      </c>
      <c r="L139" s="66"/>
      <c r="M139" s="66"/>
      <c r="N139" s="66"/>
      <c r="O139" s="70"/>
      <c r="P139" s="58">
        <f>工程基本資料!$B$8+工程基本資料!$B$7+$L139+$M139-1</f>
        <v>-1</v>
      </c>
      <c r="Q139" s="9" t="e">
        <v>#N/A</v>
      </c>
    </row>
    <row r="140" spans="1:17" ht="63" customHeight="1" x14ac:dyDescent="0.3">
      <c r="A140" s="60"/>
      <c r="B140" s="61">
        <f t="shared" si="7"/>
        <v>137</v>
      </c>
      <c r="C140" s="62"/>
      <c r="D140" s="62"/>
      <c r="E140" s="63"/>
      <c r="F140" s="63"/>
      <c r="G140" s="63"/>
      <c r="H140" s="64" t="e">
        <f t="shared" si="6"/>
        <v>#N/A</v>
      </c>
      <c r="I140" s="63"/>
      <c r="J140" s="65">
        <f t="shared" si="8"/>
        <v>137</v>
      </c>
      <c r="K140" s="65">
        <f>工程基本資料!$B$7-$J140+$L140+$M140</f>
        <v>-137</v>
      </c>
      <c r="L140" s="66"/>
      <c r="M140" s="66"/>
      <c r="N140" s="66"/>
      <c r="O140" s="70"/>
      <c r="P140" s="58">
        <f>工程基本資料!$B$8+工程基本資料!$B$7+$L140+$M140-1</f>
        <v>-1</v>
      </c>
      <c r="Q140" s="9" t="e">
        <v>#N/A</v>
      </c>
    </row>
    <row r="141" spans="1:17" ht="63" customHeight="1" x14ac:dyDescent="0.3">
      <c r="A141" s="60"/>
      <c r="B141" s="61">
        <f t="shared" si="7"/>
        <v>138</v>
      </c>
      <c r="C141" s="62"/>
      <c r="D141" s="62"/>
      <c r="E141" s="63"/>
      <c r="F141" s="63"/>
      <c r="G141" s="63"/>
      <c r="H141" s="64" t="e">
        <f t="shared" si="6"/>
        <v>#N/A</v>
      </c>
      <c r="I141" s="63"/>
      <c r="J141" s="65">
        <f t="shared" si="8"/>
        <v>138</v>
      </c>
      <c r="K141" s="65">
        <f>工程基本資料!$B$7-$J141+$L141+$M141</f>
        <v>-138</v>
      </c>
      <c r="L141" s="66"/>
      <c r="M141" s="66"/>
      <c r="N141" s="66"/>
      <c r="O141" s="70"/>
      <c r="P141" s="58">
        <f>工程基本資料!$B$8+工程基本資料!$B$7+$L141+$M141-1</f>
        <v>-1</v>
      </c>
      <c r="Q141" s="9" t="e">
        <v>#N/A</v>
      </c>
    </row>
    <row r="142" spans="1:17" ht="63" customHeight="1" x14ac:dyDescent="0.3">
      <c r="A142" s="60"/>
      <c r="B142" s="61">
        <f t="shared" si="7"/>
        <v>139</v>
      </c>
      <c r="C142" s="62"/>
      <c r="D142" s="62"/>
      <c r="E142" s="63"/>
      <c r="F142" s="63"/>
      <c r="G142" s="63"/>
      <c r="H142" s="64" t="e">
        <f t="shared" si="6"/>
        <v>#N/A</v>
      </c>
      <c r="I142" s="63"/>
      <c r="J142" s="65">
        <f t="shared" si="8"/>
        <v>139</v>
      </c>
      <c r="K142" s="65">
        <f>工程基本資料!$B$7-$J142+$L142+$M142</f>
        <v>-139</v>
      </c>
      <c r="L142" s="66"/>
      <c r="M142" s="66"/>
      <c r="N142" s="66"/>
      <c r="O142" s="70"/>
      <c r="P142" s="58">
        <f>工程基本資料!$B$8+工程基本資料!$B$7+$L142+$M142-1</f>
        <v>-1</v>
      </c>
      <c r="Q142" s="9" t="e">
        <v>#N/A</v>
      </c>
    </row>
    <row r="143" spans="1:17" ht="63" customHeight="1" x14ac:dyDescent="0.3">
      <c r="A143" s="60"/>
      <c r="B143" s="61">
        <f t="shared" si="7"/>
        <v>140</v>
      </c>
      <c r="C143" s="62"/>
      <c r="D143" s="62"/>
      <c r="E143" s="63"/>
      <c r="F143" s="63"/>
      <c r="G143" s="63"/>
      <c r="H143" s="64" t="e">
        <f t="shared" si="6"/>
        <v>#N/A</v>
      </c>
      <c r="I143" s="63"/>
      <c r="J143" s="65">
        <f t="shared" si="8"/>
        <v>140</v>
      </c>
      <c r="K143" s="65">
        <f>工程基本資料!$B$7-$J143+$L143+$M143</f>
        <v>-140</v>
      </c>
      <c r="L143" s="66"/>
      <c r="M143" s="66"/>
      <c r="N143" s="66"/>
      <c r="O143" s="70"/>
      <c r="P143" s="58">
        <f>工程基本資料!$B$8+工程基本資料!$B$7+$L143+$M143-1</f>
        <v>-1</v>
      </c>
      <c r="Q143" s="9" t="e">
        <v>#N/A</v>
      </c>
    </row>
    <row r="144" spans="1:17" ht="63" customHeight="1" x14ac:dyDescent="0.3">
      <c r="A144" s="60"/>
      <c r="B144" s="61">
        <f t="shared" si="7"/>
        <v>141</v>
      </c>
      <c r="C144" s="62"/>
      <c r="D144" s="62"/>
      <c r="E144" s="63"/>
      <c r="F144" s="63"/>
      <c r="G144" s="63"/>
      <c r="H144" s="64" t="e">
        <f t="shared" si="6"/>
        <v>#N/A</v>
      </c>
      <c r="I144" s="63"/>
      <c r="J144" s="65">
        <f t="shared" si="8"/>
        <v>141</v>
      </c>
      <c r="K144" s="65">
        <f>工程基本資料!$B$7-$J144+$L144+$M144</f>
        <v>-141</v>
      </c>
      <c r="L144" s="66"/>
      <c r="M144" s="66"/>
      <c r="N144" s="66"/>
      <c r="O144" s="70"/>
      <c r="P144" s="58">
        <f>工程基本資料!$B$8+工程基本資料!$B$7+$L144+$M144-1</f>
        <v>-1</v>
      </c>
      <c r="Q144" s="9" t="e">
        <v>#N/A</v>
      </c>
    </row>
    <row r="145" spans="1:17" ht="63" customHeight="1" x14ac:dyDescent="0.3">
      <c r="A145" s="60"/>
      <c r="B145" s="61">
        <f t="shared" si="7"/>
        <v>142</v>
      </c>
      <c r="C145" s="62"/>
      <c r="D145" s="62"/>
      <c r="E145" s="63"/>
      <c r="F145" s="63"/>
      <c r="G145" s="63"/>
      <c r="H145" s="64" t="e">
        <f t="shared" si="6"/>
        <v>#N/A</v>
      </c>
      <c r="I145" s="63"/>
      <c r="J145" s="65">
        <f t="shared" si="8"/>
        <v>142</v>
      </c>
      <c r="K145" s="65">
        <f>工程基本資料!$B$7-$J145+$L145+$M145</f>
        <v>-142</v>
      </c>
      <c r="L145" s="66"/>
      <c r="M145" s="66"/>
      <c r="N145" s="66"/>
      <c r="O145" s="70"/>
      <c r="P145" s="58">
        <f>工程基本資料!$B$8+工程基本資料!$B$7+$L145+$M145-1</f>
        <v>-1</v>
      </c>
      <c r="Q145" s="9" t="e">
        <v>#N/A</v>
      </c>
    </row>
    <row r="146" spans="1:17" ht="63" customHeight="1" x14ac:dyDescent="0.3">
      <c r="A146" s="60"/>
      <c r="B146" s="61">
        <f t="shared" si="7"/>
        <v>143</v>
      </c>
      <c r="C146" s="62"/>
      <c r="D146" s="62"/>
      <c r="E146" s="63"/>
      <c r="F146" s="63"/>
      <c r="G146" s="63"/>
      <c r="H146" s="64" t="e">
        <f t="shared" si="6"/>
        <v>#N/A</v>
      </c>
      <c r="I146" s="63"/>
      <c r="J146" s="65">
        <f t="shared" si="8"/>
        <v>143</v>
      </c>
      <c r="K146" s="65">
        <f>工程基本資料!$B$7-$J146+$L146+$M146</f>
        <v>-143</v>
      </c>
      <c r="L146" s="66"/>
      <c r="M146" s="66"/>
      <c r="N146" s="66"/>
      <c r="O146" s="70"/>
      <c r="P146" s="58">
        <f>工程基本資料!$B$8+工程基本資料!$B$7+$L146+$M146-1</f>
        <v>-1</v>
      </c>
      <c r="Q146" s="9" t="e">
        <v>#N/A</v>
      </c>
    </row>
    <row r="147" spans="1:17" ht="63" customHeight="1" x14ac:dyDescent="0.3">
      <c r="A147" s="60"/>
      <c r="B147" s="61">
        <f t="shared" si="7"/>
        <v>144</v>
      </c>
      <c r="C147" s="62"/>
      <c r="D147" s="62"/>
      <c r="E147" s="63"/>
      <c r="F147" s="63"/>
      <c r="G147" s="63"/>
      <c r="H147" s="64" t="e">
        <f t="shared" si="6"/>
        <v>#N/A</v>
      </c>
      <c r="I147" s="63"/>
      <c r="J147" s="65">
        <f t="shared" si="8"/>
        <v>144</v>
      </c>
      <c r="K147" s="65">
        <f>工程基本資料!$B$7-$J147+$L147+$M147</f>
        <v>-144</v>
      </c>
      <c r="L147" s="66"/>
      <c r="M147" s="66"/>
      <c r="N147" s="66"/>
      <c r="O147" s="70"/>
      <c r="P147" s="58">
        <f>工程基本資料!$B$8+工程基本資料!$B$7+$L147+$M147-1</f>
        <v>-1</v>
      </c>
      <c r="Q147" s="9" t="e">
        <v>#N/A</v>
      </c>
    </row>
    <row r="148" spans="1:17" ht="63" customHeight="1" x14ac:dyDescent="0.3">
      <c r="A148" s="60"/>
      <c r="B148" s="61">
        <f t="shared" si="7"/>
        <v>145</v>
      </c>
      <c r="C148" s="62"/>
      <c r="D148" s="62"/>
      <c r="E148" s="63"/>
      <c r="F148" s="63"/>
      <c r="G148" s="63"/>
      <c r="H148" s="64" t="e">
        <f t="shared" si="6"/>
        <v>#N/A</v>
      </c>
      <c r="I148" s="63"/>
      <c r="J148" s="65">
        <f t="shared" si="8"/>
        <v>145</v>
      </c>
      <c r="K148" s="65">
        <f>工程基本資料!$B$7-$J148+$L148+$M148</f>
        <v>-145</v>
      </c>
      <c r="L148" s="66"/>
      <c r="M148" s="66"/>
      <c r="N148" s="66"/>
      <c r="O148" s="70"/>
      <c r="P148" s="58">
        <f>工程基本資料!$B$8+工程基本資料!$B$7+$L148+$M148-1</f>
        <v>-1</v>
      </c>
      <c r="Q148" s="9" t="e">
        <v>#N/A</v>
      </c>
    </row>
    <row r="149" spans="1:17" ht="63" customHeight="1" x14ac:dyDescent="0.3">
      <c r="A149" s="60"/>
      <c r="B149" s="61">
        <f t="shared" si="7"/>
        <v>146</v>
      </c>
      <c r="C149" s="62"/>
      <c r="D149" s="62"/>
      <c r="E149" s="63"/>
      <c r="F149" s="63"/>
      <c r="G149" s="63"/>
      <c r="H149" s="64" t="e">
        <f t="shared" si="6"/>
        <v>#N/A</v>
      </c>
      <c r="I149" s="63"/>
      <c r="J149" s="65">
        <f t="shared" si="8"/>
        <v>146</v>
      </c>
      <c r="K149" s="65">
        <f>工程基本資料!$B$7-$J149+$L149+$M149</f>
        <v>-146</v>
      </c>
      <c r="L149" s="66"/>
      <c r="M149" s="66"/>
      <c r="N149" s="66"/>
      <c r="O149" s="70"/>
      <c r="P149" s="58">
        <f>工程基本資料!$B$8+工程基本資料!$B$7+$L149+$M149-1</f>
        <v>-1</v>
      </c>
      <c r="Q149" s="9" t="e">
        <v>#N/A</v>
      </c>
    </row>
    <row r="150" spans="1:17" ht="63" customHeight="1" x14ac:dyDescent="0.3">
      <c r="A150" s="60"/>
      <c r="B150" s="61">
        <f t="shared" si="7"/>
        <v>147</v>
      </c>
      <c r="C150" s="62"/>
      <c r="D150" s="62"/>
      <c r="E150" s="63"/>
      <c r="F150" s="63"/>
      <c r="G150" s="63"/>
      <c r="H150" s="64" t="e">
        <f t="shared" si="6"/>
        <v>#N/A</v>
      </c>
      <c r="I150" s="63"/>
      <c r="J150" s="65">
        <f t="shared" si="8"/>
        <v>147</v>
      </c>
      <c r="K150" s="65">
        <f>工程基本資料!$B$7-$J150+$L150+$M150</f>
        <v>-147</v>
      </c>
      <c r="L150" s="66"/>
      <c r="M150" s="66"/>
      <c r="N150" s="66"/>
      <c r="O150" s="70"/>
      <c r="P150" s="58">
        <f>工程基本資料!$B$8+工程基本資料!$B$7+$L150+$M150-1</f>
        <v>-1</v>
      </c>
      <c r="Q150" s="9" t="e">
        <v>#N/A</v>
      </c>
    </row>
    <row r="151" spans="1:17" ht="63" customHeight="1" x14ac:dyDescent="0.3">
      <c r="A151" s="60"/>
      <c r="B151" s="61">
        <f t="shared" si="7"/>
        <v>148</v>
      </c>
      <c r="C151" s="62"/>
      <c r="D151" s="62"/>
      <c r="E151" s="63"/>
      <c r="F151" s="63"/>
      <c r="G151" s="63"/>
      <c r="H151" s="64" t="e">
        <f t="shared" si="6"/>
        <v>#N/A</v>
      </c>
      <c r="I151" s="63"/>
      <c r="J151" s="65">
        <f t="shared" si="8"/>
        <v>148</v>
      </c>
      <c r="K151" s="65">
        <f>工程基本資料!$B$7-$J151+$L151+$M151</f>
        <v>-148</v>
      </c>
      <c r="L151" s="66"/>
      <c r="M151" s="66"/>
      <c r="N151" s="66"/>
      <c r="O151" s="70"/>
      <c r="P151" s="58">
        <f>工程基本資料!$B$8+工程基本資料!$B$7+$L151+$M151-1</f>
        <v>-1</v>
      </c>
      <c r="Q151" s="9" t="e">
        <v>#N/A</v>
      </c>
    </row>
    <row r="152" spans="1:17" ht="63" customHeight="1" x14ac:dyDescent="0.3">
      <c r="A152" s="60"/>
      <c r="B152" s="61">
        <f t="shared" si="7"/>
        <v>149</v>
      </c>
      <c r="C152" s="62"/>
      <c r="D152" s="62"/>
      <c r="E152" s="63"/>
      <c r="F152" s="63"/>
      <c r="G152" s="63"/>
      <c r="H152" s="64" t="e">
        <f t="shared" si="6"/>
        <v>#N/A</v>
      </c>
      <c r="I152" s="63"/>
      <c r="J152" s="65">
        <f t="shared" si="8"/>
        <v>149</v>
      </c>
      <c r="K152" s="65">
        <f>工程基本資料!$B$7-$J152+$L152+$M152</f>
        <v>-149</v>
      </c>
      <c r="L152" s="66"/>
      <c r="M152" s="66"/>
      <c r="N152" s="66"/>
      <c r="O152" s="70"/>
      <c r="P152" s="58">
        <f>工程基本資料!$B$8+工程基本資料!$B$7+$L152+$M152-1</f>
        <v>-1</v>
      </c>
      <c r="Q152" s="9" t="e">
        <v>#N/A</v>
      </c>
    </row>
    <row r="153" spans="1:17" ht="63" customHeight="1" x14ac:dyDescent="0.3">
      <c r="A153" s="60"/>
      <c r="B153" s="61">
        <f t="shared" si="7"/>
        <v>150</v>
      </c>
      <c r="C153" s="62"/>
      <c r="D153" s="62"/>
      <c r="E153" s="63"/>
      <c r="F153" s="63"/>
      <c r="G153" s="63"/>
      <c r="H153" s="64" t="e">
        <f t="shared" si="6"/>
        <v>#N/A</v>
      </c>
      <c r="I153" s="63"/>
      <c r="J153" s="65">
        <f t="shared" si="8"/>
        <v>150</v>
      </c>
      <c r="K153" s="65">
        <f>工程基本資料!$B$7-$J153+$L153+$M153</f>
        <v>-150</v>
      </c>
      <c r="L153" s="66"/>
      <c r="M153" s="66"/>
      <c r="N153" s="66"/>
      <c r="O153" s="70"/>
      <c r="P153" s="58">
        <f>工程基本資料!$B$8+工程基本資料!$B$7+$L153+$M153-1</f>
        <v>-1</v>
      </c>
      <c r="Q153" s="9" t="e">
        <v>#N/A</v>
      </c>
    </row>
    <row r="154" spans="1:17" ht="63" customHeight="1" x14ac:dyDescent="0.3">
      <c r="A154" s="60"/>
      <c r="B154" s="61">
        <f t="shared" si="7"/>
        <v>151</v>
      </c>
      <c r="C154" s="62"/>
      <c r="D154" s="62"/>
      <c r="E154" s="63"/>
      <c r="F154" s="63"/>
      <c r="G154" s="63"/>
      <c r="H154" s="64" t="e">
        <f t="shared" si="6"/>
        <v>#N/A</v>
      </c>
      <c r="I154" s="63"/>
      <c r="J154" s="65">
        <f t="shared" si="8"/>
        <v>151</v>
      </c>
      <c r="K154" s="65">
        <f>工程基本資料!$B$7-$J154+$L154+$M154</f>
        <v>-151</v>
      </c>
      <c r="L154" s="66"/>
      <c r="M154" s="66"/>
      <c r="N154" s="66"/>
      <c r="O154" s="70"/>
      <c r="P154" s="58">
        <f>工程基本資料!$B$8+工程基本資料!$B$7+$L154+$M154-1</f>
        <v>-1</v>
      </c>
      <c r="Q154" s="9" t="e">
        <v>#N/A</v>
      </c>
    </row>
    <row r="155" spans="1:17" ht="63" customHeight="1" x14ac:dyDescent="0.3">
      <c r="A155" s="60"/>
      <c r="B155" s="61">
        <f t="shared" si="7"/>
        <v>152</v>
      </c>
      <c r="C155" s="62"/>
      <c r="D155" s="62"/>
      <c r="E155" s="63"/>
      <c r="F155" s="63"/>
      <c r="G155" s="63"/>
      <c r="H155" s="64" t="e">
        <f t="shared" si="6"/>
        <v>#N/A</v>
      </c>
      <c r="I155" s="63"/>
      <c r="J155" s="65">
        <f t="shared" si="8"/>
        <v>152</v>
      </c>
      <c r="K155" s="65">
        <f>工程基本資料!$B$7-$J155+$L155+$M155</f>
        <v>-152</v>
      </c>
      <c r="L155" s="66"/>
      <c r="M155" s="66"/>
      <c r="N155" s="66"/>
      <c r="O155" s="70"/>
      <c r="P155" s="58">
        <f>工程基本資料!$B$8+工程基本資料!$B$7+$L155+$M155-1</f>
        <v>-1</v>
      </c>
      <c r="Q155" s="9" t="e">
        <v>#N/A</v>
      </c>
    </row>
    <row r="156" spans="1:17" ht="63" customHeight="1" x14ac:dyDescent="0.3">
      <c r="A156" s="60"/>
      <c r="B156" s="61">
        <f t="shared" si="7"/>
        <v>153</v>
      </c>
      <c r="C156" s="62"/>
      <c r="D156" s="62"/>
      <c r="E156" s="63"/>
      <c r="F156" s="63"/>
      <c r="G156" s="63"/>
      <c r="H156" s="64" t="e">
        <f t="shared" si="6"/>
        <v>#N/A</v>
      </c>
      <c r="I156" s="63"/>
      <c r="J156" s="65">
        <f t="shared" si="8"/>
        <v>153</v>
      </c>
      <c r="K156" s="65">
        <f>工程基本資料!$B$7-$J156+$L156+$M156</f>
        <v>-153</v>
      </c>
      <c r="L156" s="66"/>
      <c r="M156" s="66"/>
      <c r="N156" s="66"/>
      <c r="O156" s="70"/>
      <c r="P156" s="58">
        <f>工程基本資料!$B$8+工程基本資料!$B$7+$L156+$M156-1</f>
        <v>-1</v>
      </c>
      <c r="Q156" s="9" t="e">
        <v>#N/A</v>
      </c>
    </row>
    <row r="157" spans="1:17" ht="63" customHeight="1" x14ac:dyDescent="0.3">
      <c r="A157" s="60"/>
      <c r="B157" s="61">
        <f t="shared" si="7"/>
        <v>154</v>
      </c>
      <c r="C157" s="62"/>
      <c r="D157" s="62"/>
      <c r="E157" s="63"/>
      <c r="F157" s="63"/>
      <c r="G157" s="63"/>
      <c r="H157" s="64" t="e">
        <f t="shared" si="6"/>
        <v>#N/A</v>
      </c>
      <c r="I157" s="63"/>
      <c r="J157" s="65">
        <f t="shared" si="8"/>
        <v>154</v>
      </c>
      <c r="K157" s="65">
        <f>工程基本資料!$B$7-$J157+$L157+$M157</f>
        <v>-154</v>
      </c>
      <c r="L157" s="66"/>
      <c r="M157" s="66"/>
      <c r="N157" s="66"/>
      <c r="O157" s="70"/>
      <c r="P157" s="58">
        <f>工程基本資料!$B$8+工程基本資料!$B$7+$L157+$M157-1</f>
        <v>-1</v>
      </c>
      <c r="Q157" s="9" t="e">
        <v>#N/A</v>
      </c>
    </row>
    <row r="158" spans="1:17" ht="63" customHeight="1" x14ac:dyDescent="0.3">
      <c r="A158" s="60"/>
      <c r="B158" s="61">
        <f t="shared" si="7"/>
        <v>155</v>
      </c>
      <c r="C158" s="62"/>
      <c r="D158" s="62"/>
      <c r="E158" s="63"/>
      <c r="F158" s="63"/>
      <c r="G158" s="63"/>
      <c r="H158" s="64" t="e">
        <f t="shared" si="6"/>
        <v>#N/A</v>
      </c>
      <c r="I158" s="63"/>
      <c r="J158" s="65">
        <f t="shared" si="8"/>
        <v>155</v>
      </c>
      <c r="K158" s="65">
        <f>工程基本資料!$B$7-$J158+$L158+$M158</f>
        <v>-155</v>
      </c>
      <c r="L158" s="66"/>
      <c r="M158" s="66"/>
      <c r="N158" s="66"/>
      <c r="O158" s="70"/>
      <c r="P158" s="58">
        <f>工程基本資料!$B$8+工程基本資料!$B$7+$L158+$M158-1</f>
        <v>-1</v>
      </c>
      <c r="Q158" s="9" t="e">
        <v>#N/A</v>
      </c>
    </row>
    <row r="159" spans="1:17" ht="63" customHeight="1" x14ac:dyDescent="0.3">
      <c r="A159" s="60"/>
      <c r="B159" s="61">
        <f t="shared" si="7"/>
        <v>156</v>
      </c>
      <c r="C159" s="62"/>
      <c r="D159" s="62"/>
      <c r="E159" s="63"/>
      <c r="F159" s="63"/>
      <c r="G159" s="63"/>
      <c r="H159" s="64" t="e">
        <f t="shared" si="6"/>
        <v>#N/A</v>
      </c>
      <c r="I159" s="63"/>
      <c r="J159" s="65">
        <f t="shared" si="8"/>
        <v>156</v>
      </c>
      <c r="K159" s="65">
        <f>工程基本資料!$B$7-$J159+$L159+$M159</f>
        <v>-156</v>
      </c>
      <c r="L159" s="66"/>
      <c r="M159" s="66"/>
      <c r="N159" s="66"/>
      <c r="O159" s="70"/>
      <c r="P159" s="58">
        <f>工程基本資料!$B$8+工程基本資料!$B$7+$L159+$M159-1</f>
        <v>-1</v>
      </c>
      <c r="Q159" s="9" t="e">
        <v>#N/A</v>
      </c>
    </row>
    <row r="160" spans="1:17" ht="63" customHeight="1" x14ac:dyDescent="0.3">
      <c r="A160" s="60"/>
      <c r="B160" s="61">
        <f t="shared" si="7"/>
        <v>157</v>
      </c>
      <c r="C160" s="62"/>
      <c r="D160" s="62"/>
      <c r="E160" s="63"/>
      <c r="F160" s="63"/>
      <c r="G160" s="63"/>
      <c r="H160" s="64" t="e">
        <f t="shared" si="6"/>
        <v>#N/A</v>
      </c>
      <c r="I160" s="63"/>
      <c r="J160" s="65">
        <f t="shared" si="8"/>
        <v>157</v>
      </c>
      <c r="K160" s="65">
        <f>工程基本資料!$B$7-$J160+$L160+$M160</f>
        <v>-157</v>
      </c>
      <c r="L160" s="66"/>
      <c r="M160" s="66"/>
      <c r="N160" s="66"/>
      <c r="O160" s="70"/>
      <c r="P160" s="58">
        <f>工程基本資料!$B$8+工程基本資料!$B$7+$L160+$M160-1</f>
        <v>-1</v>
      </c>
      <c r="Q160" s="9" t="e">
        <v>#N/A</v>
      </c>
    </row>
    <row r="161" spans="1:17" ht="63" customHeight="1" x14ac:dyDescent="0.3">
      <c r="A161" s="60"/>
      <c r="B161" s="61">
        <f t="shared" si="7"/>
        <v>158</v>
      </c>
      <c r="C161" s="62"/>
      <c r="D161" s="62"/>
      <c r="E161" s="63"/>
      <c r="F161" s="63"/>
      <c r="G161" s="63"/>
      <c r="H161" s="64" t="e">
        <f t="shared" si="6"/>
        <v>#N/A</v>
      </c>
      <c r="I161" s="63"/>
      <c r="J161" s="65">
        <f t="shared" si="8"/>
        <v>158</v>
      </c>
      <c r="K161" s="65">
        <f>工程基本資料!$B$7-$J161+$L161+$M161</f>
        <v>-158</v>
      </c>
      <c r="L161" s="66"/>
      <c r="M161" s="66"/>
      <c r="N161" s="66"/>
      <c r="O161" s="70"/>
      <c r="P161" s="58">
        <f>工程基本資料!$B$8+工程基本資料!$B$7+$L161+$M161-1</f>
        <v>-1</v>
      </c>
      <c r="Q161" s="9" t="e">
        <v>#N/A</v>
      </c>
    </row>
    <row r="162" spans="1:17" ht="63" customHeight="1" x14ac:dyDescent="0.3">
      <c r="A162" s="60"/>
      <c r="B162" s="61">
        <f t="shared" si="7"/>
        <v>159</v>
      </c>
      <c r="C162" s="62"/>
      <c r="D162" s="62"/>
      <c r="E162" s="63"/>
      <c r="F162" s="63"/>
      <c r="G162" s="63"/>
      <c r="H162" s="64" t="e">
        <f t="shared" si="6"/>
        <v>#N/A</v>
      </c>
      <c r="I162" s="63"/>
      <c r="J162" s="65">
        <f t="shared" si="8"/>
        <v>159</v>
      </c>
      <c r="K162" s="65">
        <f>工程基本資料!$B$7-$J162+$L162+$M162</f>
        <v>-159</v>
      </c>
      <c r="L162" s="66"/>
      <c r="M162" s="66"/>
      <c r="N162" s="66"/>
      <c r="O162" s="70"/>
      <c r="P162" s="58">
        <f>工程基本資料!$B$8+工程基本資料!$B$7+$L162+$M162-1</f>
        <v>-1</v>
      </c>
      <c r="Q162" s="9" t="e">
        <v>#N/A</v>
      </c>
    </row>
    <row r="163" spans="1:17" ht="63" customHeight="1" x14ac:dyDescent="0.3">
      <c r="A163" s="60"/>
      <c r="B163" s="61">
        <f t="shared" si="7"/>
        <v>160</v>
      </c>
      <c r="C163" s="62"/>
      <c r="D163" s="62"/>
      <c r="E163" s="63"/>
      <c r="F163" s="63"/>
      <c r="G163" s="63"/>
      <c r="H163" s="64" t="e">
        <f t="shared" si="6"/>
        <v>#N/A</v>
      </c>
      <c r="I163" s="63"/>
      <c r="J163" s="65">
        <f t="shared" si="8"/>
        <v>160</v>
      </c>
      <c r="K163" s="65">
        <f>工程基本資料!$B$7-$J163+$L163+$M163</f>
        <v>-160</v>
      </c>
      <c r="L163" s="66"/>
      <c r="M163" s="66"/>
      <c r="N163" s="66"/>
      <c r="O163" s="70"/>
      <c r="P163" s="58">
        <f>工程基本資料!$B$8+工程基本資料!$B$7+$L163+$M163-1</f>
        <v>-1</v>
      </c>
      <c r="Q163" s="9" t="e">
        <v>#N/A</v>
      </c>
    </row>
    <row r="164" spans="1:17" ht="63" customHeight="1" x14ac:dyDescent="0.3">
      <c r="A164" s="60"/>
      <c r="B164" s="61">
        <f t="shared" si="7"/>
        <v>161</v>
      </c>
      <c r="C164" s="62"/>
      <c r="D164" s="62"/>
      <c r="E164" s="63"/>
      <c r="F164" s="63"/>
      <c r="G164" s="63"/>
      <c r="H164" s="64" t="e">
        <f t="shared" si="6"/>
        <v>#N/A</v>
      </c>
      <c r="I164" s="63"/>
      <c r="J164" s="65">
        <f t="shared" si="8"/>
        <v>161</v>
      </c>
      <c r="K164" s="65">
        <f>工程基本資料!$B$7-$J164+$L164+$M164</f>
        <v>-161</v>
      </c>
      <c r="L164" s="66"/>
      <c r="M164" s="66"/>
      <c r="N164" s="66"/>
      <c r="O164" s="70"/>
      <c r="P164" s="58">
        <f>工程基本資料!$B$8+工程基本資料!$B$7+$L164+$M164-1</f>
        <v>-1</v>
      </c>
      <c r="Q164" s="9" t="e">
        <v>#N/A</v>
      </c>
    </row>
    <row r="165" spans="1:17" ht="63" customHeight="1" x14ac:dyDescent="0.3">
      <c r="A165" s="60"/>
      <c r="B165" s="61">
        <f t="shared" si="7"/>
        <v>162</v>
      </c>
      <c r="C165" s="62"/>
      <c r="D165" s="62"/>
      <c r="E165" s="63"/>
      <c r="F165" s="63"/>
      <c r="G165" s="63"/>
      <c r="H165" s="64" t="e">
        <f t="shared" si="6"/>
        <v>#N/A</v>
      </c>
      <c r="I165" s="63"/>
      <c r="J165" s="65">
        <f t="shared" si="8"/>
        <v>162</v>
      </c>
      <c r="K165" s="65">
        <f>工程基本資料!$B$7-$J165+$L165+$M165</f>
        <v>-162</v>
      </c>
      <c r="L165" s="66"/>
      <c r="M165" s="66"/>
      <c r="N165" s="66"/>
      <c r="O165" s="70"/>
      <c r="P165" s="58">
        <f>工程基本資料!$B$8+工程基本資料!$B$7+$L165+$M165-1</f>
        <v>-1</v>
      </c>
      <c r="Q165" s="9" t="e">
        <v>#N/A</v>
      </c>
    </row>
    <row r="166" spans="1:17" ht="63" customHeight="1" x14ac:dyDescent="0.3">
      <c r="A166" s="60"/>
      <c r="B166" s="61">
        <f t="shared" si="7"/>
        <v>163</v>
      </c>
      <c r="C166" s="62"/>
      <c r="D166" s="62"/>
      <c r="E166" s="63"/>
      <c r="F166" s="63"/>
      <c r="G166" s="63"/>
      <c r="H166" s="64" t="e">
        <f t="shared" si="6"/>
        <v>#N/A</v>
      </c>
      <c r="I166" s="63"/>
      <c r="J166" s="65">
        <f t="shared" si="8"/>
        <v>163</v>
      </c>
      <c r="K166" s="65">
        <f>工程基本資料!$B$7-$J166+$L166+$M166</f>
        <v>-163</v>
      </c>
      <c r="L166" s="66"/>
      <c r="M166" s="66"/>
      <c r="N166" s="66"/>
      <c r="O166" s="70"/>
      <c r="P166" s="58">
        <f>工程基本資料!$B$8+工程基本資料!$B$7+$L166+$M166-1</f>
        <v>-1</v>
      </c>
      <c r="Q166" s="9" t="e">
        <v>#N/A</v>
      </c>
    </row>
    <row r="167" spans="1:17" ht="63" customHeight="1" x14ac:dyDescent="0.3">
      <c r="A167" s="60"/>
      <c r="B167" s="61">
        <f t="shared" si="7"/>
        <v>164</v>
      </c>
      <c r="C167" s="62"/>
      <c r="D167" s="62"/>
      <c r="E167" s="63"/>
      <c r="F167" s="63"/>
      <c r="G167" s="63"/>
      <c r="H167" s="64" t="e">
        <f t="shared" si="6"/>
        <v>#N/A</v>
      </c>
      <c r="I167" s="63"/>
      <c r="J167" s="65">
        <f t="shared" si="8"/>
        <v>164</v>
      </c>
      <c r="K167" s="65">
        <f>工程基本資料!$B$7-$J167+$L167+$M167</f>
        <v>-164</v>
      </c>
      <c r="L167" s="66"/>
      <c r="M167" s="66"/>
      <c r="N167" s="66"/>
      <c r="O167" s="70"/>
      <c r="P167" s="58">
        <f>工程基本資料!$B$8+工程基本資料!$B$7+$L167+$M167-1</f>
        <v>-1</v>
      </c>
      <c r="Q167" s="9" t="e">
        <v>#N/A</v>
      </c>
    </row>
    <row r="168" spans="1:17" ht="63" customHeight="1" x14ac:dyDescent="0.3">
      <c r="A168" s="60"/>
      <c r="B168" s="61">
        <f t="shared" si="7"/>
        <v>165</v>
      </c>
      <c r="C168" s="62"/>
      <c r="D168" s="62"/>
      <c r="E168" s="63"/>
      <c r="F168" s="63"/>
      <c r="G168" s="63"/>
      <c r="H168" s="64" t="e">
        <f t="shared" si="6"/>
        <v>#N/A</v>
      </c>
      <c r="I168" s="63"/>
      <c r="J168" s="65">
        <f t="shared" si="8"/>
        <v>165</v>
      </c>
      <c r="K168" s="65">
        <f>工程基本資料!$B$7-$J168+$L168+$M168</f>
        <v>-165</v>
      </c>
      <c r="L168" s="66"/>
      <c r="M168" s="66"/>
      <c r="N168" s="66"/>
      <c r="O168" s="70"/>
      <c r="P168" s="58">
        <f>工程基本資料!$B$8+工程基本資料!$B$7+$L168+$M168-1</f>
        <v>-1</v>
      </c>
      <c r="Q168" s="9" t="e">
        <v>#N/A</v>
      </c>
    </row>
    <row r="169" spans="1:17" ht="63" customHeight="1" x14ac:dyDescent="0.3">
      <c r="A169" s="60"/>
      <c r="B169" s="61">
        <f t="shared" si="7"/>
        <v>166</v>
      </c>
      <c r="C169" s="62"/>
      <c r="D169" s="62"/>
      <c r="E169" s="63"/>
      <c r="F169" s="63"/>
      <c r="G169" s="63"/>
      <c r="H169" s="64" t="e">
        <f t="shared" si="6"/>
        <v>#N/A</v>
      </c>
      <c r="I169" s="63"/>
      <c r="J169" s="65">
        <f t="shared" si="8"/>
        <v>166</v>
      </c>
      <c r="K169" s="65">
        <f>工程基本資料!$B$7-$J169+$L169+$M169</f>
        <v>-166</v>
      </c>
      <c r="L169" s="66"/>
      <c r="M169" s="66"/>
      <c r="N169" s="66"/>
      <c r="O169" s="70"/>
      <c r="P169" s="58">
        <f>工程基本資料!$B$8+工程基本資料!$B$7+$L169+$M169-1</f>
        <v>-1</v>
      </c>
      <c r="Q169" s="9" t="e">
        <v>#N/A</v>
      </c>
    </row>
    <row r="170" spans="1:17" ht="63" customHeight="1" x14ac:dyDescent="0.3">
      <c r="A170" s="60"/>
      <c r="B170" s="61">
        <f t="shared" si="7"/>
        <v>167</v>
      </c>
      <c r="C170" s="62"/>
      <c r="D170" s="62"/>
      <c r="E170" s="63"/>
      <c r="F170" s="63"/>
      <c r="G170" s="63"/>
      <c r="H170" s="64" t="e">
        <f t="shared" si="6"/>
        <v>#N/A</v>
      </c>
      <c r="I170" s="63"/>
      <c r="J170" s="65">
        <f t="shared" si="8"/>
        <v>167</v>
      </c>
      <c r="K170" s="65">
        <f>工程基本資料!$B$7-$J170+$L170+$M170</f>
        <v>-167</v>
      </c>
      <c r="L170" s="66"/>
      <c r="M170" s="66"/>
      <c r="N170" s="66"/>
      <c r="O170" s="70"/>
      <c r="P170" s="58">
        <f>工程基本資料!$B$8+工程基本資料!$B$7+$L170+$M170-1</f>
        <v>-1</v>
      </c>
      <c r="Q170" s="9" t="e">
        <v>#N/A</v>
      </c>
    </row>
    <row r="171" spans="1:17" ht="63" customHeight="1" x14ac:dyDescent="0.3">
      <c r="A171" s="60"/>
      <c r="B171" s="61">
        <f t="shared" si="7"/>
        <v>168</v>
      </c>
      <c r="C171" s="62"/>
      <c r="D171" s="62"/>
      <c r="E171" s="63"/>
      <c r="F171" s="63"/>
      <c r="G171" s="63"/>
      <c r="H171" s="64" t="e">
        <f t="shared" si="6"/>
        <v>#N/A</v>
      </c>
      <c r="I171" s="63"/>
      <c r="J171" s="65">
        <f t="shared" si="8"/>
        <v>168</v>
      </c>
      <c r="K171" s="65">
        <f>工程基本資料!$B$7-$J171+$L171+$M171</f>
        <v>-168</v>
      </c>
      <c r="L171" s="66"/>
      <c r="M171" s="66"/>
      <c r="N171" s="66"/>
      <c r="O171" s="70"/>
      <c r="P171" s="58">
        <f>工程基本資料!$B$8+工程基本資料!$B$7+$L171+$M171-1</f>
        <v>-1</v>
      </c>
      <c r="Q171" s="9" t="e">
        <v>#N/A</v>
      </c>
    </row>
    <row r="172" spans="1:17" ht="63" customHeight="1" x14ac:dyDescent="0.3">
      <c r="A172" s="60"/>
      <c r="B172" s="61">
        <f t="shared" si="7"/>
        <v>169</v>
      </c>
      <c r="C172" s="62"/>
      <c r="D172" s="62"/>
      <c r="E172" s="63"/>
      <c r="F172" s="63"/>
      <c r="G172" s="63"/>
      <c r="H172" s="64" t="e">
        <f t="shared" si="6"/>
        <v>#N/A</v>
      </c>
      <c r="I172" s="63"/>
      <c r="J172" s="65">
        <f t="shared" si="8"/>
        <v>169</v>
      </c>
      <c r="K172" s="65">
        <f>工程基本資料!$B$7-$J172+$L172+$M172</f>
        <v>-169</v>
      </c>
      <c r="L172" s="66"/>
      <c r="M172" s="66"/>
      <c r="N172" s="66"/>
      <c r="O172" s="70"/>
      <c r="P172" s="58">
        <f>工程基本資料!$B$8+工程基本資料!$B$7+$L172+$M172-1</f>
        <v>-1</v>
      </c>
      <c r="Q172" s="9" t="e">
        <v>#N/A</v>
      </c>
    </row>
    <row r="173" spans="1:17" ht="63" customHeight="1" x14ac:dyDescent="0.3">
      <c r="A173" s="60"/>
      <c r="B173" s="61">
        <f t="shared" si="7"/>
        <v>170</v>
      </c>
      <c r="C173" s="62"/>
      <c r="D173" s="62"/>
      <c r="E173" s="63"/>
      <c r="F173" s="63"/>
      <c r="G173" s="63"/>
      <c r="H173" s="64" t="e">
        <f t="shared" si="6"/>
        <v>#N/A</v>
      </c>
      <c r="I173" s="63"/>
      <c r="J173" s="65">
        <f t="shared" si="8"/>
        <v>170</v>
      </c>
      <c r="K173" s="65">
        <f>工程基本資料!$B$7-$J173+$L173+$M173</f>
        <v>-170</v>
      </c>
      <c r="L173" s="66"/>
      <c r="M173" s="66"/>
      <c r="N173" s="66"/>
      <c r="O173" s="70"/>
      <c r="P173" s="58">
        <f>工程基本資料!$B$8+工程基本資料!$B$7+$L173+$M173-1</f>
        <v>-1</v>
      </c>
      <c r="Q173" s="9" t="e">
        <v>#N/A</v>
      </c>
    </row>
    <row r="174" spans="1:17" ht="63" customHeight="1" x14ac:dyDescent="0.3">
      <c r="A174" s="60"/>
      <c r="B174" s="61">
        <f t="shared" si="7"/>
        <v>171</v>
      </c>
      <c r="C174" s="62"/>
      <c r="D174" s="62"/>
      <c r="E174" s="63"/>
      <c r="F174" s="63"/>
      <c r="G174" s="63"/>
      <c r="H174" s="64" t="e">
        <f t="shared" si="6"/>
        <v>#N/A</v>
      </c>
      <c r="I174" s="63"/>
      <c r="J174" s="65">
        <f t="shared" si="8"/>
        <v>171</v>
      </c>
      <c r="K174" s="65">
        <f>工程基本資料!$B$7-$J174+$L174+$M174</f>
        <v>-171</v>
      </c>
      <c r="L174" s="66"/>
      <c r="M174" s="66"/>
      <c r="N174" s="66"/>
      <c r="O174" s="70"/>
      <c r="P174" s="58">
        <f>工程基本資料!$B$8+工程基本資料!$B$7+$L174+$M174-1</f>
        <v>-1</v>
      </c>
      <c r="Q174" s="9" t="e">
        <v>#N/A</v>
      </c>
    </row>
    <row r="175" spans="1:17" ht="63" customHeight="1" x14ac:dyDescent="0.3">
      <c r="A175" s="60"/>
      <c r="B175" s="61">
        <f t="shared" si="7"/>
        <v>172</v>
      </c>
      <c r="C175" s="62"/>
      <c r="D175" s="62"/>
      <c r="E175" s="63"/>
      <c r="F175" s="63"/>
      <c r="G175" s="63"/>
      <c r="H175" s="64" t="e">
        <f t="shared" si="6"/>
        <v>#N/A</v>
      </c>
      <c r="I175" s="63"/>
      <c r="J175" s="65">
        <f t="shared" si="8"/>
        <v>172</v>
      </c>
      <c r="K175" s="65">
        <f>工程基本資料!$B$7-$J175+$L175+$M175</f>
        <v>-172</v>
      </c>
      <c r="L175" s="66"/>
      <c r="M175" s="66"/>
      <c r="N175" s="66"/>
      <c r="O175" s="70"/>
      <c r="P175" s="58">
        <f>工程基本資料!$B$8+工程基本資料!$B$7+$L175+$M175-1</f>
        <v>-1</v>
      </c>
      <c r="Q175" s="9" t="e">
        <v>#N/A</v>
      </c>
    </row>
    <row r="176" spans="1:17" ht="63" customHeight="1" x14ac:dyDescent="0.3">
      <c r="A176" s="60"/>
      <c r="B176" s="61">
        <f t="shared" si="7"/>
        <v>173</v>
      </c>
      <c r="C176" s="62"/>
      <c r="D176" s="62"/>
      <c r="E176" s="63"/>
      <c r="F176" s="63"/>
      <c r="G176" s="63"/>
      <c r="H176" s="64" t="e">
        <f t="shared" si="6"/>
        <v>#N/A</v>
      </c>
      <c r="I176" s="63"/>
      <c r="J176" s="65">
        <f t="shared" si="8"/>
        <v>173</v>
      </c>
      <c r="K176" s="65">
        <f>工程基本資料!$B$7-$J176+$L176+$M176</f>
        <v>-173</v>
      </c>
      <c r="L176" s="66"/>
      <c r="M176" s="66"/>
      <c r="N176" s="66"/>
      <c r="O176" s="70"/>
      <c r="P176" s="58">
        <f>工程基本資料!$B$8+工程基本資料!$B$7+$L176+$M176-1</f>
        <v>-1</v>
      </c>
      <c r="Q176" s="9" t="e">
        <v>#N/A</v>
      </c>
    </row>
    <row r="177" spans="1:17" ht="63" customHeight="1" x14ac:dyDescent="0.3">
      <c r="A177" s="60"/>
      <c r="B177" s="61">
        <f t="shared" si="7"/>
        <v>174</v>
      </c>
      <c r="C177" s="62"/>
      <c r="D177" s="62"/>
      <c r="E177" s="63"/>
      <c r="F177" s="63"/>
      <c r="G177" s="63"/>
      <c r="H177" s="64" t="e">
        <f t="shared" si="6"/>
        <v>#N/A</v>
      </c>
      <c r="I177" s="63"/>
      <c r="J177" s="65">
        <f t="shared" si="8"/>
        <v>174</v>
      </c>
      <c r="K177" s="65">
        <f>工程基本資料!$B$7-$J177+$L177+$M177</f>
        <v>-174</v>
      </c>
      <c r="L177" s="66"/>
      <c r="M177" s="66"/>
      <c r="N177" s="66"/>
      <c r="O177" s="70"/>
      <c r="P177" s="58">
        <f>工程基本資料!$B$8+工程基本資料!$B$7+$L177+$M177-1</f>
        <v>-1</v>
      </c>
      <c r="Q177" s="9" t="e">
        <v>#N/A</v>
      </c>
    </row>
    <row r="178" spans="1:17" ht="63" customHeight="1" x14ac:dyDescent="0.3">
      <c r="A178" s="60"/>
      <c r="B178" s="61">
        <f t="shared" si="7"/>
        <v>175</v>
      </c>
      <c r="C178" s="62"/>
      <c r="D178" s="62"/>
      <c r="E178" s="63"/>
      <c r="F178" s="63"/>
      <c r="G178" s="63"/>
      <c r="H178" s="64" t="e">
        <f t="shared" si="6"/>
        <v>#N/A</v>
      </c>
      <c r="I178" s="63"/>
      <c r="J178" s="65">
        <f t="shared" si="8"/>
        <v>175</v>
      </c>
      <c r="K178" s="65">
        <f>工程基本資料!$B$7-$J178+$L178+$M178</f>
        <v>-175</v>
      </c>
      <c r="L178" s="66"/>
      <c r="M178" s="66"/>
      <c r="N178" s="66"/>
      <c r="O178" s="70"/>
      <c r="P178" s="58">
        <f>工程基本資料!$B$8+工程基本資料!$B$7+$L178+$M178-1</f>
        <v>-1</v>
      </c>
      <c r="Q178" s="9" t="e">
        <v>#N/A</v>
      </c>
    </row>
    <row r="179" spans="1:17" ht="63" customHeight="1" x14ac:dyDescent="0.3">
      <c r="A179" s="60"/>
      <c r="B179" s="61">
        <f t="shared" si="7"/>
        <v>176</v>
      </c>
      <c r="C179" s="62"/>
      <c r="D179" s="62"/>
      <c r="E179" s="63"/>
      <c r="F179" s="63"/>
      <c r="G179" s="63"/>
      <c r="H179" s="64" t="e">
        <f t="shared" si="6"/>
        <v>#N/A</v>
      </c>
      <c r="I179" s="63"/>
      <c r="J179" s="65">
        <f t="shared" si="8"/>
        <v>176</v>
      </c>
      <c r="K179" s="65">
        <f>工程基本資料!$B$7-$J179+$L179+$M179</f>
        <v>-176</v>
      </c>
      <c r="L179" s="66"/>
      <c r="M179" s="66"/>
      <c r="N179" s="66"/>
      <c r="O179" s="70"/>
      <c r="P179" s="58">
        <f>工程基本資料!$B$8+工程基本資料!$B$7+$L179+$M179-1</f>
        <v>-1</v>
      </c>
      <c r="Q179" s="9" t="e">
        <v>#N/A</v>
      </c>
    </row>
    <row r="180" spans="1:17" ht="63" customHeight="1" x14ac:dyDescent="0.3">
      <c r="A180" s="60"/>
      <c r="B180" s="61">
        <f t="shared" si="7"/>
        <v>177</v>
      </c>
      <c r="C180" s="62"/>
      <c r="D180" s="62"/>
      <c r="E180" s="63"/>
      <c r="F180" s="63"/>
      <c r="G180" s="63"/>
      <c r="H180" s="64" t="e">
        <f t="shared" si="6"/>
        <v>#N/A</v>
      </c>
      <c r="I180" s="63"/>
      <c r="J180" s="65">
        <f t="shared" si="8"/>
        <v>177</v>
      </c>
      <c r="K180" s="65">
        <f>工程基本資料!$B$7-$J180+$L180+$M180</f>
        <v>-177</v>
      </c>
      <c r="L180" s="66"/>
      <c r="M180" s="66"/>
      <c r="N180" s="66"/>
      <c r="O180" s="70"/>
      <c r="P180" s="58">
        <f>工程基本資料!$B$8+工程基本資料!$B$7+$L180+$M180-1</f>
        <v>-1</v>
      </c>
      <c r="Q180" s="9" t="e">
        <v>#N/A</v>
      </c>
    </row>
    <row r="181" spans="1:17" ht="63" customHeight="1" x14ac:dyDescent="0.3">
      <c r="A181" s="60"/>
      <c r="B181" s="61">
        <f t="shared" si="7"/>
        <v>178</v>
      </c>
      <c r="C181" s="62"/>
      <c r="D181" s="62"/>
      <c r="E181" s="63"/>
      <c r="F181" s="63"/>
      <c r="G181" s="63"/>
      <c r="H181" s="64" t="e">
        <f t="shared" si="6"/>
        <v>#N/A</v>
      </c>
      <c r="I181" s="63"/>
      <c r="J181" s="65">
        <f t="shared" si="8"/>
        <v>178</v>
      </c>
      <c r="K181" s="65">
        <f>工程基本資料!$B$7-$J181+$L181+$M181</f>
        <v>-178</v>
      </c>
      <c r="L181" s="66"/>
      <c r="M181" s="66"/>
      <c r="N181" s="66"/>
      <c r="O181" s="70"/>
      <c r="P181" s="58">
        <f>工程基本資料!$B$8+工程基本資料!$B$7+$L181+$M181-1</f>
        <v>-1</v>
      </c>
      <c r="Q181" s="9" t="e">
        <v>#N/A</v>
      </c>
    </row>
    <row r="182" spans="1:17" ht="63" customHeight="1" x14ac:dyDescent="0.3">
      <c r="A182" s="60"/>
      <c r="B182" s="61">
        <f t="shared" si="7"/>
        <v>179</v>
      </c>
      <c r="C182" s="62"/>
      <c r="D182" s="62"/>
      <c r="E182" s="63"/>
      <c r="F182" s="63"/>
      <c r="G182" s="63"/>
      <c r="H182" s="64" t="e">
        <f t="shared" si="6"/>
        <v>#N/A</v>
      </c>
      <c r="I182" s="63"/>
      <c r="J182" s="65">
        <f t="shared" si="8"/>
        <v>179</v>
      </c>
      <c r="K182" s="65">
        <f>工程基本資料!$B$7-$J182+$L182+$M182</f>
        <v>-179</v>
      </c>
      <c r="L182" s="66"/>
      <c r="M182" s="66"/>
      <c r="N182" s="66"/>
      <c r="O182" s="70"/>
      <c r="P182" s="58">
        <f>工程基本資料!$B$8+工程基本資料!$B$7+$L182+$M182-1</f>
        <v>-1</v>
      </c>
      <c r="Q182" s="9" t="e">
        <v>#N/A</v>
      </c>
    </row>
    <row r="183" spans="1:17" ht="63" customHeight="1" x14ac:dyDescent="0.3">
      <c r="A183" s="60"/>
      <c r="B183" s="61">
        <f t="shared" si="7"/>
        <v>180</v>
      </c>
      <c r="C183" s="62"/>
      <c r="D183" s="62"/>
      <c r="E183" s="63"/>
      <c r="F183" s="63"/>
      <c r="G183" s="63"/>
      <c r="H183" s="64" t="e">
        <f t="shared" si="6"/>
        <v>#N/A</v>
      </c>
      <c r="I183" s="63"/>
      <c r="J183" s="65">
        <f t="shared" si="8"/>
        <v>180</v>
      </c>
      <c r="K183" s="65">
        <f>工程基本資料!$B$7-$J183+$L183+$M183</f>
        <v>-180</v>
      </c>
      <c r="L183" s="66"/>
      <c r="M183" s="66"/>
      <c r="N183" s="66"/>
      <c r="O183" s="70"/>
      <c r="P183" s="58">
        <f>工程基本資料!$B$8+工程基本資料!$B$7+$L183+$M183-1</f>
        <v>-1</v>
      </c>
      <c r="Q183" s="9" t="e">
        <v>#N/A</v>
      </c>
    </row>
    <row r="184" spans="1:17" ht="63" customHeight="1" x14ac:dyDescent="0.3">
      <c r="A184" s="60"/>
      <c r="B184" s="61">
        <f t="shared" si="7"/>
        <v>181</v>
      </c>
      <c r="C184" s="62"/>
      <c r="D184" s="62"/>
      <c r="E184" s="63"/>
      <c r="F184" s="63"/>
      <c r="G184" s="63"/>
      <c r="H184" s="64" t="e">
        <f t="shared" si="6"/>
        <v>#N/A</v>
      </c>
      <c r="I184" s="63"/>
      <c r="J184" s="65">
        <f t="shared" si="8"/>
        <v>181</v>
      </c>
      <c r="K184" s="65">
        <f>工程基本資料!$B$7-$J184+$L184+$M184</f>
        <v>-181</v>
      </c>
      <c r="L184" s="66"/>
      <c r="M184" s="66"/>
      <c r="N184" s="66"/>
      <c r="O184" s="70"/>
      <c r="P184" s="58">
        <f>工程基本資料!$B$8+工程基本資料!$B$7+$L184+$M184-1</f>
        <v>-1</v>
      </c>
      <c r="Q184" s="9" t="e">
        <v>#N/A</v>
      </c>
    </row>
    <row r="185" spans="1:17" ht="63" customHeight="1" x14ac:dyDescent="0.3">
      <c r="A185" s="60"/>
      <c r="B185" s="61">
        <f t="shared" si="7"/>
        <v>182</v>
      </c>
      <c r="C185" s="62"/>
      <c r="D185" s="62"/>
      <c r="E185" s="63"/>
      <c r="F185" s="63"/>
      <c r="G185" s="63"/>
      <c r="H185" s="64" t="e">
        <f t="shared" si="6"/>
        <v>#N/A</v>
      </c>
      <c r="I185" s="63"/>
      <c r="J185" s="65">
        <f t="shared" si="8"/>
        <v>182</v>
      </c>
      <c r="K185" s="65">
        <f>工程基本資料!$B$7-$J185+$L185+$M185</f>
        <v>-182</v>
      </c>
      <c r="L185" s="66"/>
      <c r="M185" s="66"/>
      <c r="N185" s="66"/>
      <c r="O185" s="70"/>
      <c r="P185" s="58">
        <f>工程基本資料!$B$8+工程基本資料!$B$7+$L185+$M185-1</f>
        <v>-1</v>
      </c>
      <c r="Q185" s="9" t="e">
        <v>#N/A</v>
      </c>
    </row>
    <row r="186" spans="1:17" ht="63" customHeight="1" x14ac:dyDescent="0.3">
      <c r="A186" s="60"/>
      <c r="B186" s="61">
        <f t="shared" si="7"/>
        <v>183</v>
      </c>
      <c r="C186" s="62"/>
      <c r="D186" s="62"/>
      <c r="E186" s="63"/>
      <c r="F186" s="63"/>
      <c r="G186" s="63"/>
      <c r="H186" s="64" t="e">
        <f t="shared" si="6"/>
        <v>#N/A</v>
      </c>
      <c r="I186" s="63"/>
      <c r="J186" s="65">
        <f t="shared" si="8"/>
        <v>183</v>
      </c>
      <c r="K186" s="65">
        <f>工程基本資料!$B$7-$J186+$L186+$M186</f>
        <v>-183</v>
      </c>
      <c r="L186" s="66"/>
      <c r="M186" s="66"/>
      <c r="N186" s="66"/>
      <c r="O186" s="70"/>
      <c r="P186" s="58">
        <f>工程基本資料!$B$8+工程基本資料!$B$7+$L186+$M186-1</f>
        <v>-1</v>
      </c>
      <c r="Q186" s="9" t="e">
        <v>#N/A</v>
      </c>
    </row>
    <row r="187" spans="1:17" ht="63" customHeight="1" x14ac:dyDescent="0.3">
      <c r="A187" s="60"/>
      <c r="B187" s="61">
        <f t="shared" si="7"/>
        <v>184</v>
      </c>
      <c r="C187" s="62"/>
      <c r="D187" s="62"/>
      <c r="E187" s="63"/>
      <c r="F187" s="63"/>
      <c r="G187" s="63"/>
      <c r="H187" s="64" t="e">
        <f t="shared" si="6"/>
        <v>#N/A</v>
      </c>
      <c r="I187" s="63"/>
      <c r="J187" s="65">
        <f t="shared" si="8"/>
        <v>184</v>
      </c>
      <c r="K187" s="65">
        <f>工程基本資料!$B$7-$J187+$L187+$M187</f>
        <v>-184</v>
      </c>
      <c r="L187" s="66"/>
      <c r="M187" s="66"/>
      <c r="N187" s="66"/>
      <c r="O187" s="70"/>
      <c r="P187" s="58">
        <f>工程基本資料!$B$8+工程基本資料!$B$7+$L187+$M187-1</f>
        <v>-1</v>
      </c>
      <c r="Q187" s="9" t="e">
        <v>#N/A</v>
      </c>
    </row>
    <row r="188" spans="1:17" ht="63" customHeight="1" x14ac:dyDescent="0.3">
      <c r="A188" s="60"/>
      <c r="B188" s="61">
        <f t="shared" si="7"/>
        <v>185</v>
      </c>
      <c r="C188" s="62"/>
      <c r="D188" s="62"/>
      <c r="E188" s="63"/>
      <c r="F188" s="63"/>
      <c r="G188" s="63"/>
      <c r="H188" s="64" t="e">
        <f t="shared" si="6"/>
        <v>#N/A</v>
      </c>
      <c r="I188" s="63"/>
      <c r="J188" s="65">
        <f t="shared" si="8"/>
        <v>185</v>
      </c>
      <c r="K188" s="65">
        <f>工程基本資料!$B$7-$J188+$L188+$M188</f>
        <v>-185</v>
      </c>
      <c r="L188" s="66"/>
      <c r="M188" s="66"/>
      <c r="N188" s="66"/>
      <c r="O188" s="70"/>
      <c r="P188" s="58">
        <f>工程基本資料!$B$8+工程基本資料!$B$7+$L188+$M188-1</f>
        <v>-1</v>
      </c>
      <c r="Q188" s="9" t="e">
        <v>#N/A</v>
      </c>
    </row>
    <row r="189" spans="1:17" ht="63" customHeight="1" x14ac:dyDescent="0.3">
      <c r="A189" s="60"/>
      <c r="B189" s="61">
        <f t="shared" si="7"/>
        <v>186</v>
      </c>
      <c r="C189" s="62"/>
      <c r="D189" s="62"/>
      <c r="E189" s="63"/>
      <c r="F189" s="63"/>
      <c r="G189" s="63"/>
      <c r="H189" s="64" t="e">
        <f t="shared" si="6"/>
        <v>#N/A</v>
      </c>
      <c r="I189" s="63"/>
      <c r="J189" s="65">
        <f t="shared" si="8"/>
        <v>186</v>
      </c>
      <c r="K189" s="65">
        <f>工程基本資料!$B$7-$J189+$L189+$M189</f>
        <v>-186</v>
      </c>
      <c r="L189" s="66"/>
      <c r="M189" s="66"/>
      <c r="N189" s="66"/>
      <c r="O189" s="70"/>
      <c r="P189" s="58">
        <f>工程基本資料!$B$8+工程基本資料!$B$7+$L189+$M189-1</f>
        <v>-1</v>
      </c>
      <c r="Q189" s="9" t="e">
        <v>#N/A</v>
      </c>
    </row>
    <row r="190" spans="1:17" ht="63" customHeight="1" x14ac:dyDescent="0.3">
      <c r="A190" s="60"/>
      <c r="B190" s="61">
        <f t="shared" si="7"/>
        <v>187</v>
      </c>
      <c r="C190" s="62"/>
      <c r="D190" s="62"/>
      <c r="E190" s="63"/>
      <c r="F190" s="63"/>
      <c r="G190" s="63"/>
      <c r="H190" s="64" t="e">
        <f t="shared" si="6"/>
        <v>#N/A</v>
      </c>
      <c r="I190" s="63"/>
      <c r="J190" s="65">
        <f t="shared" si="8"/>
        <v>187</v>
      </c>
      <c r="K190" s="65">
        <f>工程基本資料!$B$7-$J190+$L190+$M190</f>
        <v>-187</v>
      </c>
      <c r="L190" s="66"/>
      <c r="M190" s="66"/>
      <c r="N190" s="66"/>
      <c r="O190" s="70"/>
      <c r="P190" s="58">
        <f>工程基本資料!$B$8+工程基本資料!$B$7+$L190+$M190-1</f>
        <v>-1</v>
      </c>
      <c r="Q190" s="9" t="e">
        <v>#N/A</v>
      </c>
    </row>
    <row r="191" spans="1:17" ht="63" customHeight="1" x14ac:dyDescent="0.3">
      <c r="A191" s="60"/>
      <c r="B191" s="61">
        <f t="shared" si="7"/>
        <v>188</v>
      </c>
      <c r="C191" s="62"/>
      <c r="D191" s="62"/>
      <c r="E191" s="63"/>
      <c r="F191" s="63"/>
      <c r="G191" s="63"/>
      <c r="H191" s="64" t="e">
        <f t="shared" si="6"/>
        <v>#N/A</v>
      </c>
      <c r="I191" s="63"/>
      <c r="J191" s="65">
        <f t="shared" si="8"/>
        <v>188</v>
      </c>
      <c r="K191" s="65">
        <f>工程基本資料!$B$7-$J191+$L191+$M191</f>
        <v>-188</v>
      </c>
      <c r="L191" s="66"/>
      <c r="M191" s="66"/>
      <c r="N191" s="66"/>
      <c r="O191" s="70"/>
      <c r="P191" s="58">
        <f>工程基本資料!$B$8+工程基本資料!$B$7+$L191+$M191-1</f>
        <v>-1</v>
      </c>
      <c r="Q191" s="9" t="e">
        <v>#N/A</v>
      </c>
    </row>
    <row r="192" spans="1:17" ht="63" customHeight="1" x14ac:dyDescent="0.3">
      <c r="A192" s="60"/>
      <c r="B192" s="61">
        <f t="shared" si="7"/>
        <v>189</v>
      </c>
      <c r="C192" s="62"/>
      <c r="D192" s="62"/>
      <c r="E192" s="63"/>
      <c r="F192" s="63"/>
      <c r="G192" s="63"/>
      <c r="H192" s="64" t="e">
        <f t="shared" si="6"/>
        <v>#N/A</v>
      </c>
      <c r="I192" s="63"/>
      <c r="J192" s="65">
        <f t="shared" si="8"/>
        <v>189</v>
      </c>
      <c r="K192" s="65">
        <f>工程基本資料!$B$7-$J192+$L192+$M192</f>
        <v>-189</v>
      </c>
      <c r="L192" s="66"/>
      <c r="M192" s="66"/>
      <c r="N192" s="66"/>
      <c r="O192" s="70"/>
      <c r="P192" s="58">
        <f>工程基本資料!$B$8+工程基本資料!$B$7+$L192+$M192-1</f>
        <v>-1</v>
      </c>
      <c r="Q192" s="9" t="e">
        <v>#N/A</v>
      </c>
    </row>
    <row r="193" spans="1:17" ht="63" customHeight="1" x14ac:dyDescent="0.3">
      <c r="A193" s="60"/>
      <c r="B193" s="61">
        <f t="shared" si="7"/>
        <v>190</v>
      </c>
      <c r="C193" s="62"/>
      <c r="D193" s="62"/>
      <c r="E193" s="63"/>
      <c r="F193" s="63"/>
      <c r="G193" s="63"/>
      <c r="H193" s="64" t="e">
        <f t="shared" si="6"/>
        <v>#N/A</v>
      </c>
      <c r="I193" s="63"/>
      <c r="J193" s="65">
        <f t="shared" si="8"/>
        <v>190</v>
      </c>
      <c r="K193" s="65">
        <f>工程基本資料!$B$7-$J193+$L193+$M193</f>
        <v>-190</v>
      </c>
      <c r="L193" s="66"/>
      <c r="M193" s="66"/>
      <c r="N193" s="66"/>
      <c r="O193" s="70"/>
      <c r="P193" s="58">
        <f>工程基本資料!$B$8+工程基本資料!$B$7+$L193+$M193-1</f>
        <v>-1</v>
      </c>
      <c r="Q193" s="9" t="e">
        <v>#N/A</v>
      </c>
    </row>
    <row r="194" spans="1:17" ht="63" customHeight="1" x14ac:dyDescent="0.3">
      <c r="A194" s="60"/>
      <c r="B194" s="61">
        <f t="shared" si="7"/>
        <v>191</v>
      </c>
      <c r="C194" s="62"/>
      <c r="D194" s="62"/>
      <c r="E194" s="63"/>
      <c r="F194" s="63"/>
      <c r="G194" s="63"/>
      <c r="H194" s="64" t="e">
        <f t="shared" si="6"/>
        <v>#N/A</v>
      </c>
      <c r="I194" s="63"/>
      <c r="J194" s="65">
        <f t="shared" si="8"/>
        <v>191</v>
      </c>
      <c r="K194" s="65">
        <f>工程基本資料!$B$7-$J194+$L194+$M194</f>
        <v>-191</v>
      </c>
      <c r="L194" s="66"/>
      <c r="M194" s="66"/>
      <c r="N194" s="66"/>
      <c r="O194" s="70"/>
      <c r="P194" s="58">
        <f>工程基本資料!$B$8+工程基本資料!$B$7+$L194+$M194-1</f>
        <v>-1</v>
      </c>
      <c r="Q194" s="9" t="e">
        <v>#N/A</v>
      </c>
    </row>
    <row r="195" spans="1:17" ht="63" customHeight="1" x14ac:dyDescent="0.3">
      <c r="A195" s="60"/>
      <c r="B195" s="61">
        <f t="shared" si="7"/>
        <v>192</v>
      </c>
      <c r="C195" s="62"/>
      <c r="D195" s="62"/>
      <c r="E195" s="63"/>
      <c r="F195" s="63"/>
      <c r="G195" s="63"/>
      <c r="H195" s="64" t="e">
        <f t="shared" si="6"/>
        <v>#N/A</v>
      </c>
      <c r="I195" s="63"/>
      <c r="J195" s="65">
        <f t="shared" si="8"/>
        <v>192</v>
      </c>
      <c r="K195" s="65">
        <f>工程基本資料!$B$7-$J195+$L195+$M195</f>
        <v>-192</v>
      </c>
      <c r="L195" s="66"/>
      <c r="M195" s="66"/>
      <c r="N195" s="66"/>
      <c r="O195" s="70"/>
      <c r="P195" s="58">
        <f>工程基本資料!$B$8+工程基本資料!$B$7+$L195+$M195-1</f>
        <v>-1</v>
      </c>
      <c r="Q195" s="9" t="e">
        <v>#N/A</v>
      </c>
    </row>
    <row r="196" spans="1:17" ht="63" customHeight="1" x14ac:dyDescent="0.3">
      <c r="A196" s="60"/>
      <c r="B196" s="61">
        <f t="shared" si="7"/>
        <v>193</v>
      </c>
      <c r="C196" s="62"/>
      <c r="D196" s="62"/>
      <c r="E196" s="63"/>
      <c r="F196" s="63"/>
      <c r="G196" s="63"/>
      <c r="H196" s="64" t="e">
        <f t="shared" ref="H196:H259" si="9">IF(Q196&gt;1,$R$3,$R$4)</f>
        <v>#N/A</v>
      </c>
      <c r="I196" s="63"/>
      <c r="J196" s="65">
        <f t="shared" si="8"/>
        <v>193</v>
      </c>
      <c r="K196" s="65">
        <f>工程基本資料!$B$7-$J196+$L196+$M196</f>
        <v>-193</v>
      </c>
      <c r="L196" s="66"/>
      <c r="M196" s="66"/>
      <c r="N196" s="66"/>
      <c r="O196" s="70"/>
      <c r="P196" s="58">
        <f>工程基本資料!$B$8+工程基本資料!$B$7+$L196+$M196-1</f>
        <v>-1</v>
      </c>
      <c r="Q196" s="9" t="e">
        <v>#N/A</v>
      </c>
    </row>
    <row r="197" spans="1:17" ht="63" customHeight="1" x14ac:dyDescent="0.3">
      <c r="A197" s="60"/>
      <c r="B197" s="61">
        <f t="shared" ref="B197:B260" si="10">B196+1</f>
        <v>194</v>
      </c>
      <c r="C197" s="62"/>
      <c r="D197" s="62"/>
      <c r="E197" s="63"/>
      <c r="F197" s="63"/>
      <c r="G197" s="63"/>
      <c r="H197" s="64" t="e">
        <f t="shared" si="9"/>
        <v>#N/A</v>
      </c>
      <c r="I197" s="63"/>
      <c r="J197" s="65">
        <f t="shared" ref="J197:J260" si="11">J196+1</f>
        <v>194</v>
      </c>
      <c r="K197" s="65">
        <f>工程基本資料!$B$7-$J197+$L197+$M197</f>
        <v>-194</v>
      </c>
      <c r="L197" s="66"/>
      <c r="M197" s="66"/>
      <c r="N197" s="66"/>
      <c r="O197" s="70"/>
      <c r="P197" s="58">
        <f>工程基本資料!$B$8+工程基本資料!$B$7+$L197+$M197-1</f>
        <v>-1</v>
      </c>
      <c r="Q197" s="9" t="e">
        <v>#N/A</v>
      </c>
    </row>
    <row r="198" spans="1:17" ht="63" customHeight="1" x14ac:dyDescent="0.3">
      <c r="A198" s="60"/>
      <c r="B198" s="61">
        <f t="shared" si="10"/>
        <v>195</v>
      </c>
      <c r="C198" s="62"/>
      <c r="D198" s="62"/>
      <c r="E198" s="63"/>
      <c r="F198" s="63"/>
      <c r="G198" s="63"/>
      <c r="H198" s="64" t="e">
        <f t="shared" si="9"/>
        <v>#N/A</v>
      </c>
      <c r="I198" s="63"/>
      <c r="J198" s="65">
        <f t="shared" si="11"/>
        <v>195</v>
      </c>
      <c r="K198" s="65">
        <f>工程基本資料!$B$7-$J198+$L198+$M198</f>
        <v>-195</v>
      </c>
      <c r="L198" s="66"/>
      <c r="M198" s="66"/>
      <c r="N198" s="66"/>
      <c r="O198" s="70"/>
      <c r="P198" s="58">
        <f>工程基本資料!$B$8+工程基本資料!$B$7+$L198+$M198-1</f>
        <v>-1</v>
      </c>
      <c r="Q198" s="9" t="e">
        <v>#N/A</v>
      </c>
    </row>
    <row r="199" spans="1:17" ht="63" customHeight="1" x14ac:dyDescent="0.3">
      <c r="A199" s="60"/>
      <c r="B199" s="61">
        <f t="shared" si="10"/>
        <v>196</v>
      </c>
      <c r="C199" s="62"/>
      <c r="D199" s="62"/>
      <c r="E199" s="63"/>
      <c r="F199" s="63"/>
      <c r="G199" s="63"/>
      <c r="H199" s="64" t="e">
        <f t="shared" si="9"/>
        <v>#N/A</v>
      </c>
      <c r="I199" s="63"/>
      <c r="J199" s="65">
        <f t="shared" si="11"/>
        <v>196</v>
      </c>
      <c r="K199" s="65">
        <f>工程基本資料!$B$7-$J199+$L199+$M199</f>
        <v>-196</v>
      </c>
      <c r="L199" s="66"/>
      <c r="M199" s="66"/>
      <c r="N199" s="66"/>
      <c r="O199" s="70"/>
      <c r="P199" s="58">
        <f>工程基本資料!$B$8+工程基本資料!$B$7+$L199+$M199-1</f>
        <v>-1</v>
      </c>
      <c r="Q199" s="9" t="e">
        <v>#N/A</v>
      </c>
    </row>
    <row r="200" spans="1:17" ht="63" customHeight="1" x14ac:dyDescent="0.3">
      <c r="A200" s="60"/>
      <c r="B200" s="61">
        <f t="shared" si="10"/>
        <v>197</v>
      </c>
      <c r="C200" s="62"/>
      <c r="D200" s="62"/>
      <c r="E200" s="63"/>
      <c r="F200" s="63"/>
      <c r="G200" s="63"/>
      <c r="H200" s="64" t="e">
        <f t="shared" si="9"/>
        <v>#N/A</v>
      </c>
      <c r="I200" s="63"/>
      <c r="J200" s="65">
        <f t="shared" si="11"/>
        <v>197</v>
      </c>
      <c r="K200" s="65">
        <f>工程基本資料!$B$7-$J200+$L200+$M200</f>
        <v>-197</v>
      </c>
      <c r="L200" s="66"/>
      <c r="M200" s="66"/>
      <c r="N200" s="66"/>
      <c r="O200" s="70"/>
      <c r="P200" s="58">
        <f>工程基本資料!$B$8+工程基本資料!$B$7+$L200+$M200-1</f>
        <v>-1</v>
      </c>
      <c r="Q200" s="9" t="e">
        <v>#N/A</v>
      </c>
    </row>
    <row r="201" spans="1:17" ht="63" customHeight="1" x14ac:dyDescent="0.3">
      <c r="A201" s="60"/>
      <c r="B201" s="61">
        <f t="shared" si="10"/>
        <v>198</v>
      </c>
      <c r="C201" s="62"/>
      <c r="D201" s="62"/>
      <c r="E201" s="63"/>
      <c r="F201" s="63"/>
      <c r="G201" s="63"/>
      <c r="H201" s="64" t="e">
        <f t="shared" si="9"/>
        <v>#N/A</v>
      </c>
      <c r="I201" s="63"/>
      <c r="J201" s="65">
        <f t="shared" si="11"/>
        <v>198</v>
      </c>
      <c r="K201" s="65">
        <f>工程基本資料!$B$7-$J201+$L201+$M201</f>
        <v>-198</v>
      </c>
      <c r="L201" s="66"/>
      <c r="M201" s="66"/>
      <c r="N201" s="66"/>
      <c r="O201" s="70"/>
      <c r="P201" s="58">
        <f>工程基本資料!$B$8+工程基本資料!$B$7+$L201+$M201-1</f>
        <v>-1</v>
      </c>
      <c r="Q201" s="9" t="e">
        <v>#N/A</v>
      </c>
    </row>
    <row r="202" spans="1:17" ht="63" customHeight="1" x14ac:dyDescent="0.3">
      <c r="A202" s="60"/>
      <c r="B202" s="61">
        <f t="shared" si="10"/>
        <v>199</v>
      </c>
      <c r="C202" s="62"/>
      <c r="D202" s="62"/>
      <c r="E202" s="63"/>
      <c r="F202" s="63"/>
      <c r="G202" s="63"/>
      <c r="H202" s="64" t="e">
        <f t="shared" si="9"/>
        <v>#N/A</v>
      </c>
      <c r="I202" s="63"/>
      <c r="J202" s="65">
        <f t="shared" si="11"/>
        <v>199</v>
      </c>
      <c r="K202" s="65">
        <f>工程基本資料!$B$7-$J202+$L202+$M202</f>
        <v>-199</v>
      </c>
      <c r="L202" s="66"/>
      <c r="M202" s="66"/>
      <c r="N202" s="66"/>
      <c r="O202" s="70"/>
      <c r="P202" s="58">
        <f>工程基本資料!$B$8+工程基本資料!$B$7+$L202+$M202-1</f>
        <v>-1</v>
      </c>
      <c r="Q202" s="9" t="e">
        <v>#N/A</v>
      </c>
    </row>
    <row r="203" spans="1:17" ht="63" customHeight="1" x14ac:dyDescent="0.3">
      <c r="A203" s="60"/>
      <c r="B203" s="61">
        <f t="shared" si="10"/>
        <v>200</v>
      </c>
      <c r="C203" s="62"/>
      <c r="D203" s="62"/>
      <c r="E203" s="63"/>
      <c r="F203" s="63"/>
      <c r="G203" s="63"/>
      <c r="H203" s="64" t="e">
        <f t="shared" si="9"/>
        <v>#N/A</v>
      </c>
      <c r="I203" s="63"/>
      <c r="J203" s="65">
        <f t="shared" si="11"/>
        <v>200</v>
      </c>
      <c r="K203" s="65">
        <f>工程基本資料!$B$7-$J203+$L203+$M203</f>
        <v>-200</v>
      </c>
      <c r="L203" s="66"/>
      <c r="M203" s="66"/>
      <c r="N203" s="66"/>
      <c r="O203" s="70"/>
      <c r="P203" s="58">
        <f>工程基本資料!$B$8+工程基本資料!$B$7+$L203+$M203-1</f>
        <v>-1</v>
      </c>
      <c r="Q203" s="9" t="e">
        <v>#N/A</v>
      </c>
    </row>
    <row r="204" spans="1:17" ht="63" customHeight="1" x14ac:dyDescent="0.3">
      <c r="A204" s="60"/>
      <c r="B204" s="61">
        <f t="shared" si="10"/>
        <v>201</v>
      </c>
      <c r="C204" s="62"/>
      <c r="D204" s="62"/>
      <c r="E204" s="63"/>
      <c r="F204" s="63"/>
      <c r="G204" s="63"/>
      <c r="H204" s="64" t="e">
        <f t="shared" si="9"/>
        <v>#N/A</v>
      </c>
      <c r="I204" s="63"/>
      <c r="J204" s="65">
        <f t="shared" si="11"/>
        <v>201</v>
      </c>
      <c r="K204" s="65">
        <f>工程基本資料!$B$7-$J204+$L204+$M204</f>
        <v>-201</v>
      </c>
      <c r="L204" s="66"/>
      <c r="M204" s="66"/>
      <c r="N204" s="66"/>
      <c r="O204" s="70"/>
      <c r="P204" s="58">
        <f>工程基本資料!$B$8+工程基本資料!$B$7+$L204+$M204-1</f>
        <v>-1</v>
      </c>
      <c r="Q204" s="9" t="e">
        <v>#N/A</v>
      </c>
    </row>
    <row r="205" spans="1:17" ht="63" customHeight="1" x14ac:dyDescent="0.3">
      <c r="A205" s="60"/>
      <c r="B205" s="61">
        <f t="shared" si="10"/>
        <v>202</v>
      </c>
      <c r="C205" s="62"/>
      <c r="D205" s="62"/>
      <c r="E205" s="63"/>
      <c r="F205" s="63"/>
      <c r="G205" s="63"/>
      <c r="H205" s="64" t="e">
        <f t="shared" si="9"/>
        <v>#N/A</v>
      </c>
      <c r="I205" s="63"/>
      <c r="J205" s="65">
        <f t="shared" si="11"/>
        <v>202</v>
      </c>
      <c r="K205" s="65">
        <f>工程基本資料!$B$7-$J205+$L205+$M205</f>
        <v>-202</v>
      </c>
      <c r="L205" s="66"/>
      <c r="M205" s="66"/>
      <c r="N205" s="66"/>
      <c r="O205" s="70"/>
      <c r="P205" s="58">
        <f>工程基本資料!$B$8+工程基本資料!$B$7+$L205+$M205-1</f>
        <v>-1</v>
      </c>
      <c r="Q205" s="9" t="e">
        <v>#N/A</v>
      </c>
    </row>
    <row r="206" spans="1:17" ht="63" customHeight="1" x14ac:dyDescent="0.3">
      <c r="A206" s="60"/>
      <c r="B206" s="61">
        <f t="shared" si="10"/>
        <v>203</v>
      </c>
      <c r="C206" s="62"/>
      <c r="D206" s="62"/>
      <c r="E206" s="63"/>
      <c r="F206" s="63"/>
      <c r="G206" s="63"/>
      <c r="H206" s="64" t="e">
        <f t="shared" si="9"/>
        <v>#N/A</v>
      </c>
      <c r="I206" s="63"/>
      <c r="J206" s="65">
        <f t="shared" si="11"/>
        <v>203</v>
      </c>
      <c r="K206" s="65">
        <f>工程基本資料!$B$7-$J206+$L206+$M206</f>
        <v>-203</v>
      </c>
      <c r="L206" s="66"/>
      <c r="M206" s="66"/>
      <c r="N206" s="66"/>
      <c r="O206" s="70"/>
      <c r="P206" s="58">
        <f>工程基本資料!$B$8+工程基本資料!$B$7+$L206+$M206-1</f>
        <v>-1</v>
      </c>
      <c r="Q206" s="9" t="e">
        <v>#N/A</v>
      </c>
    </row>
    <row r="207" spans="1:17" ht="63" customHeight="1" x14ac:dyDescent="0.3">
      <c r="A207" s="60"/>
      <c r="B207" s="61">
        <f t="shared" si="10"/>
        <v>204</v>
      </c>
      <c r="C207" s="62"/>
      <c r="D207" s="62"/>
      <c r="E207" s="63"/>
      <c r="F207" s="63"/>
      <c r="G207" s="63"/>
      <c r="H207" s="64" t="e">
        <f t="shared" si="9"/>
        <v>#N/A</v>
      </c>
      <c r="I207" s="63"/>
      <c r="J207" s="65">
        <f t="shared" si="11"/>
        <v>204</v>
      </c>
      <c r="K207" s="65">
        <f>工程基本資料!$B$7-$J207+$L207+$M207</f>
        <v>-204</v>
      </c>
      <c r="L207" s="66"/>
      <c r="M207" s="66"/>
      <c r="N207" s="66"/>
      <c r="O207" s="70"/>
      <c r="P207" s="58">
        <f>工程基本資料!$B$8+工程基本資料!$B$7+$L207+$M207-1</f>
        <v>-1</v>
      </c>
      <c r="Q207" s="9" t="e">
        <v>#N/A</v>
      </c>
    </row>
    <row r="208" spans="1:17" ht="63" customHeight="1" x14ac:dyDescent="0.3">
      <c r="A208" s="60"/>
      <c r="B208" s="61">
        <f t="shared" si="10"/>
        <v>205</v>
      </c>
      <c r="C208" s="62"/>
      <c r="D208" s="62"/>
      <c r="E208" s="63"/>
      <c r="F208" s="63"/>
      <c r="G208" s="63"/>
      <c r="H208" s="64" t="e">
        <f t="shared" si="9"/>
        <v>#N/A</v>
      </c>
      <c r="I208" s="63"/>
      <c r="J208" s="65">
        <f t="shared" si="11"/>
        <v>205</v>
      </c>
      <c r="K208" s="65">
        <f>工程基本資料!$B$7-$J208+$L208+$M208</f>
        <v>-205</v>
      </c>
      <c r="L208" s="66"/>
      <c r="M208" s="66"/>
      <c r="N208" s="66"/>
      <c r="O208" s="70"/>
      <c r="P208" s="58">
        <f>工程基本資料!$B$8+工程基本資料!$B$7+$L208+$M208-1</f>
        <v>-1</v>
      </c>
      <c r="Q208" s="9" t="e">
        <v>#N/A</v>
      </c>
    </row>
    <row r="209" spans="1:17" ht="63" customHeight="1" x14ac:dyDescent="0.3">
      <c r="A209" s="60"/>
      <c r="B209" s="61">
        <f t="shared" si="10"/>
        <v>206</v>
      </c>
      <c r="C209" s="62"/>
      <c r="D209" s="62"/>
      <c r="E209" s="63"/>
      <c r="F209" s="63"/>
      <c r="G209" s="63"/>
      <c r="H209" s="64" t="e">
        <f t="shared" si="9"/>
        <v>#N/A</v>
      </c>
      <c r="I209" s="63"/>
      <c r="J209" s="65">
        <f t="shared" si="11"/>
        <v>206</v>
      </c>
      <c r="K209" s="65">
        <f>工程基本資料!$B$7-$J209+$L209+$M209</f>
        <v>-206</v>
      </c>
      <c r="L209" s="66"/>
      <c r="M209" s="66"/>
      <c r="N209" s="66"/>
      <c r="O209" s="70"/>
      <c r="P209" s="58">
        <f>工程基本資料!$B$8+工程基本資料!$B$7+$L209+$M209-1</f>
        <v>-1</v>
      </c>
      <c r="Q209" s="9" t="e">
        <v>#N/A</v>
      </c>
    </row>
    <row r="210" spans="1:17" ht="63" customHeight="1" x14ac:dyDescent="0.3">
      <c r="A210" s="60"/>
      <c r="B210" s="61">
        <f t="shared" si="10"/>
        <v>207</v>
      </c>
      <c r="C210" s="62"/>
      <c r="D210" s="62"/>
      <c r="E210" s="63"/>
      <c r="F210" s="63"/>
      <c r="G210" s="63"/>
      <c r="H210" s="64" t="e">
        <f t="shared" si="9"/>
        <v>#N/A</v>
      </c>
      <c r="I210" s="63"/>
      <c r="J210" s="65">
        <f t="shared" si="11"/>
        <v>207</v>
      </c>
      <c r="K210" s="65">
        <f>工程基本資料!$B$7-$J210+$L210+$M210</f>
        <v>-207</v>
      </c>
      <c r="L210" s="66"/>
      <c r="M210" s="66"/>
      <c r="N210" s="66"/>
      <c r="O210" s="70"/>
      <c r="P210" s="58">
        <f>工程基本資料!$B$8+工程基本資料!$B$7+$L210+$M210-1</f>
        <v>-1</v>
      </c>
      <c r="Q210" s="9" t="e">
        <v>#N/A</v>
      </c>
    </row>
    <row r="211" spans="1:17" ht="63" customHeight="1" x14ac:dyDescent="0.3">
      <c r="A211" s="60"/>
      <c r="B211" s="61">
        <f t="shared" si="10"/>
        <v>208</v>
      </c>
      <c r="C211" s="62"/>
      <c r="D211" s="62"/>
      <c r="E211" s="63"/>
      <c r="F211" s="63"/>
      <c r="G211" s="63"/>
      <c r="H211" s="64" t="e">
        <f t="shared" si="9"/>
        <v>#N/A</v>
      </c>
      <c r="I211" s="63"/>
      <c r="J211" s="65">
        <f t="shared" si="11"/>
        <v>208</v>
      </c>
      <c r="K211" s="65">
        <f>工程基本資料!$B$7-$J211+$L211+$M211</f>
        <v>-208</v>
      </c>
      <c r="L211" s="66"/>
      <c r="M211" s="66"/>
      <c r="N211" s="66"/>
      <c r="O211" s="70"/>
      <c r="P211" s="58">
        <f>工程基本資料!$B$8+工程基本資料!$B$7+$L211+$M211-1</f>
        <v>-1</v>
      </c>
      <c r="Q211" s="9" t="e">
        <v>#N/A</v>
      </c>
    </row>
    <row r="212" spans="1:17" ht="63" customHeight="1" x14ac:dyDescent="0.3">
      <c r="A212" s="60"/>
      <c r="B212" s="61">
        <f t="shared" si="10"/>
        <v>209</v>
      </c>
      <c r="C212" s="62"/>
      <c r="D212" s="62"/>
      <c r="E212" s="63"/>
      <c r="F212" s="63"/>
      <c r="G212" s="63"/>
      <c r="H212" s="64" t="e">
        <f t="shared" si="9"/>
        <v>#N/A</v>
      </c>
      <c r="I212" s="63"/>
      <c r="J212" s="65">
        <f t="shared" si="11"/>
        <v>209</v>
      </c>
      <c r="K212" s="65">
        <f>工程基本資料!$B$7-$J212+$L212+$M212</f>
        <v>-209</v>
      </c>
      <c r="L212" s="66"/>
      <c r="M212" s="66"/>
      <c r="N212" s="66"/>
      <c r="O212" s="70"/>
      <c r="P212" s="58">
        <f>工程基本資料!$B$8+工程基本資料!$B$7+$L212+$M212-1</f>
        <v>-1</v>
      </c>
      <c r="Q212" s="9" t="e">
        <v>#N/A</v>
      </c>
    </row>
    <row r="213" spans="1:17" ht="63" customHeight="1" x14ac:dyDescent="0.3">
      <c r="A213" s="60"/>
      <c r="B213" s="61">
        <f t="shared" si="10"/>
        <v>210</v>
      </c>
      <c r="C213" s="62"/>
      <c r="D213" s="62"/>
      <c r="E213" s="63"/>
      <c r="F213" s="63"/>
      <c r="G213" s="63"/>
      <c r="H213" s="64" t="e">
        <f t="shared" si="9"/>
        <v>#N/A</v>
      </c>
      <c r="I213" s="63"/>
      <c r="J213" s="65">
        <f t="shared" si="11"/>
        <v>210</v>
      </c>
      <c r="K213" s="65">
        <f>工程基本資料!$B$7-$J213+$L213+$M213</f>
        <v>-210</v>
      </c>
      <c r="L213" s="66"/>
      <c r="M213" s="66"/>
      <c r="N213" s="66"/>
      <c r="O213" s="70"/>
      <c r="P213" s="58">
        <f>工程基本資料!$B$8+工程基本資料!$B$7+$L213+$M213-1</f>
        <v>-1</v>
      </c>
      <c r="Q213" s="9" t="e">
        <v>#N/A</v>
      </c>
    </row>
    <row r="214" spans="1:17" ht="63" customHeight="1" x14ac:dyDescent="0.3">
      <c r="A214" s="60"/>
      <c r="B214" s="61">
        <f t="shared" si="10"/>
        <v>211</v>
      </c>
      <c r="C214" s="62"/>
      <c r="D214" s="62"/>
      <c r="E214" s="63"/>
      <c r="F214" s="63"/>
      <c r="G214" s="63"/>
      <c r="H214" s="64" t="e">
        <f t="shared" si="9"/>
        <v>#N/A</v>
      </c>
      <c r="I214" s="63"/>
      <c r="J214" s="65">
        <f t="shared" si="11"/>
        <v>211</v>
      </c>
      <c r="K214" s="65">
        <f>工程基本資料!$B$7-$J214+$L214+$M214</f>
        <v>-211</v>
      </c>
      <c r="L214" s="66"/>
      <c r="M214" s="66"/>
      <c r="N214" s="66"/>
      <c r="O214" s="70"/>
      <c r="P214" s="58">
        <f>工程基本資料!$B$8+工程基本資料!$B$7+$L214+$M214-1</f>
        <v>-1</v>
      </c>
      <c r="Q214" s="9" t="e">
        <v>#N/A</v>
      </c>
    </row>
    <row r="215" spans="1:17" ht="63" customHeight="1" x14ac:dyDescent="0.3">
      <c r="A215" s="60"/>
      <c r="B215" s="61">
        <f t="shared" si="10"/>
        <v>212</v>
      </c>
      <c r="C215" s="62"/>
      <c r="D215" s="62"/>
      <c r="E215" s="63"/>
      <c r="F215" s="63"/>
      <c r="G215" s="63"/>
      <c r="H215" s="64" t="e">
        <f t="shared" si="9"/>
        <v>#N/A</v>
      </c>
      <c r="I215" s="63"/>
      <c r="J215" s="65">
        <f t="shared" si="11"/>
        <v>212</v>
      </c>
      <c r="K215" s="65">
        <f>工程基本資料!$B$7-$J215+$L215+$M215</f>
        <v>-212</v>
      </c>
      <c r="L215" s="66"/>
      <c r="M215" s="66"/>
      <c r="N215" s="66"/>
      <c r="O215" s="70"/>
      <c r="P215" s="58">
        <f>工程基本資料!$B$8+工程基本資料!$B$7+$L215+$M215-1</f>
        <v>-1</v>
      </c>
      <c r="Q215" s="9" t="e">
        <v>#N/A</v>
      </c>
    </row>
    <row r="216" spans="1:17" ht="63" customHeight="1" x14ac:dyDescent="0.3">
      <c r="A216" s="60"/>
      <c r="B216" s="61">
        <f t="shared" si="10"/>
        <v>213</v>
      </c>
      <c r="C216" s="62"/>
      <c r="D216" s="62"/>
      <c r="E216" s="63"/>
      <c r="F216" s="63"/>
      <c r="G216" s="63"/>
      <c r="H216" s="64" t="e">
        <f t="shared" si="9"/>
        <v>#N/A</v>
      </c>
      <c r="I216" s="63"/>
      <c r="J216" s="65">
        <f t="shared" si="11"/>
        <v>213</v>
      </c>
      <c r="K216" s="65">
        <f>工程基本資料!$B$7-$J216+$L216+$M216</f>
        <v>-213</v>
      </c>
      <c r="L216" s="66"/>
      <c r="M216" s="66"/>
      <c r="N216" s="66"/>
      <c r="O216" s="70"/>
      <c r="P216" s="58">
        <f>工程基本資料!$B$8+工程基本資料!$B$7+$L216+$M216-1</f>
        <v>-1</v>
      </c>
      <c r="Q216" s="9" t="e">
        <v>#N/A</v>
      </c>
    </row>
    <row r="217" spans="1:17" ht="63" customHeight="1" x14ac:dyDescent="0.3">
      <c r="A217" s="60"/>
      <c r="B217" s="61">
        <f t="shared" si="10"/>
        <v>214</v>
      </c>
      <c r="C217" s="62"/>
      <c r="D217" s="62"/>
      <c r="E217" s="63"/>
      <c r="F217" s="63"/>
      <c r="G217" s="63"/>
      <c r="H217" s="64" t="e">
        <f t="shared" si="9"/>
        <v>#N/A</v>
      </c>
      <c r="I217" s="63"/>
      <c r="J217" s="65">
        <f t="shared" si="11"/>
        <v>214</v>
      </c>
      <c r="K217" s="65">
        <f>工程基本資料!$B$7-$J217+$L217+$M217</f>
        <v>-214</v>
      </c>
      <c r="L217" s="66"/>
      <c r="M217" s="66"/>
      <c r="N217" s="66"/>
      <c r="O217" s="70"/>
      <c r="P217" s="58">
        <f>工程基本資料!$B$8+工程基本資料!$B$7+$L217+$M217-1</f>
        <v>-1</v>
      </c>
      <c r="Q217" s="9" t="e">
        <v>#N/A</v>
      </c>
    </row>
    <row r="218" spans="1:17" ht="63" customHeight="1" x14ac:dyDescent="0.3">
      <c r="A218" s="60"/>
      <c r="B218" s="61">
        <f t="shared" si="10"/>
        <v>215</v>
      </c>
      <c r="C218" s="62"/>
      <c r="D218" s="62"/>
      <c r="E218" s="63"/>
      <c r="F218" s="63"/>
      <c r="G218" s="63"/>
      <c r="H218" s="64" t="e">
        <f t="shared" si="9"/>
        <v>#N/A</v>
      </c>
      <c r="I218" s="63"/>
      <c r="J218" s="65">
        <f t="shared" si="11"/>
        <v>215</v>
      </c>
      <c r="K218" s="65">
        <f>工程基本資料!$B$7-$J218+$L218+$M218</f>
        <v>-215</v>
      </c>
      <c r="L218" s="66"/>
      <c r="M218" s="66"/>
      <c r="N218" s="66"/>
      <c r="O218" s="70"/>
      <c r="P218" s="58">
        <f>工程基本資料!$B$8+工程基本資料!$B$7+$L218+$M218-1</f>
        <v>-1</v>
      </c>
      <c r="Q218" s="9" t="e">
        <v>#N/A</v>
      </c>
    </row>
    <row r="219" spans="1:17" ht="63" customHeight="1" x14ac:dyDescent="0.3">
      <c r="A219" s="60"/>
      <c r="B219" s="61">
        <f t="shared" si="10"/>
        <v>216</v>
      </c>
      <c r="C219" s="62"/>
      <c r="D219" s="62"/>
      <c r="E219" s="63"/>
      <c r="F219" s="63"/>
      <c r="G219" s="63"/>
      <c r="H219" s="64" t="e">
        <f t="shared" si="9"/>
        <v>#N/A</v>
      </c>
      <c r="I219" s="63"/>
      <c r="J219" s="65">
        <f t="shared" si="11"/>
        <v>216</v>
      </c>
      <c r="K219" s="65">
        <f>工程基本資料!$B$7-$J219+$L219+$M219</f>
        <v>-216</v>
      </c>
      <c r="L219" s="66"/>
      <c r="M219" s="66"/>
      <c r="N219" s="66"/>
      <c r="O219" s="70"/>
      <c r="P219" s="58">
        <f>工程基本資料!$B$8+工程基本資料!$B$7+$L219+$M219-1</f>
        <v>-1</v>
      </c>
      <c r="Q219" s="9" t="e">
        <v>#N/A</v>
      </c>
    </row>
    <row r="220" spans="1:17" ht="63" customHeight="1" x14ac:dyDescent="0.3">
      <c r="A220" s="60"/>
      <c r="B220" s="61">
        <f t="shared" si="10"/>
        <v>217</v>
      </c>
      <c r="C220" s="62"/>
      <c r="D220" s="62"/>
      <c r="E220" s="63"/>
      <c r="F220" s="63"/>
      <c r="G220" s="63"/>
      <c r="H220" s="64" t="e">
        <f t="shared" si="9"/>
        <v>#N/A</v>
      </c>
      <c r="I220" s="63"/>
      <c r="J220" s="65">
        <f t="shared" si="11"/>
        <v>217</v>
      </c>
      <c r="K220" s="65">
        <f>工程基本資料!$B$7-$J220+$L220+$M220</f>
        <v>-217</v>
      </c>
      <c r="L220" s="66"/>
      <c r="M220" s="66"/>
      <c r="N220" s="66"/>
      <c r="O220" s="70"/>
      <c r="P220" s="58">
        <f>工程基本資料!$B$8+工程基本資料!$B$7+$L220+$M220-1</f>
        <v>-1</v>
      </c>
      <c r="Q220" s="9" t="e">
        <v>#N/A</v>
      </c>
    </row>
    <row r="221" spans="1:17" ht="63" customHeight="1" x14ac:dyDescent="0.3">
      <c r="A221" s="60"/>
      <c r="B221" s="61">
        <f t="shared" si="10"/>
        <v>218</v>
      </c>
      <c r="C221" s="62"/>
      <c r="D221" s="62"/>
      <c r="E221" s="63"/>
      <c r="F221" s="63"/>
      <c r="G221" s="63"/>
      <c r="H221" s="64" t="e">
        <f t="shared" si="9"/>
        <v>#N/A</v>
      </c>
      <c r="I221" s="63"/>
      <c r="J221" s="65">
        <f t="shared" si="11"/>
        <v>218</v>
      </c>
      <c r="K221" s="65">
        <f>工程基本資料!$B$7-$J221+$L221+$M221</f>
        <v>-218</v>
      </c>
      <c r="L221" s="66"/>
      <c r="M221" s="66"/>
      <c r="N221" s="66"/>
      <c r="O221" s="70"/>
      <c r="P221" s="58">
        <f>工程基本資料!$B$8+工程基本資料!$B$7+$L221+$M221-1</f>
        <v>-1</v>
      </c>
      <c r="Q221" s="9" t="e">
        <v>#N/A</v>
      </c>
    </row>
    <row r="222" spans="1:17" ht="63" customHeight="1" x14ac:dyDescent="0.3">
      <c r="A222" s="60"/>
      <c r="B222" s="61">
        <f t="shared" si="10"/>
        <v>219</v>
      </c>
      <c r="C222" s="62"/>
      <c r="D222" s="62"/>
      <c r="E222" s="63"/>
      <c r="F222" s="63"/>
      <c r="G222" s="63"/>
      <c r="H222" s="64" t="e">
        <f t="shared" si="9"/>
        <v>#N/A</v>
      </c>
      <c r="I222" s="63"/>
      <c r="J222" s="65">
        <f t="shared" si="11"/>
        <v>219</v>
      </c>
      <c r="K222" s="65">
        <f>工程基本資料!$B$7-$J222+$L222+$M222</f>
        <v>-219</v>
      </c>
      <c r="L222" s="66"/>
      <c r="M222" s="66"/>
      <c r="N222" s="66"/>
      <c r="O222" s="70"/>
      <c r="P222" s="58">
        <f>工程基本資料!$B$8+工程基本資料!$B$7+$L222+$M222-1</f>
        <v>-1</v>
      </c>
      <c r="Q222" s="9" t="e">
        <v>#N/A</v>
      </c>
    </row>
    <row r="223" spans="1:17" ht="63" customHeight="1" x14ac:dyDescent="0.3">
      <c r="A223" s="60"/>
      <c r="B223" s="61">
        <f t="shared" si="10"/>
        <v>220</v>
      </c>
      <c r="C223" s="62"/>
      <c r="D223" s="62"/>
      <c r="E223" s="63"/>
      <c r="F223" s="63"/>
      <c r="G223" s="63"/>
      <c r="H223" s="64" t="e">
        <f t="shared" si="9"/>
        <v>#N/A</v>
      </c>
      <c r="I223" s="63"/>
      <c r="J223" s="65">
        <f t="shared" si="11"/>
        <v>220</v>
      </c>
      <c r="K223" s="65">
        <f>工程基本資料!$B$7-$J223+$L223+$M223</f>
        <v>-220</v>
      </c>
      <c r="L223" s="66"/>
      <c r="M223" s="66"/>
      <c r="N223" s="66"/>
      <c r="O223" s="70"/>
      <c r="P223" s="58">
        <f>工程基本資料!$B$8+工程基本資料!$B$7+$L223+$M223-1</f>
        <v>-1</v>
      </c>
      <c r="Q223" s="9" t="e">
        <v>#N/A</v>
      </c>
    </row>
    <row r="224" spans="1:17" ht="63" customHeight="1" x14ac:dyDescent="0.3">
      <c r="A224" s="60"/>
      <c r="B224" s="61">
        <f t="shared" si="10"/>
        <v>221</v>
      </c>
      <c r="C224" s="62"/>
      <c r="D224" s="62"/>
      <c r="E224" s="63"/>
      <c r="F224" s="63"/>
      <c r="G224" s="63"/>
      <c r="H224" s="64" t="e">
        <f t="shared" si="9"/>
        <v>#N/A</v>
      </c>
      <c r="I224" s="63"/>
      <c r="J224" s="65">
        <f t="shared" si="11"/>
        <v>221</v>
      </c>
      <c r="K224" s="65">
        <f>工程基本資料!$B$7-$J224+$L224+$M224</f>
        <v>-221</v>
      </c>
      <c r="L224" s="66"/>
      <c r="M224" s="66"/>
      <c r="N224" s="66"/>
      <c r="O224" s="70"/>
      <c r="P224" s="58">
        <f>工程基本資料!$B$8+工程基本資料!$B$7+$L224+$M224-1</f>
        <v>-1</v>
      </c>
      <c r="Q224" s="9" t="e">
        <v>#N/A</v>
      </c>
    </row>
    <row r="225" spans="1:17" ht="63" customHeight="1" x14ac:dyDescent="0.3">
      <c r="A225" s="60"/>
      <c r="B225" s="61">
        <f t="shared" si="10"/>
        <v>222</v>
      </c>
      <c r="C225" s="62"/>
      <c r="D225" s="62"/>
      <c r="E225" s="63"/>
      <c r="F225" s="63"/>
      <c r="G225" s="63"/>
      <c r="H225" s="64" t="e">
        <f t="shared" si="9"/>
        <v>#N/A</v>
      </c>
      <c r="I225" s="63"/>
      <c r="J225" s="65">
        <f t="shared" si="11"/>
        <v>222</v>
      </c>
      <c r="K225" s="65">
        <f>工程基本資料!$B$7-$J225+$L225+$M225</f>
        <v>-222</v>
      </c>
      <c r="L225" s="66"/>
      <c r="M225" s="66"/>
      <c r="N225" s="66"/>
      <c r="O225" s="70"/>
      <c r="P225" s="58">
        <f>工程基本資料!$B$8+工程基本資料!$B$7+$L225+$M225-1</f>
        <v>-1</v>
      </c>
      <c r="Q225" s="9" t="e">
        <v>#N/A</v>
      </c>
    </row>
    <row r="226" spans="1:17" ht="63" customHeight="1" x14ac:dyDescent="0.3">
      <c r="A226" s="60"/>
      <c r="B226" s="61">
        <f t="shared" si="10"/>
        <v>223</v>
      </c>
      <c r="C226" s="62"/>
      <c r="D226" s="62"/>
      <c r="E226" s="63"/>
      <c r="F226" s="63"/>
      <c r="G226" s="63"/>
      <c r="H226" s="64" t="e">
        <f t="shared" si="9"/>
        <v>#N/A</v>
      </c>
      <c r="I226" s="63"/>
      <c r="J226" s="65">
        <f t="shared" si="11"/>
        <v>223</v>
      </c>
      <c r="K226" s="65">
        <f>工程基本資料!$B$7-$J226+$L226+$M226</f>
        <v>-223</v>
      </c>
      <c r="L226" s="66"/>
      <c r="M226" s="66"/>
      <c r="N226" s="66"/>
      <c r="O226" s="70"/>
      <c r="P226" s="58">
        <f>工程基本資料!$B$8+工程基本資料!$B$7+$L226+$M226-1</f>
        <v>-1</v>
      </c>
      <c r="Q226" s="9" t="e">
        <v>#N/A</v>
      </c>
    </row>
    <row r="227" spans="1:17" ht="63" customHeight="1" x14ac:dyDescent="0.3">
      <c r="A227" s="60"/>
      <c r="B227" s="61">
        <f t="shared" si="10"/>
        <v>224</v>
      </c>
      <c r="C227" s="62"/>
      <c r="D227" s="62"/>
      <c r="E227" s="63"/>
      <c r="F227" s="63"/>
      <c r="G227" s="63"/>
      <c r="H227" s="64" t="e">
        <f t="shared" si="9"/>
        <v>#N/A</v>
      </c>
      <c r="I227" s="63"/>
      <c r="J227" s="65">
        <f t="shared" si="11"/>
        <v>224</v>
      </c>
      <c r="K227" s="65">
        <f>工程基本資料!$B$7-$J227+$L227+$M227</f>
        <v>-224</v>
      </c>
      <c r="L227" s="66"/>
      <c r="M227" s="66"/>
      <c r="N227" s="66"/>
      <c r="O227" s="70"/>
      <c r="P227" s="58">
        <f>工程基本資料!$B$8+工程基本資料!$B$7+$L227+$M227-1</f>
        <v>-1</v>
      </c>
      <c r="Q227" s="9" t="e">
        <v>#N/A</v>
      </c>
    </row>
    <row r="228" spans="1:17" ht="63" customHeight="1" x14ac:dyDescent="0.3">
      <c r="A228" s="60"/>
      <c r="B228" s="61">
        <f t="shared" si="10"/>
        <v>225</v>
      </c>
      <c r="C228" s="62"/>
      <c r="D228" s="62"/>
      <c r="E228" s="63"/>
      <c r="F228" s="63"/>
      <c r="G228" s="63"/>
      <c r="H228" s="64" t="e">
        <f t="shared" si="9"/>
        <v>#N/A</v>
      </c>
      <c r="I228" s="63"/>
      <c r="J228" s="65">
        <f t="shared" si="11"/>
        <v>225</v>
      </c>
      <c r="K228" s="65">
        <f>工程基本資料!$B$7-$J228+$L228+$M228</f>
        <v>-225</v>
      </c>
      <c r="L228" s="66"/>
      <c r="M228" s="66"/>
      <c r="N228" s="66"/>
      <c r="O228" s="70"/>
      <c r="P228" s="58">
        <f>工程基本資料!$B$8+工程基本資料!$B$7+$L228+$M228-1</f>
        <v>-1</v>
      </c>
      <c r="Q228" s="9" t="e">
        <v>#N/A</v>
      </c>
    </row>
    <row r="229" spans="1:17" ht="63" customHeight="1" x14ac:dyDescent="0.3">
      <c r="A229" s="60"/>
      <c r="B229" s="61">
        <f t="shared" si="10"/>
        <v>226</v>
      </c>
      <c r="C229" s="62"/>
      <c r="D229" s="62"/>
      <c r="E229" s="63"/>
      <c r="F229" s="63"/>
      <c r="G229" s="63"/>
      <c r="H229" s="64" t="e">
        <f t="shared" si="9"/>
        <v>#N/A</v>
      </c>
      <c r="I229" s="63"/>
      <c r="J229" s="65">
        <f t="shared" si="11"/>
        <v>226</v>
      </c>
      <c r="K229" s="65">
        <f>工程基本資料!$B$7-$J229+$L229+$M229</f>
        <v>-226</v>
      </c>
      <c r="L229" s="66"/>
      <c r="M229" s="66"/>
      <c r="N229" s="66"/>
      <c r="O229" s="70"/>
      <c r="P229" s="58">
        <f>工程基本資料!$B$8+工程基本資料!$B$7+$L229+$M229-1</f>
        <v>-1</v>
      </c>
      <c r="Q229" s="9" t="e">
        <v>#N/A</v>
      </c>
    </row>
    <row r="230" spans="1:17" ht="63" customHeight="1" x14ac:dyDescent="0.3">
      <c r="A230" s="60"/>
      <c r="B230" s="61">
        <f t="shared" si="10"/>
        <v>227</v>
      </c>
      <c r="C230" s="62"/>
      <c r="D230" s="62"/>
      <c r="E230" s="63"/>
      <c r="F230" s="63"/>
      <c r="G230" s="63"/>
      <c r="H230" s="64" t="e">
        <f t="shared" si="9"/>
        <v>#N/A</v>
      </c>
      <c r="I230" s="63"/>
      <c r="J230" s="65">
        <f t="shared" si="11"/>
        <v>227</v>
      </c>
      <c r="K230" s="65">
        <f>工程基本資料!$B$7-$J230+$L230+$M230</f>
        <v>-227</v>
      </c>
      <c r="L230" s="66"/>
      <c r="M230" s="66"/>
      <c r="N230" s="66"/>
      <c r="O230" s="70"/>
      <c r="P230" s="58">
        <f>工程基本資料!$B$8+工程基本資料!$B$7+$L230+$M230-1</f>
        <v>-1</v>
      </c>
      <c r="Q230" s="9" t="e">
        <v>#N/A</v>
      </c>
    </row>
    <row r="231" spans="1:17" ht="63" customHeight="1" x14ac:dyDescent="0.3">
      <c r="A231" s="60"/>
      <c r="B231" s="61">
        <f t="shared" si="10"/>
        <v>228</v>
      </c>
      <c r="C231" s="62"/>
      <c r="D231" s="62"/>
      <c r="E231" s="63"/>
      <c r="F231" s="63"/>
      <c r="G231" s="63"/>
      <c r="H231" s="64" t="e">
        <f t="shared" si="9"/>
        <v>#N/A</v>
      </c>
      <c r="I231" s="63"/>
      <c r="J231" s="65">
        <f t="shared" si="11"/>
        <v>228</v>
      </c>
      <c r="K231" s="65">
        <f>工程基本資料!$B$7-$J231+$L231+$M231</f>
        <v>-228</v>
      </c>
      <c r="L231" s="66"/>
      <c r="M231" s="66"/>
      <c r="N231" s="66"/>
      <c r="O231" s="70"/>
      <c r="P231" s="58">
        <f>工程基本資料!$B$8+工程基本資料!$B$7+$L231+$M231-1</f>
        <v>-1</v>
      </c>
      <c r="Q231" s="9" t="e">
        <v>#N/A</v>
      </c>
    </row>
    <row r="232" spans="1:17" ht="63" customHeight="1" x14ac:dyDescent="0.3">
      <c r="A232" s="60"/>
      <c r="B232" s="61">
        <f t="shared" si="10"/>
        <v>229</v>
      </c>
      <c r="C232" s="62"/>
      <c r="D232" s="62"/>
      <c r="E232" s="63"/>
      <c r="F232" s="63"/>
      <c r="G232" s="63"/>
      <c r="H232" s="64" t="e">
        <f t="shared" si="9"/>
        <v>#N/A</v>
      </c>
      <c r="I232" s="63"/>
      <c r="J232" s="65">
        <f t="shared" si="11"/>
        <v>229</v>
      </c>
      <c r="K232" s="65">
        <f>工程基本資料!$B$7-$J232+$L232+$M232</f>
        <v>-229</v>
      </c>
      <c r="L232" s="66"/>
      <c r="M232" s="66"/>
      <c r="N232" s="66"/>
      <c r="O232" s="70"/>
      <c r="P232" s="58">
        <f>工程基本資料!$B$8+工程基本資料!$B$7+$L232+$M232-1</f>
        <v>-1</v>
      </c>
      <c r="Q232" s="9" t="e">
        <v>#N/A</v>
      </c>
    </row>
    <row r="233" spans="1:17" ht="63" customHeight="1" x14ac:dyDescent="0.3">
      <c r="A233" s="60"/>
      <c r="B233" s="61">
        <f t="shared" si="10"/>
        <v>230</v>
      </c>
      <c r="C233" s="62"/>
      <c r="D233" s="62"/>
      <c r="E233" s="68"/>
      <c r="F233" s="68"/>
      <c r="G233" s="68"/>
      <c r="H233" s="64" t="e">
        <f t="shared" si="9"/>
        <v>#N/A</v>
      </c>
      <c r="I233" s="68"/>
      <c r="J233" s="65">
        <f t="shared" si="11"/>
        <v>230</v>
      </c>
      <c r="K233" s="65">
        <f>工程基本資料!$B$7-$J233+$L233+$M233</f>
        <v>-230</v>
      </c>
      <c r="L233" s="66"/>
      <c r="M233" s="66"/>
      <c r="N233" s="66"/>
      <c r="O233" s="70"/>
      <c r="P233" s="58">
        <f>工程基本資料!$B$8+工程基本資料!$B$7+$L233+$M233-1</f>
        <v>-1</v>
      </c>
      <c r="Q233" s="9" t="e">
        <v>#N/A</v>
      </c>
    </row>
    <row r="234" spans="1:17" ht="63" customHeight="1" x14ac:dyDescent="0.3">
      <c r="A234" s="60"/>
      <c r="B234" s="61">
        <f t="shared" si="10"/>
        <v>231</v>
      </c>
      <c r="C234" s="62"/>
      <c r="D234" s="62"/>
      <c r="E234" s="68"/>
      <c r="F234" s="68"/>
      <c r="G234" s="68"/>
      <c r="H234" s="64" t="e">
        <f t="shared" si="9"/>
        <v>#N/A</v>
      </c>
      <c r="I234" s="68"/>
      <c r="J234" s="65">
        <f t="shared" si="11"/>
        <v>231</v>
      </c>
      <c r="K234" s="65">
        <f>工程基本資料!$B$7-$J234+$L234+$M234</f>
        <v>-231</v>
      </c>
      <c r="L234" s="66"/>
      <c r="M234" s="66"/>
      <c r="N234" s="66"/>
      <c r="O234" s="70"/>
      <c r="P234" s="58">
        <f>工程基本資料!$B$8+工程基本資料!$B$7+$L234+$M234-1</f>
        <v>-1</v>
      </c>
      <c r="Q234" s="9" t="e">
        <v>#N/A</v>
      </c>
    </row>
    <row r="235" spans="1:17" ht="63" customHeight="1" x14ac:dyDescent="0.3">
      <c r="A235" s="60"/>
      <c r="B235" s="61">
        <f t="shared" si="10"/>
        <v>232</v>
      </c>
      <c r="C235" s="62"/>
      <c r="D235" s="62"/>
      <c r="E235" s="68"/>
      <c r="F235" s="68"/>
      <c r="G235" s="68"/>
      <c r="H235" s="64" t="e">
        <f t="shared" si="9"/>
        <v>#N/A</v>
      </c>
      <c r="I235" s="68"/>
      <c r="J235" s="65">
        <f t="shared" si="11"/>
        <v>232</v>
      </c>
      <c r="K235" s="65">
        <f>工程基本資料!$B$7-$J235+$L235+$M235</f>
        <v>-232</v>
      </c>
      <c r="L235" s="66"/>
      <c r="M235" s="66"/>
      <c r="N235" s="66"/>
      <c r="O235" s="70"/>
      <c r="P235" s="58">
        <f>工程基本資料!$B$8+工程基本資料!$B$7+$L235+$M235-1</f>
        <v>-1</v>
      </c>
      <c r="Q235" s="9" t="e">
        <v>#N/A</v>
      </c>
    </row>
    <row r="236" spans="1:17" ht="63" customHeight="1" x14ac:dyDescent="0.3">
      <c r="A236" s="60"/>
      <c r="B236" s="61">
        <f t="shared" si="10"/>
        <v>233</v>
      </c>
      <c r="C236" s="62"/>
      <c r="D236" s="62"/>
      <c r="E236" s="68"/>
      <c r="F236" s="68"/>
      <c r="G236" s="68"/>
      <c r="H236" s="64" t="e">
        <f t="shared" si="9"/>
        <v>#N/A</v>
      </c>
      <c r="I236" s="68"/>
      <c r="J236" s="65">
        <f t="shared" si="11"/>
        <v>233</v>
      </c>
      <c r="K236" s="65">
        <f>工程基本資料!$B$7-$J236+$L236+$M236</f>
        <v>-233</v>
      </c>
      <c r="L236" s="66"/>
      <c r="M236" s="66"/>
      <c r="N236" s="66"/>
      <c r="O236" s="70"/>
      <c r="P236" s="58">
        <f>工程基本資料!$B$8+工程基本資料!$B$7+$L236+$M236-1</f>
        <v>-1</v>
      </c>
      <c r="Q236" s="9" t="e">
        <v>#N/A</v>
      </c>
    </row>
    <row r="237" spans="1:17" ht="63" customHeight="1" x14ac:dyDescent="0.3">
      <c r="A237" s="60"/>
      <c r="B237" s="61">
        <f t="shared" si="10"/>
        <v>234</v>
      </c>
      <c r="C237" s="62"/>
      <c r="D237" s="62"/>
      <c r="E237" s="68"/>
      <c r="F237" s="68"/>
      <c r="G237" s="68"/>
      <c r="H237" s="64" t="e">
        <f t="shared" si="9"/>
        <v>#N/A</v>
      </c>
      <c r="I237" s="68"/>
      <c r="J237" s="65">
        <f t="shared" si="11"/>
        <v>234</v>
      </c>
      <c r="K237" s="65">
        <f>工程基本資料!$B$7-$J237+$L237+$M237</f>
        <v>-234</v>
      </c>
      <c r="L237" s="66"/>
      <c r="M237" s="66"/>
      <c r="N237" s="66"/>
      <c r="O237" s="70"/>
      <c r="P237" s="58">
        <f>工程基本資料!$B$8+工程基本資料!$B$7+$L237+$M237-1</f>
        <v>-1</v>
      </c>
      <c r="Q237" s="9" t="e">
        <v>#N/A</v>
      </c>
    </row>
    <row r="238" spans="1:17" ht="63" customHeight="1" x14ac:dyDescent="0.3">
      <c r="A238" s="60"/>
      <c r="B238" s="61">
        <f t="shared" si="10"/>
        <v>235</v>
      </c>
      <c r="C238" s="62"/>
      <c r="D238" s="62"/>
      <c r="E238" s="68"/>
      <c r="F238" s="68"/>
      <c r="G238" s="68"/>
      <c r="H238" s="64" t="e">
        <f t="shared" si="9"/>
        <v>#N/A</v>
      </c>
      <c r="I238" s="68"/>
      <c r="J238" s="65">
        <f t="shared" si="11"/>
        <v>235</v>
      </c>
      <c r="K238" s="65">
        <f>工程基本資料!$B$7-$J238+$L238+$M238</f>
        <v>-235</v>
      </c>
      <c r="L238" s="66"/>
      <c r="M238" s="66"/>
      <c r="N238" s="66"/>
      <c r="O238" s="70"/>
      <c r="P238" s="58">
        <f>工程基本資料!$B$8+工程基本資料!$B$7+$L238+$M238-1</f>
        <v>-1</v>
      </c>
      <c r="Q238" s="9" t="e">
        <v>#N/A</v>
      </c>
    </row>
    <row r="239" spans="1:17" ht="63" customHeight="1" x14ac:dyDescent="0.3">
      <c r="A239" s="60"/>
      <c r="B239" s="61">
        <f t="shared" si="10"/>
        <v>236</v>
      </c>
      <c r="C239" s="62"/>
      <c r="D239" s="62"/>
      <c r="E239" s="68"/>
      <c r="F239" s="68"/>
      <c r="G239" s="68"/>
      <c r="H239" s="64" t="e">
        <f t="shared" si="9"/>
        <v>#N/A</v>
      </c>
      <c r="I239" s="68"/>
      <c r="J239" s="65">
        <f t="shared" si="11"/>
        <v>236</v>
      </c>
      <c r="K239" s="65">
        <f>工程基本資料!$B$7-$J239+$L239+$M239</f>
        <v>-236</v>
      </c>
      <c r="L239" s="66"/>
      <c r="M239" s="66"/>
      <c r="N239" s="66"/>
      <c r="O239" s="70"/>
      <c r="P239" s="58">
        <f>工程基本資料!$B$8+工程基本資料!$B$7+$L239+$M239-1</f>
        <v>-1</v>
      </c>
      <c r="Q239" s="9" t="e">
        <v>#N/A</v>
      </c>
    </row>
    <row r="240" spans="1:17" ht="63" customHeight="1" x14ac:dyDescent="0.3">
      <c r="A240" s="60"/>
      <c r="B240" s="61">
        <f t="shared" si="10"/>
        <v>237</v>
      </c>
      <c r="C240" s="62"/>
      <c r="D240" s="62"/>
      <c r="E240" s="68"/>
      <c r="F240" s="68"/>
      <c r="G240" s="68"/>
      <c r="H240" s="64" t="e">
        <f t="shared" si="9"/>
        <v>#N/A</v>
      </c>
      <c r="I240" s="68"/>
      <c r="J240" s="65">
        <f t="shared" si="11"/>
        <v>237</v>
      </c>
      <c r="K240" s="65">
        <f>工程基本資料!$B$7-$J240+$L240+$M240</f>
        <v>-237</v>
      </c>
      <c r="L240" s="66"/>
      <c r="M240" s="66"/>
      <c r="N240" s="66"/>
      <c r="O240" s="70"/>
      <c r="P240" s="58">
        <f>工程基本資料!$B$8+工程基本資料!$B$7+$L240+$M240-1</f>
        <v>-1</v>
      </c>
      <c r="Q240" s="9" t="e">
        <v>#N/A</v>
      </c>
    </row>
    <row r="241" spans="1:17" ht="63" customHeight="1" x14ac:dyDescent="0.3">
      <c r="A241" s="60"/>
      <c r="B241" s="61">
        <f t="shared" si="10"/>
        <v>238</v>
      </c>
      <c r="C241" s="62"/>
      <c r="D241" s="62"/>
      <c r="E241" s="68"/>
      <c r="F241" s="68"/>
      <c r="G241" s="68"/>
      <c r="H241" s="64" t="e">
        <f t="shared" si="9"/>
        <v>#N/A</v>
      </c>
      <c r="I241" s="68"/>
      <c r="J241" s="65">
        <f t="shared" si="11"/>
        <v>238</v>
      </c>
      <c r="K241" s="65">
        <f>工程基本資料!$B$7-$J241+$L241+$M241</f>
        <v>-238</v>
      </c>
      <c r="L241" s="66"/>
      <c r="M241" s="66"/>
      <c r="N241" s="66"/>
      <c r="O241" s="70"/>
      <c r="P241" s="58">
        <f>工程基本資料!$B$8+工程基本資料!$B$7+$L241+$M241-1</f>
        <v>-1</v>
      </c>
      <c r="Q241" s="9" t="e">
        <v>#N/A</v>
      </c>
    </row>
    <row r="242" spans="1:17" ht="63" customHeight="1" x14ac:dyDescent="0.3">
      <c r="A242" s="60"/>
      <c r="B242" s="61">
        <f t="shared" si="10"/>
        <v>239</v>
      </c>
      <c r="C242" s="62"/>
      <c r="D242" s="62"/>
      <c r="E242" s="68"/>
      <c r="F242" s="68"/>
      <c r="G242" s="68"/>
      <c r="H242" s="64" t="e">
        <f t="shared" si="9"/>
        <v>#N/A</v>
      </c>
      <c r="I242" s="68"/>
      <c r="J242" s="65">
        <f t="shared" si="11"/>
        <v>239</v>
      </c>
      <c r="K242" s="65">
        <f>工程基本資料!$B$7-$J242+$L242+$M242</f>
        <v>-239</v>
      </c>
      <c r="L242" s="66"/>
      <c r="M242" s="66"/>
      <c r="N242" s="66"/>
      <c r="O242" s="70"/>
      <c r="P242" s="58">
        <f>工程基本資料!$B$8+工程基本資料!$B$7+$L242+$M242-1</f>
        <v>-1</v>
      </c>
      <c r="Q242" s="9" t="e">
        <v>#N/A</v>
      </c>
    </row>
    <row r="243" spans="1:17" ht="63" customHeight="1" x14ac:dyDescent="0.3">
      <c r="A243" s="60"/>
      <c r="B243" s="61">
        <f t="shared" si="10"/>
        <v>240</v>
      </c>
      <c r="C243" s="62"/>
      <c r="D243" s="62"/>
      <c r="E243" s="68"/>
      <c r="F243" s="68"/>
      <c r="G243" s="68"/>
      <c r="H243" s="64" t="e">
        <f t="shared" si="9"/>
        <v>#N/A</v>
      </c>
      <c r="I243" s="68"/>
      <c r="J243" s="65">
        <f t="shared" si="11"/>
        <v>240</v>
      </c>
      <c r="K243" s="65">
        <f>工程基本資料!$B$7-$J243+$L243+$M243</f>
        <v>-240</v>
      </c>
      <c r="L243" s="66"/>
      <c r="M243" s="66"/>
      <c r="N243" s="66"/>
      <c r="O243" s="70"/>
      <c r="P243" s="58">
        <f>工程基本資料!$B$8+工程基本資料!$B$7+$L243+$M243-1</f>
        <v>-1</v>
      </c>
      <c r="Q243" s="9" t="e">
        <v>#N/A</v>
      </c>
    </row>
    <row r="244" spans="1:17" ht="63" customHeight="1" x14ac:dyDescent="0.3">
      <c r="A244" s="60"/>
      <c r="B244" s="61">
        <f t="shared" si="10"/>
        <v>241</v>
      </c>
      <c r="C244" s="62"/>
      <c r="D244" s="62"/>
      <c r="E244" s="68"/>
      <c r="F244" s="68"/>
      <c r="G244" s="68"/>
      <c r="H244" s="64" t="e">
        <f t="shared" si="9"/>
        <v>#N/A</v>
      </c>
      <c r="I244" s="68"/>
      <c r="J244" s="65">
        <f t="shared" si="11"/>
        <v>241</v>
      </c>
      <c r="K244" s="65">
        <f>工程基本資料!$B$7-$J244+$L244+$M244</f>
        <v>-241</v>
      </c>
      <c r="L244" s="66"/>
      <c r="M244" s="66"/>
      <c r="N244" s="66"/>
      <c r="O244" s="70"/>
      <c r="P244" s="58">
        <f>工程基本資料!$B$8+工程基本資料!$B$7+$L244+$M244-1</f>
        <v>-1</v>
      </c>
      <c r="Q244" s="9" t="e">
        <v>#N/A</v>
      </c>
    </row>
    <row r="245" spans="1:17" ht="63" customHeight="1" x14ac:dyDescent="0.3">
      <c r="A245" s="60"/>
      <c r="B245" s="61">
        <f t="shared" si="10"/>
        <v>242</v>
      </c>
      <c r="C245" s="62"/>
      <c r="D245" s="62"/>
      <c r="E245" s="68"/>
      <c r="F245" s="68"/>
      <c r="G245" s="68"/>
      <c r="H245" s="64" t="e">
        <f t="shared" si="9"/>
        <v>#N/A</v>
      </c>
      <c r="I245" s="68"/>
      <c r="J245" s="65">
        <f t="shared" si="11"/>
        <v>242</v>
      </c>
      <c r="K245" s="65">
        <f>工程基本資料!$B$7-$J245+$L245+$M245</f>
        <v>-242</v>
      </c>
      <c r="L245" s="66"/>
      <c r="M245" s="66"/>
      <c r="N245" s="66"/>
      <c r="O245" s="70"/>
      <c r="P245" s="58">
        <f>工程基本資料!$B$8+工程基本資料!$B$7+$L245+$M245-1</f>
        <v>-1</v>
      </c>
      <c r="Q245" s="9" t="e">
        <v>#N/A</v>
      </c>
    </row>
    <row r="246" spans="1:17" ht="63" customHeight="1" x14ac:dyDescent="0.3">
      <c r="A246" s="60"/>
      <c r="B246" s="61">
        <f t="shared" si="10"/>
        <v>243</v>
      </c>
      <c r="C246" s="62"/>
      <c r="D246" s="62"/>
      <c r="E246" s="68"/>
      <c r="F246" s="68"/>
      <c r="G246" s="68"/>
      <c r="H246" s="64" t="e">
        <f t="shared" si="9"/>
        <v>#N/A</v>
      </c>
      <c r="I246" s="68"/>
      <c r="J246" s="65">
        <f t="shared" si="11"/>
        <v>243</v>
      </c>
      <c r="K246" s="65">
        <f>工程基本資料!$B$7-$J246+$L246+$M246</f>
        <v>-243</v>
      </c>
      <c r="L246" s="66"/>
      <c r="M246" s="66"/>
      <c r="N246" s="66"/>
      <c r="O246" s="70"/>
      <c r="P246" s="58">
        <f>工程基本資料!$B$8+工程基本資料!$B$7+$L246+$M246-1</f>
        <v>-1</v>
      </c>
      <c r="Q246" s="9" t="e">
        <v>#N/A</v>
      </c>
    </row>
    <row r="247" spans="1:17" ht="63" customHeight="1" x14ac:dyDescent="0.3">
      <c r="A247" s="60"/>
      <c r="B247" s="61">
        <f t="shared" si="10"/>
        <v>244</v>
      </c>
      <c r="C247" s="62"/>
      <c r="D247" s="62"/>
      <c r="E247" s="68"/>
      <c r="F247" s="68"/>
      <c r="G247" s="68"/>
      <c r="H247" s="64" t="e">
        <f t="shared" si="9"/>
        <v>#N/A</v>
      </c>
      <c r="I247" s="68"/>
      <c r="J247" s="65">
        <f t="shared" si="11"/>
        <v>244</v>
      </c>
      <c r="K247" s="65">
        <f>工程基本資料!$B$7-$J247+$L247+$M247</f>
        <v>-244</v>
      </c>
      <c r="L247" s="66"/>
      <c r="M247" s="66"/>
      <c r="N247" s="66"/>
      <c r="O247" s="70"/>
      <c r="P247" s="58">
        <f>工程基本資料!$B$8+工程基本資料!$B$7+$L247+$M247-1</f>
        <v>-1</v>
      </c>
      <c r="Q247" s="9" t="e">
        <v>#N/A</v>
      </c>
    </row>
    <row r="248" spans="1:17" ht="63" customHeight="1" x14ac:dyDescent="0.3">
      <c r="A248" s="60"/>
      <c r="B248" s="61">
        <f t="shared" si="10"/>
        <v>245</v>
      </c>
      <c r="C248" s="62"/>
      <c r="D248" s="62"/>
      <c r="E248" s="68"/>
      <c r="F248" s="68"/>
      <c r="G248" s="68"/>
      <c r="H248" s="64" t="e">
        <f t="shared" si="9"/>
        <v>#N/A</v>
      </c>
      <c r="I248" s="68"/>
      <c r="J248" s="65">
        <f t="shared" si="11"/>
        <v>245</v>
      </c>
      <c r="K248" s="65">
        <f>工程基本資料!$B$7-$J248+$L248+$M248</f>
        <v>-245</v>
      </c>
      <c r="L248" s="66"/>
      <c r="M248" s="66"/>
      <c r="N248" s="66"/>
      <c r="O248" s="70"/>
      <c r="P248" s="58">
        <f>工程基本資料!$B$8+工程基本資料!$B$7+$L248+$M248-1</f>
        <v>-1</v>
      </c>
      <c r="Q248" s="9" t="e">
        <v>#N/A</v>
      </c>
    </row>
    <row r="249" spans="1:17" ht="63" customHeight="1" x14ac:dyDescent="0.3">
      <c r="A249" s="60"/>
      <c r="B249" s="61">
        <f t="shared" si="10"/>
        <v>246</v>
      </c>
      <c r="C249" s="62"/>
      <c r="D249" s="62"/>
      <c r="E249" s="68"/>
      <c r="F249" s="68"/>
      <c r="G249" s="68"/>
      <c r="H249" s="64" t="e">
        <f t="shared" si="9"/>
        <v>#N/A</v>
      </c>
      <c r="I249" s="68"/>
      <c r="J249" s="65">
        <f t="shared" si="11"/>
        <v>246</v>
      </c>
      <c r="K249" s="65">
        <f>工程基本資料!$B$7-$J249+$L249+$M249</f>
        <v>-246</v>
      </c>
      <c r="L249" s="66"/>
      <c r="M249" s="66"/>
      <c r="N249" s="66"/>
      <c r="O249" s="70"/>
      <c r="P249" s="58">
        <f>工程基本資料!$B$8+工程基本資料!$B$7+$L249+$M249-1</f>
        <v>-1</v>
      </c>
      <c r="Q249" s="9" t="e">
        <v>#N/A</v>
      </c>
    </row>
    <row r="250" spans="1:17" ht="63" customHeight="1" x14ac:dyDescent="0.3">
      <c r="A250" s="60"/>
      <c r="B250" s="61">
        <f t="shared" si="10"/>
        <v>247</v>
      </c>
      <c r="C250" s="62"/>
      <c r="D250" s="62"/>
      <c r="E250" s="68"/>
      <c r="F250" s="68"/>
      <c r="G250" s="68"/>
      <c r="H250" s="64" t="e">
        <f t="shared" si="9"/>
        <v>#N/A</v>
      </c>
      <c r="I250" s="68"/>
      <c r="J250" s="65">
        <f t="shared" si="11"/>
        <v>247</v>
      </c>
      <c r="K250" s="65">
        <f>工程基本資料!$B$7-$J250+$L250+$M250</f>
        <v>-247</v>
      </c>
      <c r="L250" s="66"/>
      <c r="M250" s="66"/>
      <c r="N250" s="66"/>
      <c r="O250" s="70"/>
      <c r="P250" s="58">
        <f>工程基本資料!$B$8+工程基本資料!$B$7+$L250+$M250-1</f>
        <v>-1</v>
      </c>
      <c r="Q250" s="9" t="e">
        <v>#N/A</v>
      </c>
    </row>
    <row r="251" spans="1:17" ht="63" customHeight="1" x14ac:dyDescent="0.3">
      <c r="A251" s="60"/>
      <c r="B251" s="61">
        <f t="shared" si="10"/>
        <v>248</v>
      </c>
      <c r="C251" s="62"/>
      <c r="D251" s="62"/>
      <c r="E251" s="68"/>
      <c r="F251" s="68"/>
      <c r="G251" s="68"/>
      <c r="H251" s="64" t="e">
        <f t="shared" si="9"/>
        <v>#N/A</v>
      </c>
      <c r="I251" s="68"/>
      <c r="J251" s="65">
        <f t="shared" si="11"/>
        <v>248</v>
      </c>
      <c r="K251" s="65">
        <f>工程基本資料!$B$7-$J251+$L251+$M251</f>
        <v>-248</v>
      </c>
      <c r="L251" s="66"/>
      <c r="M251" s="66"/>
      <c r="N251" s="66"/>
      <c r="O251" s="70"/>
      <c r="P251" s="58">
        <f>工程基本資料!$B$8+工程基本資料!$B$7+$L251+$M251-1</f>
        <v>-1</v>
      </c>
      <c r="Q251" s="9" t="e">
        <v>#N/A</v>
      </c>
    </row>
    <row r="252" spans="1:17" ht="63" customHeight="1" x14ac:dyDescent="0.3">
      <c r="A252" s="60"/>
      <c r="B252" s="61">
        <f t="shared" si="10"/>
        <v>249</v>
      </c>
      <c r="C252" s="62"/>
      <c r="D252" s="62"/>
      <c r="E252" s="68"/>
      <c r="F252" s="68"/>
      <c r="G252" s="68"/>
      <c r="H252" s="64" t="e">
        <f t="shared" si="9"/>
        <v>#N/A</v>
      </c>
      <c r="I252" s="68"/>
      <c r="J252" s="65">
        <f t="shared" si="11"/>
        <v>249</v>
      </c>
      <c r="K252" s="65">
        <f>工程基本資料!$B$7-$J252+$L252+$M252</f>
        <v>-249</v>
      </c>
      <c r="L252" s="66"/>
      <c r="M252" s="66"/>
      <c r="N252" s="66"/>
      <c r="O252" s="70"/>
      <c r="P252" s="58">
        <f>工程基本資料!$B$8+工程基本資料!$B$7+$L252+$M252-1</f>
        <v>-1</v>
      </c>
      <c r="Q252" s="9" t="e">
        <v>#N/A</v>
      </c>
    </row>
    <row r="253" spans="1:17" ht="63" customHeight="1" x14ac:dyDescent="0.3">
      <c r="A253" s="60"/>
      <c r="B253" s="61">
        <f t="shared" si="10"/>
        <v>250</v>
      </c>
      <c r="C253" s="62"/>
      <c r="D253" s="62"/>
      <c r="E253" s="68"/>
      <c r="F253" s="68"/>
      <c r="G253" s="68"/>
      <c r="H253" s="64" t="e">
        <f t="shared" si="9"/>
        <v>#N/A</v>
      </c>
      <c r="I253" s="68"/>
      <c r="J253" s="65">
        <f t="shared" si="11"/>
        <v>250</v>
      </c>
      <c r="K253" s="65">
        <f>工程基本資料!$B$7-$J253+$L253+$M253</f>
        <v>-250</v>
      </c>
      <c r="L253" s="66"/>
      <c r="M253" s="66"/>
      <c r="N253" s="66"/>
      <c r="O253" s="70"/>
      <c r="P253" s="58">
        <f>工程基本資料!$B$8+工程基本資料!$B$7+$L253+$M253-1</f>
        <v>-1</v>
      </c>
      <c r="Q253" s="9" t="e">
        <v>#N/A</v>
      </c>
    </row>
    <row r="254" spans="1:17" ht="63" customHeight="1" x14ac:dyDescent="0.3">
      <c r="A254" s="60"/>
      <c r="B254" s="61">
        <f t="shared" si="10"/>
        <v>251</v>
      </c>
      <c r="C254" s="62"/>
      <c r="D254" s="62"/>
      <c r="E254" s="68"/>
      <c r="F254" s="68"/>
      <c r="G254" s="68"/>
      <c r="H254" s="64" t="e">
        <f t="shared" si="9"/>
        <v>#N/A</v>
      </c>
      <c r="I254" s="68"/>
      <c r="J254" s="65">
        <f t="shared" si="11"/>
        <v>251</v>
      </c>
      <c r="K254" s="65">
        <f>工程基本資料!$B$7-$J254+$L254+$M254</f>
        <v>-251</v>
      </c>
      <c r="L254" s="66"/>
      <c r="M254" s="66"/>
      <c r="N254" s="66"/>
      <c r="O254" s="70"/>
      <c r="P254" s="58">
        <f>工程基本資料!$B$8+工程基本資料!$B$7+$L254+$M254-1</f>
        <v>-1</v>
      </c>
      <c r="Q254" s="9" t="e">
        <v>#N/A</v>
      </c>
    </row>
    <row r="255" spans="1:17" ht="63" customHeight="1" x14ac:dyDescent="0.3">
      <c r="A255" s="60"/>
      <c r="B255" s="61">
        <f t="shared" si="10"/>
        <v>252</v>
      </c>
      <c r="C255" s="62"/>
      <c r="D255" s="62"/>
      <c r="E255" s="68"/>
      <c r="F255" s="68"/>
      <c r="G255" s="68"/>
      <c r="H255" s="64" t="e">
        <f t="shared" si="9"/>
        <v>#N/A</v>
      </c>
      <c r="I255" s="68"/>
      <c r="J255" s="65">
        <f t="shared" si="11"/>
        <v>252</v>
      </c>
      <c r="K255" s="65">
        <f>工程基本資料!$B$7-$J255+$L255+$M255</f>
        <v>-252</v>
      </c>
      <c r="L255" s="66"/>
      <c r="M255" s="66"/>
      <c r="N255" s="66"/>
      <c r="O255" s="70"/>
      <c r="P255" s="58">
        <f>工程基本資料!$B$8+工程基本資料!$B$7+$L255+$M255-1</f>
        <v>-1</v>
      </c>
      <c r="Q255" s="9" t="e">
        <v>#N/A</v>
      </c>
    </row>
    <row r="256" spans="1:17" ht="63" customHeight="1" x14ac:dyDescent="0.3">
      <c r="A256" s="60"/>
      <c r="B256" s="61">
        <f t="shared" si="10"/>
        <v>253</v>
      </c>
      <c r="C256" s="62"/>
      <c r="D256" s="62"/>
      <c r="E256" s="68"/>
      <c r="F256" s="68"/>
      <c r="G256" s="68"/>
      <c r="H256" s="64" t="e">
        <f t="shared" si="9"/>
        <v>#N/A</v>
      </c>
      <c r="I256" s="68"/>
      <c r="J256" s="65">
        <f t="shared" si="11"/>
        <v>253</v>
      </c>
      <c r="K256" s="65">
        <f>工程基本資料!$B$7-$J256+$L256+$M256</f>
        <v>-253</v>
      </c>
      <c r="L256" s="66"/>
      <c r="M256" s="66"/>
      <c r="N256" s="66"/>
      <c r="O256" s="70"/>
      <c r="P256" s="58">
        <f>工程基本資料!$B$8+工程基本資料!$B$7+$L256+$M256-1</f>
        <v>-1</v>
      </c>
      <c r="Q256" s="9" t="e">
        <v>#N/A</v>
      </c>
    </row>
    <row r="257" spans="1:17" ht="63" customHeight="1" x14ac:dyDescent="0.3">
      <c r="A257" s="60"/>
      <c r="B257" s="61">
        <f t="shared" si="10"/>
        <v>254</v>
      </c>
      <c r="C257" s="62"/>
      <c r="D257" s="62"/>
      <c r="E257" s="68"/>
      <c r="F257" s="68"/>
      <c r="G257" s="68"/>
      <c r="H257" s="64" t="e">
        <f t="shared" si="9"/>
        <v>#N/A</v>
      </c>
      <c r="I257" s="68"/>
      <c r="J257" s="65">
        <f t="shared" si="11"/>
        <v>254</v>
      </c>
      <c r="K257" s="65">
        <f>工程基本資料!$B$7-$J257+$L257+$M257</f>
        <v>-254</v>
      </c>
      <c r="L257" s="66"/>
      <c r="M257" s="66"/>
      <c r="N257" s="66"/>
      <c r="O257" s="70"/>
      <c r="P257" s="58">
        <f>工程基本資料!$B$8+工程基本資料!$B$7+$L257+$M257-1</f>
        <v>-1</v>
      </c>
      <c r="Q257" s="9" t="e">
        <v>#N/A</v>
      </c>
    </row>
    <row r="258" spans="1:17" ht="63" customHeight="1" x14ac:dyDescent="0.3">
      <c r="A258" s="60"/>
      <c r="B258" s="61">
        <f t="shared" si="10"/>
        <v>255</v>
      </c>
      <c r="C258" s="62"/>
      <c r="D258" s="62"/>
      <c r="E258" s="68"/>
      <c r="F258" s="68"/>
      <c r="G258" s="68"/>
      <c r="H258" s="64" t="e">
        <f t="shared" si="9"/>
        <v>#N/A</v>
      </c>
      <c r="I258" s="68"/>
      <c r="J258" s="65">
        <f t="shared" si="11"/>
        <v>255</v>
      </c>
      <c r="K258" s="65">
        <f>工程基本資料!$B$7-$J258+$L258+$M258</f>
        <v>-255</v>
      </c>
      <c r="L258" s="66"/>
      <c r="M258" s="66"/>
      <c r="N258" s="66"/>
      <c r="O258" s="70"/>
      <c r="P258" s="58">
        <f>工程基本資料!$B$8+工程基本資料!$B$7+$L258+$M258-1</f>
        <v>-1</v>
      </c>
      <c r="Q258" s="9" t="e">
        <v>#N/A</v>
      </c>
    </row>
    <row r="259" spans="1:17" ht="63" customHeight="1" x14ac:dyDescent="0.3">
      <c r="A259" s="60"/>
      <c r="B259" s="61">
        <f t="shared" si="10"/>
        <v>256</v>
      </c>
      <c r="C259" s="62"/>
      <c r="D259" s="62"/>
      <c r="E259" s="68"/>
      <c r="F259" s="68"/>
      <c r="G259" s="68"/>
      <c r="H259" s="64" t="e">
        <f t="shared" si="9"/>
        <v>#N/A</v>
      </c>
      <c r="I259" s="68"/>
      <c r="J259" s="65">
        <f t="shared" si="11"/>
        <v>256</v>
      </c>
      <c r="K259" s="65">
        <f>工程基本資料!$B$7-$J259+$L259+$M259</f>
        <v>-256</v>
      </c>
      <c r="L259" s="66"/>
      <c r="M259" s="66"/>
      <c r="N259" s="66"/>
      <c r="O259" s="70"/>
      <c r="P259" s="58">
        <f>工程基本資料!$B$8+工程基本資料!$B$7+$L259+$M259-1</f>
        <v>-1</v>
      </c>
      <c r="Q259" s="9" t="e">
        <v>#N/A</v>
      </c>
    </row>
    <row r="260" spans="1:17" ht="63" customHeight="1" x14ac:dyDescent="0.3">
      <c r="A260" s="60"/>
      <c r="B260" s="61">
        <f t="shared" si="10"/>
        <v>257</v>
      </c>
      <c r="C260" s="62"/>
      <c r="D260" s="62"/>
      <c r="E260" s="68"/>
      <c r="F260" s="68"/>
      <c r="G260" s="68"/>
      <c r="H260" s="64" t="e">
        <f t="shared" ref="H260:H323" si="12">IF(Q260&gt;1,$R$3,$R$4)</f>
        <v>#N/A</v>
      </c>
      <c r="I260" s="68"/>
      <c r="J260" s="65">
        <f t="shared" si="11"/>
        <v>257</v>
      </c>
      <c r="K260" s="65">
        <f>工程基本資料!$B$7-$J260+$L260+$M260</f>
        <v>-257</v>
      </c>
      <c r="L260" s="66"/>
      <c r="M260" s="66"/>
      <c r="N260" s="66"/>
      <c r="O260" s="70"/>
      <c r="P260" s="58">
        <f>工程基本資料!$B$8+工程基本資料!$B$7+$L260+$M260-1</f>
        <v>-1</v>
      </c>
      <c r="Q260" s="9" t="e">
        <v>#N/A</v>
      </c>
    </row>
    <row r="261" spans="1:17" ht="63" customHeight="1" x14ac:dyDescent="0.3">
      <c r="A261" s="60"/>
      <c r="B261" s="61">
        <f t="shared" ref="B261:B324" si="13">B260+1</f>
        <v>258</v>
      </c>
      <c r="C261" s="62"/>
      <c r="D261" s="62"/>
      <c r="E261" s="68"/>
      <c r="F261" s="68"/>
      <c r="G261" s="68"/>
      <c r="H261" s="64" t="e">
        <f t="shared" si="12"/>
        <v>#N/A</v>
      </c>
      <c r="I261" s="68"/>
      <c r="J261" s="65">
        <f t="shared" ref="J261:J324" si="14">J260+1</f>
        <v>258</v>
      </c>
      <c r="K261" s="65">
        <f>工程基本資料!$B$7-$J261+$L261+$M261</f>
        <v>-258</v>
      </c>
      <c r="L261" s="66"/>
      <c r="M261" s="66"/>
      <c r="N261" s="66"/>
      <c r="O261" s="70"/>
      <c r="P261" s="58">
        <f>工程基本資料!$B$8+工程基本資料!$B$7+$L261+$M261-1</f>
        <v>-1</v>
      </c>
      <c r="Q261" s="9" t="e">
        <v>#N/A</v>
      </c>
    </row>
    <row r="262" spans="1:17" ht="63" customHeight="1" x14ac:dyDescent="0.3">
      <c r="A262" s="60"/>
      <c r="B262" s="61">
        <f t="shared" si="13"/>
        <v>259</v>
      </c>
      <c r="C262" s="62"/>
      <c r="D262" s="62"/>
      <c r="E262" s="68"/>
      <c r="F262" s="68"/>
      <c r="G262" s="68"/>
      <c r="H262" s="64" t="e">
        <f t="shared" si="12"/>
        <v>#N/A</v>
      </c>
      <c r="I262" s="68"/>
      <c r="J262" s="65">
        <f t="shared" si="14"/>
        <v>259</v>
      </c>
      <c r="K262" s="65">
        <f>工程基本資料!$B$7-$J262+$L262+$M262</f>
        <v>-259</v>
      </c>
      <c r="L262" s="66"/>
      <c r="M262" s="66"/>
      <c r="N262" s="66"/>
      <c r="O262" s="70"/>
      <c r="P262" s="58">
        <f>工程基本資料!$B$8+工程基本資料!$B$7+$L262+$M262-1</f>
        <v>-1</v>
      </c>
      <c r="Q262" s="9" t="e">
        <v>#N/A</v>
      </c>
    </row>
    <row r="263" spans="1:17" ht="63" customHeight="1" x14ac:dyDescent="0.3">
      <c r="A263" s="60"/>
      <c r="B263" s="61">
        <f t="shared" si="13"/>
        <v>260</v>
      </c>
      <c r="C263" s="62"/>
      <c r="D263" s="62"/>
      <c r="E263" s="68"/>
      <c r="F263" s="68"/>
      <c r="G263" s="68"/>
      <c r="H263" s="64" t="e">
        <f t="shared" si="12"/>
        <v>#N/A</v>
      </c>
      <c r="I263" s="68"/>
      <c r="J263" s="65">
        <f t="shared" si="14"/>
        <v>260</v>
      </c>
      <c r="K263" s="65">
        <f>工程基本資料!$B$7-$J263+$L263+$M263</f>
        <v>-260</v>
      </c>
      <c r="L263" s="66"/>
      <c r="M263" s="66"/>
      <c r="N263" s="66"/>
      <c r="O263" s="70"/>
      <c r="P263" s="58">
        <f>工程基本資料!$B$8+工程基本資料!$B$7+$L263+$M263-1</f>
        <v>-1</v>
      </c>
      <c r="Q263" s="9" t="e">
        <v>#N/A</v>
      </c>
    </row>
    <row r="264" spans="1:17" ht="63" customHeight="1" x14ac:dyDescent="0.3">
      <c r="A264" s="60"/>
      <c r="B264" s="61">
        <f t="shared" si="13"/>
        <v>261</v>
      </c>
      <c r="C264" s="62"/>
      <c r="D264" s="62"/>
      <c r="E264" s="68"/>
      <c r="F264" s="68"/>
      <c r="G264" s="68"/>
      <c r="H264" s="64" t="e">
        <f t="shared" si="12"/>
        <v>#N/A</v>
      </c>
      <c r="I264" s="68"/>
      <c r="J264" s="65">
        <f t="shared" si="14"/>
        <v>261</v>
      </c>
      <c r="K264" s="65">
        <f>工程基本資料!$B$7-$J264+$L264+$M264</f>
        <v>-261</v>
      </c>
      <c r="L264" s="66"/>
      <c r="M264" s="66"/>
      <c r="N264" s="66"/>
      <c r="O264" s="70"/>
      <c r="P264" s="58">
        <f>工程基本資料!$B$8+工程基本資料!$B$7+$L264+$M264-1</f>
        <v>-1</v>
      </c>
      <c r="Q264" s="9" t="e">
        <v>#N/A</v>
      </c>
    </row>
    <row r="265" spans="1:17" ht="63" customHeight="1" x14ac:dyDescent="0.3">
      <c r="A265" s="60"/>
      <c r="B265" s="61">
        <f t="shared" si="13"/>
        <v>262</v>
      </c>
      <c r="C265" s="62"/>
      <c r="D265" s="62"/>
      <c r="E265" s="68"/>
      <c r="F265" s="68"/>
      <c r="G265" s="68"/>
      <c r="H265" s="64" t="e">
        <f t="shared" si="12"/>
        <v>#N/A</v>
      </c>
      <c r="I265" s="68"/>
      <c r="J265" s="65">
        <f t="shared" si="14"/>
        <v>262</v>
      </c>
      <c r="K265" s="65">
        <f>工程基本資料!$B$7-$J265+$L265+$M265</f>
        <v>-262</v>
      </c>
      <c r="L265" s="66"/>
      <c r="M265" s="66"/>
      <c r="N265" s="66"/>
      <c r="O265" s="70"/>
      <c r="P265" s="58">
        <f>工程基本資料!$B$8+工程基本資料!$B$7+$L265+$M265-1</f>
        <v>-1</v>
      </c>
      <c r="Q265" s="9" t="e">
        <v>#N/A</v>
      </c>
    </row>
    <row r="266" spans="1:17" ht="63" customHeight="1" x14ac:dyDescent="0.3">
      <c r="A266" s="60"/>
      <c r="B266" s="61">
        <f t="shared" si="13"/>
        <v>263</v>
      </c>
      <c r="C266" s="62"/>
      <c r="D266" s="62"/>
      <c r="E266" s="68"/>
      <c r="F266" s="68"/>
      <c r="G266" s="68"/>
      <c r="H266" s="64" t="e">
        <f t="shared" si="12"/>
        <v>#N/A</v>
      </c>
      <c r="I266" s="68"/>
      <c r="J266" s="65">
        <f t="shared" si="14"/>
        <v>263</v>
      </c>
      <c r="K266" s="65">
        <f>工程基本資料!$B$7-$J266+$L266+$M266</f>
        <v>-263</v>
      </c>
      <c r="L266" s="66"/>
      <c r="M266" s="66"/>
      <c r="N266" s="66"/>
      <c r="O266" s="70"/>
      <c r="P266" s="58">
        <f>工程基本資料!$B$8+工程基本資料!$B$7+$L266+$M266-1</f>
        <v>-1</v>
      </c>
      <c r="Q266" s="9" t="e">
        <v>#N/A</v>
      </c>
    </row>
    <row r="267" spans="1:17" ht="63" customHeight="1" x14ac:dyDescent="0.3">
      <c r="A267" s="60"/>
      <c r="B267" s="61">
        <f t="shared" si="13"/>
        <v>264</v>
      </c>
      <c r="C267" s="62"/>
      <c r="D267" s="62"/>
      <c r="E267" s="68"/>
      <c r="F267" s="68"/>
      <c r="G267" s="68"/>
      <c r="H267" s="64" t="e">
        <f t="shared" si="12"/>
        <v>#N/A</v>
      </c>
      <c r="I267" s="68"/>
      <c r="J267" s="65">
        <f t="shared" si="14"/>
        <v>264</v>
      </c>
      <c r="K267" s="65">
        <f>工程基本資料!$B$7-$J267+$L267+$M267</f>
        <v>-264</v>
      </c>
      <c r="L267" s="66"/>
      <c r="M267" s="66"/>
      <c r="N267" s="66"/>
      <c r="O267" s="70"/>
      <c r="P267" s="58">
        <f>工程基本資料!$B$8+工程基本資料!$B$7+$L267+$M267-1</f>
        <v>-1</v>
      </c>
      <c r="Q267" s="9" t="e">
        <v>#N/A</v>
      </c>
    </row>
    <row r="268" spans="1:17" ht="63" customHeight="1" x14ac:dyDescent="0.3">
      <c r="A268" s="60"/>
      <c r="B268" s="61">
        <f t="shared" si="13"/>
        <v>265</v>
      </c>
      <c r="C268" s="62"/>
      <c r="D268" s="62"/>
      <c r="E268" s="68"/>
      <c r="F268" s="68"/>
      <c r="G268" s="68"/>
      <c r="H268" s="64" t="e">
        <f t="shared" si="12"/>
        <v>#N/A</v>
      </c>
      <c r="I268" s="68"/>
      <c r="J268" s="65">
        <f t="shared" si="14"/>
        <v>265</v>
      </c>
      <c r="K268" s="65">
        <f>工程基本資料!$B$7-$J268+$L268+$M268</f>
        <v>-265</v>
      </c>
      <c r="L268" s="66"/>
      <c r="M268" s="66"/>
      <c r="N268" s="66"/>
      <c r="O268" s="70"/>
      <c r="P268" s="58">
        <f>工程基本資料!$B$8+工程基本資料!$B$7+$L268+$M268-1</f>
        <v>-1</v>
      </c>
      <c r="Q268" s="9" t="e">
        <v>#N/A</v>
      </c>
    </row>
    <row r="269" spans="1:17" ht="63" customHeight="1" x14ac:dyDescent="0.3">
      <c r="A269" s="60"/>
      <c r="B269" s="61">
        <f t="shared" si="13"/>
        <v>266</v>
      </c>
      <c r="C269" s="62"/>
      <c r="D269" s="62"/>
      <c r="E269" s="68"/>
      <c r="F269" s="68"/>
      <c r="G269" s="68"/>
      <c r="H269" s="64" t="e">
        <f t="shared" si="12"/>
        <v>#N/A</v>
      </c>
      <c r="I269" s="68"/>
      <c r="J269" s="65">
        <f t="shared" si="14"/>
        <v>266</v>
      </c>
      <c r="K269" s="65">
        <f>工程基本資料!$B$7-$J269+$L269+$M269</f>
        <v>-266</v>
      </c>
      <c r="L269" s="66"/>
      <c r="M269" s="66"/>
      <c r="N269" s="66"/>
      <c r="O269" s="70"/>
      <c r="P269" s="58">
        <f>工程基本資料!$B$8+工程基本資料!$B$7+$L269+$M269-1</f>
        <v>-1</v>
      </c>
      <c r="Q269" s="9" t="e">
        <v>#N/A</v>
      </c>
    </row>
    <row r="270" spans="1:17" ht="63" customHeight="1" x14ac:dyDescent="0.3">
      <c r="A270" s="60"/>
      <c r="B270" s="61">
        <f t="shared" si="13"/>
        <v>267</v>
      </c>
      <c r="C270" s="62"/>
      <c r="D270" s="62"/>
      <c r="E270" s="68"/>
      <c r="F270" s="68"/>
      <c r="G270" s="68"/>
      <c r="H270" s="64" t="e">
        <f t="shared" si="12"/>
        <v>#N/A</v>
      </c>
      <c r="I270" s="68"/>
      <c r="J270" s="65">
        <f t="shared" si="14"/>
        <v>267</v>
      </c>
      <c r="K270" s="65">
        <f>工程基本資料!$B$7-$J270+$L270+$M270</f>
        <v>-267</v>
      </c>
      <c r="L270" s="66"/>
      <c r="M270" s="66"/>
      <c r="N270" s="66"/>
      <c r="O270" s="70"/>
      <c r="P270" s="58">
        <f>工程基本資料!$B$8+工程基本資料!$B$7+$L270+$M270-1</f>
        <v>-1</v>
      </c>
      <c r="Q270" s="9" t="e">
        <v>#N/A</v>
      </c>
    </row>
    <row r="271" spans="1:17" ht="63" customHeight="1" x14ac:dyDescent="0.3">
      <c r="A271" s="60"/>
      <c r="B271" s="61">
        <f t="shared" si="13"/>
        <v>268</v>
      </c>
      <c r="C271" s="62"/>
      <c r="D271" s="62"/>
      <c r="E271" s="68"/>
      <c r="F271" s="68"/>
      <c r="G271" s="68"/>
      <c r="H271" s="64" t="e">
        <f t="shared" si="12"/>
        <v>#N/A</v>
      </c>
      <c r="I271" s="68"/>
      <c r="J271" s="65">
        <f t="shared" si="14"/>
        <v>268</v>
      </c>
      <c r="K271" s="65">
        <f>工程基本資料!$B$7-$J271+$L271+$M271</f>
        <v>-268</v>
      </c>
      <c r="L271" s="66"/>
      <c r="M271" s="66"/>
      <c r="N271" s="66"/>
      <c r="O271" s="70"/>
      <c r="P271" s="58">
        <f>工程基本資料!$B$8+工程基本資料!$B$7+$L271+$M271-1</f>
        <v>-1</v>
      </c>
      <c r="Q271" s="9" t="e">
        <v>#N/A</v>
      </c>
    </row>
    <row r="272" spans="1:17" ht="63" customHeight="1" x14ac:dyDescent="0.3">
      <c r="A272" s="60"/>
      <c r="B272" s="61">
        <f t="shared" si="13"/>
        <v>269</v>
      </c>
      <c r="C272" s="62"/>
      <c r="D272" s="62"/>
      <c r="E272" s="68"/>
      <c r="F272" s="68"/>
      <c r="G272" s="68"/>
      <c r="H272" s="64" t="e">
        <f t="shared" si="12"/>
        <v>#N/A</v>
      </c>
      <c r="I272" s="68"/>
      <c r="J272" s="65">
        <f t="shared" si="14"/>
        <v>269</v>
      </c>
      <c r="K272" s="65">
        <f>工程基本資料!$B$7-$J272+$L272+$M272</f>
        <v>-269</v>
      </c>
      <c r="L272" s="66"/>
      <c r="M272" s="66"/>
      <c r="N272" s="66"/>
      <c r="O272" s="70"/>
      <c r="P272" s="58">
        <f>工程基本資料!$B$8+工程基本資料!$B$7+$L272+$M272-1</f>
        <v>-1</v>
      </c>
      <c r="Q272" s="9" t="e">
        <v>#N/A</v>
      </c>
    </row>
    <row r="273" spans="1:17" ht="63" customHeight="1" x14ac:dyDescent="0.3">
      <c r="A273" s="60"/>
      <c r="B273" s="61">
        <f t="shared" si="13"/>
        <v>270</v>
      </c>
      <c r="C273" s="62"/>
      <c r="D273" s="62"/>
      <c r="E273" s="68"/>
      <c r="F273" s="68"/>
      <c r="G273" s="68"/>
      <c r="H273" s="64" t="e">
        <f t="shared" si="12"/>
        <v>#N/A</v>
      </c>
      <c r="I273" s="68"/>
      <c r="J273" s="65">
        <f t="shared" si="14"/>
        <v>270</v>
      </c>
      <c r="K273" s="65">
        <f>工程基本資料!$B$7-$J273+$L273+$M273</f>
        <v>-270</v>
      </c>
      <c r="L273" s="66"/>
      <c r="M273" s="66"/>
      <c r="N273" s="66"/>
      <c r="O273" s="70"/>
      <c r="P273" s="58">
        <f>工程基本資料!$B$8+工程基本資料!$B$7+$L273+$M273-1</f>
        <v>-1</v>
      </c>
      <c r="Q273" s="9" t="e">
        <v>#N/A</v>
      </c>
    </row>
    <row r="274" spans="1:17" ht="63" customHeight="1" x14ac:dyDescent="0.3">
      <c r="A274" s="60"/>
      <c r="B274" s="61">
        <f t="shared" si="13"/>
        <v>271</v>
      </c>
      <c r="C274" s="62"/>
      <c r="D274" s="62"/>
      <c r="E274" s="68"/>
      <c r="F274" s="68"/>
      <c r="G274" s="68"/>
      <c r="H274" s="64" t="e">
        <f t="shared" si="12"/>
        <v>#N/A</v>
      </c>
      <c r="I274" s="68"/>
      <c r="J274" s="65">
        <f t="shared" si="14"/>
        <v>271</v>
      </c>
      <c r="K274" s="65">
        <f>工程基本資料!$B$7-$J274+$L274+$M274</f>
        <v>-271</v>
      </c>
      <c r="L274" s="66"/>
      <c r="M274" s="66"/>
      <c r="N274" s="66"/>
      <c r="O274" s="70"/>
      <c r="P274" s="58">
        <f>工程基本資料!$B$8+工程基本資料!$B$7+$L274+$M274-1</f>
        <v>-1</v>
      </c>
      <c r="Q274" s="9" t="e">
        <v>#N/A</v>
      </c>
    </row>
    <row r="275" spans="1:17" ht="63" customHeight="1" x14ac:dyDescent="0.3">
      <c r="A275" s="60"/>
      <c r="B275" s="61">
        <f t="shared" si="13"/>
        <v>272</v>
      </c>
      <c r="C275" s="62"/>
      <c r="D275" s="62"/>
      <c r="E275" s="68"/>
      <c r="F275" s="68"/>
      <c r="G275" s="68"/>
      <c r="H275" s="64" t="e">
        <f t="shared" si="12"/>
        <v>#N/A</v>
      </c>
      <c r="I275" s="68"/>
      <c r="J275" s="65">
        <f t="shared" si="14"/>
        <v>272</v>
      </c>
      <c r="K275" s="65">
        <f>工程基本資料!$B$7-$J275+$L275+$M275</f>
        <v>-272</v>
      </c>
      <c r="L275" s="66"/>
      <c r="M275" s="66"/>
      <c r="N275" s="66"/>
      <c r="O275" s="70"/>
      <c r="P275" s="58">
        <f>工程基本資料!$B$8+工程基本資料!$B$7+$L275+$M275-1</f>
        <v>-1</v>
      </c>
      <c r="Q275" s="9" t="e">
        <v>#N/A</v>
      </c>
    </row>
    <row r="276" spans="1:17" ht="63" customHeight="1" x14ac:dyDescent="0.3">
      <c r="A276" s="60"/>
      <c r="B276" s="61">
        <f t="shared" si="13"/>
        <v>273</v>
      </c>
      <c r="C276" s="62"/>
      <c r="D276" s="62"/>
      <c r="E276" s="68"/>
      <c r="F276" s="68"/>
      <c r="G276" s="68"/>
      <c r="H276" s="64" t="e">
        <f t="shared" si="12"/>
        <v>#N/A</v>
      </c>
      <c r="I276" s="68"/>
      <c r="J276" s="65">
        <f t="shared" si="14"/>
        <v>273</v>
      </c>
      <c r="K276" s="65">
        <f>工程基本資料!$B$7-$J276+$L276+$M276</f>
        <v>-273</v>
      </c>
      <c r="L276" s="66"/>
      <c r="M276" s="66"/>
      <c r="N276" s="66"/>
      <c r="O276" s="70"/>
      <c r="P276" s="58">
        <f>工程基本資料!$B$8+工程基本資料!$B$7+$L276+$M276-1</f>
        <v>-1</v>
      </c>
      <c r="Q276" s="9" t="e">
        <v>#N/A</v>
      </c>
    </row>
    <row r="277" spans="1:17" ht="63" customHeight="1" x14ac:dyDescent="0.3">
      <c r="A277" s="60"/>
      <c r="B277" s="61">
        <f t="shared" si="13"/>
        <v>274</v>
      </c>
      <c r="C277" s="62"/>
      <c r="D277" s="62"/>
      <c r="E277" s="68"/>
      <c r="F277" s="68"/>
      <c r="G277" s="68"/>
      <c r="H277" s="64" t="e">
        <f t="shared" si="12"/>
        <v>#N/A</v>
      </c>
      <c r="I277" s="68"/>
      <c r="J277" s="65">
        <f t="shared" si="14"/>
        <v>274</v>
      </c>
      <c r="K277" s="65">
        <f>工程基本資料!$B$7-$J277+$L277+$M277</f>
        <v>-274</v>
      </c>
      <c r="L277" s="66"/>
      <c r="M277" s="66"/>
      <c r="N277" s="66"/>
      <c r="O277" s="70"/>
      <c r="P277" s="58">
        <f>工程基本資料!$B$8+工程基本資料!$B$7+$L277+$M277-1</f>
        <v>-1</v>
      </c>
      <c r="Q277" s="9" t="e">
        <v>#N/A</v>
      </c>
    </row>
    <row r="278" spans="1:17" ht="63" customHeight="1" x14ac:dyDescent="0.3">
      <c r="A278" s="60"/>
      <c r="B278" s="61">
        <f t="shared" si="13"/>
        <v>275</v>
      </c>
      <c r="C278" s="62"/>
      <c r="D278" s="62"/>
      <c r="E278" s="68"/>
      <c r="F278" s="68"/>
      <c r="G278" s="68"/>
      <c r="H278" s="64" t="e">
        <f t="shared" si="12"/>
        <v>#N/A</v>
      </c>
      <c r="I278" s="68"/>
      <c r="J278" s="65">
        <f t="shared" si="14"/>
        <v>275</v>
      </c>
      <c r="K278" s="65">
        <f>工程基本資料!$B$7-$J278+$L278+$M278</f>
        <v>-275</v>
      </c>
      <c r="L278" s="66"/>
      <c r="M278" s="66"/>
      <c r="N278" s="66"/>
      <c r="O278" s="70"/>
      <c r="P278" s="58">
        <f>工程基本資料!$B$8+工程基本資料!$B$7+$L278+$M278-1</f>
        <v>-1</v>
      </c>
      <c r="Q278" s="9" t="e">
        <v>#N/A</v>
      </c>
    </row>
    <row r="279" spans="1:17" ht="63" customHeight="1" x14ac:dyDescent="0.3">
      <c r="A279" s="60"/>
      <c r="B279" s="61">
        <f t="shared" si="13"/>
        <v>276</v>
      </c>
      <c r="C279" s="62"/>
      <c r="D279" s="62"/>
      <c r="E279" s="68"/>
      <c r="F279" s="68"/>
      <c r="G279" s="68"/>
      <c r="H279" s="64" t="e">
        <f t="shared" si="12"/>
        <v>#N/A</v>
      </c>
      <c r="I279" s="68"/>
      <c r="J279" s="65">
        <f t="shared" si="14"/>
        <v>276</v>
      </c>
      <c r="K279" s="65">
        <f>工程基本資料!$B$7-$J279+$L279+$M279</f>
        <v>-276</v>
      </c>
      <c r="L279" s="66"/>
      <c r="M279" s="66"/>
      <c r="N279" s="66"/>
      <c r="O279" s="70"/>
      <c r="P279" s="58">
        <f>工程基本資料!$B$8+工程基本資料!$B$7+$L279+$M279-1</f>
        <v>-1</v>
      </c>
      <c r="Q279" s="9" t="e">
        <v>#N/A</v>
      </c>
    </row>
    <row r="280" spans="1:17" ht="63" customHeight="1" x14ac:dyDescent="0.3">
      <c r="A280" s="60"/>
      <c r="B280" s="61">
        <f t="shared" si="13"/>
        <v>277</v>
      </c>
      <c r="C280" s="62"/>
      <c r="D280" s="62"/>
      <c r="E280" s="68"/>
      <c r="F280" s="68"/>
      <c r="G280" s="68"/>
      <c r="H280" s="64" t="e">
        <f t="shared" si="12"/>
        <v>#N/A</v>
      </c>
      <c r="I280" s="68"/>
      <c r="J280" s="65">
        <f t="shared" si="14"/>
        <v>277</v>
      </c>
      <c r="K280" s="65">
        <f>工程基本資料!$B$7-$J280+$L280+$M280</f>
        <v>-277</v>
      </c>
      <c r="L280" s="66"/>
      <c r="M280" s="66"/>
      <c r="N280" s="66"/>
      <c r="O280" s="70"/>
      <c r="P280" s="58">
        <f>工程基本資料!$B$8+工程基本資料!$B$7+$L280+$M280-1</f>
        <v>-1</v>
      </c>
      <c r="Q280" s="9" t="e">
        <v>#N/A</v>
      </c>
    </row>
    <row r="281" spans="1:17" ht="63" customHeight="1" x14ac:dyDescent="0.3">
      <c r="A281" s="60"/>
      <c r="B281" s="61">
        <f t="shared" si="13"/>
        <v>278</v>
      </c>
      <c r="C281" s="62"/>
      <c r="D281" s="62"/>
      <c r="E281" s="68"/>
      <c r="F281" s="68"/>
      <c r="G281" s="68"/>
      <c r="H281" s="64" t="e">
        <f t="shared" si="12"/>
        <v>#N/A</v>
      </c>
      <c r="I281" s="68"/>
      <c r="J281" s="65">
        <f t="shared" si="14"/>
        <v>278</v>
      </c>
      <c r="K281" s="65">
        <f>工程基本資料!$B$7-$J281+$L281+$M281</f>
        <v>-278</v>
      </c>
      <c r="L281" s="66"/>
      <c r="M281" s="66"/>
      <c r="N281" s="66"/>
      <c r="O281" s="70"/>
      <c r="P281" s="58">
        <f>工程基本資料!$B$8+工程基本資料!$B$7+$L281+$M281-1</f>
        <v>-1</v>
      </c>
      <c r="Q281" s="9" t="e">
        <v>#N/A</v>
      </c>
    </row>
    <row r="282" spans="1:17" ht="63" customHeight="1" x14ac:dyDescent="0.3">
      <c r="A282" s="60"/>
      <c r="B282" s="61">
        <f t="shared" si="13"/>
        <v>279</v>
      </c>
      <c r="C282" s="62"/>
      <c r="D282" s="62"/>
      <c r="E282" s="68"/>
      <c r="F282" s="68"/>
      <c r="G282" s="68"/>
      <c r="H282" s="64" t="e">
        <f t="shared" si="12"/>
        <v>#N/A</v>
      </c>
      <c r="I282" s="68"/>
      <c r="J282" s="65">
        <f t="shared" si="14"/>
        <v>279</v>
      </c>
      <c r="K282" s="65">
        <f>工程基本資料!$B$7-$J282+$L282+$M282</f>
        <v>-279</v>
      </c>
      <c r="L282" s="66"/>
      <c r="M282" s="66"/>
      <c r="N282" s="66"/>
      <c r="O282" s="70"/>
      <c r="P282" s="58">
        <f>工程基本資料!$B$8+工程基本資料!$B$7+$L282+$M282-1</f>
        <v>-1</v>
      </c>
      <c r="Q282" s="9" t="e">
        <v>#N/A</v>
      </c>
    </row>
    <row r="283" spans="1:17" ht="63" customHeight="1" x14ac:dyDescent="0.3">
      <c r="A283" s="60"/>
      <c r="B283" s="61">
        <f t="shared" si="13"/>
        <v>280</v>
      </c>
      <c r="C283" s="62"/>
      <c r="D283" s="62"/>
      <c r="E283" s="68"/>
      <c r="F283" s="68"/>
      <c r="G283" s="68"/>
      <c r="H283" s="64" t="e">
        <f t="shared" si="12"/>
        <v>#N/A</v>
      </c>
      <c r="I283" s="68"/>
      <c r="J283" s="65">
        <f t="shared" si="14"/>
        <v>280</v>
      </c>
      <c r="K283" s="65">
        <f>工程基本資料!$B$7-$J283+$L283+$M283</f>
        <v>-280</v>
      </c>
      <c r="L283" s="66"/>
      <c r="M283" s="66"/>
      <c r="N283" s="66"/>
      <c r="O283" s="70"/>
      <c r="P283" s="58">
        <f>工程基本資料!$B$8+工程基本資料!$B$7+$L283+$M283-1</f>
        <v>-1</v>
      </c>
      <c r="Q283" s="9" t="e">
        <v>#N/A</v>
      </c>
    </row>
    <row r="284" spans="1:17" ht="63" customHeight="1" x14ac:dyDescent="0.3">
      <c r="A284" s="60"/>
      <c r="B284" s="61">
        <f t="shared" si="13"/>
        <v>281</v>
      </c>
      <c r="C284" s="62"/>
      <c r="D284" s="62"/>
      <c r="E284" s="68"/>
      <c r="F284" s="68"/>
      <c r="G284" s="68"/>
      <c r="H284" s="64" t="e">
        <f t="shared" si="12"/>
        <v>#N/A</v>
      </c>
      <c r="I284" s="68"/>
      <c r="J284" s="65">
        <f t="shared" si="14"/>
        <v>281</v>
      </c>
      <c r="K284" s="65">
        <f>工程基本資料!$B$7-$J284+$L284+$M284</f>
        <v>-281</v>
      </c>
      <c r="L284" s="66"/>
      <c r="M284" s="66"/>
      <c r="N284" s="66"/>
      <c r="O284" s="70"/>
      <c r="P284" s="58">
        <f>工程基本資料!$B$8+工程基本資料!$B$7+$L284+$M284-1</f>
        <v>-1</v>
      </c>
      <c r="Q284" s="9" t="e">
        <v>#N/A</v>
      </c>
    </row>
    <row r="285" spans="1:17" ht="63" customHeight="1" x14ac:dyDescent="0.3">
      <c r="A285" s="60"/>
      <c r="B285" s="61">
        <f t="shared" si="13"/>
        <v>282</v>
      </c>
      <c r="C285" s="62"/>
      <c r="D285" s="62"/>
      <c r="E285" s="68"/>
      <c r="F285" s="68"/>
      <c r="G285" s="68"/>
      <c r="H285" s="64" t="e">
        <f t="shared" si="12"/>
        <v>#N/A</v>
      </c>
      <c r="I285" s="68"/>
      <c r="J285" s="65">
        <f t="shared" si="14"/>
        <v>282</v>
      </c>
      <c r="K285" s="65">
        <f>工程基本資料!$B$7-$J285+$L285+$M285</f>
        <v>-282</v>
      </c>
      <c r="L285" s="66"/>
      <c r="M285" s="66"/>
      <c r="N285" s="66"/>
      <c r="O285" s="70"/>
      <c r="P285" s="58">
        <f>工程基本資料!$B$8+工程基本資料!$B$7+$L285+$M285-1</f>
        <v>-1</v>
      </c>
      <c r="Q285" s="9" t="e">
        <v>#N/A</v>
      </c>
    </row>
    <row r="286" spans="1:17" ht="63" customHeight="1" x14ac:dyDescent="0.3">
      <c r="A286" s="60"/>
      <c r="B286" s="61">
        <f t="shared" si="13"/>
        <v>283</v>
      </c>
      <c r="C286" s="62"/>
      <c r="D286" s="62"/>
      <c r="E286" s="68"/>
      <c r="F286" s="68"/>
      <c r="G286" s="68"/>
      <c r="H286" s="64" t="e">
        <f t="shared" si="12"/>
        <v>#N/A</v>
      </c>
      <c r="I286" s="68"/>
      <c r="J286" s="65">
        <f t="shared" si="14"/>
        <v>283</v>
      </c>
      <c r="K286" s="65">
        <f>工程基本資料!$B$7-$J286+$L286+$M286</f>
        <v>-283</v>
      </c>
      <c r="L286" s="66"/>
      <c r="M286" s="66"/>
      <c r="N286" s="66"/>
      <c r="O286" s="70"/>
      <c r="P286" s="58">
        <f>工程基本資料!$B$8+工程基本資料!$B$7+$L286+$M286-1</f>
        <v>-1</v>
      </c>
      <c r="Q286" s="9" t="e">
        <v>#N/A</v>
      </c>
    </row>
    <row r="287" spans="1:17" ht="63" customHeight="1" x14ac:dyDescent="0.3">
      <c r="A287" s="60"/>
      <c r="B287" s="61">
        <f t="shared" si="13"/>
        <v>284</v>
      </c>
      <c r="C287" s="62"/>
      <c r="D287" s="62"/>
      <c r="E287" s="68"/>
      <c r="F287" s="68"/>
      <c r="G287" s="68"/>
      <c r="H287" s="64" t="e">
        <f t="shared" si="12"/>
        <v>#N/A</v>
      </c>
      <c r="I287" s="68"/>
      <c r="J287" s="65">
        <f t="shared" si="14"/>
        <v>284</v>
      </c>
      <c r="K287" s="65">
        <f>工程基本資料!$B$7-$J287+$L287+$M287</f>
        <v>-284</v>
      </c>
      <c r="L287" s="66"/>
      <c r="M287" s="66"/>
      <c r="N287" s="66"/>
      <c r="O287" s="70"/>
      <c r="P287" s="58">
        <f>工程基本資料!$B$8+工程基本資料!$B$7+$L287+$M287-1</f>
        <v>-1</v>
      </c>
      <c r="Q287" s="9" t="e">
        <v>#N/A</v>
      </c>
    </row>
    <row r="288" spans="1:17" ht="63" customHeight="1" x14ac:dyDescent="0.3">
      <c r="A288" s="60"/>
      <c r="B288" s="61">
        <f t="shared" si="13"/>
        <v>285</v>
      </c>
      <c r="C288" s="62"/>
      <c r="D288" s="62"/>
      <c r="E288" s="68"/>
      <c r="F288" s="68"/>
      <c r="G288" s="68"/>
      <c r="H288" s="64" t="e">
        <f t="shared" si="12"/>
        <v>#N/A</v>
      </c>
      <c r="I288" s="68"/>
      <c r="J288" s="65">
        <f t="shared" si="14"/>
        <v>285</v>
      </c>
      <c r="K288" s="65">
        <f>工程基本資料!$B$7-$J288+$L288+$M288</f>
        <v>-285</v>
      </c>
      <c r="L288" s="66"/>
      <c r="M288" s="66"/>
      <c r="N288" s="66"/>
      <c r="O288" s="70"/>
      <c r="P288" s="58">
        <f>工程基本資料!$B$8+工程基本資料!$B$7+$L288+$M288-1</f>
        <v>-1</v>
      </c>
      <c r="Q288" s="9" t="e">
        <v>#N/A</v>
      </c>
    </row>
    <row r="289" spans="1:17" ht="63" customHeight="1" x14ac:dyDescent="0.3">
      <c r="A289" s="60"/>
      <c r="B289" s="61">
        <f t="shared" si="13"/>
        <v>286</v>
      </c>
      <c r="C289" s="62"/>
      <c r="D289" s="62"/>
      <c r="E289" s="68"/>
      <c r="F289" s="68"/>
      <c r="G289" s="68"/>
      <c r="H289" s="64" t="e">
        <f t="shared" si="12"/>
        <v>#N/A</v>
      </c>
      <c r="I289" s="68"/>
      <c r="J289" s="65">
        <f t="shared" si="14"/>
        <v>286</v>
      </c>
      <c r="K289" s="65">
        <f>工程基本資料!$B$7-$J289+$L289+$M289</f>
        <v>-286</v>
      </c>
      <c r="L289" s="66"/>
      <c r="M289" s="66"/>
      <c r="N289" s="66"/>
      <c r="O289" s="70"/>
      <c r="P289" s="58">
        <f>工程基本資料!$B$8+工程基本資料!$B$7+$L289+$M289-1</f>
        <v>-1</v>
      </c>
      <c r="Q289" s="9" t="e">
        <v>#N/A</v>
      </c>
    </row>
    <row r="290" spans="1:17" ht="63" customHeight="1" x14ac:dyDescent="0.3">
      <c r="A290" s="60"/>
      <c r="B290" s="61">
        <f t="shared" si="13"/>
        <v>287</v>
      </c>
      <c r="C290" s="62"/>
      <c r="D290" s="62"/>
      <c r="E290" s="68"/>
      <c r="F290" s="68"/>
      <c r="G290" s="68"/>
      <c r="H290" s="64" t="e">
        <f t="shared" si="12"/>
        <v>#N/A</v>
      </c>
      <c r="I290" s="68"/>
      <c r="J290" s="65">
        <f t="shared" si="14"/>
        <v>287</v>
      </c>
      <c r="K290" s="65">
        <f>工程基本資料!$B$7-$J290+$L290+$M290</f>
        <v>-287</v>
      </c>
      <c r="L290" s="66"/>
      <c r="M290" s="66"/>
      <c r="N290" s="66"/>
      <c r="O290" s="70"/>
      <c r="P290" s="58">
        <f>工程基本資料!$B$8+工程基本資料!$B$7+$L290+$M290-1</f>
        <v>-1</v>
      </c>
      <c r="Q290" s="9" t="e">
        <v>#N/A</v>
      </c>
    </row>
    <row r="291" spans="1:17" ht="63" customHeight="1" x14ac:dyDescent="0.3">
      <c r="A291" s="60"/>
      <c r="B291" s="61">
        <f t="shared" si="13"/>
        <v>288</v>
      </c>
      <c r="C291" s="62"/>
      <c r="D291" s="62"/>
      <c r="E291" s="68"/>
      <c r="F291" s="68"/>
      <c r="G291" s="68"/>
      <c r="H291" s="64" t="e">
        <f t="shared" si="12"/>
        <v>#N/A</v>
      </c>
      <c r="I291" s="68"/>
      <c r="J291" s="65">
        <f t="shared" si="14"/>
        <v>288</v>
      </c>
      <c r="K291" s="65">
        <f>工程基本資料!$B$7-$J291+$L291+$M291</f>
        <v>-288</v>
      </c>
      <c r="L291" s="66"/>
      <c r="M291" s="66"/>
      <c r="N291" s="66"/>
      <c r="O291" s="70"/>
      <c r="P291" s="58">
        <f>工程基本資料!$B$8+工程基本資料!$B$7+$L291+$M291-1</f>
        <v>-1</v>
      </c>
      <c r="Q291" s="9" t="e">
        <v>#N/A</v>
      </c>
    </row>
    <row r="292" spans="1:17" ht="63" customHeight="1" x14ac:dyDescent="0.3">
      <c r="A292" s="60"/>
      <c r="B292" s="61">
        <f t="shared" si="13"/>
        <v>289</v>
      </c>
      <c r="C292" s="62"/>
      <c r="D292" s="62"/>
      <c r="E292" s="68"/>
      <c r="F292" s="68"/>
      <c r="G292" s="68"/>
      <c r="H292" s="64" t="e">
        <f t="shared" si="12"/>
        <v>#N/A</v>
      </c>
      <c r="I292" s="68"/>
      <c r="J292" s="65">
        <f t="shared" si="14"/>
        <v>289</v>
      </c>
      <c r="K292" s="65">
        <f>工程基本資料!$B$7-$J292+$L292+$M292</f>
        <v>-289</v>
      </c>
      <c r="L292" s="66"/>
      <c r="M292" s="66"/>
      <c r="N292" s="66"/>
      <c r="O292" s="70"/>
      <c r="P292" s="58">
        <f>工程基本資料!$B$8+工程基本資料!$B$7+$L292+$M292-1</f>
        <v>-1</v>
      </c>
      <c r="Q292" s="9" t="e">
        <v>#N/A</v>
      </c>
    </row>
    <row r="293" spans="1:17" ht="63" customHeight="1" x14ac:dyDescent="0.3">
      <c r="A293" s="60"/>
      <c r="B293" s="61">
        <f t="shared" si="13"/>
        <v>290</v>
      </c>
      <c r="C293" s="62"/>
      <c r="D293" s="62"/>
      <c r="E293" s="68"/>
      <c r="F293" s="68"/>
      <c r="G293" s="68"/>
      <c r="H293" s="64" t="e">
        <f t="shared" si="12"/>
        <v>#N/A</v>
      </c>
      <c r="I293" s="68"/>
      <c r="J293" s="65">
        <f t="shared" si="14"/>
        <v>290</v>
      </c>
      <c r="K293" s="65">
        <f>工程基本資料!$B$7-$J293+$L293+$M293</f>
        <v>-290</v>
      </c>
      <c r="L293" s="66"/>
      <c r="M293" s="66"/>
      <c r="N293" s="66"/>
      <c r="O293" s="70"/>
      <c r="P293" s="58">
        <f>工程基本資料!$B$8+工程基本資料!$B$7+$L293+$M293-1</f>
        <v>-1</v>
      </c>
      <c r="Q293" s="9" t="e">
        <v>#N/A</v>
      </c>
    </row>
    <row r="294" spans="1:17" ht="63" customHeight="1" x14ac:dyDescent="0.3">
      <c r="A294" s="60"/>
      <c r="B294" s="61">
        <f t="shared" si="13"/>
        <v>291</v>
      </c>
      <c r="C294" s="62"/>
      <c r="D294" s="62"/>
      <c r="E294" s="68"/>
      <c r="F294" s="68"/>
      <c r="G294" s="68"/>
      <c r="H294" s="64" t="e">
        <f t="shared" si="12"/>
        <v>#N/A</v>
      </c>
      <c r="I294" s="68"/>
      <c r="J294" s="65">
        <f t="shared" si="14"/>
        <v>291</v>
      </c>
      <c r="K294" s="65">
        <f>工程基本資料!$B$7-$J294+$L294+$M294</f>
        <v>-291</v>
      </c>
      <c r="L294" s="66"/>
      <c r="M294" s="66"/>
      <c r="N294" s="66"/>
      <c r="O294" s="70"/>
      <c r="P294" s="58">
        <f>工程基本資料!$B$8+工程基本資料!$B$7+$L294+$M294-1</f>
        <v>-1</v>
      </c>
      <c r="Q294" s="9" t="e">
        <v>#N/A</v>
      </c>
    </row>
    <row r="295" spans="1:17" ht="63" customHeight="1" x14ac:dyDescent="0.3">
      <c r="A295" s="60"/>
      <c r="B295" s="61">
        <f t="shared" si="13"/>
        <v>292</v>
      </c>
      <c r="C295" s="62"/>
      <c r="D295" s="62"/>
      <c r="E295" s="68"/>
      <c r="F295" s="68"/>
      <c r="G295" s="68"/>
      <c r="H295" s="64" t="e">
        <f t="shared" si="12"/>
        <v>#N/A</v>
      </c>
      <c r="I295" s="68"/>
      <c r="J295" s="65">
        <f t="shared" si="14"/>
        <v>292</v>
      </c>
      <c r="K295" s="65">
        <f>工程基本資料!$B$7-$J295+$L295+$M295</f>
        <v>-292</v>
      </c>
      <c r="L295" s="66"/>
      <c r="M295" s="66"/>
      <c r="N295" s="66"/>
      <c r="O295" s="70"/>
      <c r="P295" s="58">
        <f>工程基本資料!$B$8+工程基本資料!$B$7+$L295+$M295-1</f>
        <v>-1</v>
      </c>
      <c r="Q295" s="9" t="e">
        <v>#N/A</v>
      </c>
    </row>
    <row r="296" spans="1:17" ht="63" customHeight="1" x14ac:dyDescent="0.3">
      <c r="A296" s="60"/>
      <c r="B296" s="61">
        <f t="shared" si="13"/>
        <v>293</v>
      </c>
      <c r="C296" s="62"/>
      <c r="D296" s="62"/>
      <c r="E296" s="68"/>
      <c r="F296" s="68"/>
      <c r="G296" s="68"/>
      <c r="H296" s="64" t="e">
        <f t="shared" si="12"/>
        <v>#N/A</v>
      </c>
      <c r="I296" s="68"/>
      <c r="J296" s="65">
        <f t="shared" si="14"/>
        <v>293</v>
      </c>
      <c r="K296" s="65">
        <f>工程基本資料!$B$7-$J296+$L296+$M296</f>
        <v>-293</v>
      </c>
      <c r="L296" s="66"/>
      <c r="M296" s="66"/>
      <c r="N296" s="66"/>
      <c r="O296" s="70"/>
      <c r="P296" s="58">
        <f>工程基本資料!$B$8+工程基本資料!$B$7+$L296+$M296-1</f>
        <v>-1</v>
      </c>
      <c r="Q296" s="9" t="e">
        <v>#N/A</v>
      </c>
    </row>
    <row r="297" spans="1:17" ht="63" customHeight="1" x14ac:dyDescent="0.3">
      <c r="A297" s="60"/>
      <c r="B297" s="61">
        <f t="shared" si="13"/>
        <v>294</v>
      </c>
      <c r="C297" s="62"/>
      <c r="D297" s="62"/>
      <c r="E297" s="68"/>
      <c r="F297" s="68"/>
      <c r="G297" s="68"/>
      <c r="H297" s="64" t="e">
        <f t="shared" si="12"/>
        <v>#N/A</v>
      </c>
      <c r="I297" s="68"/>
      <c r="J297" s="65">
        <f t="shared" si="14"/>
        <v>294</v>
      </c>
      <c r="K297" s="65">
        <f>工程基本資料!$B$7-$J297+$L297+$M297</f>
        <v>-294</v>
      </c>
      <c r="L297" s="66"/>
      <c r="M297" s="66"/>
      <c r="N297" s="66"/>
      <c r="O297" s="70"/>
      <c r="P297" s="58">
        <f>工程基本資料!$B$8+工程基本資料!$B$7+$L297+$M297-1</f>
        <v>-1</v>
      </c>
      <c r="Q297" s="9" t="e">
        <v>#N/A</v>
      </c>
    </row>
    <row r="298" spans="1:17" ht="63" customHeight="1" x14ac:dyDescent="0.3">
      <c r="A298" s="60"/>
      <c r="B298" s="61">
        <f t="shared" si="13"/>
        <v>295</v>
      </c>
      <c r="C298" s="62"/>
      <c r="D298" s="62"/>
      <c r="E298" s="68"/>
      <c r="F298" s="68"/>
      <c r="G298" s="68"/>
      <c r="H298" s="64" t="e">
        <f t="shared" si="12"/>
        <v>#N/A</v>
      </c>
      <c r="I298" s="68"/>
      <c r="J298" s="65">
        <f t="shared" si="14"/>
        <v>295</v>
      </c>
      <c r="K298" s="65">
        <f>工程基本資料!$B$7-$J298+$L298+$M298</f>
        <v>-295</v>
      </c>
      <c r="L298" s="66"/>
      <c r="M298" s="66"/>
      <c r="N298" s="66"/>
      <c r="O298" s="70"/>
      <c r="P298" s="58">
        <f>工程基本資料!$B$8+工程基本資料!$B$7+$L298+$M298-1</f>
        <v>-1</v>
      </c>
      <c r="Q298" s="9" t="e">
        <v>#N/A</v>
      </c>
    </row>
    <row r="299" spans="1:17" ht="63" customHeight="1" x14ac:dyDescent="0.3">
      <c r="A299" s="60"/>
      <c r="B299" s="61">
        <f t="shared" si="13"/>
        <v>296</v>
      </c>
      <c r="C299" s="62"/>
      <c r="D299" s="62"/>
      <c r="E299" s="68"/>
      <c r="F299" s="68"/>
      <c r="G299" s="68"/>
      <c r="H299" s="64" t="e">
        <f t="shared" si="12"/>
        <v>#N/A</v>
      </c>
      <c r="I299" s="68"/>
      <c r="J299" s="65">
        <f t="shared" si="14"/>
        <v>296</v>
      </c>
      <c r="K299" s="65">
        <f>工程基本資料!$B$7-$J299+$L299+$M299</f>
        <v>-296</v>
      </c>
      <c r="L299" s="66"/>
      <c r="M299" s="66"/>
      <c r="N299" s="66"/>
      <c r="O299" s="70"/>
      <c r="P299" s="58">
        <f>工程基本資料!$B$8+工程基本資料!$B$7+$L299+$M299-1</f>
        <v>-1</v>
      </c>
      <c r="Q299" s="9" t="e">
        <v>#N/A</v>
      </c>
    </row>
    <row r="300" spans="1:17" ht="63" customHeight="1" x14ac:dyDescent="0.3">
      <c r="A300" s="60"/>
      <c r="B300" s="61">
        <f t="shared" si="13"/>
        <v>297</v>
      </c>
      <c r="C300" s="62"/>
      <c r="D300" s="62"/>
      <c r="E300" s="68"/>
      <c r="F300" s="68"/>
      <c r="G300" s="68"/>
      <c r="H300" s="64" t="e">
        <f t="shared" si="12"/>
        <v>#N/A</v>
      </c>
      <c r="I300" s="68"/>
      <c r="J300" s="65">
        <f t="shared" si="14"/>
        <v>297</v>
      </c>
      <c r="K300" s="65">
        <f>工程基本資料!$B$7-$J300+$L300+$M300</f>
        <v>-297</v>
      </c>
      <c r="L300" s="66"/>
      <c r="M300" s="66"/>
      <c r="N300" s="66"/>
      <c r="O300" s="70"/>
      <c r="P300" s="58">
        <f>工程基本資料!$B$8+工程基本資料!$B$7+$L300+$M300-1</f>
        <v>-1</v>
      </c>
      <c r="Q300" s="9" t="e">
        <v>#N/A</v>
      </c>
    </row>
    <row r="301" spans="1:17" ht="63" customHeight="1" x14ac:dyDescent="0.3">
      <c r="A301" s="60"/>
      <c r="B301" s="61">
        <f t="shared" si="13"/>
        <v>298</v>
      </c>
      <c r="C301" s="62"/>
      <c r="D301" s="62"/>
      <c r="E301" s="68"/>
      <c r="F301" s="68"/>
      <c r="G301" s="68"/>
      <c r="H301" s="64" t="e">
        <f t="shared" si="12"/>
        <v>#N/A</v>
      </c>
      <c r="I301" s="68"/>
      <c r="J301" s="65">
        <f t="shared" si="14"/>
        <v>298</v>
      </c>
      <c r="K301" s="65">
        <f>工程基本資料!$B$7-$J301+$L301+$M301</f>
        <v>-298</v>
      </c>
      <c r="L301" s="66"/>
      <c r="M301" s="66"/>
      <c r="N301" s="66"/>
      <c r="O301" s="70"/>
      <c r="P301" s="58">
        <f>工程基本資料!$B$8+工程基本資料!$B$7+$L301+$M301-1</f>
        <v>-1</v>
      </c>
      <c r="Q301" s="9" t="e">
        <v>#N/A</v>
      </c>
    </row>
    <row r="302" spans="1:17" ht="63" customHeight="1" x14ac:dyDescent="0.3">
      <c r="A302" s="60"/>
      <c r="B302" s="61">
        <f t="shared" si="13"/>
        <v>299</v>
      </c>
      <c r="C302" s="62"/>
      <c r="D302" s="62"/>
      <c r="E302" s="68"/>
      <c r="F302" s="68"/>
      <c r="G302" s="68"/>
      <c r="H302" s="64" t="e">
        <f t="shared" si="12"/>
        <v>#N/A</v>
      </c>
      <c r="I302" s="68"/>
      <c r="J302" s="65">
        <f t="shared" si="14"/>
        <v>299</v>
      </c>
      <c r="K302" s="65">
        <f>工程基本資料!$B$7-$J302+$L302+$M302</f>
        <v>-299</v>
      </c>
      <c r="L302" s="66"/>
      <c r="M302" s="66"/>
      <c r="N302" s="66"/>
      <c r="O302" s="70"/>
      <c r="P302" s="58">
        <f>工程基本資料!$B$8+工程基本資料!$B$7+$L302+$M302-1</f>
        <v>-1</v>
      </c>
      <c r="Q302" s="9" t="e">
        <v>#N/A</v>
      </c>
    </row>
    <row r="303" spans="1:17" ht="63" customHeight="1" x14ac:dyDescent="0.3">
      <c r="A303" s="60"/>
      <c r="B303" s="61">
        <f t="shared" si="13"/>
        <v>300</v>
      </c>
      <c r="C303" s="62"/>
      <c r="D303" s="62"/>
      <c r="E303" s="68"/>
      <c r="F303" s="68"/>
      <c r="G303" s="68"/>
      <c r="H303" s="64" t="e">
        <f t="shared" si="12"/>
        <v>#N/A</v>
      </c>
      <c r="I303" s="68"/>
      <c r="J303" s="65">
        <f t="shared" si="14"/>
        <v>300</v>
      </c>
      <c r="K303" s="65">
        <f>工程基本資料!$B$7-$J303+$L303+$M303</f>
        <v>-300</v>
      </c>
      <c r="L303" s="66"/>
      <c r="M303" s="66"/>
      <c r="N303" s="66"/>
      <c r="O303" s="70"/>
      <c r="P303" s="58">
        <f>工程基本資料!$B$8+工程基本資料!$B$7+$L303+$M303-1</f>
        <v>-1</v>
      </c>
      <c r="Q303" s="9" t="e">
        <v>#N/A</v>
      </c>
    </row>
    <row r="304" spans="1:17" ht="63" customHeight="1" x14ac:dyDescent="0.3">
      <c r="A304" s="60"/>
      <c r="B304" s="61">
        <f t="shared" si="13"/>
        <v>301</v>
      </c>
      <c r="C304" s="62"/>
      <c r="D304" s="62"/>
      <c r="E304" s="68"/>
      <c r="F304" s="68"/>
      <c r="G304" s="68"/>
      <c r="H304" s="64" t="e">
        <f t="shared" si="12"/>
        <v>#N/A</v>
      </c>
      <c r="I304" s="68"/>
      <c r="J304" s="65">
        <f t="shared" si="14"/>
        <v>301</v>
      </c>
      <c r="K304" s="65">
        <f>工程基本資料!$B$7-$J304+$L304+$M304</f>
        <v>-301</v>
      </c>
      <c r="L304" s="66"/>
      <c r="M304" s="66"/>
      <c r="N304" s="66"/>
      <c r="O304" s="70"/>
      <c r="P304" s="58">
        <f>工程基本資料!$B$8+工程基本資料!$B$7+$L304+$M304-1</f>
        <v>-1</v>
      </c>
      <c r="Q304" s="9" t="e">
        <v>#N/A</v>
      </c>
    </row>
    <row r="305" spans="1:17" ht="63" customHeight="1" x14ac:dyDescent="0.3">
      <c r="A305" s="60"/>
      <c r="B305" s="61">
        <f t="shared" si="13"/>
        <v>302</v>
      </c>
      <c r="C305" s="62"/>
      <c r="D305" s="62"/>
      <c r="E305" s="68"/>
      <c r="F305" s="68"/>
      <c r="G305" s="68"/>
      <c r="H305" s="64" t="e">
        <f t="shared" si="12"/>
        <v>#N/A</v>
      </c>
      <c r="I305" s="68"/>
      <c r="J305" s="65">
        <f t="shared" si="14"/>
        <v>302</v>
      </c>
      <c r="K305" s="65">
        <f>工程基本資料!$B$7-$J305+$L305+$M305</f>
        <v>-302</v>
      </c>
      <c r="L305" s="66"/>
      <c r="M305" s="66"/>
      <c r="N305" s="66"/>
      <c r="O305" s="70"/>
      <c r="P305" s="58">
        <f>工程基本資料!$B$8+工程基本資料!$B$7+$L305+$M305-1</f>
        <v>-1</v>
      </c>
      <c r="Q305" s="9" t="e">
        <v>#N/A</v>
      </c>
    </row>
    <row r="306" spans="1:17" ht="63" customHeight="1" x14ac:dyDescent="0.3">
      <c r="A306" s="60"/>
      <c r="B306" s="61">
        <f t="shared" si="13"/>
        <v>303</v>
      </c>
      <c r="C306" s="62"/>
      <c r="D306" s="62"/>
      <c r="E306" s="68"/>
      <c r="F306" s="68"/>
      <c r="G306" s="68"/>
      <c r="H306" s="64" t="e">
        <f t="shared" si="12"/>
        <v>#N/A</v>
      </c>
      <c r="I306" s="68"/>
      <c r="J306" s="65">
        <f t="shared" si="14"/>
        <v>303</v>
      </c>
      <c r="K306" s="65">
        <f>工程基本資料!$B$7-$J306+$L306+$M306</f>
        <v>-303</v>
      </c>
      <c r="L306" s="66"/>
      <c r="M306" s="66"/>
      <c r="N306" s="66"/>
      <c r="O306" s="70"/>
      <c r="P306" s="58">
        <f>工程基本資料!$B$8+工程基本資料!$B$7+$L306+$M306-1</f>
        <v>-1</v>
      </c>
      <c r="Q306" s="9" t="e">
        <v>#N/A</v>
      </c>
    </row>
    <row r="307" spans="1:17" ht="63" customHeight="1" x14ac:dyDescent="0.3">
      <c r="A307" s="60"/>
      <c r="B307" s="61">
        <f t="shared" si="13"/>
        <v>304</v>
      </c>
      <c r="C307" s="62"/>
      <c r="D307" s="62"/>
      <c r="E307" s="68"/>
      <c r="F307" s="68"/>
      <c r="G307" s="68"/>
      <c r="H307" s="64" t="e">
        <f t="shared" si="12"/>
        <v>#N/A</v>
      </c>
      <c r="I307" s="68"/>
      <c r="J307" s="65">
        <f t="shared" si="14"/>
        <v>304</v>
      </c>
      <c r="K307" s="65">
        <f>工程基本資料!$B$7-$J307+$L307+$M307</f>
        <v>-304</v>
      </c>
      <c r="L307" s="66"/>
      <c r="M307" s="66"/>
      <c r="N307" s="66"/>
      <c r="O307" s="70"/>
      <c r="P307" s="58">
        <f>工程基本資料!$B$8+工程基本資料!$B$7+$L307+$M307-1</f>
        <v>-1</v>
      </c>
      <c r="Q307" s="9" t="e">
        <v>#N/A</v>
      </c>
    </row>
    <row r="308" spans="1:17" ht="63" customHeight="1" x14ac:dyDescent="0.3">
      <c r="A308" s="60"/>
      <c r="B308" s="61">
        <f t="shared" si="13"/>
        <v>305</v>
      </c>
      <c r="C308" s="62"/>
      <c r="D308" s="62"/>
      <c r="E308" s="68"/>
      <c r="F308" s="68"/>
      <c r="G308" s="68"/>
      <c r="H308" s="64" t="e">
        <f t="shared" si="12"/>
        <v>#N/A</v>
      </c>
      <c r="I308" s="68"/>
      <c r="J308" s="65">
        <f t="shared" si="14"/>
        <v>305</v>
      </c>
      <c r="K308" s="65">
        <f>工程基本資料!$B$7-$J308+$L308+$M308</f>
        <v>-305</v>
      </c>
      <c r="L308" s="66"/>
      <c r="M308" s="66"/>
      <c r="N308" s="66"/>
      <c r="O308" s="70"/>
      <c r="P308" s="58">
        <f>工程基本資料!$B$8+工程基本資料!$B$7+$L308+$M308-1</f>
        <v>-1</v>
      </c>
      <c r="Q308" s="9" t="e">
        <v>#N/A</v>
      </c>
    </row>
    <row r="309" spans="1:17" ht="63" customHeight="1" x14ac:dyDescent="0.3">
      <c r="A309" s="60"/>
      <c r="B309" s="61">
        <f t="shared" si="13"/>
        <v>306</v>
      </c>
      <c r="C309" s="62"/>
      <c r="D309" s="62"/>
      <c r="E309" s="68"/>
      <c r="F309" s="68"/>
      <c r="G309" s="68"/>
      <c r="H309" s="64" t="e">
        <f t="shared" si="12"/>
        <v>#N/A</v>
      </c>
      <c r="I309" s="68"/>
      <c r="J309" s="65">
        <f t="shared" si="14"/>
        <v>306</v>
      </c>
      <c r="K309" s="65">
        <f>工程基本資料!$B$7-$J309+$L309+$M309</f>
        <v>-306</v>
      </c>
      <c r="L309" s="66"/>
      <c r="M309" s="66"/>
      <c r="N309" s="66"/>
      <c r="O309" s="70"/>
      <c r="P309" s="58">
        <f>工程基本資料!$B$8+工程基本資料!$B$7+$L309+$M309-1</f>
        <v>-1</v>
      </c>
      <c r="Q309" s="9" t="e">
        <v>#N/A</v>
      </c>
    </row>
    <row r="310" spans="1:17" ht="63" customHeight="1" x14ac:dyDescent="0.3">
      <c r="A310" s="60"/>
      <c r="B310" s="61">
        <f t="shared" si="13"/>
        <v>307</v>
      </c>
      <c r="C310" s="62"/>
      <c r="D310" s="62"/>
      <c r="E310" s="68"/>
      <c r="F310" s="68"/>
      <c r="G310" s="68"/>
      <c r="H310" s="64" t="e">
        <f t="shared" si="12"/>
        <v>#N/A</v>
      </c>
      <c r="I310" s="68"/>
      <c r="J310" s="65">
        <f t="shared" si="14"/>
        <v>307</v>
      </c>
      <c r="K310" s="65">
        <f>工程基本資料!$B$7-$J310+$L310+$M310</f>
        <v>-307</v>
      </c>
      <c r="L310" s="66"/>
      <c r="M310" s="66"/>
      <c r="N310" s="66"/>
      <c r="O310" s="70"/>
      <c r="P310" s="58">
        <f>工程基本資料!$B$8+工程基本資料!$B$7+$L310+$M310-1</f>
        <v>-1</v>
      </c>
      <c r="Q310" s="9" t="e">
        <v>#N/A</v>
      </c>
    </row>
    <row r="311" spans="1:17" ht="63" customHeight="1" x14ac:dyDescent="0.3">
      <c r="A311" s="60"/>
      <c r="B311" s="61">
        <f t="shared" si="13"/>
        <v>308</v>
      </c>
      <c r="C311" s="62"/>
      <c r="D311" s="62"/>
      <c r="E311" s="68"/>
      <c r="F311" s="68"/>
      <c r="G311" s="68"/>
      <c r="H311" s="64" t="e">
        <f t="shared" si="12"/>
        <v>#N/A</v>
      </c>
      <c r="I311" s="68"/>
      <c r="J311" s="65">
        <f t="shared" si="14"/>
        <v>308</v>
      </c>
      <c r="K311" s="65">
        <f>工程基本資料!$B$7-$J311+$L311+$M311</f>
        <v>-308</v>
      </c>
      <c r="L311" s="66"/>
      <c r="M311" s="66"/>
      <c r="N311" s="66"/>
      <c r="O311" s="70"/>
      <c r="P311" s="58">
        <f>工程基本資料!$B$8+工程基本資料!$B$7+$L311+$M311-1</f>
        <v>-1</v>
      </c>
      <c r="Q311" s="9" t="e">
        <v>#N/A</v>
      </c>
    </row>
    <row r="312" spans="1:17" ht="63" customHeight="1" x14ac:dyDescent="0.3">
      <c r="A312" s="60"/>
      <c r="B312" s="61">
        <f t="shared" si="13"/>
        <v>309</v>
      </c>
      <c r="C312" s="62"/>
      <c r="D312" s="62"/>
      <c r="E312" s="68"/>
      <c r="F312" s="68"/>
      <c r="G312" s="68"/>
      <c r="H312" s="64" t="e">
        <f t="shared" si="12"/>
        <v>#N/A</v>
      </c>
      <c r="I312" s="68"/>
      <c r="J312" s="65">
        <f t="shared" si="14"/>
        <v>309</v>
      </c>
      <c r="K312" s="65">
        <f>工程基本資料!$B$7-$J312+$L312+$M312</f>
        <v>-309</v>
      </c>
      <c r="L312" s="66"/>
      <c r="M312" s="66"/>
      <c r="N312" s="66"/>
      <c r="O312" s="70"/>
      <c r="P312" s="58">
        <f>工程基本資料!$B$8+工程基本資料!$B$7+$L312+$M312-1</f>
        <v>-1</v>
      </c>
      <c r="Q312" s="9" t="e">
        <v>#N/A</v>
      </c>
    </row>
    <row r="313" spans="1:17" ht="63" customHeight="1" x14ac:dyDescent="0.3">
      <c r="A313" s="60"/>
      <c r="B313" s="61">
        <f t="shared" si="13"/>
        <v>310</v>
      </c>
      <c r="C313" s="62"/>
      <c r="D313" s="62"/>
      <c r="E313" s="68"/>
      <c r="F313" s="68"/>
      <c r="G313" s="68"/>
      <c r="H313" s="64" t="e">
        <f t="shared" si="12"/>
        <v>#N/A</v>
      </c>
      <c r="I313" s="68"/>
      <c r="J313" s="65">
        <f t="shared" si="14"/>
        <v>310</v>
      </c>
      <c r="K313" s="65">
        <f>工程基本資料!$B$7-$J313+$L313+$M313</f>
        <v>-310</v>
      </c>
      <c r="L313" s="66"/>
      <c r="M313" s="66"/>
      <c r="N313" s="66"/>
      <c r="O313" s="70"/>
      <c r="P313" s="58">
        <f>工程基本資料!$B$8+工程基本資料!$B$7+$L313+$M313-1</f>
        <v>-1</v>
      </c>
      <c r="Q313" s="9" t="e">
        <v>#N/A</v>
      </c>
    </row>
    <row r="314" spans="1:17" ht="63" customHeight="1" x14ac:dyDescent="0.3">
      <c r="A314" s="60"/>
      <c r="B314" s="61">
        <f t="shared" si="13"/>
        <v>311</v>
      </c>
      <c r="C314" s="62"/>
      <c r="D314" s="62"/>
      <c r="E314" s="68"/>
      <c r="F314" s="68"/>
      <c r="G314" s="68"/>
      <c r="H314" s="64" t="e">
        <f t="shared" si="12"/>
        <v>#N/A</v>
      </c>
      <c r="I314" s="68"/>
      <c r="J314" s="65">
        <f t="shared" si="14"/>
        <v>311</v>
      </c>
      <c r="K314" s="65">
        <f>工程基本資料!$B$7-$J314+$L314+$M314</f>
        <v>-311</v>
      </c>
      <c r="L314" s="66"/>
      <c r="M314" s="66"/>
      <c r="N314" s="66"/>
      <c r="O314" s="70"/>
      <c r="P314" s="58">
        <f>工程基本資料!$B$8+工程基本資料!$B$7+$L314+$M314-1</f>
        <v>-1</v>
      </c>
      <c r="Q314" s="9" t="e">
        <v>#N/A</v>
      </c>
    </row>
    <row r="315" spans="1:17" ht="63" customHeight="1" x14ac:dyDescent="0.3">
      <c r="A315" s="60"/>
      <c r="B315" s="61">
        <f t="shared" si="13"/>
        <v>312</v>
      </c>
      <c r="C315" s="62"/>
      <c r="D315" s="62"/>
      <c r="E315" s="68"/>
      <c r="F315" s="68"/>
      <c r="G315" s="68"/>
      <c r="H315" s="64" t="e">
        <f t="shared" si="12"/>
        <v>#N/A</v>
      </c>
      <c r="I315" s="68"/>
      <c r="J315" s="65">
        <f t="shared" si="14"/>
        <v>312</v>
      </c>
      <c r="K315" s="65">
        <f>工程基本資料!$B$7-$J315+$L315+$M315</f>
        <v>-312</v>
      </c>
      <c r="L315" s="66"/>
      <c r="M315" s="66"/>
      <c r="N315" s="66"/>
      <c r="O315" s="70"/>
      <c r="P315" s="58">
        <f>工程基本資料!$B$8+工程基本資料!$B$7+$L315+$M315-1</f>
        <v>-1</v>
      </c>
      <c r="Q315" s="9" t="e">
        <v>#N/A</v>
      </c>
    </row>
    <row r="316" spans="1:17" ht="63" customHeight="1" x14ac:dyDescent="0.3">
      <c r="A316" s="60"/>
      <c r="B316" s="61">
        <f t="shared" si="13"/>
        <v>313</v>
      </c>
      <c r="C316" s="62"/>
      <c r="D316" s="62"/>
      <c r="E316" s="68"/>
      <c r="F316" s="68"/>
      <c r="G316" s="68"/>
      <c r="H316" s="64" t="e">
        <f t="shared" si="12"/>
        <v>#N/A</v>
      </c>
      <c r="I316" s="68"/>
      <c r="J316" s="65">
        <f t="shared" si="14"/>
        <v>313</v>
      </c>
      <c r="K316" s="65">
        <f>工程基本資料!$B$7-$J316+$L316+$M316</f>
        <v>-313</v>
      </c>
      <c r="L316" s="66"/>
      <c r="M316" s="66"/>
      <c r="N316" s="66"/>
      <c r="O316" s="70"/>
      <c r="P316" s="58">
        <f>工程基本資料!$B$8+工程基本資料!$B$7+$L316+$M316-1</f>
        <v>-1</v>
      </c>
      <c r="Q316" s="9" t="e">
        <v>#N/A</v>
      </c>
    </row>
    <row r="317" spans="1:17" ht="63" customHeight="1" x14ac:dyDescent="0.3">
      <c r="A317" s="60"/>
      <c r="B317" s="61">
        <f t="shared" si="13"/>
        <v>314</v>
      </c>
      <c r="C317" s="62"/>
      <c r="D317" s="62"/>
      <c r="E317" s="68"/>
      <c r="F317" s="68"/>
      <c r="G317" s="68"/>
      <c r="H317" s="64" t="e">
        <f t="shared" si="12"/>
        <v>#N/A</v>
      </c>
      <c r="I317" s="68"/>
      <c r="J317" s="65">
        <f t="shared" si="14"/>
        <v>314</v>
      </c>
      <c r="K317" s="65">
        <f>工程基本資料!$B$7-$J317+$L317+$M317</f>
        <v>-314</v>
      </c>
      <c r="L317" s="66"/>
      <c r="M317" s="66"/>
      <c r="N317" s="66"/>
      <c r="O317" s="70"/>
      <c r="P317" s="58">
        <f>工程基本資料!$B$8+工程基本資料!$B$7+$L317+$M317-1</f>
        <v>-1</v>
      </c>
      <c r="Q317" s="9" t="e">
        <v>#N/A</v>
      </c>
    </row>
    <row r="318" spans="1:17" ht="63" customHeight="1" x14ac:dyDescent="0.3">
      <c r="A318" s="60"/>
      <c r="B318" s="61">
        <f t="shared" si="13"/>
        <v>315</v>
      </c>
      <c r="C318" s="62"/>
      <c r="D318" s="62"/>
      <c r="E318" s="68"/>
      <c r="F318" s="68"/>
      <c r="G318" s="68"/>
      <c r="H318" s="64" t="e">
        <f t="shared" si="12"/>
        <v>#N/A</v>
      </c>
      <c r="I318" s="68"/>
      <c r="J318" s="65">
        <f t="shared" si="14"/>
        <v>315</v>
      </c>
      <c r="K318" s="65">
        <f>工程基本資料!$B$7-$J318+$L318+$M318</f>
        <v>-315</v>
      </c>
      <c r="L318" s="66"/>
      <c r="M318" s="66"/>
      <c r="N318" s="66"/>
      <c r="O318" s="70"/>
      <c r="P318" s="58">
        <f>工程基本資料!$B$8+工程基本資料!$B$7+$L318+$M318-1</f>
        <v>-1</v>
      </c>
      <c r="Q318" s="9" t="e">
        <v>#N/A</v>
      </c>
    </row>
    <row r="319" spans="1:17" ht="63" customHeight="1" x14ac:dyDescent="0.3">
      <c r="A319" s="60"/>
      <c r="B319" s="61">
        <f t="shared" si="13"/>
        <v>316</v>
      </c>
      <c r="C319" s="62"/>
      <c r="D319" s="62"/>
      <c r="E319" s="68"/>
      <c r="F319" s="68"/>
      <c r="G319" s="68"/>
      <c r="H319" s="64" t="e">
        <f t="shared" si="12"/>
        <v>#N/A</v>
      </c>
      <c r="I319" s="68"/>
      <c r="J319" s="65">
        <f t="shared" si="14"/>
        <v>316</v>
      </c>
      <c r="K319" s="65">
        <f>工程基本資料!$B$7-$J319+$L319+$M319</f>
        <v>-316</v>
      </c>
      <c r="L319" s="66"/>
      <c r="M319" s="66"/>
      <c r="N319" s="66"/>
      <c r="O319" s="70"/>
      <c r="P319" s="58">
        <f>工程基本資料!$B$8+工程基本資料!$B$7+$L319+$M319-1</f>
        <v>-1</v>
      </c>
      <c r="Q319" s="9" t="e">
        <v>#N/A</v>
      </c>
    </row>
    <row r="320" spans="1:17" ht="63" customHeight="1" x14ac:dyDescent="0.3">
      <c r="A320" s="60"/>
      <c r="B320" s="61">
        <f t="shared" si="13"/>
        <v>317</v>
      </c>
      <c r="C320" s="62"/>
      <c r="D320" s="62"/>
      <c r="E320" s="68"/>
      <c r="F320" s="68"/>
      <c r="G320" s="68"/>
      <c r="H320" s="64" t="e">
        <f t="shared" si="12"/>
        <v>#N/A</v>
      </c>
      <c r="I320" s="68"/>
      <c r="J320" s="65">
        <f t="shared" si="14"/>
        <v>317</v>
      </c>
      <c r="K320" s="65">
        <f>工程基本資料!$B$7-$J320+$L320+$M320</f>
        <v>-317</v>
      </c>
      <c r="L320" s="66"/>
      <c r="M320" s="66"/>
      <c r="N320" s="66"/>
      <c r="O320" s="70"/>
      <c r="P320" s="58">
        <f>工程基本資料!$B$8+工程基本資料!$B$7+$L320+$M320-1</f>
        <v>-1</v>
      </c>
      <c r="Q320" s="9" t="e">
        <v>#N/A</v>
      </c>
    </row>
    <row r="321" spans="1:17" ht="63" customHeight="1" x14ac:dyDescent="0.3">
      <c r="A321" s="60"/>
      <c r="B321" s="61">
        <f t="shared" si="13"/>
        <v>318</v>
      </c>
      <c r="C321" s="62"/>
      <c r="D321" s="62"/>
      <c r="E321" s="68"/>
      <c r="F321" s="68"/>
      <c r="G321" s="68"/>
      <c r="H321" s="64" t="e">
        <f t="shared" si="12"/>
        <v>#N/A</v>
      </c>
      <c r="I321" s="68"/>
      <c r="J321" s="65">
        <f t="shared" si="14"/>
        <v>318</v>
      </c>
      <c r="K321" s="65">
        <f>工程基本資料!$B$7-$J321+$L321+$M321</f>
        <v>-318</v>
      </c>
      <c r="L321" s="66"/>
      <c r="M321" s="66"/>
      <c r="N321" s="66"/>
      <c r="O321" s="70"/>
      <c r="P321" s="58">
        <f>工程基本資料!$B$8+工程基本資料!$B$7+$L321+$M321-1</f>
        <v>-1</v>
      </c>
      <c r="Q321" s="9" t="e">
        <v>#N/A</v>
      </c>
    </row>
    <row r="322" spans="1:17" ht="63" customHeight="1" x14ac:dyDescent="0.3">
      <c r="A322" s="60"/>
      <c r="B322" s="61">
        <f t="shared" si="13"/>
        <v>319</v>
      </c>
      <c r="C322" s="62"/>
      <c r="D322" s="62"/>
      <c r="E322" s="68"/>
      <c r="F322" s="68"/>
      <c r="G322" s="68"/>
      <c r="H322" s="64" t="e">
        <f t="shared" si="12"/>
        <v>#N/A</v>
      </c>
      <c r="I322" s="68"/>
      <c r="J322" s="65">
        <f t="shared" si="14"/>
        <v>319</v>
      </c>
      <c r="K322" s="65">
        <f>工程基本資料!$B$7-$J322+$L322+$M322</f>
        <v>-319</v>
      </c>
      <c r="L322" s="66"/>
      <c r="M322" s="66"/>
      <c r="N322" s="66"/>
      <c r="O322" s="70"/>
      <c r="P322" s="58">
        <f>工程基本資料!$B$8+工程基本資料!$B$7+$L322+$M322-1</f>
        <v>-1</v>
      </c>
      <c r="Q322" s="9" t="e">
        <v>#N/A</v>
      </c>
    </row>
    <row r="323" spans="1:17" ht="63" customHeight="1" x14ac:dyDescent="0.3">
      <c r="A323" s="60"/>
      <c r="B323" s="61">
        <f t="shared" si="13"/>
        <v>320</v>
      </c>
      <c r="C323" s="62"/>
      <c r="D323" s="62"/>
      <c r="E323" s="68"/>
      <c r="F323" s="68"/>
      <c r="G323" s="68"/>
      <c r="H323" s="64" t="e">
        <f t="shared" si="12"/>
        <v>#N/A</v>
      </c>
      <c r="I323" s="68"/>
      <c r="J323" s="65">
        <f t="shared" si="14"/>
        <v>320</v>
      </c>
      <c r="K323" s="65">
        <f>工程基本資料!$B$7-$J323+$L323+$M323</f>
        <v>-320</v>
      </c>
      <c r="L323" s="66"/>
      <c r="M323" s="66"/>
      <c r="N323" s="66"/>
      <c r="O323" s="70"/>
      <c r="P323" s="58">
        <f>工程基本資料!$B$8+工程基本資料!$B$7+$L323+$M323-1</f>
        <v>-1</v>
      </c>
      <c r="Q323" s="9" t="e">
        <v>#N/A</v>
      </c>
    </row>
    <row r="324" spans="1:17" ht="63" customHeight="1" x14ac:dyDescent="0.3">
      <c r="A324" s="60"/>
      <c r="B324" s="61">
        <f t="shared" si="13"/>
        <v>321</v>
      </c>
      <c r="C324" s="62"/>
      <c r="D324" s="62"/>
      <c r="E324" s="68"/>
      <c r="F324" s="68"/>
      <c r="G324" s="68"/>
      <c r="H324" s="64" t="e">
        <f t="shared" ref="H324:H387" si="15">IF(Q324&gt;1,$R$3,$R$4)</f>
        <v>#N/A</v>
      </c>
      <c r="I324" s="68"/>
      <c r="J324" s="65">
        <f t="shared" si="14"/>
        <v>321</v>
      </c>
      <c r="K324" s="65">
        <f>工程基本資料!$B$7-$J324+$L324+$M324</f>
        <v>-321</v>
      </c>
      <c r="L324" s="66"/>
      <c r="M324" s="66"/>
      <c r="N324" s="66"/>
      <c r="O324" s="70"/>
      <c r="P324" s="58">
        <f>工程基本資料!$B$8+工程基本資料!$B$7+$L324+$M324-1</f>
        <v>-1</v>
      </c>
      <c r="Q324" s="9" t="e">
        <v>#N/A</v>
      </c>
    </row>
    <row r="325" spans="1:17" ht="63" customHeight="1" x14ac:dyDescent="0.3">
      <c r="A325" s="60"/>
      <c r="B325" s="61">
        <f t="shared" ref="B325:B388" si="16">B324+1</f>
        <v>322</v>
      </c>
      <c r="C325" s="62"/>
      <c r="D325" s="62"/>
      <c r="E325" s="68"/>
      <c r="F325" s="68"/>
      <c r="G325" s="68"/>
      <c r="H325" s="64" t="e">
        <f t="shared" si="15"/>
        <v>#N/A</v>
      </c>
      <c r="I325" s="68"/>
      <c r="J325" s="65">
        <f t="shared" ref="J325:J388" si="17">J324+1</f>
        <v>322</v>
      </c>
      <c r="K325" s="65">
        <f>工程基本資料!$B$7-$J325+$L325+$M325</f>
        <v>-322</v>
      </c>
      <c r="L325" s="66"/>
      <c r="M325" s="66"/>
      <c r="N325" s="66"/>
      <c r="O325" s="70"/>
      <c r="P325" s="58">
        <f>工程基本資料!$B$8+工程基本資料!$B$7+$L325+$M325-1</f>
        <v>-1</v>
      </c>
      <c r="Q325" s="9" t="e">
        <v>#N/A</v>
      </c>
    </row>
    <row r="326" spans="1:17" ht="63" customHeight="1" x14ac:dyDescent="0.3">
      <c r="A326" s="60"/>
      <c r="B326" s="61">
        <f t="shared" si="16"/>
        <v>323</v>
      </c>
      <c r="C326" s="62"/>
      <c r="D326" s="62"/>
      <c r="E326" s="68"/>
      <c r="F326" s="68"/>
      <c r="G326" s="68"/>
      <c r="H326" s="64" t="e">
        <f t="shared" si="15"/>
        <v>#N/A</v>
      </c>
      <c r="I326" s="68"/>
      <c r="J326" s="65">
        <f t="shared" si="17"/>
        <v>323</v>
      </c>
      <c r="K326" s="65">
        <f>工程基本資料!$B$7-$J326+$L326+$M326</f>
        <v>-323</v>
      </c>
      <c r="L326" s="66"/>
      <c r="M326" s="66"/>
      <c r="N326" s="66"/>
      <c r="O326" s="70"/>
      <c r="P326" s="58">
        <f>工程基本資料!$B$8+工程基本資料!$B$7+$L326+$M326-1</f>
        <v>-1</v>
      </c>
      <c r="Q326" s="9" t="e">
        <v>#N/A</v>
      </c>
    </row>
    <row r="327" spans="1:17" ht="63" customHeight="1" x14ac:dyDescent="0.3">
      <c r="A327" s="60"/>
      <c r="B327" s="61">
        <f t="shared" si="16"/>
        <v>324</v>
      </c>
      <c r="C327" s="62"/>
      <c r="D327" s="62"/>
      <c r="E327" s="68"/>
      <c r="F327" s="68"/>
      <c r="G327" s="68"/>
      <c r="H327" s="64" t="e">
        <f t="shared" si="15"/>
        <v>#N/A</v>
      </c>
      <c r="I327" s="68"/>
      <c r="J327" s="65">
        <f t="shared" si="17"/>
        <v>324</v>
      </c>
      <c r="K327" s="65">
        <f>工程基本資料!$B$7-$J327+$L327+$M327</f>
        <v>-324</v>
      </c>
      <c r="L327" s="66"/>
      <c r="M327" s="66"/>
      <c r="N327" s="66"/>
      <c r="O327" s="70"/>
      <c r="P327" s="58">
        <f>工程基本資料!$B$8+工程基本資料!$B$7+$L327+$M327-1</f>
        <v>-1</v>
      </c>
      <c r="Q327" s="9" t="e">
        <v>#N/A</v>
      </c>
    </row>
    <row r="328" spans="1:17" ht="63" customHeight="1" x14ac:dyDescent="0.3">
      <c r="A328" s="60"/>
      <c r="B328" s="61">
        <f t="shared" si="16"/>
        <v>325</v>
      </c>
      <c r="C328" s="62"/>
      <c r="D328" s="62"/>
      <c r="E328" s="68"/>
      <c r="F328" s="68"/>
      <c r="G328" s="68"/>
      <c r="H328" s="64" t="e">
        <f t="shared" si="15"/>
        <v>#N/A</v>
      </c>
      <c r="I328" s="68"/>
      <c r="J328" s="65">
        <f t="shared" si="17"/>
        <v>325</v>
      </c>
      <c r="K328" s="65">
        <f>工程基本資料!$B$7-$J328+$L328+$M328</f>
        <v>-325</v>
      </c>
      <c r="L328" s="66"/>
      <c r="M328" s="66"/>
      <c r="N328" s="66"/>
      <c r="O328" s="70"/>
      <c r="P328" s="58">
        <f>工程基本資料!$B$8+工程基本資料!$B$7+$L328+$M328-1</f>
        <v>-1</v>
      </c>
      <c r="Q328" s="9" t="e">
        <v>#N/A</v>
      </c>
    </row>
    <row r="329" spans="1:17" ht="63" customHeight="1" x14ac:dyDescent="0.3">
      <c r="A329" s="60"/>
      <c r="B329" s="61">
        <f t="shared" si="16"/>
        <v>326</v>
      </c>
      <c r="C329" s="62"/>
      <c r="D329" s="62"/>
      <c r="E329" s="68"/>
      <c r="F329" s="68"/>
      <c r="G329" s="68"/>
      <c r="H329" s="64" t="e">
        <f t="shared" si="15"/>
        <v>#N/A</v>
      </c>
      <c r="I329" s="68"/>
      <c r="J329" s="65">
        <f t="shared" si="17"/>
        <v>326</v>
      </c>
      <c r="K329" s="65">
        <f>工程基本資料!$B$7-$J329+$L329+$M329</f>
        <v>-326</v>
      </c>
      <c r="L329" s="66"/>
      <c r="M329" s="66"/>
      <c r="N329" s="66"/>
      <c r="O329" s="70"/>
      <c r="P329" s="58">
        <f>工程基本資料!$B$8+工程基本資料!$B$7+$L329+$M329-1</f>
        <v>-1</v>
      </c>
      <c r="Q329" s="9" t="e">
        <v>#N/A</v>
      </c>
    </row>
    <row r="330" spans="1:17" ht="63" customHeight="1" x14ac:dyDescent="0.3">
      <c r="A330" s="60"/>
      <c r="B330" s="61">
        <f t="shared" si="16"/>
        <v>327</v>
      </c>
      <c r="C330" s="62"/>
      <c r="D330" s="62"/>
      <c r="E330" s="68"/>
      <c r="F330" s="68"/>
      <c r="G330" s="68"/>
      <c r="H330" s="64" t="e">
        <f t="shared" si="15"/>
        <v>#N/A</v>
      </c>
      <c r="I330" s="68"/>
      <c r="J330" s="65">
        <f t="shared" si="17"/>
        <v>327</v>
      </c>
      <c r="K330" s="65">
        <f>工程基本資料!$B$7-$J330+$L330+$M330</f>
        <v>-327</v>
      </c>
      <c r="L330" s="66"/>
      <c r="M330" s="66"/>
      <c r="N330" s="66"/>
      <c r="O330" s="70"/>
      <c r="P330" s="58">
        <f>工程基本資料!$B$8+工程基本資料!$B$7+$L330+$M330-1</f>
        <v>-1</v>
      </c>
      <c r="Q330" s="9" t="e">
        <v>#N/A</v>
      </c>
    </row>
    <row r="331" spans="1:17" ht="63" customHeight="1" x14ac:dyDescent="0.3">
      <c r="A331" s="60"/>
      <c r="B331" s="61">
        <f t="shared" si="16"/>
        <v>328</v>
      </c>
      <c r="C331" s="62"/>
      <c r="D331" s="62"/>
      <c r="E331" s="68"/>
      <c r="F331" s="68"/>
      <c r="G331" s="68"/>
      <c r="H331" s="64" t="e">
        <f t="shared" si="15"/>
        <v>#N/A</v>
      </c>
      <c r="I331" s="68"/>
      <c r="J331" s="65">
        <f t="shared" si="17"/>
        <v>328</v>
      </c>
      <c r="K331" s="65">
        <f>工程基本資料!$B$7-$J331+$L331+$M331</f>
        <v>-328</v>
      </c>
      <c r="L331" s="66"/>
      <c r="M331" s="66"/>
      <c r="N331" s="66"/>
      <c r="O331" s="70"/>
      <c r="P331" s="58">
        <f>工程基本資料!$B$8+工程基本資料!$B$7+$L331+$M331-1</f>
        <v>-1</v>
      </c>
      <c r="Q331" s="9" t="e">
        <v>#N/A</v>
      </c>
    </row>
    <row r="332" spans="1:17" ht="63" customHeight="1" x14ac:dyDescent="0.3">
      <c r="A332" s="60"/>
      <c r="B332" s="61">
        <f t="shared" si="16"/>
        <v>329</v>
      </c>
      <c r="C332" s="62"/>
      <c r="D332" s="62"/>
      <c r="E332" s="68"/>
      <c r="F332" s="68"/>
      <c r="G332" s="68"/>
      <c r="H332" s="64" t="e">
        <f t="shared" si="15"/>
        <v>#N/A</v>
      </c>
      <c r="I332" s="68"/>
      <c r="J332" s="65">
        <f t="shared" si="17"/>
        <v>329</v>
      </c>
      <c r="K332" s="65">
        <f>工程基本資料!$B$7-$J332+$L332+$M332</f>
        <v>-329</v>
      </c>
      <c r="L332" s="66"/>
      <c r="M332" s="66"/>
      <c r="N332" s="66"/>
      <c r="O332" s="70"/>
      <c r="P332" s="58">
        <f>工程基本資料!$B$8+工程基本資料!$B$7+$L332+$M332-1</f>
        <v>-1</v>
      </c>
      <c r="Q332" s="9" t="e">
        <v>#N/A</v>
      </c>
    </row>
    <row r="333" spans="1:17" ht="63" customHeight="1" x14ac:dyDescent="0.3">
      <c r="A333" s="60"/>
      <c r="B333" s="61">
        <f t="shared" si="16"/>
        <v>330</v>
      </c>
      <c r="C333" s="62"/>
      <c r="D333" s="62"/>
      <c r="E333" s="68"/>
      <c r="F333" s="68"/>
      <c r="G333" s="68"/>
      <c r="H333" s="64" t="e">
        <f t="shared" si="15"/>
        <v>#N/A</v>
      </c>
      <c r="I333" s="68"/>
      <c r="J333" s="65">
        <f t="shared" si="17"/>
        <v>330</v>
      </c>
      <c r="K333" s="65">
        <f>工程基本資料!$B$7-$J333+$L333+$M333</f>
        <v>-330</v>
      </c>
      <c r="L333" s="66"/>
      <c r="M333" s="66"/>
      <c r="N333" s="66"/>
      <c r="O333" s="70"/>
      <c r="P333" s="58">
        <f>工程基本資料!$B$8+工程基本資料!$B$7+$L333+$M333-1</f>
        <v>-1</v>
      </c>
      <c r="Q333" s="9" t="e">
        <v>#N/A</v>
      </c>
    </row>
    <row r="334" spans="1:17" ht="63" customHeight="1" x14ac:dyDescent="0.3">
      <c r="A334" s="60"/>
      <c r="B334" s="61">
        <f t="shared" si="16"/>
        <v>331</v>
      </c>
      <c r="C334" s="62"/>
      <c r="D334" s="62"/>
      <c r="E334" s="68"/>
      <c r="F334" s="68"/>
      <c r="G334" s="68"/>
      <c r="H334" s="64" t="e">
        <f t="shared" si="15"/>
        <v>#N/A</v>
      </c>
      <c r="I334" s="68"/>
      <c r="J334" s="65">
        <f t="shared" si="17"/>
        <v>331</v>
      </c>
      <c r="K334" s="65">
        <f>工程基本資料!$B$7-$J334+$L334+$M334</f>
        <v>-331</v>
      </c>
      <c r="L334" s="66"/>
      <c r="M334" s="66"/>
      <c r="N334" s="66"/>
      <c r="O334" s="70"/>
      <c r="P334" s="58">
        <f>工程基本資料!$B$8+工程基本資料!$B$7+$L334+$M334-1</f>
        <v>-1</v>
      </c>
      <c r="Q334" s="9" t="e">
        <v>#N/A</v>
      </c>
    </row>
    <row r="335" spans="1:17" ht="63" customHeight="1" x14ac:dyDescent="0.3">
      <c r="A335" s="60"/>
      <c r="B335" s="61">
        <f t="shared" si="16"/>
        <v>332</v>
      </c>
      <c r="C335" s="62"/>
      <c r="D335" s="62"/>
      <c r="E335" s="68"/>
      <c r="F335" s="68"/>
      <c r="G335" s="68"/>
      <c r="H335" s="64" t="e">
        <f t="shared" si="15"/>
        <v>#N/A</v>
      </c>
      <c r="I335" s="68"/>
      <c r="J335" s="65">
        <f t="shared" si="17"/>
        <v>332</v>
      </c>
      <c r="K335" s="65">
        <f>工程基本資料!$B$7-$J335+$L335+$M335</f>
        <v>-332</v>
      </c>
      <c r="L335" s="66"/>
      <c r="M335" s="66"/>
      <c r="N335" s="66"/>
      <c r="O335" s="70"/>
      <c r="P335" s="58">
        <f>工程基本資料!$B$8+工程基本資料!$B$7+$L335+$M335-1</f>
        <v>-1</v>
      </c>
      <c r="Q335" s="9" t="e">
        <v>#N/A</v>
      </c>
    </row>
    <row r="336" spans="1:17" ht="63" customHeight="1" x14ac:dyDescent="0.3">
      <c r="A336" s="60"/>
      <c r="B336" s="61">
        <f t="shared" si="16"/>
        <v>333</v>
      </c>
      <c r="C336" s="62"/>
      <c r="D336" s="62"/>
      <c r="E336" s="68"/>
      <c r="F336" s="68"/>
      <c r="G336" s="68"/>
      <c r="H336" s="64" t="e">
        <f t="shared" si="15"/>
        <v>#N/A</v>
      </c>
      <c r="I336" s="68"/>
      <c r="J336" s="65">
        <f t="shared" si="17"/>
        <v>333</v>
      </c>
      <c r="K336" s="65">
        <f>工程基本資料!$B$7-$J336+$L336+$M336</f>
        <v>-333</v>
      </c>
      <c r="L336" s="66"/>
      <c r="M336" s="66"/>
      <c r="N336" s="66"/>
      <c r="O336" s="70"/>
      <c r="P336" s="58">
        <f>工程基本資料!$B$8+工程基本資料!$B$7+$L336+$M336-1</f>
        <v>-1</v>
      </c>
      <c r="Q336" s="9" t="e">
        <v>#N/A</v>
      </c>
    </row>
    <row r="337" spans="1:17" ht="63" customHeight="1" x14ac:dyDescent="0.3">
      <c r="A337" s="60"/>
      <c r="B337" s="61">
        <f t="shared" si="16"/>
        <v>334</v>
      </c>
      <c r="C337" s="62"/>
      <c r="D337" s="62"/>
      <c r="E337" s="68"/>
      <c r="F337" s="68"/>
      <c r="G337" s="68"/>
      <c r="H337" s="64" t="e">
        <f t="shared" si="15"/>
        <v>#N/A</v>
      </c>
      <c r="I337" s="68"/>
      <c r="J337" s="65">
        <f t="shared" si="17"/>
        <v>334</v>
      </c>
      <c r="K337" s="65">
        <f>工程基本資料!$B$7-$J337+$L337+$M337</f>
        <v>-334</v>
      </c>
      <c r="L337" s="66"/>
      <c r="M337" s="66"/>
      <c r="N337" s="66"/>
      <c r="O337" s="70"/>
      <c r="P337" s="58">
        <f>工程基本資料!$B$8+工程基本資料!$B$7+$L337+$M337-1</f>
        <v>-1</v>
      </c>
      <c r="Q337" s="9" t="e">
        <v>#N/A</v>
      </c>
    </row>
    <row r="338" spans="1:17" ht="63" customHeight="1" x14ac:dyDescent="0.3">
      <c r="A338" s="60"/>
      <c r="B338" s="61">
        <f t="shared" si="16"/>
        <v>335</v>
      </c>
      <c r="C338" s="62"/>
      <c r="D338" s="62"/>
      <c r="E338" s="68"/>
      <c r="F338" s="68"/>
      <c r="G338" s="68"/>
      <c r="H338" s="64" t="e">
        <f t="shared" si="15"/>
        <v>#N/A</v>
      </c>
      <c r="I338" s="68"/>
      <c r="J338" s="65">
        <f t="shared" si="17"/>
        <v>335</v>
      </c>
      <c r="K338" s="65">
        <f>工程基本資料!$B$7-$J338+$L338+$M338</f>
        <v>-335</v>
      </c>
      <c r="L338" s="66"/>
      <c r="M338" s="66"/>
      <c r="N338" s="66"/>
      <c r="O338" s="70"/>
      <c r="P338" s="58">
        <f>工程基本資料!$B$8+工程基本資料!$B$7+$L338+$M338-1</f>
        <v>-1</v>
      </c>
      <c r="Q338" s="9" t="e">
        <v>#N/A</v>
      </c>
    </row>
    <row r="339" spans="1:17" ht="63" customHeight="1" x14ac:dyDescent="0.3">
      <c r="A339" s="60"/>
      <c r="B339" s="61">
        <f t="shared" si="16"/>
        <v>336</v>
      </c>
      <c r="C339" s="62"/>
      <c r="D339" s="62"/>
      <c r="E339" s="68"/>
      <c r="F339" s="68"/>
      <c r="G339" s="68"/>
      <c r="H339" s="64" t="e">
        <f t="shared" si="15"/>
        <v>#N/A</v>
      </c>
      <c r="I339" s="68"/>
      <c r="J339" s="65">
        <f t="shared" si="17"/>
        <v>336</v>
      </c>
      <c r="K339" s="65">
        <f>工程基本資料!$B$7-$J339+$L339+$M339</f>
        <v>-336</v>
      </c>
      <c r="L339" s="66"/>
      <c r="M339" s="66"/>
      <c r="N339" s="66"/>
      <c r="O339" s="70"/>
      <c r="P339" s="58">
        <f>工程基本資料!$B$8+工程基本資料!$B$7+$L339+$M339-1</f>
        <v>-1</v>
      </c>
      <c r="Q339" s="9" t="e">
        <v>#N/A</v>
      </c>
    </row>
    <row r="340" spans="1:17" ht="63" customHeight="1" x14ac:dyDescent="0.3">
      <c r="A340" s="60"/>
      <c r="B340" s="61">
        <f t="shared" si="16"/>
        <v>337</v>
      </c>
      <c r="C340" s="62"/>
      <c r="D340" s="62"/>
      <c r="E340" s="68"/>
      <c r="F340" s="68"/>
      <c r="G340" s="68"/>
      <c r="H340" s="64" t="e">
        <f t="shared" si="15"/>
        <v>#N/A</v>
      </c>
      <c r="I340" s="68"/>
      <c r="J340" s="65">
        <f t="shared" si="17"/>
        <v>337</v>
      </c>
      <c r="K340" s="65">
        <f>工程基本資料!$B$7-$J340+$L340+$M340</f>
        <v>-337</v>
      </c>
      <c r="L340" s="66"/>
      <c r="M340" s="66"/>
      <c r="N340" s="66"/>
      <c r="O340" s="70"/>
      <c r="P340" s="58">
        <f>工程基本資料!$B$8+工程基本資料!$B$7+$L340+$M340-1</f>
        <v>-1</v>
      </c>
      <c r="Q340" s="9" t="e">
        <v>#N/A</v>
      </c>
    </row>
    <row r="341" spans="1:17" ht="63" customHeight="1" x14ac:dyDescent="0.3">
      <c r="A341" s="60"/>
      <c r="B341" s="61">
        <f t="shared" si="16"/>
        <v>338</v>
      </c>
      <c r="C341" s="62"/>
      <c r="D341" s="62"/>
      <c r="E341" s="68"/>
      <c r="F341" s="68"/>
      <c r="G341" s="68"/>
      <c r="H341" s="64" t="e">
        <f t="shared" si="15"/>
        <v>#N/A</v>
      </c>
      <c r="I341" s="68"/>
      <c r="J341" s="65">
        <f t="shared" si="17"/>
        <v>338</v>
      </c>
      <c r="K341" s="65">
        <f>工程基本資料!$B$7-$J341+$L341+$M341</f>
        <v>-338</v>
      </c>
      <c r="L341" s="66"/>
      <c r="M341" s="66"/>
      <c r="N341" s="66"/>
      <c r="O341" s="70"/>
      <c r="P341" s="58">
        <f>工程基本資料!$B$8+工程基本資料!$B$7+$L341+$M341-1</f>
        <v>-1</v>
      </c>
      <c r="Q341" s="9" t="e">
        <v>#N/A</v>
      </c>
    </row>
    <row r="342" spans="1:17" ht="63" customHeight="1" x14ac:dyDescent="0.3">
      <c r="A342" s="60"/>
      <c r="B342" s="61">
        <f t="shared" si="16"/>
        <v>339</v>
      </c>
      <c r="C342" s="62"/>
      <c r="D342" s="62"/>
      <c r="E342" s="68"/>
      <c r="F342" s="68"/>
      <c r="G342" s="68"/>
      <c r="H342" s="64" t="e">
        <f t="shared" si="15"/>
        <v>#N/A</v>
      </c>
      <c r="I342" s="68"/>
      <c r="J342" s="65">
        <f t="shared" si="17"/>
        <v>339</v>
      </c>
      <c r="K342" s="65">
        <f>工程基本資料!$B$7-$J342+$L342+$M342</f>
        <v>-339</v>
      </c>
      <c r="L342" s="66"/>
      <c r="M342" s="66"/>
      <c r="N342" s="66"/>
      <c r="O342" s="70"/>
      <c r="P342" s="58">
        <f>工程基本資料!$B$8+工程基本資料!$B$7+$L342+$M342-1</f>
        <v>-1</v>
      </c>
      <c r="Q342" s="9" t="e">
        <v>#N/A</v>
      </c>
    </row>
    <row r="343" spans="1:17" ht="63" customHeight="1" x14ac:dyDescent="0.3">
      <c r="A343" s="60"/>
      <c r="B343" s="61">
        <f t="shared" si="16"/>
        <v>340</v>
      </c>
      <c r="C343" s="62"/>
      <c r="D343" s="62"/>
      <c r="E343" s="68"/>
      <c r="F343" s="68"/>
      <c r="G343" s="68"/>
      <c r="H343" s="64" t="e">
        <f t="shared" si="15"/>
        <v>#N/A</v>
      </c>
      <c r="I343" s="68"/>
      <c r="J343" s="65">
        <f t="shared" si="17"/>
        <v>340</v>
      </c>
      <c r="K343" s="65">
        <f>工程基本資料!$B$7-$J343+$L343+$M343</f>
        <v>-340</v>
      </c>
      <c r="L343" s="66"/>
      <c r="M343" s="66"/>
      <c r="N343" s="66"/>
      <c r="O343" s="70"/>
      <c r="P343" s="58">
        <f>工程基本資料!$B$8+工程基本資料!$B$7+$L343+$M343-1</f>
        <v>-1</v>
      </c>
      <c r="Q343" s="9" t="e">
        <v>#N/A</v>
      </c>
    </row>
    <row r="344" spans="1:17" ht="63" customHeight="1" x14ac:dyDescent="0.3">
      <c r="A344" s="60"/>
      <c r="B344" s="61">
        <f t="shared" si="16"/>
        <v>341</v>
      </c>
      <c r="C344" s="62"/>
      <c r="D344" s="62"/>
      <c r="E344" s="68"/>
      <c r="F344" s="68"/>
      <c r="G344" s="68"/>
      <c r="H344" s="64" t="e">
        <f t="shared" si="15"/>
        <v>#N/A</v>
      </c>
      <c r="I344" s="68"/>
      <c r="J344" s="65">
        <f t="shared" si="17"/>
        <v>341</v>
      </c>
      <c r="K344" s="65">
        <f>工程基本資料!$B$7-$J344+$L344+$M344</f>
        <v>-341</v>
      </c>
      <c r="L344" s="66"/>
      <c r="M344" s="66"/>
      <c r="N344" s="66"/>
      <c r="O344" s="70"/>
      <c r="P344" s="58">
        <f>工程基本資料!$B$8+工程基本資料!$B$7+$L344+$M344-1</f>
        <v>-1</v>
      </c>
      <c r="Q344" s="9" t="e">
        <v>#N/A</v>
      </c>
    </row>
    <row r="345" spans="1:17" ht="63" customHeight="1" x14ac:dyDescent="0.3">
      <c r="A345" s="60"/>
      <c r="B345" s="61">
        <f t="shared" si="16"/>
        <v>342</v>
      </c>
      <c r="C345" s="62"/>
      <c r="D345" s="62"/>
      <c r="E345" s="68"/>
      <c r="F345" s="68"/>
      <c r="G345" s="68"/>
      <c r="H345" s="64" t="e">
        <f t="shared" si="15"/>
        <v>#N/A</v>
      </c>
      <c r="I345" s="68"/>
      <c r="J345" s="65">
        <f t="shared" si="17"/>
        <v>342</v>
      </c>
      <c r="K345" s="65">
        <f>工程基本資料!$B$7-$J345+$L345+$M345</f>
        <v>-342</v>
      </c>
      <c r="L345" s="66"/>
      <c r="M345" s="66"/>
      <c r="N345" s="66"/>
      <c r="O345" s="70"/>
      <c r="P345" s="58">
        <f>工程基本資料!$B$8+工程基本資料!$B$7+$L345+$M345-1</f>
        <v>-1</v>
      </c>
      <c r="Q345" s="9" t="e">
        <v>#N/A</v>
      </c>
    </row>
    <row r="346" spans="1:17" ht="63" customHeight="1" x14ac:dyDescent="0.3">
      <c r="A346" s="60"/>
      <c r="B346" s="61">
        <f t="shared" si="16"/>
        <v>343</v>
      </c>
      <c r="C346" s="62"/>
      <c r="D346" s="62"/>
      <c r="E346" s="68"/>
      <c r="F346" s="68"/>
      <c r="G346" s="68"/>
      <c r="H346" s="64" t="e">
        <f t="shared" si="15"/>
        <v>#N/A</v>
      </c>
      <c r="I346" s="68"/>
      <c r="J346" s="65">
        <f t="shared" si="17"/>
        <v>343</v>
      </c>
      <c r="K346" s="65">
        <f>工程基本資料!$B$7-$J346+$L346+$M346</f>
        <v>-343</v>
      </c>
      <c r="L346" s="66"/>
      <c r="M346" s="66"/>
      <c r="N346" s="66"/>
      <c r="O346" s="70"/>
      <c r="P346" s="58">
        <f>工程基本資料!$B$8+工程基本資料!$B$7+$L346+$M346-1</f>
        <v>-1</v>
      </c>
      <c r="Q346" s="9" t="e">
        <v>#N/A</v>
      </c>
    </row>
    <row r="347" spans="1:17" ht="63" customHeight="1" x14ac:dyDescent="0.3">
      <c r="A347" s="60"/>
      <c r="B347" s="61">
        <f t="shared" si="16"/>
        <v>344</v>
      </c>
      <c r="C347" s="62"/>
      <c r="D347" s="62"/>
      <c r="E347" s="68"/>
      <c r="F347" s="68"/>
      <c r="G347" s="68"/>
      <c r="H347" s="64" t="e">
        <f t="shared" si="15"/>
        <v>#N/A</v>
      </c>
      <c r="I347" s="68"/>
      <c r="J347" s="65">
        <f t="shared" si="17"/>
        <v>344</v>
      </c>
      <c r="K347" s="65">
        <f>工程基本資料!$B$7-$J347+$L347+$M347</f>
        <v>-344</v>
      </c>
      <c r="L347" s="66"/>
      <c r="M347" s="66"/>
      <c r="N347" s="66"/>
      <c r="O347" s="70"/>
      <c r="P347" s="58">
        <f>工程基本資料!$B$8+工程基本資料!$B$7+$L347+$M347-1</f>
        <v>-1</v>
      </c>
      <c r="Q347" s="9" t="e">
        <v>#N/A</v>
      </c>
    </row>
    <row r="348" spans="1:17" ht="63" customHeight="1" x14ac:dyDescent="0.3">
      <c r="A348" s="60"/>
      <c r="B348" s="61">
        <f t="shared" si="16"/>
        <v>345</v>
      </c>
      <c r="C348" s="62"/>
      <c r="D348" s="62"/>
      <c r="E348" s="68"/>
      <c r="F348" s="68"/>
      <c r="G348" s="68"/>
      <c r="H348" s="64" t="e">
        <f t="shared" si="15"/>
        <v>#N/A</v>
      </c>
      <c r="I348" s="68"/>
      <c r="J348" s="65">
        <f t="shared" si="17"/>
        <v>345</v>
      </c>
      <c r="K348" s="65">
        <f>工程基本資料!$B$7-$J348+$L348+$M348</f>
        <v>-345</v>
      </c>
      <c r="L348" s="66"/>
      <c r="M348" s="66"/>
      <c r="N348" s="66"/>
      <c r="O348" s="70"/>
      <c r="P348" s="58">
        <f>工程基本資料!$B$8+工程基本資料!$B$7+$L348+$M348-1</f>
        <v>-1</v>
      </c>
      <c r="Q348" s="9" t="e">
        <v>#N/A</v>
      </c>
    </row>
    <row r="349" spans="1:17" ht="63" customHeight="1" x14ac:dyDescent="0.3">
      <c r="A349" s="60"/>
      <c r="B349" s="61">
        <f t="shared" si="16"/>
        <v>346</v>
      </c>
      <c r="C349" s="62"/>
      <c r="D349" s="62"/>
      <c r="E349" s="68"/>
      <c r="F349" s="68"/>
      <c r="G349" s="68"/>
      <c r="H349" s="64" t="e">
        <f t="shared" si="15"/>
        <v>#N/A</v>
      </c>
      <c r="I349" s="68"/>
      <c r="J349" s="65">
        <f t="shared" si="17"/>
        <v>346</v>
      </c>
      <c r="K349" s="65">
        <f>工程基本資料!$B$7-$J349+$L349+$M349</f>
        <v>-346</v>
      </c>
      <c r="L349" s="66"/>
      <c r="M349" s="66"/>
      <c r="N349" s="66"/>
      <c r="O349" s="70"/>
      <c r="P349" s="58">
        <f>工程基本資料!$B$8+工程基本資料!$B$7+$L349+$M349-1</f>
        <v>-1</v>
      </c>
      <c r="Q349" s="9" t="e">
        <v>#N/A</v>
      </c>
    </row>
    <row r="350" spans="1:17" ht="63" customHeight="1" x14ac:dyDescent="0.3">
      <c r="A350" s="60"/>
      <c r="B350" s="61">
        <f t="shared" si="16"/>
        <v>347</v>
      </c>
      <c r="C350" s="62"/>
      <c r="D350" s="62"/>
      <c r="E350" s="68"/>
      <c r="F350" s="68"/>
      <c r="G350" s="68"/>
      <c r="H350" s="64" t="e">
        <f t="shared" si="15"/>
        <v>#N/A</v>
      </c>
      <c r="I350" s="68"/>
      <c r="J350" s="65">
        <f t="shared" si="17"/>
        <v>347</v>
      </c>
      <c r="K350" s="65">
        <f>工程基本資料!$B$7-$J350+$L350+$M350</f>
        <v>-347</v>
      </c>
      <c r="L350" s="66"/>
      <c r="M350" s="66"/>
      <c r="N350" s="66"/>
      <c r="O350" s="70"/>
      <c r="P350" s="58">
        <f>工程基本資料!$B$8+工程基本資料!$B$7+$L350+$M350-1</f>
        <v>-1</v>
      </c>
      <c r="Q350" s="9" t="e">
        <v>#N/A</v>
      </c>
    </row>
    <row r="351" spans="1:17" ht="63" customHeight="1" x14ac:dyDescent="0.3">
      <c r="A351" s="60"/>
      <c r="B351" s="61">
        <f t="shared" si="16"/>
        <v>348</v>
      </c>
      <c r="C351" s="62"/>
      <c r="D351" s="62"/>
      <c r="E351" s="68"/>
      <c r="F351" s="68"/>
      <c r="G351" s="68"/>
      <c r="H351" s="64" t="e">
        <f t="shared" si="15"/>
        <v>#N/A</v>
      </c>
      <c r="I351" s="68"/>
      <c r="J351" s="65">
        <f t="shared" si="17"/>
        <v>348</v>
      </c>
      <c r="K351" s="65">
        <f>工程基本資料!$B$7-$J351+$L351+$M351</f>
        <v>-348</v>
      </c>
      <c r="L351" s="66"/>
      <c r="M351" s="66"/>
      <c r="N351" s="66"/>
      <c r="O351" s="70"/>
      <c r="P351" s="58">
        <f>工程基本資料!$B$8+工程基本資料!$B$7+$L351+$M351-1</f>
        <v>-1</v>
      </c>
      <c r="Q351" s="9" t="e">
        <v>#N/A</v>
      </c>
    </row>
    <row r="352" spans="1:17" ht="63" customHeight="1" x14ac:dyDescent="0.3">
      <c r="A352" s="60"/>
      <c r="B352" s="61">
        <f t="shared" si="16"/>
        <v>349</v>
      </c>
      <c r="C352" s="62"/>
      <c r="D352" s="62"/>
      <c r="E352" s="68"/>
      <c r="F352" s="68"/>
      <c r="G352" s="68"/>
      <c r="H352" s="64" t="e">
        <f t="shared" si="15"/>
        <v>#N/A</v>
      </c>
      <c r="I352" s="68"/>
      <c r="J352" s="65">
        <f t="shared" si="17"/>
        <v>349</v>
      </c>
      <c r="K352" s="65">
        <f>工程基本資料!$B$7-$J352+$L352+$M352</f>
        <v>-349</v>
      </c>
      <c r="L352" s="66"/>
      <c r="M352" s="66"/>
      <c r="N352" s="66"/>
      <c r="O352" s="70"/>
      <c r="P352" s="58">
        <f>工程基本資料!$B$8+工程基本資料!$B$7+$L352+$M352-1</f>
        <v>-1</v>
      </c>
      <c r="Q352" s="9" t="e">
        <v>#N/A</v>
      </c>
    </row>
    <row r="353" spans="1:17" ht="63" customHeight="1" x14ac:dyDescent="0.3">
      <c r="A353" s="60"/>
      <c r="B353" s="61">
        <f t="shared" si="16"/>
        <v>350</v>
      </c>
      <c r="C353" s="62"/>
      <c r="D353" s="62"/>
      <c r="E353" s="68"/>
      <c r="F353" s="68"/>
      <c r="G353" s="68"/>
      <c r="H353" s="64" t="e">
        <f t="shared" si="15"/>
        <v>#N/A</v>
      </c>
      <c r="I353" s="68"/>
      <c r="J353" s="65">
        <f t="shared" si="17"/>
        <v>350</v>
      </c>
      <c r="K353" s="65">
        <f>工程基本資料!$B$7-$J353+$L353+$M353</f>
        <v>-350</v>
      </c>
      <c r="L353" s="66"/>
      <c r="M353" s="66"/>
      <c r="N353" s="66"/>
      <c r="O353" s="70"/>
      <c r="P353" s="58">
        <f>工程基本資料!$B$8+工程基本資料!$B$7+$L353+$M353-1</f>
        <v>-1</v>
      </c>
      <c r="Q353" s="9" t="e">
        <v>#N/A</v>
      </c>
    </row>
    <row r="354" spans="1:17" ht="63" customHeight="1" x14ac:dyDescent="0.3">
      <c r="A354" s="60"/>
      <c r="B354" s="61">
        <f t="shared" si="16"/>
        <v>351</v>
      </c>
      <c r="C354" s="62"/>
      <c r="D354" s="62"/>
      <c r="E354" s="68"/>
      <c r="F354" s="68"/>
      <c r="G354" s="68"/>
      <c r="H354" s="64" t="e">
        <f t="shared" si="15"/>
        <v>#N/A</v>
      </c>
      <c r="I354" s="68"/>
      <c r="J354" s="65">
        <f t="shared" si="17"/>
        <v>351</v>
      </c>
      <c r="K354" s="65">
        <f>工程基本資料!$B$7-$J354+$L354+$M354</f>
        <v>-351</v>
      </c>
      <c r="L354" s="66"/>
      <c r="M354" s="66"/>
      <c r="N354" s="66"/>
      <c r="O354" s="70"/>
      <c r="P354" s="58">
        <f>工程基本資料!$B$8+工程基本資料!$B$7+$L354+$M354-1</f>
        <v>-1</v>
      </c>
      <c r="Q354" s="9" t="e">
        <v>#N/A</v>
      </c>
    </row>
    <row r="355" spans="1:17" ht="63" customHeight="1" x14ac:dyDescent="0.3">
      <c r="A355" s="60"/>
      <c r="B355" s="61">
        <f t="shared" si="16"/>
        <v>352</v>
      </c>
      <c r="C355" s="62"/>
      <c r="D355" s="62"/>
      <c r="E355" s="68"/>
      <c r="F355" s="68"/>
      <c r="G355" s="68"/>
      <c r="H355" s="64" t="e">
        <f t="shared" si="15"/>
        <v>#N/A</v>
      </c>
      <c r="I355" s="68"/>
      <c r="J355" s="65">
        <f t="shared" si="17"/>
        <v>352</v>
      </c>
      <c r="K355" s="65">
        <f>工程基本資料!$B$7-$J355+$L355+$M355</f>
        <v>-352</v>
      </c>
      <c r="L355" s="66"/>
      <c r="M355" s="66"/>
      <c r="N355" s="66"/>
      <c r="O355" s="70"/>
      <c r="P355" s="58">
        <f>工程基本資料!$B$8+工程基本資料!$B$7+$L355+$M355-1</f>
        <v>-1</v>
      </c>
      <c r="Q355" s="9" t="e">
        <v>#N/A</v>
      </c>
    </row>
    <row r="356" spans="1:17" ht="63" customHeight="1" x14ac:dyDescent="0.3">
      <c r="A356" s="60"/>
      <c r="B356" s="61">
        <f t="shared" si="16"/>
        <v>353</v>
      </c>
      <c r="C356" s="62"/>
      <c r="D356" s="62"/>
      <c r="E356" s="68"/>
      <c r="F356" s="68"/>
      <c r="G356" s="68"/>
      <c r="H356" s="64" t="e">
        <f t="shared" si="15"/>
        <v>#N/A</v>
      </c>
      <c r="I356" s="68"/>
      <c r="J356" s="65">
        <f t="shared" si="17"/>
        <v>353</v>
      </c>
      <c r="K356" s="65">
        <f>工程基本資料!$B$7-$J356+$L356+$M356</f>
        <v>-353</v>
      </c>
      <c r="L356" s="66"/>
      <c r="M356" s="66"/>
      <c r="N356" s="66"/>
      <c r="O356" s="70"/>
      <c r="P356" s="58">
        <f>工程基本資料!$B$8+工程基本資料!$B$7+$L356+$M356-1</f>
        <v>-1</v>
      </c>
      <c r="Q356" s="9" t="e">
        <v>#N/A</v>
      </c>
    </row>
    <row r="357" spans="1:17" ht="63" customHeight="1" x14ac:dyDescent="0.3">
      <c r="A357" s="60"/>
      <c r="B357" s="61">
        <f t="shared" si="16"/>
        <v>354</v>
      </c>
      <c r="C357" s="62"/>
      <c r="D357" s="62"/>
      <c r="E357" s="68"/>
      <c r="F357" s="68"/>
      <c r="G357" s="68"/>
      <c r="H357" s="64" t="e">
        <f t="shared" si="15"/>
        <v>#N/A</v>
      </c>
      <c r="I357" s="68"/>
      <c r="J357" s="65">
        <f t="shared" si="17"/>
        <v>354</v>
      </c>
      <c r="K357" s="65">
        <f>工程基本資料!$B$7-$J357+$L357+$M357</f>
        <v>-354</v>
      </c>
      <c r="L357" s="66"/>
      <c r="M357" s="66"/>
      <c r="N357" s="66"/>
      <c r="O357" s="70"/>
      <c r="P357" s="58">
        <f>工程基本資料!$B$8+工程基本資料!$B$7+$L357+$M357-1</f>
        <v>-1</v>
      </c>
      <c r="Q357" s="9" t="e">
        <v>#N/A</v>
      </c>
    </row>
    <row r="358" spans="1:17" ht="63" customHeight="1" x14ac:dyDescent="0.3">
      <c r="A358" s="60"/>
      <c r="B358" s="61">
        <f t="shared" si="16"/>
        <v>355</v>
      </c>
      <c r="C358" s="62"/>
      <c r="D358" s="62"/>
      <c r="E358" s="68"/>
      <c r="F358" s="68"/>
      <c r="G358" s="68"/>
      <c r="H358" s="64" t="e">
        <f t="shared" si="15"/>
        <v>#N/A</v>
      </c>
      <c r="I358" s="68"/>
      <c r="J358" s="65">
        <f t="shared" si="17"/>
        <v>355</v>
      </c>
      <c r="K358" s="65">
        <f>工程基本資料!$B$7-$J358+$L358+$M358</f>
        <v>-355</v>
      </c>
      <c r="L358" s="66"/>
      <c r="M358" s="66"/>
      <c r="N358" s="66"/>
      <c r="O358" s="70"/>
      <c r="P358" s="58">
        <f>工程基本資料!$B$8+工程基本資料!$B$7+$L358+$M358-1</f>
        <v>-1</v>
      </c>
      <c r="Q358" s="9" t="e">
        <v>#N/A</v>
      </c>
    </row>
    <row r="359" spans="1:17" ht="63" customHeight="1" x14ac:dyDescent="0.3">
      <c r="A359" s="60"/>
      <c r="B359" s="61">
        <f t="shared" si="16"/>
        <v>356</v>
      </c>
      <c r="C359" s="62"/>
      <c r="D359" s="62"/>
      <c r="E359" s="68"/>
      <c r="F359" s="68"/>
      <c r="G359" s="68"/>
      <c r="H359" s="64" t="e">
        <f t="shared" si="15"/>
        <v>#N/A</v>
      </c>
      <c r="I359" s="68"/>
      <c r="J359" s="65">
        <f t="shared" si="17"/>
        <v>356</v>
      </c>
      <c r="K359" s="65">
        <f>工程基本資料!$B$7-$J359+$L359+$M359</f>
        <v>-356</v>
      </c>
      <c r="L359" s="66"/>
      <c r="M359" s="66"/>
      <c r="N359" s="66"/>
      <c r="O359" s="70"/>
      <c r="P359" s="58">
        <f>工程基本資料!$B$8+工程基本資料!$B$7+$L359+$M359-1</f>
        <v>-1</v>
      </c>
      <c r="Q359" s="9" t="e">
        <v>#N/A</v>
      </c>
    </row>
    <row r="360" spans="1:17" ht="63" customHeight="1" x14ac:dyDescent="0.3">
      <c r="A360" s="60"/>
      <c r="B360" s="61">
        <f t="shared" si="16"/>
        <v>357</v>
      </c>
      <c r="C360" s="62"/>
      <c r="D360" s="62"/>
      <c r="E360" s="68"/>
      <c r="F360" s="68"/>
      <c r="G360" s="68"/>
      <c r="H360" s="64" t="e">
        <f t="shared" si="15"/>
        <v>#N/A</v>
      </c>
      <c r="I360" s="68"/>
      <c r="J360" s="65">
        <f t="shared" si="17"/>
        <v>357</v>
      </c>
      <c r="K360" s="65">
        <f>工程基本資料!$B$7-$J360+$L360+$M360</f>
        <v>-357</v>
      </c>
      <c r="L360" s="66"/>
      <c r="M360" s="66"/>
      <c r="N360" s="66"/>
      <c r="O360" s="70"/>
      <c r="P360" s="58">
        <f>工程基本資料!$B$8+工程基本資料!$B$7+$L360+$M360-1</f>
        <v>-1</v>
      </c>
      <c r="Q360" s="9" t="e">
        <v>#N/A</v>
      </c>
    </row>
    <row r="361" spans="1:17" ht="63" customHeight="1" x14ac:dyDescent="0.3">
      <c r="A361" s="60"/>
      <c r="B361" s="61">
        <f t="shared" si="16"/>
        <v>358</v>
      </c>
      <c r="C361" s="62"/>
      <c r="D361" s="62"/>
      <c r="E361" s="68"/>
      <c r="F361" s="68"/>
      <c r="G361" s="68"/>
      <c r="H361" s="64" t="e">
        <f t="shared" si="15"/>
        <v>#N/A</v>
      </c>
      <c r="I361" s="68"/>
      <c r="J361" s="65">
        <f t="shared" si="17"/>
        <v>358</v>
      </c>
      <c r="K361" s="65">
        <f>工程基本資料!$B$7-$J361+$L361+$M361</f>
        <v>-358</v>
      </c>
      <c r="L361" s="66"/>
      <c r="M361" s="66"/>
      <c r="N361" s="66"/>
      <c r="O361" s="70"/>
      <c r="P361" s="58">
        <f>工程基本資料!$B$8+工程基本資料!$B$7+$L361+$M361-1</f>
        <v>-1</v>
      </c>
      <c r="Q361" s="9" t="e">
        <v>#N/A</v>
      </c>
    </row>
    <row r="362" spans="1:17" ht="63" customHeight="1" x14ac:dyDescent="0.3">
      <c r="A362" s="60"/>
      <c r="B362" s="61">
        <f t="shared" si="16"/>
        <v>359</v>
      </c>
      <c r="C362" s="62"/>
      <c r="D362" s="62"/>
      <c r="E362" s="68"/>
      <c r="F362" s="68"/>
      <c r="G362" s="68"/>
      <c r="H362" s="64" t="e">
        <f t="shared" si="15"/>
        <v>#N/A</v>
      </c>
      <c r="I362" s="68"/>
      <c r="J362" s="65">
        <f t="shared" si="17"/>
        <v>359</v>
      </c>
      <c r="K362" s="65">
        <f>工程基本資料!$B$7-$J362+$L362+$M362</f>
        <v>-359</v>
      </c>
      <c r="L362" s="66"/>
      <c r="M362" s="66"/>
      <c r="N362" s="66"/>
      <c r="O362" s="70"/>
      <c r="P362" s="58">
        <f>工程基本資料!$B$8+工程基本資料!$B$7+$L362+$M362-1</f>
        <v>-1</v>
      </c>
      <c r="Q362" s="9" t="e">
        <v>#N/A</v>
      </c>
    </row>
    <row r="363" spans="1:17" ht="63" customHeight="1" x14ac:dyDescent="0.3">
      <c r="A363" s="60"/>
      <c r="B363" s="61">
        <f t="shared" si="16"/>
        <v>360</v>
      </c>
      <c r="C363" s="62"/>
      <c r="D363" s="62"/>
      <c r="E363" s="68"/>
      <c r="F363" s="68"/>
      <c r="G363" s="68"/>
      <c r="H363" s="64" t="e">
        <f t="shared" si="15"/>
        <v>#N/A</v>
      </c>
      <c r="I363" s="68"/>
      <c r="J363" s="65">
        <f t="shared" si="17"/>
        <v>360</v>
      </c>
      <c r="K363" s="65">
        <f>工程基本資料!$B$7-$J363+$L363+$M363</f>
        <v>-360</v>
      </c>
      <c r="L363" s="66"/>
      <c r="M363" s="66"/>
      <c r="N363" s="66"/>
      <c r="O363" s="70"/>
      <c r="P363" s="58">
        <f>工程基本資料!$B$8+工程基本資料!$B$7+$L363+$M363-1</f>
        <v>-1</v>
      </c>
      <c r="Q363" s="9" t="e">
        <v>#N/A</v>
      </c>
    </row>
    <row r="364" spans="1:17" ht="63" customHeight="1" x14ac:dyDescent="0.3">
      <c r="A364" s="60"/>
      <c r="B364" s="61">
        <f t="shared" si="16"/>
        <v>361</v>
      </c>
      <c r="C364" s="62"/>
      <c r="D364" s="62"/>
      <c r="E364" s="68"/>
      <c r="F364" s="68"/>
      <c r="G364" s="68"/>
      <c r="H364" s="64" t="e">
        <f t="shared" si="15"/>
        <v>#N/A</v>
      </c>
      <c r="I364" s="68"/>
      <c r="J364" s="65">
        <f t="shared" si="17"/>
        <v>361</v>
      </c>
      <c r="K364" s="65">
        <f>工程基本資料!$B$7-$J364+$L364+$M364</f>
        <v>-361</v>
      </c>
      <c r="L364" s="66"/>
      <c r="M364" s="66"/>
      <c r="N364" s="66"/>
      <c r="O364" s="70"/>
      <c r="P364" s="58">
        <f>工程基本資料!$B$8+工程基本資料!$B$7+$L364+$M364-1</f>
        <v>-1</v>
      </c>
      <c r="Q364" s="9" t="e">
        <v>#N/A</v>
      </c>
    </row>
    <row r="365" spans="1:17" ht="63" customHeight="1" x14ac:dyDescent="0.3">
      <c r="A365" s="60"/>
      <c r="B365" s="61">
        <f t="shared" si="16"/>
        <v>362</v>
      </c>
      <c r="C365" s="62"/>
      <c r="D365" s="62"/>
      <c r="E365" s="68"/>
      <c r="F365" s="68"/>
      <c r="G365" s="68"/>
      <c r="H365" s="64" t="e">
        <f t="shared" si="15"/>
        <v>#N/A</v>
      </c>
      <c r="I365" s="68"/>
      <c r="J365" s="65">
        <f t="shared" si="17"/>
        <v>362</v>
      </c>
      <c r="K365" s="65">
        <f>工程基本資料!$B$7-$J365+$L365+$M365</f>
        <v>-362</v>
      </c>
      <c r="L365" s="66"/>
      <c r="M365" s="66"/>
      <c r="N365" s="66"/>
      <c r="O365" s="70"/>
      <c r="P365" s="58">
        <f>工程基本資料!$B$8+工程基本資料!$B$7+$L365+$M365-1</f>
        <v>-1</v>
      </c>
      <c r="Q365" s="9" t="e">
        <v>#N/A</v>
      </c>
    </row>
    <row r="366" spans="1:17" ht="63" customHeight="1" x14ac:dyDescent="0.3">
      <c r="A366" s="60"/>
      <c r="B366" s="61">
        <f t="shared" si="16"/>
        <v>363</v>
      </c>
      <c r="C366" s="62"/>
      <c r="D366" s="62"/>
      <c r="E366" s="68"/>
      <c r="F366" s="68"/>
      <c r="G366" s="68"/>
      <c r="H366" s="64" t="e">
        <f t="shared" si="15"/>
        <v>#N/A</v>
      </c>
      <c r="I366" s="68"/>
      <c r="J366" s="65">
        <f t="shared" si="17"/>
        <v>363</v>
      </c>
      <c r="K366" s="65">
        <f>工程基本資料!$B$7-$J366+$L366+$M366</f>
        <v>-363</v>
      </c>
      <c r="L366" s="66"/>
      <c r="M366" s="66"/>
      <c r="N366" s="66"/>
      <c r="O366" s="70"/>
      <c r="P366" s="58">
        <f>工程基本資料!$B$8+工程基本資料!$B$7+$L366+$M366-1</f>
        <v>-1</v>
      </c>
      <c r="Q366" s="9" t="e">
        <v>#N/A</v>
      </c>
    </row>
    <row r="367" spans="1:17" ht="63" customHeight="1" x14ac:dyDescent="0.3">
      <c r="A367" s="60"/>
      <c r="B367" s="61">
        <f t="shared" si="16"/>
        <v>364</v>
      </c>
      <c r="C367" s="62"/>
      <c r="D367" s="62"/>
      <c r="E367" s="68"/>
      <c r="F367" s="68"/>
      <c r="G367" s="68"/>
      <c r="H367" s="64" t="e">
        <f t="shared" si="15"/>
        <v>#N/A</v>
      </c>
      <c r="I367" s="68"/>
      <c r="J367" s="65">
        <f t="shared" si="17"/>
        <v>364</v>
      </c>
      <c r="K367" s="65">
        <f>工程基本資料!$B$7-$J367+$L367+$M367</f>
        <v>-364</v>
      </c>
      <c r="L367" s="66"/>
      <c r="M367" s="66"/>
      <c r="N367" s="66"/>
      <c r="O367" s="70"/>
      <c r="P367" s="58">
        <f>工程基本資料!$B$8+工程基本資料!$B$7+$L367+$M367-1</f>
        <v>-1</v>
      </c>
      <c r="Q367" s="9" t="e">
        <v>#N/A</v>
      </c>
    </row>
    <row r="368" spans="1:17" ht="63" customHeight="1" x14ac:dyDescent="0.3">
      <c r="A368" s="60"/>
      <c r="B368" s="61">
        <f t="shared" si="16"/>
        <v>365</v>
      </c>
      <c r="C368" s="62"/>
      <c r="D368" s="62"/>
      <c r="E368" s="68"/>
      <c r="F368" s="68"/>
      <c r="G368" s="68"/>
      <c r="H368" s="64" t="e">
        <f t="shared" si="15"/>
        <v>#N/A</v>
      </c>
      <c r="I368" s="68"/>
      <c r="J368" s="65">
        <f t="shared" si="17"/>
        <v>365</v>
      </c>
      <c r="K368" s="65">
        <f>工程基本資料!$B$7-$J368+$L368+$M368</f>
        <v>-365</v>
      </c>
      <c r="L368" s="66"/>
      <c r="M368" s="66"/>
      <c r="N368" s="66"/>
      <c r="O368" s="70"/>
      <c r="P368" s="58">
        <f>工程基本資料!$B$8+工程基本資料!$B$7+$L368+$M368-1</f>
        <v>-1</v>
      </c>
      <c r="Q368" s="9" t="e">
        <v>#N/A</v>
      </c>
    </row>
    <row r="369" spans="1:17" ht="63" customHeight="1" x14ac:dyDescent="0.3">
      <c r="A369" s="60"/>
      <c r="B369" s="61">
        <f t="shared" si="16"/>
        <v>366</v>
      </c>
      <c r="C369" s="62"/>
      <c r="D369" s="62"/>
      <c r="E369" s="68"/>
      <c r="F369" s="68"/>
      <c r="G369" s="68"/>
      <c r="H369" s="64" t="e">
        <f t="shared" si="15"/>
        <v>#N/A</v>
      </c>
      <c r="I369" s="68"/>
      <c r="J369" s="65">
        <f t="shared" si="17"/>
        <v>366</v>
      </c>
      <c r="K369" s="65">
        <f>工程基本資料!$B$7-$J369+$L369+$M369</f>
        <v>-366</v>
      </c>
      <c r="L369" s="66"/>
      <c r="M369" s="66"/>
      <c r="N369" s="66"/>
      <c r="O369" s="70"/>
      <c r="P369" s="58">
        <f>工程基本資料!$B$8+工程基本資料!$B$7+$L369+$M369-1</f>
        <v>-1</v>
      </c>
      <c r="Q369" s="9" t="e">
        <v>#N/A</v>
      </c>
    </row>
    <row r="370" spans="1:17" ht="63" customHeight="1" x14ac:dyDescent="0.3">
      <c r="A370" s="60"/>
      <c r="B370" s="61">
        <f t="shared" si="16"/>
        <v>367</v>
      </c>
      <c r="C370" s="62"/>
      <c r="D370" s="62"/>
      <c r="E370" s="68"/>
      <c r="F370" s="68"/>
      <c r="G370" s="68"/>
      <c r="H370" s="64" t="e">
        <f t="shared" si="15"/>
        <v>#N/A</v>
      </c>
      <c r="I370" s="68"/>
      <c r="J370" s="65">
        <f t="shared" si="17"/>
        <v>367</v>
      </c>
      <c r="K370" s="65">
        <f>工程基本資料!$B$7-$J370+$L370+$M370</f>
        <v>-367</v>
      </c>
      <c r="L370" s="66"/>
      <c r="M370" s="66"/>
      <c r="N370" s="66"/>
      <c r="O370" s="70"/>
      <c r="P370" s="58">
        <f>工程基本資料!$B$8+工程基本資料!$B$7+$L370+$M370-1</f>
        <v>-1</v>
      </c>
      <c r="Q370" s="9" t="e">
        <v>#N/A</v>
      </c>
    </row>
    <row r="371" spans="1:17" ht="63" customHeight="1" x14ac:dyDescent="0.3">
      <c r="A371" s="60"/>
      <c r="B371" s="61">
        <f t="shared" si="16"/>
        <v>368</v>
      </c>
      <c r="C371" s="62"/>
      <c r="D371" s="62"/>
      <c r="E371" s="68"/>
      <c r="F371" s="68"/>
      <c r="G371" s="68"/>
      <c r="H371" s="64" t="e">
        <f t="shared" si="15"/>
        <v>#N/A</v>
      </c>
      <c r="I371" s="68"/>
      <c r="J371" s="65">
        <f t="shared" si="17"/>
        <v>368</v>
      </c>
      <c r="K371" s="65">
        <f>工程基本資料!$B$7-$J371+$L371+$M371</f>
        <v>-368</v>
      </c>
      <c r="L371" s="66"/>
      <c r="M371" s="66"/>
      <c r="N371" s="66"/>
      <c r="O371" s="70"/>
      <c r="P371" s="58">
        <f>工程基本資料!$B$8+工程基本資料!$B$7+$L371+$M371-1</f>
        <v>-1</v>
      </c>
      <c r="Q371" s="9" t="e">
        <v>#N/A</v>
      </c>
    </row>
    <row r="372" spans="1:17" ht="63" customHeight="1" x14ac:dyDescent="0.3">
      <c r="A372" s="60"/>
      <c r="B372" s="61">
        <f t="shared" si="16"/>
        <v>369</v>
      </c>
      <c r="C372" s="62"/>
      <c r="D372" s="62"/>
      <c r="E372" s="68"/>
      <c r="F372" s="68"/>
      <c r="G372" s="68"/>
      <c r="H372" s="64" t="e">
        <f t="shared" si="15"/>
        <v>#N/A</v>
      </c>
      <c r="I372" s="68"/>
      <c r="J372" s="65">
        <f t="shared" si="17"/>
        <v>369</v>
      </c>
      <c r="K372" s="65">
        <f>工程基本資料!$B$7-$J372+$L372+$M372</f>
        <v>-369</v>
      </c>
      <c r="L372" s="66"/>
      <c r="M372" s="66"/>
      <c r="N372" s="66"/>
      <c r="O372" s="70"/>
      <c r="P372" s="58">
        <f>工程基本資料!$B$8+工程基本資料!$B$7+$L372+$M372-1</f>
        <v>-1</v>
      </c>
      <c r="Q372" s="9" t="e">
        <v>#N/A</v>
      </c>
    </row>
    <row r="373" spans="1:17" ht="63" customHeight="1" x14ac:dyDescent="0.3">
      <c r="A373" s="60"/>
      <c r="B373" s="61">
        <f t="shared" si="16"/>
        <v>370</v>
      </c>
      <c r="C373" s="62"/>
      <c r="D373" s="62"/>
      <c r="E373" s="68"/>
      <c r="F373" s="68"/>
      <c r="G373" s="68"/>
      <c r="H373" s="64" t="e">
        <f t="shared" si="15"/>
        <v>#N/A</v>
      </c>
      <c r="I373" s="68"/>
      <c r="J373" s="65">
        <f t="shared" si="17"/>
        <v>370</v>
      </c>
      <c r="K373" s="65">
        <f>工程基本資料!$B$7-$J373+$L373+$M373</f>
        <v>-370</v>
      </c>
      <c r="L373" s="66"/>
      <c r="M373" s="66"/>
      <c r="N373" s="66"/>
      <c r="O373" s="70"/>
      <c r="P373" s="58">
        <f>工程基本資料!$B$8+工程基本資料!$B$7+$L373+$M373-1</f>
        <v>-1</v>
      </c>
      <c r="Q373" s="9" t="e">
        <v>#N/A</v>
      </c>
    </row>
    <row r="374" spans="1:17" ht="63" customHeight="1" x14ac:dyDescent="0.3">
      <c r="A374" s="60"/>
      <c r="B374" s="61">
        <f t="shared" si="16"/>
        <v>371</v>
      </c>
      <c r="C374" s="62"/>
      <c r="D374" s="62"/>
      <c r="E374" s="68"/>
      <c r="F374" s="68"/>
      <c r="G374" s="68"/>
      <c r="H374" s="64" t="e">
        <f t="shared" si="15"/>
        <v>#N/A</v>
      </c>
      <c r="I374" s="68"/>
      <c r="J374" s="65">
        <f t="shared" si="17"/>
        <v>371</v>
      </c>
      <c r="K374" s="65">
        <f>工程基本資料!$B$7-$J374+$L374+$M374</f>
        <v>-371</v>
      </c>
      <c r="L374" s="66"/>
      <c r="M374" s="66"/>
      <c r="N374" s="66"/>
      <c r="O374" s="70"/>
      <c r="P374" s="58">
        <f>工程基本資料!$B$8+工程基本資料!$B$7+$L374+$M374-1</f>
        <v>-1</v>
      </c>
      <c r="Q374" s="9" t="e">
        <v>#N/A</v>
      </c>
    </row>
    <row r="375" spans="1:17" ht="63" customHeight="1" x14ac:dyDescent="0.3">
      <c r="A375" s="60"/>
      <c r="B375" s="61">
        <f t="shared" si="16"/>
        <v>372</v>
      </c>
      <c r="C375" s="62"/>
      <c r="D375" s="62"/>
      <c r="E375" s="68"/>
      <c r="F375" s="68"/>
      <c r="G375" s="68"/>
      <c r="H375" s="64" t="e">
        <f t="shared" si="15"/>
        <v>#N/A</v>
      </c>
      <c r="I375" s="68"/>
      <c r="J375" s="65">
        <f t="shared" si="17"/>
        <v>372</v>
      </c>
      <c r="K375" s="65">
        <f>工程基本資料!$B$7-$J375+$L375+$M375</f>
        <v>-372</v>
      </c>
      <c r="L375" s="66"/>
      <c r="M375" s="66"/>
      <c r="N375" s="66"/>
      <c r="O375" s="70"/>
      <c r="P375" s="58">
        <f>工程基本資料!$B$8+工程基本資料!$B$7+$L375+$M375-1</f>
        <v>-1</v>
      </c>
      <c r="Q375" s="9" t="e">
        <v>#N/A</v>
      </c>
    </row>
    <row r="376" spans="1:17" ht="63" customHeight="1" x14ac:dyDescent="0.3">
      <c r="A376" s="60"/>
      <c r="B376" s="61">
        <f t="shared" si="16"/>
        <v>373</v>
      </c>
      <c r="C376" s="62"/>
      <c r="D376" s="62"/>
      <c r="E376" s="68"/>
      <c r="F376" s="68"/>
      <c r="G376" s="68"/>
      <c r="H376" s="64" t="e">
        <f t="shared" si="15"/>
        <v>#N/A</v>
      </c>
      <c r="I376" s="68"/>
      <c r="J376" s="65">
        <f t="shared" si="17"/>
        <v>373</v>
      </c>
      <c r="K376" s="65">
        <f>工程基本資料!$B$7-$J376+$L376+$M376</f>
        <v>-373</v>
      </c>
      <c r="L376" s="66"/>
      <c r="M376" s="66"/>
      <c r="N376" s="66"/>
      <c r="O376" s="70"/>
      <c r="P376" s="58">
        <f>工程基本資料!$B$8+工程基本資料!$B$7+$L376+$M376-1</f>
        <v>-1</v>
      </c>
      <c r="Q376" s="9" t="e">
        <v>#N/A</v>
      </c>
    </row>
    <row r="377" spans="1:17" ht="63" customHeight="1" x14ac:dyDescent="0.3">
      <c r="A377" s="60"/>
      <c r="B377" s="61">
        <f t="shared" si="16"/>
        <v>374</v>
      </c>
      <c r="C377" s="62"/>
      <c r="D377" s="62"/>
      <c r="E377" s="68"/>
      <c r="F377" s="68"/>
      <c r="G377" s="68"/>
      <c r="H377" s="64" t="e">
        <f t="shared" si="15"/>
        <v>#N/A</v>
      </c>
      <c r="I377" s="68"/>
      <c r="J377" s="65">
        <f t="shared" si="17"/>
        <v>374</v>
      </c>
      <c r="K377" s="65">
        <f>工程基本資料!$B$7-$J377+$L377+$M377</f>
        <v>-374</v>
      </c>
      <c r="L377" s="66"/>
      <c r="M377" s="66"/>
      <c r="N377" s="66"/>
      <c r="O377" s="70"/>
      <c r="P377" s="58">
        <f>工程基本資料!$B$8+工程基本資料!$B$7+$L377+$M377-1</f>
        <v>-1</v>
      </c>
      <c r="Q377" s="9" t="e">
        <v>#N/A</v>
      </c>
    </row>
    <row r="378" spans="1:17" ht="63" customHeight="1" x14ac:dyDescent="0.3">
      <c r="A378" s="60"/>
      <c r="B378" s="61">
        <f t="shared" si="16"/>
        <v>375</v>
      </c>
      <c r="C378" s="62"/>
      <c r="D378" s="62"/>
      <c r="E378" s="68"/>
      <c r="F378" s="68"/>
      <c r="G378" s="68"/>
      <c r="H378" s="64" t="e">
        <f t="shared" si="15"/>
        <v>#N/A</v>
      </c>
      <c r="I378" s="68"/>
      <c r="J378" s="65">
        <f t="shared" si="17"/>
        <v>375</v>
      </c>
      <c r="K378" s="65">
        <f>工程基本資料!$B$7-$J378+$L378+$M378</f>
        <v>-375</v>
      </c>
      <c r="L378" s="66"/>
      <c r="M378" s="66"/>
      <c r="N378" s="66"/>
      <c r="O378" s="70"/>
      <c r="P378" s="58">
        <f>工程基本資料!$B$8+工程基本資料!$B$7+$L378+$M378-1</f>
        <v>-1</v>
      </c>
      <c r="Q378" s="9" t="e">
        <v>#N/A</v>
      </c>
    </row>
    <row r="379" spans="1:17" ht="63" customHeight="1" x14ac:dyDescent="0.3">
      <c r="A379" s="60"/>
      <c r="B379" s="61">
        <f t="shared" si="16"/>
        <v>376</v>
      </c>
      <c r="C379" s="62"/>
      <c r="D379" s="62"/>
      <c r="E379" s="68"/>
      <c r="F379" s="68"/>
      <c r="G379" s="68"/>
      <c r="H379" s="64" t="e">
        <f t="shared" si="15"/>
        <v>#N/A</v>
      </c>
      <c r="I379" s="68"/>
      <c r="J379" s="65">
        <f t="shared" si="17"/>
        <v>376</v>
      </c>
      <c r="K379" s="65">
        <f>工程基本資料!$B$7-$J379+$L379+$M379</f>
        <v>-376</v>
      </c>
      <c r="L379" s="66"/>
      <c r="M379" s="66"/>
      <c r="N379" s="66"/>
      <c r="O379" s="70"/>
      <c r="P379" s="58">
        <f>工程基本資料!$B$8+工程基本資料!$B$7+$L379+$M379-1</f>
        <v>-1</v>
      </c>
      <c r="Q379" s="9" t="e">
        <v>#N/A</v>
      </c>
    </row>
    <row r="380" spans="1:17" ht="63" customHeight="1" x14ac:dyDescent="0.3">
      <c r="A380" s="60"/>
      <c r="B380" s="61">
        <f t="shared" si="16"/>
        <v>377</v>
      </c>
      <c r="C380" s="62"/>
      <c r="D380" s="62"/>
      <c r="E380" s="68"/>
      <c r="F380" s="68"/>
      <c r="G380" s="68"/>
      <c r="H380" s="64" t="e">
        <f t="shared" si="15"/>
        <v>#N/A</v>
      </c>
      <c r="I380" s="68"/>
      <c r="J380" s="65">
        <f t="shared" si="17"/>
        <v>377</v>
      </c>
      <c r="K380" s="65">
        <f>工程基本資料!$B$7-$J380+$L380+$M380</f>
        <v>-377</v>
      </c>
      <c r="L380" s="66"/>
      <c r="M380" s="66"/>
      <c r="N380" s="66"/>
      <c r="O380" s="70"/>
      <c r="P380" s="58">
        <f>工程基本資料!$B$8+工程基本資料!$B$7+$L380+$M380-1</f>
        <v>-1</v>
      </c>
      <c r="Q380" s="9" t="e">
        <v>#N/A</v>
      </c>
    </row>
    <row r="381" spans="1:17" ht="63" customHeight="1" x14ac:dyDescent="0.3">
      <c r="A381" s="60"/>
      <c r="B381" s="61">
        <f t="shared" si="16"/>
        <v>378</v>
      </c>
      <c r="C381" s="62"/>
      <c r="D381" s="62"/>
      <c r="E381" s="68"/>
      <c r="F381" s="68"/>
      <c r="G381" s="68"/>
      <c r="H381" s="64" t="e">
        <f t="shared" si="15"/>
        <v>#N/A</v>
      </c>
      <c r="I381" s="68"/>
      <c r="J381" s="65">
        <f t="shared" si="17"/>
        <v>378</v>
      </c>
      <c r="K381" s="65">
        <f>工程基本資料!$B$7-$J381+$L381+$M381</f>
        <v>-378</v>
      </c>
      <c r="L381" s="66"/>
      <c r="M381" s="66"/>
      <c r="N381" s="66"/>
      <c r="O381" s="70"/>
      <c r="P381" s="58">
        <f>工程基本資料!$B$8+工程基本資料!$B$7+$L381+$M381-1</f>
        <v>-1</v>
      </c>
      <c r="Q381" s="9" t="e">
        <v>#N/A</v>
      </c>
    </row>
    <row r="382" spans="1:17" ht="63" customHeight="1" x14ac:dyDescent="0.3">
      <c r="A382" s="60"/>
      <c r="B382" s="61">
        <f t="shared" si="16"/>
        <v>379</v>
      </c>
      <c r="C382" s="62"/>
      <c r="D382" s="62"/>
      <c r="E382" s="68"/>
      <c r="F382" s="68"/>
      <c r="G382" s="68"/>
      <c r="H382" s="64" t="e">
        <f t="shared" si="15"/>
        <v>#N/A</v>
      </c>
      <c r="I382" s="68"/>
      <c r="J382" s="65">
        <f t="shared" si="17"/>
        <v>379</v>
      </c>
      <c r="K382" s="65">
        <f>工程基本資料!$B$7-$J382+$L382+$M382</f>
        <v>-379</v>
      </c>
      <c r="L382" s="66"/>
      <c r="M382" s="66"/>
      <c r="N382" s="66"/>
      <c r="O382" s="70"/>
      <c r="P382" s="58">
        <f>工程基本資料!$B$8+工程基本資料!$B$7+$L382+$M382-1</f>
        <v>-1</v>
      </c>
      <c r="Q382" s="9" t="e">
        <v>#N/A</v>
      </c>
    </row>
    <row r="383" spans="1:17" ht="63" customHeight="1" x14ac:dyDescent="0.3">
      <c r="A383" s="60"/>
      <c r="B383" s="61">
        <f t="shared" si="16"/>
        <v>380</v>
      </c>
      <c r="C383" s="62"/>
      <c r="D383" s="62"/>
      <c r="E383" s="68"/>
      <c r="F383" s="68"/>
      <c r="G383" s="68"/>
      <c r="H383" s="64" t="e">
        <f t="shared" si="15"/>
        <v>#N/A</v>
      </c>
      <c r="I383" s="68"/>
      <c r="J383" s="65">
        <f t="shared" si="17"/>
        <v>380</v>
      </c>
      <c r="K383" s="65">
        <f>工程基本資料!$B$7-$J383+$L383+$M383</f>
        <v>-380</v>
      </c>
      <c r="L383" s="66"/>
      <c r="M383" s="66"/>
      <c r="N383" s="66"/>
      <c r="O383" s="70"/>
      <c r="P383" s="58">
        <f>工程基本資料!$B$8+工程基本資料!$B$7+$L383+$M383-1</f>
        <v>-1</v>
      </c>
      <c r="Q383" s="9" t="e">
        <v>#N/A</v>
      </c>
    </row>
    <row r="384" spans="1:17" ht="63" customHeight="1" x14ac:dyDescent="0.3">
      <c r="A384" s="60"/>
      <c r="B384" s="61">
        <f t="shared" si="16"/>
        <v>381</v>
      </c>
      <c r="C384" s="62"/>
      <c r="D384" s="62"/>
      <c r="E384" s="68"/>
      <c r="F384" s="68"/>
      <c r="G384" s="68"/>
      <c r="H384" s="64" t="e">
        <f t="shared" si="15"/>
        <v>#N/A</v>
      </c>
      <c r="I384" s="68"/>
      <c r="J384" s="65">
        <f t="shared" si="17"/>
        <v>381</v>
      </c>
      <c r="K384" s="65">
        <f>工程基本資料!$B$7-$J384+$L384+$M384</f>
        <v>-381</v>
      </c>
      <c r="L384" s="66"/>
      <c r="M384" s="66"/>
      <c r="N384" s="66"/>
      <c r="O384" s="70"/>
      <c r="P384" s="58">
        <f>工程基本資料!$B$8+工程基本資料!$B$7+$L384+$M384-1</f>
        <v>-1</v>
      </c>
      <c r="Q384" s="9" t="e">
        <v>#N/A</v>
      </c>
    </row>
    <row r="385" spans="1:17" ht="63" customHeight="1" x14ac:dyDescent="0.3">
      <c r="A385" s="60"/>
      <c r="B385" s="61">
        <f t="shared" si="16"/>
        <v>382</v>
      </c>
      <c r="C385" s="62"/>
      <c r="D385" s="62"/>
      <c r="E385" s="68"/>
      <c r="F385" s="68"/>
      <c r="G385" s="68"/>
      <c r="H385" s="64" t="e">
        <f t="shared" si="15"/>
        <v>#N/A</v>
      </c>
      <c r="I385" s="68"/>
      <c r="J385" s="65">
        <f t="shared" si="17"/>
        <v>382</v>
      </c>
      <c r="K385" s="65">
        <f>工程基本資料!$B$7-$J385+$L385+$M385</f>
        <v>-382</v>
      </c>
      <c r="L385" s="66"/>
      <c r="M385" s="66"/>
      <c r="N385" s="66"/>
      <c r="O385" s="70"/>
      <c r="P385" s="58">
        <f>工程基本資料!$B$8+工程基本資料!$B$7+$L385+$M385-1</f>
        <v>-1</v>
      </c>
      <c r="Q385" s="9" t="e">
        <v>#N/A</v>
      </c>
    </row>
    <row r="386" spans="1:17" ht="63" customHeight="1" x14ac:dyDescent="0.3">
      <c r="A386" s="60"/>
      <c r="B386" s="61">
        <f t="shared" si="16"/>
        <v>383</v>
      </c>
      <c r="C386" s="62"/>
      <c r="D386" s="62"/>
      <c r="E386" s="68"/>
      <c r="F386" s="68"/>
      <c r="G386" s="68"/>
      <c r="H386" s="64" t="e">
        <f t="shared" si="15"/>
        <v>#N/A</v>
      </c>
      <c r="I386" s="68"/>
      <c r="J386" s="65">
        <f t="shared" si="17"/>
        <v>383</v>
      </c>
      <c r="K386" s="65">
        <f>工程基本資料!$B$7-$J386+$L386+$M386</f>
        <v>-383</v>
      </c>
      <c r="L386" s="66"/>
      <c r="M386" s="66"/>
      <c r="N386" s="66"/>
      <c r="O386" s="70"/>
      <c r="P386" s="58">
        <f>工程基本資料!$B$8+工程基本資料!$B$7+$L386+$M386-1</f>
        <v>-1</v>
      </c>
      <c r="Q386" s="9" t="e">
        <v>#N/A</v>
      </c>
    </row>
    <row r="387" spans="1:17" ht="63" customHeight="1" x14ac:dyDescent="0.3">
      <c r="A387" s="60"/>
      <c r="B387" s="61">
        <f t="shared" si="16"/>
        <v>384</v>
      </c>
      <c r="C387" s="62"/>
      <c r="D387" s="62"/>
      <c r="E387" s="68"/>
      <c r="F387" s="68"/>
      <c r="G387" s="68"/>
      <c r="H387" s="64" t="e">
        <f t="shared" si="15"/>
        <v>#N/A</v>
      </c>
      <c r="I387" s="68"/>
      <c r="J387" s="65">
        <f t="shared" si="17"/>
        <v>384</v>
      </c>
      <c r="K387" s="65">
        <f>工程基本資料!$B$7-$J387+$L387+$M387</f>
        <v>-384</v>
      </c>
      <c r="L387" s="66"/>
      <c r="M387" s="66"/>
      <c r="N387" s="66"/>
      <c r="O387" s="70"/>
      <c r="P387" s="58">
        <f>工程基本資料!$B$8+工程基本資料!$B$7+$L387+$M387-1</f>
        <v>-1</v>
      </c>
      <c r="Q387" s="9" t="e">
        <v>#N/A</v>
      </c>
    </row>
    <row r="388" spans="1:17" ht="63" customHeight="1" x14ac:dyDescent="0.3">
      <c r="A388" s="60"/>
      <c r="B388" s="61">
        <f t="shared" si="16"/>
        <v>385</v>
      </c>
      <c r="C388" s="62"/>
      <c r="D388" s="62"/>
      <c r="E388" s="68"/>
      <c r="F388" s="68"/>
      <c r="G388" s="68"/>
      <c r="H388" s="64" t="e">
        <f t="shared" ref="H388:H451" si="18">IF(Q388&gt;1,$R$3,$R$4)</f>
        <v>#N/A</v>
      </c>
      <c r="I388" s="68"/>
      <c r="J388" s="65">
        <f t="shared" si="17"/>
        <v>385</v>
      </c>
      <c r="K388" s="65">
        <f>工程基本資料!$B$7-$J388+$L388+$M388</f>
        <v>-385</v>
      </c>
      <c r="L388" s="66"/>
      <c r="M388" s="66"/>
      <c r="N388" s="66"/>
      <c r="O388" s="70"/>
      <c r="P388" s="58">
        <f>工程基本資料!$B$8+工程基本資料!$B$7+$L388+$M388-1</f>
        <v>-1</v>
      </c>
      <c r="Q388" s="9" t="e">
        <v>#N/A</v>
      </c>
    </row>
    <row r="389" spans="1:17" ht="63" customHeight="1" x14ac:dyDescent="0.3">
      <c r="A389" s="60"/>
      <c r="B389" s="61">
        <f t="shared" ref="B389:B452" si="19">B388+1</f>
        <v>386</v>
      </c>
      <c r="C389" s="62"/>
      <c r="D389" s="62"/>
      <c r="E389" s="68"/>
      <c r="F389" s="68"/>
      <c r="G389" s="68"/>
      <c r="H389" s="64" t="e">
        <f t="shared" si="18"/>
        <v>#N/A</v>
      </c>
      <c r="I389" s="68"/>
      <c r="J389" s="65">
        <f t="shared" ref="J389:J452" si="20">J388+1</f>
        <v>386</v>
      </c>
      <c r="K389" s="65">
        <f>工程基本資料!$B$7-$J389+$L389+$M389</f>
        <v>-386</v>
      </c>
      <c r="L389" s="66"/>
      <c r="M389" s="66"/>
      <c r="N389" s="66"/>
      <c r="O389" s="70"/>
      <c r="P389" s="58">
        <f>工程基本資料!$B$8+工程基本資料!$B$7+$L389+$M389-1</f>
        <v>-1</v>
      </c>
      <c r="Q389" s="9" t="e">
        <v>#N/A</v>
      </c>
    </row>
    <row r="390" spans="1:17" ht="63" customHeight="1" x14ac:dyDescent="0.3">
      <c r="A390" s="60"/>
      <c r="B390" s="61">
        <f t="shared" si="19"/>
        <v>387</v>
      </c>
      <c r="C390" s="62"/>
      <c r="D390" s="62"/>
      <c r="E390" s="68"/>
      <c r="F390" s="68"/>
      <c r="G390" s="68"/>
      <c r="H390" s="64" t="e">
        <f t="shared" si="18"/>
        <v>#N/A</v>
      </c>
      <c r="I390" s="68"/>
      <c r="J390" s="65">
        <f t="shared" si="20"/>
        <v>387</v>
      </c>
      <c r="K390" s="65">
        <f>工程基本資料!$B$7-$J390+$L390+$M390</f>
        <v>-387</v>
      </c>
      <c r="L390" s="66"/>
      <c r="M390" s="66"/>
      <c r="N390" s="66"/>
      <c r="O390" s="70"/>
      <c r="P390" s="58">
        <f>工程基本資料!$B$8+工程基本資料!$B$7+$L390+$M390-1</f>
        <v>-1</v>
      </c>
      <c r="Q390" s="9" t="e">
        <v>#N/A</v>
      </c>
    </row>
    <row r="391" spans="1:17" ht="63" customHeight="1" x14ac:dyDescent="0.3">
      <c r="A391" s="60"/>
      <c r="B391" s="61">
        <f t="shared" si="19"/>
        <v>388</v>
      </c>
      <c r="C391" s="62"/>
      <c r="D391" s="62"/>
      <c r="E391" s="68"/>
      <c r="F391" s="68"/>
      <c r="G391" s="68"/>
      <c r="H391" s="64" t="e">
        <f t="shared" si="18"/>
        <v>#N/A</v>
      </c>
      <c r="I391" s="68"/>
      <c r="J391" s="65">
        <f t="shared" si="20"/>
        <v>388</v>
      </c>
      <c r="K391" s="65">
        <f>工程基本資料!$B$7-$J391+$L391+$M391</f>
        <v>-388</v>
      </c>
      <c r="L391" s="66"/>
      <c r="M391" s="66"/>
      <c r="N391" s="66"/>
      <c r="O391" s="70"/>
      <c r="P391" s="58">
        <f>工程基本資料!$B$8+工程基本資料!$B$7+$L391+$M391-1</f>
        <v>-1</v>
      </c>
      <c r="Q391" s="9" t="e">
        <v>#N/A</v>
      </c>
    </row>
    <row r="392" spans="1:17" ht="63" customHeight="1" x14ac:dyDescent="0.3">
      <c r="A392" s="60"/>
      <c r="B392" s="61">
        <f t="shared" si="19"/>
        <v>389</v>
      </c>
      <c r="C392" s="62"/>
      <c r="D392" s="62"/>
      <c r="E392" s="68"/>
      <c r="F392" s="68"/>
      <c r="G392" s="68"/>
      <c r="H392" s="64" t="e">
        <f t="shared" si="18"/>
        <v>#N/A</v>
      </c>
      <c r="I392" s="68"/>
      <c r="J392" s="65">
        <f t="shared" si="20"/>
        <v>389</v>
      </c>
      <c r="K392" s="65">
        <f>工程基本資料!$B$7-$J392+$L392+$M392</f>
        <v>-389</v>
      </c>
      <c r="L392" s="66"/>
      <c r="M392" s="66"/>
      <c r="N392" s="66"/>
      <c r="O392" s="70"/>
      <c r="P392" s="58">
        <f>工程基本資料!$B$8+工程基本資料!$B$7+$L392+$M392-1</f>
        <v>-1</v>
      </c>
      <c r="Q392" s="9" t="e">
        <v>#N/A</v>
      </c>
    </row>
    <row r="393" spans="1:17" ht="63" customHeight="1" x14ac:dyDescent="0.3">
      <c r="A393" s="60"/>
      <c r="B393" s="61">
        <f t="shared" si="19"/>
        <v>390</v>
      </c>
      <c r="C393" s="62"/>
      <c r="D393" s="62"/>
      <c r="E393" s="68"/>
      <c r="F393" s="68"/>
      <c r="G393" s="68"/>
      <c r="H393" s="64" t="e">
        <f t="shared" si="18"/>
        <v>#N/A</v>
      </c>
      <c r="I393" s="68"/>
      <c r="J393" s="65">
        <f t="shared" si="20"/>
        <v>390</v>
      </c>
      <c r="K393" s="65">
        <f>工程基本資料!$B$7-$J393+$L393+$M393</f>
        <v>-390</v>
      </c>
      <c r="L393" s="66"/>
      <c r="M393" s="66"/>
      <c r="N393" s="66"/>
      <c r="O393" s="70"/>
      <c r="P393" s="58">
        <f>工程基本資料!$B$8+工程基本資料!$B$7+$L393+$M393-1</f>
        <v>-1</v>
      </c>
      <c r="Q393" s="9" t="e">
        <v>#N/A</v>
      </c>
    </row>
    <row r="394" spans="1:17" ht="63" customHeight="1" x14ac:dyDescent="0.3">
      <c r="A394" s="60"/>
      <c r="B394" s="61">
        <f t="shared" si="19"/>
        <v>391</v>
      </c>
      <c r="C394" s="62"/>
      <c r="D394" s="62"/>
      <c r="E394" s="68"/>
      <c r="F394" s="68"/>
      <c r="G394" s="68"/>
      <c r="H394" s="64" t="e">
        <f t="shared" si="18"/>
        <v>#N/A</v>
      </c>
      <c r="I394" s="68"/>
      <c r="J394" s="65">
        <f t="shared" si="20"/>
        <v>391</v>
      </c>
      <c r="K394" s="65">
        <f>工程基本資料!$B$7-$J394+$L394+$M394</f>
        <v>-391</v>
      </c>
      <c r="L394" s="66"/>
      <c r="M394" s="66"/>
      <c r="N394" s="66"/>
      <c r="O394" s="70"/>
      <c r="P394" s="58">
        <f>工程基本資料!$B$8+工程基本資料!$B$7+$L394+$M394-1</f>
        <v>-1</v>
      </c>
      <c r="Q394" s="9" t="e">
        <v>#N/A</v>
      </c>
    </row>
    <row r="395" spans="1:17" ht="63" customHeight="1" x14ac:dyDescent="0.3">
      <c r="A395" s="60"/>
      <c r="B395" s="61">
        <f t="shared" si="19"/>
        <v>392</v>
      </c>
      <c r="C395" s="62"/>
      <c r="D395" s="62"/>
      <c r="E395" s="68"/>
      <c r="F395" s="68"/>
      <c r="G395" s="68"/>
      <c r="H395" s="64" t="e">
        <f t="shared" si="18"/>
        <v>#N/A</v>
      </c>
      <c r="I395" s="68"/>
      <c r="J395" s="65">
        <f t="shared" si="20"/>
        <v>392</v>
      </c>
      <c r="K395" s="65">
        <f>工程基本資料!$B$7-$J395+$L395+$M395</f>
        <v>-392</v>
      </c>
      <c r="L395" s="66"/>
      <c r="M395" s="66"/>
      <c r="N395" s="66"/>
      <c r="O395" s="70"/>
      <c r="P395" s="58">
        <f>工程基本資料!$B$8+工程基本資料!$B$7+$L395+$M395-1</f>
        <v>-1</v>
      </c>
      <c r="Q395" s="9" t="e">
        <v>#N/A</v>
      </c>
    </row>
    <row r="396" spans="1:17" ht="63" customHeight="1" x14ac:dyDescent="0.3">
      <c r="A396" s="60"/>
      <c r="B396" s="61">
        <f t="shared" si="19"/>
        <v>393</v>
      </c>
      <c r="C396" s="62"/>
      <c r="D396" s="62"/>
      <c r="E396" s="68"/>
      <c r="F396" s="68"/>
      <c r="G396" s="68"/>
      <c r="H396" s="64" t="e">
        <f t="shared" si="18"/>
        <v>#N/A</v>
      </c>
      <c r="I396" s="68"/>
      <c r="J396" s="65">
        <f t="shared" si="20"/>
        <v>393</v>
      </c>
      <c r="K396" s="65">
        <f>工程基本資料!$B$7-$J396+$L396+$M396</f>
        <v>-393</v>
      </c>
      <c r="L396" s="66"/>
      <c r="M396" s="66"/>
      <c r="N396" s="66"/>
      <c r="O396" s="70"/>
      <c r="P396" s="58">
        <f>工程基本資料!$B$8+工程基本資料!$B$7+$L396+$M396-1</f>
        <v>-1</v>
      </c>
      <c r="Q396" s="9" t="e">
        <v>#N/A</v>
      </c>
    </row>
    <row r="397" spans="1:17" ht="63" customHeight="1" x14ac:dyDescent="0.3">
      <c r="A397" s="60"/>
      <c r="B397" s="61">
        <f t="shared" si="19"/>
        <v>394</v>
      </c>
      <c r="C397" s="62"/>
      <c r="D397" s="62"/>
      <c r="E397" s="68"/>
      <c r="F397" s="68"/>
      <c r="G397" s="68"/>
      <c r="H397" s="64" t="e">
        <f t="shared" si="18"/>
        <v>#N/A</v>
      </c>
      <c r="I397" s="68"/>
      <c r="J397" s="65">
        <f t="shared" si="20"/>
        <v>394</v>
      </c>
      <c r="K397" s="65">
        <f>工程基本資料!$B$7-$J397+$L397+$M397</f>
        <v>-394</v>
      </c>
      <c r="L397" s="66"/>
      <c r="M397" s="66"/>
      <c r="N397" s="66"/>
      <c r="O397" s="70"/>
      <c r="P397" s="58">
        <f>工程基本資料!$B$8+工程基本資料!$B$7+$L397+$M397-1</f>
        <v>-1</v>
      </c>
      <c r="Q397" s="9" t="e">
        <v>#N/A</v>
      </c>
    </row>
    <row r="398" spans="1:17" ht="63" customHeight="1" x14ac:dyDescent="0.3">
      <c r="A398" s="60"/>
      <c r="B398" s="61">
        <f t="shared" si="19"/>
        <v>395</v>
      </c>
      <c r="C398" s="62"/>
      <c r="D398" s="62"/>
      <c r="E398" s="68"/>
      <c r="F398" s="68"/>
      <c r="G398" s="68"/>
      <c r="H398" s="64" t="e">
        <f t="shared" si="18"/>
        <v>#N/A</v>
      </c>
      <c r="I398" s="68"/>
      <c r="J398" s="65">
        <f t="shared" si="20"/>
        <v>395</v>
      </c>
      <c r="K398" s="65">
        <f>工程基本資料!$B$7-$J398+$L398+$M398</f>
        <v>-395</v>
      </c>
      <c r="L398" s="66"/>
      <c r="M398" s="66"/>
      <c r="N398" s="66"/>
      <c r="O398" s="70"/>
      <c r="P398" s="58">
        <f>工程基本資料!$B$8+工程基本資料!$B$7+$L398+$M398-1</f>
        <v>-1</v>
      </c>
      <c r="Q398" s="9" t="e">
        <v>#N/A</v>
      </c>
    </row>
    <row r="399" spans="1:17" ht="63" customHeight="1" x14ac:dyDescent="0.3">
      <c r="A399" s="60"/>
      <c r="B399" s="61">
        <f t="shared" si="19"/>
        <v>396</v>
      </c>
      <c r="C399" s="62"/>
      <c r="D399" s="62"/>
      <c r="E399" s="68"/>
      <c r="F399" s="68"/>
      <c r="G399" s="68"/>
      <c r="H399" s="64" t="e">
        <f t="shared" si="18"/>
        <v>#N/A</v>
      </c>
      <c r="I399" s="68"/>
      <c r="J399" s="65">
        <f t="shared" si="20"/>
        <v>396</v>
      </c>
      <c r="K399" s="65">
        <f>工程基本資料!$B$7-$J399+$L399+$M399</f>
        <v>-396</v>
      </c>
      <c r="L399" s="66"/>
      <c r="M399" s="66"/>
      <c r="N399" s="66"/>
      <c r="O399" s="70"/>
      <c r="P399" s="58">
        <f>工程基本資料!$B$8+工程基本資料!$B$7+$L399+$M399-1</f>
        <v>-1</v>
      </c>
      <c r="Q399" s="9" t="e">
        <v>#N/A</v>
      </c>
    </row>
    <row r="400" spans="1:17" ht="63" customHeight="1" x14ac:dyDescent="0.3">
      <c r="A400" s="60"/>
      <c r="B400" s="61">
        <f t="shared" si="19"/>
        <v>397</v>
      </c>
      <c r="C400" s="62"/>
      <c r="D400" s="62"/>
      <c r="E400" s="68"/>
      <c r="F400" s="68"/>
      <c r="G400" s="68"/>
      <c r="H400" s="64" t="e">
        <f t="shared" si="18"/>
        <v>#N/A</v>
      </c>
      <c r="I400" s="68"/>
      <c r="J400" s="65">
        <f t="shared" si="20"/>
        <v>397</v>
      </c>
      <c r="K400" s="65">
        <f>工程基本資料!$B$7-$J400+$L400+$M400</f>
        <v>-397</v>
      </c>
      <c r="L400" s="66"/>
      <c r="M400" s="66"/>
      <c r="N400" s="66"/>
      <c r="O400" s="70"/>
      <c r="P400" s="58">
        <f>工程基本資料!$B$8+工程基本資料!$B$7+$L400+$M400-1</f>
        <v>-1</v>
      </c>
      <c r="Q400" s="9" t="e">
        <v>#N/A</v>
      </c>
    </row>
    <row r="401" spans="1:17" ht="63" customHeight="1" x14ac:dyDescent="0.3">
      <c r="A401" s="60"/>
      <c r="B401" s="61">
        <f t="shared" si="19"/>
        <v>398</v>
      </c>
      <c r="C401" s="62"/>
      <c r="D401" s="62"/>
      <c r="E401" s="68"/>
      <c r="F401" s="68"/>
      <c r="G401" s="68"/>
      <c r="H401" s="64" t="e">
        <f t="shared" si="18"/>
        <v>#N/A</v>
      </c>
      <c r="I401" s="68"/>
      <c r="J401" s="65">
        <f t="shared" si="20"/>
        <v>398</v>
      </c>
      <c r="K401" s="65">
        <f>工程基本資料!$B$7-$J401+$L401+$M401</f>
        <v>-398</v>
      </c>
      <c r="L401" s="66"/>
      <c r="M401" s="66"/>
      <c r="N401" s="66"/>
      <c r="O401" s="70"/>
      <c r="P401" s="58">
        <f>工程基本資料!$B$8+工程基本資料!$B$7+$L401+$M401-1</f>
        <v>-1</v>
      </c>
      <c r="Q401" s="9" t="e">
        <v>#N/A</v>
      </c>
    </row>
    <row r="402" spans="1:17" ht="63" customHeight="1" x14ac:dyDescent="0.3">
      <c r="A402" s="60"/>
      <c r="B402" s="61">
        <f t="shared" si="19"/>
        <v>399</v>
      </c>
      <c r="C402" s="62"/>
      <c r="D402" s="62"/>
      <c r="E402" s="68"/>
      <c r="F402" s="68"/>
      <c r="G402" s="68"/>
      <c r="H402" s="64" t="e">
        <f t="shared" si="18"/>
        <v>#N/A</v>
      </c>
      <c r="I402" s="68"/>
      <c r="J402" s="65">
        <f t="shared" si="20"/>
        <v>399</v>
      </c>
      <c r="K402" s="65">
        <f>工程基本資料!$B$7-$J402+$L402+$M402</f>
        <v>-399</v>
      </c>
      <c r="L402" s="66"/>
      <c r="M402" s="66"/>
      <c r="N402" s="66"/>
      <c r="O402" s="70"/>
      <c r="P402" s="58">
        <f>工程基本資料!$B$8+工程基本資料!$B$7+$L402+$M402-1</f>
        <v>-1</v>
      </c>
      <c r="Q402" s="9" t="e">
        <v>#N/A</v>
      </c>
    </row>
    <row r="403" spans="1:17" ht="63" customHeight="1" x14ac:dyDescent="0.3">
      <c r="A403" s="60"/>
      <c r="B403" s="61">
        <f t="shared" si="19"/>
        <v>400</v>
      </c>
      <c r="C403" s="62"/>
      <c r="D403" s="62"/>
      <c r="E403" s="68"/>
      <c r="F403" s="68"/>
      <c r="G403" s="68"/>
      <c r="H403" s="64" t="e">
        <f t="shared" si="18"/>
        <v>#N/A</v>
      </c>
      <c r="I403" s="68"/>
      <c r="J403" s="65">
        <f t="shared" si="20"/>
        <v>400</v>
      </c>
      <c r="K403" s="65">
        <f>工程基本資料!$B$7-$J403+$L403+$M403</f>
        <v>-400</v>
      </c>
      <c r="L403" s="66"/>
      <c r="M403" s="66"/>
      <c r="N403" s="66"/>
      <c r="O403" s="70"/>
      <c r="P403" s="58">
        <f>工程基本資料!$B$8+工程基本資料!$B$7+$L403+$M403-1</f>
        <v>-1</v>
      </c>
      <c r="Q403" s="9" t="e">
        <v>#N/A</v>
      </c>
    </row>
    <row r="404" spans="1:17" ht="63" customHeight="1" x14ac:dyDescent="0.3">
      <c r="A404" s="60"/>
      <c r="B404" s="61">
        <f t="shared" si="19"/>
        <v>401</v>
      </c>
      <c r="C404" s="62"/>
      <c r="D404" s="62"/>
      <c r="E404" s="68"/>
      <c r="F404" s="68"/>
      <c r="G404" s="68"/>
      <c r="H404" s="64" t="e">
        <f t="shared" si="18"/>
        <v>#N/A</v>
      </c>
      <c r="I404" s="68"/>
      <c r="J404" s="65">
        <f t="shared" si="20"/>
        <v>401</v>
      </c>
      <c r="K404" s="65">
        <f>工程基本資料!$B$7-$J404+$L404+$M404</f>
        <v>-401</v>
      </c>
      <c r="L404" s="66"/>
      <c r="M404" s="66"/>
      <c r="N404" s="66"/>
      <c r="O404" s="70"/>
      <c r="P404" s="58">
        <f>工程基本資料!$B$8+工程基本資料!$B$7+$L404+$M404-1</f>
        <v>-1</v>
      </c>
      <c r="Q404" s="9" t="e">
        <v>#N/A</v>
      </c>
    </row>
    <row r="405" spans="1:17" ht="63" customHeight="1" x14ac:dyDescent="0.3">
      <c r="A405" s="60"/>
      <c r="B405" s="61">
        <f t="shared" si="19"/>
        <v>402</v>
      </c>
      <c r="C405" s="62"/>
      <c r="D405" s="62"/>
      <c r="E405" s="68"/>
      <c r="F405" s="68"/>
      <c r="G405" s="68"/>
      <c r="H405" s="64" t="e">
        <f t="shared" si="18"/>
        <v>#N/A</v>
      </c>
      <c r="I405" s="68"/>
      <c r="J405" s="65">
        <f t="shared" si="20"/>
        <v>402</v>
      </c>
      <c r="K405" s="65">
        <f>工程基本資料!$B$7-$J405+$L405+$M405</f>
        <v>-402</v>
      </c>
      <c r="L405" s="66"/>
      <c r="M405" s="66"/>
      <c r="N405" s="66"/>
      <c r="O405" s="70"/>
      <c r="P405" s="58">
        <f>工程基本資料!$B$8+工程基本資料!$B$7+$L405+$M405-1</f>
        <v>-1</v>
      </c>
      <c r="Q405" s="9" t="e">
        <v>#N/A</v>
      </c>
    </row>
    <row r="406" spans="1:17" ht="63" customHeight="1" x14ac:dyDescent="0.3">
      <c r="A406" s="60"/>
      <c r="B406" s="61">
        <f t="shared" si="19"/>
        <v>403</v>
      </c>
      <c r="C406" s="62"/>
      <c r="D406" s="62"/>
      <c r="E406" s="68"/>
      <c r="F406" s="68"/>
      <c r="G406" s="68"/>
      <c r="H406" s="64" t="e">
        <f t="shared" si="18"/>
        <v>#N/A</v>
      </c>
      <c r="I406" s="68"/>
      <c r="J406" s="65">
        <f t="shared" si="20"/>
        <v>403</v>
      </c>
      <c r="K406" s="65">
        <f>工程基本資料!$B$7-$J406+$L406+$M406</f>
        <v>-403</v>
      </c>
      <c r="L406" s="66"/>
      <c r="M406" s="66"/>
      <c r="N406" s="66"/>
      <c r="O406" s="70"/>
      <c r="P406" s="58">
        <f>工程基本資料!$B$8+工程基本資料!$B$7+$L406+$M406-1</f>
        <v>-1</v>
      </c>
      <c r="Q406" s="9" t="e">
        <v>#N/A</v>
      </c>
    </row>
    <row r="407" spans="1:17" ht="63" customHeight="1" x14ac:dyDescent="0.3">
      <c r="A407" s="60"/>
      <c r="B407" s="61">
        <f t="shared" si="19"/>
        <v>404</v>
      </c>
      <c r="C407" s="62"/>
      <c r="D407" s="62"/>
      <c r="E407" s="68"/>
      <c r="F407" s="68"/>
      <c r="G407" s="68"/>
      <c r="H407" s="64" t="e">
        <f t="shared" si="18"/>
        <v>#N/A</v>
      </c>
      <c r="I407" s="68"/>
      <c r="J407" s="65">
        <f t="shared" si="20"/>
        <v>404</v>
      </c>
      <c r="K407" s="65">
        <f>工程基本資料!$B$7-$J407+$L407+$M407</f>
        <v>-404</v>
      </c>
      <c r="L407" s="66"/>
      <c r="M407" s="66"/>
      <c r="N407" s="66"/>
      <c r="O407" s="70"/>
      <c r="P407" s="58">
        <f>工程基本資料!$B$8+工程基本資料!$B$7+$L407+$M407-1</f>
        <v>-1</v>
      </c>
      <c r="Q407" s="9" t="e">
        <v>#N/A</v>
      </c>
    </row>
    <row r="408" spans="1:17" ht="63" customHeight="1" x14ac:dyDescent="0.3">
      <c r="A408" s="60"/>
      <c r="B408" s="61">
        <f t="shared" si="19"/>
        <v>405</v>
      </c>
      <c r="C408" s="62"/>
      <c r="D408" s="62"/>
      <c r="E408" s="68"/>
      <c r="F408" s="68"/>
      <c r="G408" s="68"/>
      <c r="H408" s="64" t="e">
        <f t="shared" si="18"/>
        <v>#N/A</v>
      </c>
      <c r="I408" s="68"/>
      <c r="J408" s="65">
        <f t="shared" si="20"/>
        <v>405</v>
      </c>
      <c r="K408" s="65">
        <f>工程基本資料!$B$7-$J408+$L408+$M408</f>
        <v>-405</v>
      </c>
      <c r="L408" s="66"/>
      <c r="M408" s="66"/>
      <c r="N408" s="66"/>
      <c r="O408" s="70"/>
      <c r="P408" s="58">
        <f>工程基本資料!$B$8+工程基本資料!$B$7+$L408+$M408-1</f>
        <v>-1</v>
      </c>
      <c r="Q408" s="9" t="e">
        <v>#N/A</v>
      </c>
    </row>
    <row r="409" spans="1:17" ht="63" customHeight="1" x14ac:dyDescent="0.3">
      <c r="A409" s="60"/>
      <c r="B409" s="61">
        <f t="shared" si="19"/>
        <v>406</v>
      </c>
      <c r="C409" s="62"/>
      <c r="D409" s="62"/>
      <c r="E409" s="68"/>
      <c r="F409" s="68"/>
      <c r="G409" s="68"/>
      <c r="H409" s="64" t="e">
        <f t="shared" si="18"/>
        <v>#N/A</v>
      </c>
      <c r="I409" s="68"/>
      <c r="J409" s="65">
        <f t="shared" si="20"/>
        <v>406</v>
      </c>
      <c r="K409" s="65">
        <f>工程基本資料!$B$7-$J409+$L409+$M409</f>
        <v>-406</v>
      </c>
      <c r="L409" s="66"/>
      <c r="M409" s="66"/>
      <c r="N409" s="66"/>
      <c r="O409" s="70"/>
      <c r="P409" s="58">
        <f>工程基本資料!$B$8+工程基本資料!$B$7+$L409+$M409-1</f>
        <v>-1</v>
      </c>
      <c r="Q409" s="9" t="e">
        <v>#N/A</v>
      </c>
    </row>
    <row r="410" spans="1:17" ht="63" customHeight="1" x14ac:dyDescent="0.3">
      <c r="A410" s="60"/>
      <c r="B410" s="61">
        <f t="shared" si="19"/>
        <v>407</v>
      </c>
      <c r="C410" s="62"/>
      <c r="D410" s="62"/>
      <c r="E410" s="68"/>
      <c r="F410" s="68"/>
      <c r="G410" s="68"/>
      <c r="H410" s="64" t="e">
        <f t="shared" si="18"/>
        <v>#N/A</v>
      </c>
      <c r="I410" s="68"/>
      <c r="J410" s="65">
        <f t="shared" si="20"/>
        <v>407</v>
      </c>
      <c r="K410" s="65">
        <f>工程基本資料!$B$7-$J410+$L410+$M410</f>
        <v>-407</v>
      </c>
      <c r="L410" s="66"/>
      <c r="M410" s="66"/>
      <c r="N410" s="66"/>
      <c r="O410" s="70"/>
      <c r="P410" s="58">
        <f>工程基本資料!$B$8+工程基本資料!$B$7+$L410+$M410-1</f>
        <v>-1</v>
      </c>
      <c r="Q410" s="9" t="e">
        <v>#N/A</v>
      </c>
    </row>
    <row r="411" spans="1:17" ht="63" customHeight="1" x14ac:dyDescent="0.3">
      <c r="A411" s="60"/>
      <c r="B411" s="61">
        <f t="shared" si="19"/>
        <v>408</v>
      </c>
      <c r="C411" s="62"/>
      <c r="D411" s="62"/>
      <c r="E411" s="68"/>
      <c r="F411" s="68"/>
      <c r="G411" s="68"/>
      <c r="H411" s="64" t="e">
        <f t="shared" si="18"/>
        <v>#N/A</v>
      </c>
      <c r="I411" s="68"/>
      <c r="J411" s="65">
        <f t="shared" si="20"/>
        <v>408</v>
      </c>
      <c r="K411" s="65">
        <f>工程基本資料!$B$7-$J411+$L411+$M411</f>
        <v>-408</v>
      </c>
      <c r="L411" s="66"/>
      <c r="M411" s="66"/>
      <c r="N411" s="66"/>
      <c r="O411" s="70"/>
      <c r="P411" s="58">
        <f>工程基本資料!$B$8+工程基本資料!$B$7+$L411+$M411-1</f>
        <v>-1</v>
      </c>
      <c r="Q411" s="9" t="e">
        <v>#N/A</v>
      </c>
    </row>
    <row r="412" spans="1:17" ht="63" customHeight="1" x14ac:dyDescent="0.3">
      <c r="A412" s="60"/>
      <c r="B412" s="61">
        <f t="shared" si="19"/>
        <v>409</v>
      </c>
      <c r="C412" s="62"/>
      <c r="D412" s="62"/>
      <c r="E412" s="68"/>
      <c r="F412" s="68"/>
      <c r="G412" s="68"/>
      <c r="H412" s="64" t="e">
        <f t="shared" si="18"/>
        <v>#N/A</v>
      </c>
      <c r="I412" s="68"/>
      <c r="J412" s="65">
        <f t="shared" si="20"/>
        <v>409</v>
      </c>
      <c r="K412" s="65">
        <f>工程基本資料!$B$7-$J412+$L412+$M412</f>
        <v>-409</v>
      </c>
      <c r="L412" s="66"/>
      <c r="M412" s="66"/>
      <c r="N412" s="66"/>
      <c r="O412" s="70"/>
      <c r="P412" s="58">
        <f>工程基本資料!$B$8+工程基本資料!$B$7+$L412+$M412-1</f>
        <v>-1</v>
      </c>
      <c r="Q412" s="9" t="e">
        <v>#N/A</v>
      </c>
    </row>
    <row r="413" spans="1:17" ht="63" customHeight="1" x14ac:dyDescent="0.3">
      <c r="A413" s="60"/>
      <c r="B413" s="61">
        <f t="shared" si="19"/>
        <v>410</v>
      </c>
      <c r="C413" s="62"/>
      <c r="D413" s="62"/>
      <c r="E413" s="68"/>
      <c r="F413" s="68"/>
      <c r="G413" s="68"/>
      <c r="H413" s="64" t="e">
        <f t="shared" si="18"/>
        <v>#N/A</v>
      </c>
      <c r="I413" s="68"/>
      <c r="J413" s="65">
        <f t="shared" si="20"/>
        <v>410</v>
      </c>
      <c r="K413" s="65">
        <f>工程基本資料!$B$7-$J413+$L413+$M413</f>
        <v>-410</v>
      </c>
      <c r="L413" s="66"/>
      <c r="M413" s="66"/>
      <c r="N413" s="66"/>
      <c r="O413" s="70"/>
      <c r="P413" s="58">
        <f>工程基本資料!$B$8+工程基本資料!$B$7+$L413+$M413-1</f>
        <v>-1</v>
      </c>
      <c r="Q413" s="9" t="e">
        <v>#N/A</v>
      </c>
    </row>
    <row r="414" spans="1:17" ht="63" customHeight="1" x14ac:dyDescent="0.3">
      <c r="A414" s="60"/>
      <c r="B414" s="61">
        <f t="shared" si="19"/>
        <v>411</v>
      </c>
      <c r="C414" s="62"/>
      <c r="D414" s="62"/>
      <c r="E414" s="68"/>
      <c r="F414" s="68"/>
      <c r="G414" s="68"/>
      <c r="H414" s="64" t="e">
        <f t="shared" si="18"/>
        <v>#N/A</v>
      </c>
      <c r="I414" s="68"/>
      <c r="J414" s="65">
        <f t="shared" si="20"/>
        <v>411</v>
      </c>
      <c r="K414" s="65">
        <f>工程基本資料!$B$7-$J414+$L414+$M414</f>
        <v>-411</v>
      </c>
      <c r="L414" s="66"/>
      <c r="M414" s="66"/>
      <c r="N414" s="66"/>
      <c r="O414" s="70"/>
      <c r="P414" s="58">
        <f>工程基本資料!$B$8+工程基本資料!$B$7+$L414+$M414-1</f>
        <v>-1</v>
      </c>
      <c r="Q414" s="9" t="e">
        <v>#N/A</v>
      </c>
    </row>
    <row r="415" spans="1:17" ht="63" customHeight="1" x14ac:dyDescent="0.3">
      <c r="A415" s="60"/>
      <c r="B415" s="61">
        <f t="shared" si="19"/>
        <v>412</v>
      </c>
      <c r="C415" s="62"/>
      <c r="D415" s="62"/>
      <c r="E415" s="68"/>
      <c r="F415" s="68"/>
      <c r="G415" s="68"/>
      <c r="H415" s="64" t="e">
        <f t="shared" si="18"/>
        <v>#N/A</v>
      </c>
      <c r="I415" s="68"/>
      <c r="J415" s="65">
        <f t="shared" si="20"/>
        <v>412</v>
      </c>
      <c r="K415" s="65">
        <f>工程基本資料!$B$7-$J415+$L415+$M415</f>
        <v>-412</v>
      </c>
      <c r="L415" s="66"/>
      <c r="M415" s="66"/>
      <c r="N415" s="66"/>
      <c r="O415" s="70"/>
      <c r="P415" s="58">
        <f>工程基本資料!$B$8+工程基本資料!$B$7+$L415+$M415-1</f>
        <v>-1</v>
      </c>
      <c r="Q415" s="9" t="e">
        <v>#N/A</v>
      </c>
    </row>
    <row r="416" spans="1:17" ht="63" customHeight="1" x14ac:dyDescent="0.3">
      <c r="A416" s="60"/>
      <c r="B416" s="61">
        <f t="shared" si="19"/>
        <v>413</v>
      </c>
      <c r="C416" s="62"/>
      <c r="D416" s="62"/>
      <c r="E416" s="68"/>
      <c r="F416" s="68"/>
      <c r="G416" s="68"/>
      <c r="H416" s="64" t="e">
        <f t="shared" si="18"/>
        <v>#N/A</v>
      </c>
      <c r="I416" s="68"/>
      <c r="J416" s="65">
        <f t="shared" si="20"/>
        <v>413</v>
      </c>
      <c r="K416" s="65">
        <f>工程基本資料!$B$7-$J416+$L416+$M416</f>
        <v>-413</v>
      </c>
      <c r="L416" s="66"/>
      <c r="M416" s="66"/>
      <c r="N416" s="66"/>
      <c r="O416" s="70"/>
      <c r="P416" s="58">
        <f>工程基本資料!$B$8+工程基本資料!$B$7+$L416+$M416-1</f>
        <v>-1</v>
      </c>
      <c r="Q416" s="9" t="e">
        <v>#N/A</v>
      </c>
    </row>
    <row r="417" spans="1:17" ht="63" customHeight="1" x14ac:dyDescent="0.3">
      <c r="A417" s="60"/>
      <c r="B417" s="61">
        <f t="shared" si="19"/>
        <v>414</v>
      </c>
      <c r="C417" s="62"/>
      <c r="D417" s="62"/>
      <c r="E417" s="68"/>
      <c r="F417" s="68"/>
      <c r="G417" s="68"/>
      <c r="H417" s="64" t="e">
        <f t="shared" si="18"/>
        <v>#N/A</v>
      </c>
      <c r="I417" s="68"/>
      <c r="J417" s="65">
        <f t="shared" si="20"/>
        <v>414</v>
      </c>
      <c r="K417" s="65">
        <f>工程基本資料!$B$7-$J417+$L417+$M417</f>
        <v>-414</v>
      </c>
      <c r="L417" s="66"/>
      <c r="M417" s="66"/>
      <c r="N417" s="66"/>
      <c r="O417" s="70"/>
      <c r="P417" s="58">
        <f>工程基本資料!$B$8+工程基本資料!$B$7+$L417+$M417-1</f>
        <v>-1</v>
      </c>
      <c r="Q417" s="9" t="e">
        <v>#N/A</v>
      </c>
    </row>
    <row r="418" spans="1:17" ht="63" customHeight="1" x14ac:dyDescent="0.3">
      <c r="A418" s="60"/>
      <c r="B418" s="61">
        <f t="shared" si="19"/>
        <v>415</v>
      </c>
      <c r="C418" s="62"/>
      <c r="D418" s="62"/>
      <c r="E418" s="68"/>
      <c r="F418" s="68"/>
      <c r="G418" s="68"/>
      <c r="H418" s="64" t="e">
        <f t="shared" si="18"/>
        <v>#N/A</v>
      </c>
      <c r="I418" s="68"/>
      <c r="J418" s="65">
        <f t="shared" si="20"/>
        <v>415</v>
      </c>
      <c r="K418" s="65">
        <f>工程基本資料!$B$7-$J418+$L418+$M418</f>
        <v>-415</v>
      </c>
      <c r="L418" s="66"/>
      <c r="M418" s="66"/>
      <c r="N418" s="66"/>
      <c r="O418" s="70"/>
      <c r="P418" s="58">
        <f>工程基本資料!$B$8+工程基本資料!$B$7+$L418+$M418-1</f>
        <v>-1</v>
      </c>
      <c r="Q418" s="9" t="e">
        <v>#N/A</v>
      </c>
    </row>
    <row r="419" spans="1:17" ht="63" customHeight="1" x14ac:dyDescent="0.3">
      <c r="A419" s="60"/>
      <c r="B419" s="61">
        <f t="shared" si="19"/>
        <v>416</v>
      </c>
      <c r="C419" s="62"/>
      <c r="D419" s="62"/>
      <c r="E419" s="68"/>
      <c r="F419" s="68"/>
      <c r="G419" s="68"/>
      <c r="H419" s="64" t="e">
        <f t="shared" si="18"/>
        <v>#N/A</v>
      </c>
      <c r="I419" s="68"/>
      <c r="J419" s="65">
        <f t="shared" si="20"/>
        <v>416</v>
      </c>
      <c r="K419" s="65">
        <f>工程基本資料!$B$7-$J419+$L419+$M419</f>
        <v>-416</v>
      </c>
      <c r="L419" s="66"/>
      <c r="M419" s="66"/>
      <c r="N419" s="66"/>
      <c r="O419" s="70"/>
      <c r="P419" s="58">
        <f>工程基本資料!$B$8+工程基本資料!$B$7+$L419+$M419-1</f>
        <v>-1</v>
      </c>
      <c r="Q419" s="9" t="e">
        <v>#N/A</v>
      </c>
    </row>
    <row r="420" spans="1:17" ht="63" customHeight="1" x14ac:dyDescent="0.3">
      <c r="A420" s="60"/>
      <c r="B420" s="61">
        <f t="shared" si="19"/>
        <v>417</v>
      </c>
      <c r="C420" s="62"/>
      <c r="D420" s="62"/>
      <c r="E420" s="68"/>
      <c r="F420" s="68"/>
      <c r="G420" s="68"/>
      <c r="H420" s="64" t="e">
        <f t="shared" si="18"/>
        <v>#N/A</v>
      </c>
      <c r="I420" s="68"/>
      <c r="J420" s="65">
        <f t="shared" si="20"/>
        <v>417</v>
      </c>
      <c r="K420" s="65">
        <f>工程基本資料!$B$7-$J420+$L420+$M420</f>
        <v>-417</v>
      </c>
      <c r="L420" s="66"/>
      <c r="M420" s="66"/>
      <c r="N420" s="66"/>
      <c r="O420" s="70"/>
      <c r="P420" s="58">
        <f>工程基本資料!$B$8+工程基本資料!$B$7+$L420+$M420-1</f>
        <v>-1</v>
      </c>
      <c r="Q420" s="9" t="e">
        <v>#N/A</v>
      </c>
    </row>
    <row r="421" spans="1:17" ht="63" customHeight="1" x14ac:dyDescent="0.3">
      <c r="A421" s="60"/>
      <c r="B421" s="61">
        <f t="shared" si="19"/>
        <v>418</v>
      </c>
      <c r="C421" s="62"/>
      <c r="D421" s="62"/>
      <c r="E421" s="68"/>
      <c r="F421" s="68"/>
      <c r="G421" s="68"/>
      <c r="H421" s="64" t="e">
        <f t="shared" si="18"/>
        <v>#N/A</v>
      </c>
      <c r="I421" s="68"/>
      <c r="J421" s="65">
        <f t="shared" si="20"/>
        <v>418</v>
      </c>
      <c r="K421" s="65">
        <f>工程基本資料!$B$7-$J421+$L421+$M421</f>
        <v>-418</v>
      </c>
      <c r="L421" s="66"/>
      <c r="M421" s="66"/>
      <c r="N421" s="66"/>
      <c r="O421" s="70"/>
      <c r="P421" s="58">
        <f>工程基本資料!$B$8+工程基本資料!$B$7+$L421+$M421-1</f>
        <v>-1</v>
      </c>
      <c r="Q421" s="9" t="e">
        <v>#N/A</v>
      </c>
    </row>
    <row r="422" spans="1:17" ht="63" customHeight="1" x14ac:dyDescent="0.3">
      <c r="A422" s="60"/>
      <c r="B422" s="61">
        <f t="shared" si="19"/>
        <v>419</v>
      </c>
      <c r="C422" s="62"/>
      <c r="D422" s="62"/>
      <c r="E422" s="68"/>
      <c r="F422" s="68"/>
      <c r="G422" s="68"/>
      <c r="H422" s="64" t="e">
        <f t="shared" si="18"/>
        <v>#N/A</v>
      </c>
      <c r="I422" s="68"/>
      <c r="J422" s="65">
        <f t="shared" si="20"/>
        <v>419</v>
      </c>
      <c r="K422" s="65">
        <f>工程基本資料!$B$7-$J422+$L422+$M422</f>
        <v>-419</v>
      </c>
      <c r="L422" s="66"/>
      <c r="M422" s="66"/>
      <c r="N422" s="66"/>
      <c r="O422" s="70"/>
      <c r="P422" s="58">
        <f>工程基本資料!$B$8+工程基本資料!$B$7+$L422+$M422-1</f>
        <v>-1</v>
      </c>
      <c r="Q422" s="9" t="e">
        <v>#N/A</v>
      </c>
    </row>
    <row r="423" spans="1:17" ht="63" customHeight="1" x14ac:dyDescent="0.3">
      <c r="A423" s="60"/>
      <c r="B423" s="61">
        <f t="shared" si="19"/>
        <v>420</v>
      </c>
      <c r="C423" s="62"/>
      <c r="D423" s="62"/>
      <c r="E423" s="68"/>
      <c r="F423" s="68"/>
      <c r="G423" s="68"/>
      <c r="H423" s="64" t="e">
        <f t="shared" si="18"/>
        <v>#N/A</v>
      </c>
      <c r="I423" s="68"/>
      <c r="J423" s="65">
        <f t="shared" si="20"/>
        <v>420</v>
      </c>
      <c r="K423" s="65">
        <f>工程基本資料!$B$7-$J423+$L423+$M423</f>
        <v>-420</v>
      </c>
      <c r="L423" s="66"/>
      <c r="M423" s="66"/>
      <c r="N423" s="66"/>
      <c r="O423" s="70"/>
      <c r="P423" s="58">
        <f>工程基本資料!$B$8+工程基本資料!$B$7+$L423+$M423-1</f>
        <v>-1</v>
      </c>
      <c r="Q423" s="9" t="e">
        <v>#N/A</v>
      </c>
    </row>
    <row r="424" spans="1:17" ht="63" customHeight="1" x14ac:dyDescent="0.3">
      <c r="A424" s="60"/>
      <c r="B424" s="61">
        <f t="shared" si="19"/>
        <v>421</v>
      </c>
      <c r="C424" s="62"/>
      <c r="D424" s="62"/>
      <c r="E424" s="68"/>
      <c r="F424" s="68"/>
      <c r="G424" s="68"/>
      <c r="H424" s="64" t="e">
        <f t="shared" si="18"/>
        <v>#N/A</v>
      </c>
      <c r="I424" s="68"/>
      <c r="J424" s="65">
        <f t="shared" si="20"/>
        <v>421</v>
      </c>
      <c r="K424" s="65">
        <f>工程基本資料!$B$7-$J424+$L424+$M424</f>
        <v>-421</v>
      </c>
      <c r="L424" s="66"/>
      <c r="M424" s="66"/>
      <c r="N424" s="66"/>
      <c r="O424" s="70"/>
      <c r="P424" s="58">
        <f>工程基本資料!$B$8+工程基本資料!$B$7+$L424+$M424-1</f>
        <v>-1</v>
      </c>
      <c r="Q424" s="9" t="e">
        <v>#N/A</v>
      </c>
    </row>
    <row r="425" spans="1:17" ht="63" customHeight="1" x14ac:dyDescent="0.3">
      <c r="A425" s="60"/>
      <c r="B425" s="61">
        <f t="shared" si="19"/>
        <v>422</v>
      </c>
      <c r="C425" s="62"/>
      <c r="D425" s="62"/>
      <c r="E425" s="68"/>
      <c r="F425" s="68"/>
      <c r="G425" s="68"/>
      <c r="H425" s="64" t="e">
        <f t="shared" si="18"/>
        <v>#N/A</v>
      </c>
      <c r="I425" s="68"/>
      <c r="J425" s="65">
        <f t="shared" si="20"/>
        <v>422</v>
      </c>
      <c r="K425" s="65">
        <f>工程基本資料!$B$7-$J425+$L425+$M425</f>
        <v>-422</v>
      </c>
      <c r="L425" s="66"/>
      <c r="M425" s="66"/>
      <c r="N425" s="66"/>
      <c r="O425" s="70"/>
      <c r="P425" s="58">
        <f>工程基本資料!$B$8+工程基本資料!$B$7+$L425+$M425-1</f>
        <v>-1</v>
      </c>
      <c r="Q425" s="9" t="e">
        <v>#N/A</v>
      </c>
    </row>
    <row r="426" spans="1:17" ht="63" customHeight="1" x14ac:dyDescent="0.3">
      <c r="A426" s="60"/>
      <c r="B426" s="61">
        <f t="shared" si="19"/>
        <v>423</v>
      </c>
      <c r="C426" s="62"/>
      <c r="D426" s="62"/>
      <c r="E426" s="68"/>
      <c r="F426" s="68"/>
      <c r="G426" s="68"/>
      <c r="H426" s="64" t="e">
        <f t="shared" si="18"/>
        <v>#N/A</v>
      </c>
      <c r="I426" s="68"/>
      <c r="J426" s="65">
        <f t="shared" si="20"/>
        <v>423</v>
      </c>
      <c r="K426" s="65">
        <f>工程基本資料!$B$7-$J426+$L426+$M426</f>
        <v>-423</v>
      </c>
      <c r="L426" s="66"/>
      <c r="M426" s="66"/>
      <c r="N426" s="66"/>
      <c r="O426" s="70"/>
      <c r="P426" s="58">
        <f>工程基本資料!$B$8+工程基本資料!$B$7+$L426+$M426-1</f>
        <v>-1</v>
      </c>
      <c r="Q426" s="9" t="e">
        <v>#N/A</v>
      </c>
    </row>
    <row r="427" spans="1:17" ht="63" customHeight="1" x14ac:dyDescent="0.3">
      <c r="A427" s="60"/>
      <c r="B427" s="61">
        <f t="shared" si="19"/>
        <v>424</v>
      </c>
      <c r="C427" s="62"/>
      <c r="D427" s="62"/>
      <c r="E427" s="68"/>
      <c r="F427" s="68"/>
      <c r="G427" s="68"/>
      <c r="H427" s="64" t="e">
        <f t="shared" si="18"/>
        <v>#N/A</v>
      </c>
      <c r="I427" s="68"/>
      <c r="J427" s="65">
        <f t="shared" si="20"/>
        <v>424</v>
      </c>
      <c r="K427" s="65">
        <f>工程基本資料!$B$7-$J427+$L427+$M427</f>
        <v>-424</v>
      </c>
      <c r="L427" s="66"/>
      <c r="M427" s="66"/>
      <c r="N427" s="66"/>
      <c r="O427" s="70"/>
      <c r="P427" s="58">
        <f>工程基本資料!$B$8+工程基本資料!$B$7+$L427+$M427-1</f>
        <v>-1</v>
      </c>
      <c r="Q427" s="9" t="e">
        <v>#N/A</v>
      </c>
    </row>
    <row r="428" spans="1:17" ht="63" customHeight="1" x14ac:dyDescent="0.3">
      <c r="A428" s="60"/>
      <c r="B428" s="61">
        <f t="shared" si="19"/>
        <v>425</v>
      </c>
      <c r="C428" s="62"/>
      <c r="D428" s="62"/>
      <c r="E428" s="68"/>
      <c r="F428" s="68"/>
      <c r="G428" s="68"/>
      <c r="H428" s="64" t="e">
        <f t="shared" si="18"/>
        <v>#N/A</v>
      </c>
      <c r="I428" s="68"/>
      <c r="J428" s="65">
        <f t="shared" si="20"/>
        <v>425</v>
      </c>
      <c r="K428" s="65">
        <f>工程基本資料!$B$7-$J428+$L428+$M428</f>
        <v>-425</v>
      </c>
      <c r="L428" s="66"/>
      <c r="M428" s="66"/>
      <c r="N428" s="66"/>
      <c r="O428" s="70"/>
      <c r="P428" s="58">
        <f>工程基本資料!$B$8+工程基本資料!$B$7+$L428+$M428-1</f>
        <v>-1</v>
      </c>
      <c r="Q428" s="9" t="e">
        <v>#N/A</v>
      </c>
    </row>
    <row r="429" spans="1:17" ht="63" customHeight="1" x14ac:dyDescent="0.3">
      <c r="A429" s="60"/>
      <c r="B429" s="61">
        <f t="shared" si="19"/>
        <v>426</v>
      </c>
      <c r="C429" s="62"/>
      <c r="D429" s="62"/>
      <c r="E429" s="68"/>
      <c r="F429" s="68"/>
      <c r="G429" s="68"/>
      <c r="H429" s="64" t="e">
        <f t="shared" si="18"/>
        <v>#N/A</v>
      </c>
      <c r="I429" s="68"/>
      <c r="J429" s="65">
        <f t="shared" si="20"/>
        <v>426</v>
      </c>
      <c r="K429" s="65">
        <f>工程基本資料!$B$7-$J429+$L429+$M429</f>
        <v>-426</v>
      </c>
      <c r="L429" s="66"/>
      <c r="M429" s="66"/>
      <c r="N429" s="66"/>
      <c r="O429" s="70"/>
      <c r="P429" s="58">
        <f>工程基本資料!$B$8+工程基本資料!$B$7+$L429+$M429-1</f>
        <v>-1</v>
      </c>
      <c r="Q429" s="9" t="e">
        <v>#N/A</v>
      </c>
    </row>
    <row r="430" spans="1:17" ht="63" customHeight="1" x14ac:dyDescent="0.3">
      <c r="A430" s="60"/>
      <c r="B430" s="61">
        <f t="shared" si="19"/>
        <v>427</v>
      </c>
      <c r="C430" s="62"/>
      <c r="D430" s="62"/>
      <c r="E430" s="68"/>
      <c r="F430" s="68"/>
      <c r="G430" s="68"/>
      <c r="H430" s="64" t="e">
        <f t="shared" si="18"/>
        <v>#N/A</v>
      </c>
      <c r="I430" s="68"/>
      <c r="J430" s="65">
        <f t="shared" si="20"/>
        <v>427</v>
      </c>
      <c r="K430" s="65">
        <f>工程基本資料!$B$7-$J430+$L430+$M430</f>
        <v>-427</v>
      </c>
      <c r="L430" s="66"/>
      <c r="M430" s="66"/>
      <c r="N430" s="66"/>
      <c r="O430" s="70"/>
      <c r="P430" s="58">
        <f>工程基本資料!$B$8+工程基本資料!$B$7+$L430+$M430-1</f>
        <v>-1</v>
      </c>
      <c r="Q430" s="9" t="e">
        <v>#N/A</v>
      </c>
    </row>
    <row r="431" spans="1:17" ht="63" customHeight="1" x14ac:dyDescent="0.3">
      <c r="A431" s="60"/>
      <c r="B431" s="61">
        <f t="shared" si="19"/>
        <v>428</v>
      </c>
      <c r="C431" s="62"/>
      <c r="D431" s="62"/>
      <c r="E431" s="68"/>
      <c r="F431" s="68"/>
      <c r="G431" s="68"/>
      <c r="H431" s="64" t="e">
        <f t="shared" si="18"/>
        <v>#N/A</v>
      </c>
      <c r="I431" s="68"/>
      <c r="J431" s="65">
        <f t="shared" si="20"/>
        <v>428</v>
      </c>
      <c r="K431" s="65">
        <f>工程基本資料!$B$7-$J431+$L431+$M431</f>
        <v>-428</v>
      </c>
      <c r="L431" s="66"/>
      <c r="M431" s="66"/>
      <c r="N431" s="66"/>
      <c r="O431" s="70"/>
      <c r="P431" s="58">
        <f>工程基本資料!$B$8+工程基本資料!$B$7+$L431+$M431-1</f>
        <v>-1</v>
      </c>
      <c r="Q431" s="9" t="e">
        <v>#N/A</v>
      </c>
    </row>
    <row r="432" spans="1:17" ht="63" customHeight="1" x14ac:dyDescent="0.3">
      <c r="A432" s="60"/>
      <c r="B432" s="61">
        <f t="shared" si="19"/>
        <v>429</v>
      </c>
      <c r="C432" s="62"/>
      <c r="D432" s="62"/>
      <c r="E432" s="68"/>
      <c r="F432" s="68"/>
      <c r="G432" s="68"/>
      <c r="H432" s="64" t="e">
        <f t="shared" si="18"/>
        <v>#N/A</v>
      </c>
      <c r="I432" s="68"/>
      <c r="J432" s="65">
        <f t="shared" si="20"/>
        <v>429</v>
      </c>
      <c r="K432" s="65">
        <f>工程基本資料!$B$7-$J432+$L432+$M432</f>
        <v>-429</v>
      </c>
      <c r="L432" s="66"/>
      <c r="M432" s="66"/>
      <c r="N432" s="66"/>
      <c r="O432" s="70"/>
      <c r="P432" s="58">
        <f>工程基本資料!$B$8+工程基本資料!$B$7+$L432+$M432-1</f>
        <v>-1</v>
      </c>
      <c r="Q432" s="9" t="e">
        <v>#N/A</v>
      </c>
    </row>
    <row r="433" spans="1:17" ht="63" customHeight="1" x14ac:dyDescent="0.3">
      <c r="A433" s="60"/>
      <c r="B433" s="61">
        <f t="shared" si="19"/>
        <v>430</v>
      </c>
      <c r="C433" s="62"/>
      <c r="D433" s="62"/>
      <c r="E433" s="68"/>
      <c r="F433" s="68"/>
      <c r="G433" s="68"/>
      <c r="H433" s="64" t="e">
        <f t="shared" si="18"/>
        <v>#N/A</v>
      </c>
      <c r="I433" s="68"/>
      <c r="J433" s="65">
        <f t="shared" si="20"/>
        <v>430</v>
      </c>
      <c r="K433" s="65">
        <f>工程基本資料!$B$7-$J433+$L433+$M433</f>
        <v>-430</v>
      </c>
      <c r="L433" s="66"/>
      <c r="M433" s="66"/>
      <c r="N433" s="66"/>
      <c r="O433" s="70"/>
      <c r="P433" s="58">
        <f>工程基本資料!$B$8+工程基本資料!$B$7+$L433+$M433-1</f>
        <v>-1</v>
      </c>
      <c r="Q433" s="9" t="e">
        <v>#N/A</v>
      </c>
    </row>
    <row r="434" spans="1:17" ht="63" customHeight="1" x14ac:dyDescent="0.3">
      <c r="A434" s="60"/>
      <c r="B434" s="61">
        <f t="shared" si="19"/>
        <v>431</v>
      </c>
      <c r="C434" s="62"/>
      <c r="D434" s="62"/>
      <c r="E434" s="68"/>
      <c r="F434" s="68"/>
      <c r="G434" s="68"/>
      <c r="H434" s="64" t="e">
        <f t="shared" si="18"/>
        <v>#N/A</v>
      </c>
      <c r="I434" s="68"/>
      <c r="J434" s="65">
        <f t="shared" si="20"/>
        <v>431</v>
      </c>
      <c r="K434" s="65">
        <f>工程基本資料!$B$7-$J434+$L434+$M434</f>
        <v>-431</v>
      </c>
      <c r="L434" s="66"/>
      <c r="M434" s="66"/>
      <c r="N434" s="66"/>
      <c r="O434" s="70"/>
      <c r="P434" s="58">
        <f>工程基本資料!$B$8+工程基本資料!$B$7+$L434+$M434-1</f>
        <v>-1</v>
      </c>
      <c r="Q434" s="9" t="e">
        <v>#N/A</v>
      </c>
    </row>
    <row r="435" spans="1:17" ht="63" customHeight="1" x14ac:dyDescent="0.3">
      <c r="A435" s="60"/>
      <c r="B435" s="61">
        <f t="shared" si="19"/>
        <v>432</v>
      </c>
      <c r="C435" s="62"/>
      <c r="D435" s="62"/>
      <c r="E435" s="68"/>
      <c r="F435" s="68"/>
      <c r="G435" s="68"/>
      <c r="H435" s="64" t="e">
        <f t="shared" si="18"/>
        <v>#N/A</v>
      </c>
      <c r="I435" s="68"/>
      <c r="J435" s="65">
        <f t="shared" si="20"/>
        <v>432</v>
      </c>
      <c r="K435" s="65">
        <f>工程基本資料!$B$7-$J435+$L435+$M435</f>
        <v>-432</v>
      </c>
      <c r="L435" s="66"/>
      <c r="M435" s="66"/>
      <c r="N435" s="66"/>
      <c r="O435" s="70"/>
      <c r="P435" s="58">
        <f>工程基本資料!$B$8+工程基本資料!$B$7+$L435+$M435-1</f>
        <v>-1</v>
      </c>
      <c r="Q435" s="9" t="e">
        <v>#N/A</v>
      </c>
    </row>
    <row r="436" spans="1:17" ht="63" customHeight="1" x14ac:dyDescent="0.3">
      <c r="A436" s="60"/>
      <c r="B436" s="61">
        <f t="shared" si="19"/>
        <v>433</v>
      </c>
      <c r="C436" s="62"/>
      <c r="D436" s="62"/>
      <c r="E436" s="68"/>
      <c r="F436" s="68"/>
      <c r="G436" s="68"/>
      <c r="H436" s="64" t="e">
        <f t="shared" si="18"/>
        <v>#N/A</v>
      </c>
      <c r="I436" s="68"/>
      <c r="J436" s="65">
        <f t="shared" si="20"/>
        <v>433</v>
      </c>
      <c r="K436" s="65">
        <f>工程基本資料!$B$7-$J436+$L436+$M436</f>
        <v>-433</v>
      </c>
      <c r="L436" s="66"/>
      <c r="M436" s="66"/>
      <c r="N436" s="66"/>
      <c r="O436" s="70"/>
      <c r="P436" s="58">
        <f>工程基本資料!$B$8+工程基本資料!$B$7+$L436+$M436-1</f>
        <v>-1</v>
      </c>
      <c r="Q436" s="9" t="e">
        <v>#N/A</v>
      </c>
    </row>
    <row r="437" spans="1:17" ht="63" customHeight="1" x14ac:dyDescent="0.3">
      <c r="A437" s="60"/>
      <c r="B437" s="61">
        <f t="shared" si="19"/>
        <v>434</v>
      </c>
      <c r="C437" s="62"/>
      <c r="D437" s="62"/>
      <c r="E437" s="68"/>
      <c r="F437" s="68"/>
      <c r="G437" s="68"/>
      <c r="H437" s="64" t="e">
        <f t="shared" si="18"/>
        <v>#N/A</v>
      </c>
      <c r="I437" s="68"/>
      <c r="J437" s="65">
        <f t="shared" si="20"/>
        <v>434</v>
      </c>
      <c r="K437" s="65">
        <f>工程基本資料!$B$7-$J437+$L437+$M437</f>
        <v>-434</v>
      </c>
      <c r="L437" s="66"/>
      <c r="M437" s="66"/>
      <c r="N437" s="66"/>
      <c r="O437" s="70"/>
      <c r="P437" s="58">
        <f>工程基本資料!$B$8+工程基本資料!$B$7+$L437+$M437-1</f>
        <v>-1</v>
      </c>
      <c r="Q437" s="9" t="e">
        <v>#N/A</v>
      </c>
    </row>
    <row r="438" spans="1:17" ht="63" customHeight="1" x14ac:dyDescent="0.3">
      <c r="A438" s="60"/>
      <c r="B438" s="61">
        <f t="shared" si="19"/>
        <v>435</v>
      </c>
      <c r="C438" s="62"/>
      <c r="D438" s="62"/>
      <c r="E438" s="68"/>
      <c r="F438" s="68"/>
      <c r="G438" s="68"/>
      <c r="H438" s="64" t="e">
        <f t="shared" si="18"/>
        <v>#N/A</v>
      </c>
      <c r="I438" s="68"/>
      <c r="J438" s="65">
        <f t="shared" si="20"/>
        <v>435</v>
      </c>
      <c r="K438" s="65">
        <f>工程基本資料!$B$7-$J438+$L438+$M438</f>
        <v>-435</v>
      </c>
      <c r="L438" s="66"/>
      <c r="M438" s="66"/>
      <c r="N438" s="66"/>
      <c r="O438" s="70"/>
      <c r="P438" s="58">
        <f>工程基本資料!$B$8+工程基本資料!$B$7+$L438+$M438-1</f>
        <v>-1</v>
      </c>
      <c r="Q438" s="9" t="e">
        <v>#N/A</v>
      </c>
    </row>
    <row r="439" spans="1:17" ht="63" customHeight="1" x14ac:dyDescent="0.3">
      <c r="A439" s="60"/>
      <c r="B439" s="61">
        <f t="shared" si="19"/>
        <v>436</v>
      </c>
      <c r="C439" s="62"/>
      <c r="D439" s="62"/>
      <c r="E439" s="68"/>
      <c r="F439" s="68"/>
      <c r="G439" s="68"/>
      <c r="H439" s="64" t="e">
        <f t="shared" si="18"/>
        <v>#N/A</v>
      </c>
      <c r="I439" s="68"/>
      <c r="J439" s="65">
        <f t="shared" si="20"/>
        <v>436</v>
      </c>
      <c r="K439" s="65">
        <f>工程基本資料!$B$7-$J439+$L439+$M439</f>
        <v>-436</v>
      </c>
      <c r="L439" s="66"/>
      <c r="M439" s="66"/>
      <c r="N439" s="66"/>
      <c r="O439" s="70"/>
      <c r="P439" s="58">
        <f>工程基本資料!$B$8+工程基本資料!$B$7+$L439+$M439-1</f>
        <v>-1</v>
      </c>
      <c r="Q439" s="9" t="e">
        <v>#N/A</v>
      </c>
    </row>
    <row r="440" spans="1:17" ht="63" customHeight="1" x14ac:dyDescent="0.3">
      <c r="A440" s="60"/>
      <c r="B440" s="61">
        <f t="shared" si="19"/>
        <v>437</v>
      </c>
      <c r="C440" s="62"/>
      <c r="D440" s="62"/>
      <c r="E440" s="68"/>
      <c r="F440" s="68"/>
      <c r="G440" s="68"/>
      <c r="H440" s="64" t="e">
        <f t="shared" si="18"/>
        <v>#N/A</v>
      </c>
      <c r="I440" s="68"/>
      <c r="J440" s="65">
        <f t="shared" si="20"/>
        <v>437</v>
      </c>
      <c r="K440" s="65">
        <f>工程基本資料!$B$7-$J440+$L440+$M440</f>
        <v>-437</v>
      </c>
      <c r="L440" s="66"/>
      <c r="M440" s="66"/>
      <c r="N440" s="66"/>
      <c r="O440" s="70"/>
      <c r="P440" s="58">
        <f>工程基本資料!$B$8+工程基本資料!$B$7+$L440+$M440-1</f>
        <v>-1</v>
      </c>
      <c r="Q440" s="9" t="e">
        <v>#N/A</v>
      </c>
    </row>
    <row r="441" spans="1:17" ht="63" customHeight="1" x14ac:dyDescent="0.3">
      <c r="A441" s="60"/>
      <c r="B441" s="61">
        <f t="shared" si="19"/>
        <v>438</v>
      </c>
      <c r="C441" s="62"/>
      <c r="D441" s="62"/>
      <c r="E441" s="68"/>
      <c r="F441" s="68"/>
      <c r="G441" s="68"/>
      <c r="H441" s="64" t="e">
        <f t="shared" si="18"/>
        <v>#N/A</v>
      </c>
      <c r="I441" s="68"/>
      <c r="J441" s="65">
        <f t="shared" si="20"/>
        <v>438</v>
      </c>
      <c r="K441" s="65">
        <f>工程基本資料!$B$7-$J441+$L441+$M441</f>
        <v>-438</v>
      </c>
      <c r="L441" s="66"/>
      <c r="M441" s="66"/>
      <c r="N441" s="66"/>
      <c r="O441" s="70"/>
      <c r="P441" s="58">
        <f>工程基本資料!$B$8+工程基本資料!$B$7+$L441+$M441-1</f>
        <v>-1</v>
      </c>
      <c r="Q441" s="9" t="e">
        <v>#N/A</v>
      </c>
    </row>
    <row r="442" spans="1:17" ht="63" customHeight="1" x14ac:dyDescent="0.3">
      <c r="A442" s="60"/>
      <c r="B442" s="61">
        <f t="shared" si="19"/>
        <v>439</v>
      </c>
      <c r="C442" s="62"/>
      <c r="D442" s="62"/>
      <c r="E442" s="68"/>
      <c r="F442" s="68"/>
      <c r="G442" s="68"/>
      <c r="H442" s="64" t="e">
        <f t="shared" si="18"/>
        <v>#N/A</v>
      </c>
      <c r="I442" s="68"/>
      <c r="J442" s="65">
        <f t="shared" si="20"/>
        <v>439</v>
      </c>
      <c r="K442" s="65">
        <f>工程基本資料!$B$7-$J442+$L442+$M442</f>
        <v>-439</v>
      </c>
      <c r="L442" s="66"/>
      <c r="M442" s="66"/>
      <c r="N442" s="66"/>
      <c r="O442" s="70"/>
      <c r="P442" s="58">
        <f>工程基本資料!$B$8+工程基本資料!$B$7+$L442+$M442-1</f>
        <v>-1</v>
      </c>
      <c r="Q442" s="9" t="e">
        <v>#N/A</v>
      </c>
    </row>
    <row r="443" spans="1:17" ht="63" customHeight="1" x14ac:dyDescent="0.3">
      <c r="A443" s="60"/>
      <c r="B443" s="61">
        <f t="shared" si="19"/>
        <v>440</v>
      </c>
      <c r="C443" s="62"/>
      <c r="D443" s="62"/>
      <c r="E443" s="68"/>
      <c r="F443" s="68"/>
      <c r="G443" s="68"/>
      <c r="H443" s="64" t="e">
        <f t="shared" si="18"/>
        <v>#N/A</v>
      </c>
      <c r="I443" s="68"/>
      <c r="J443" s="65">
        <f t="shared" si="20"/>
        <v>440</v>
      </c>
      <c r="K443" s="65">
        <f>工程基本資料!$B$7-$J443+$L443+$M443</f>
        <v>-440</v>
      </c>
      <c r="L443" s="66"/>
      <c r="M443" s="66"/>
      <c r="N443" s="66"/>
      <c r="O443" s="70"/>
      <c r="P443" s="58">
        <f>工程基本資料!$B$8+工程基本資料!$B$7+$L443+$M443-1</f>
        <v>-1</v>
      </c>
      <c r="Q443" s="9" t="e">
        <v>#N/A</v>
      </c>
    </row>
    <row r="444" spans="1:17" ht="63" customHeight="1" x14ac:dyDescent="0.3">
      <c r="A444" s="60"/>
      <c r="B444" s="61">
        <f t="shared" si="19"/>
        <v>441</v>
      </c>
      <c r="C444" s="62"/>
      <c r="D444" s="62"/>
      <c r="E444" s="68"/>
      <c r="F444" s="68"/>
      <c r="G444" s="68"/>
      <c r="H444" s="64" t="e">
        <f t="shared" si="18"/>
        <v>#N/A</v>
      </c>
      <c r="I444" s="68"/>
      <c r="J444" s="65">
        <f t="shared" si="20"/>
        <v>441</v>
      </c>
      <c r="K444" s="65">
        <f>工程基本資料!$B$7-$J444+$L444+$M444</f>
        <v>-441</v>
      </c>
      <c r="L444" s="66"/>
      <c r="M444" s="66"/>
      <c r="N444" s="66"/>
      <c r="O444" s="70"/>
      <c r="P444" s="58">
        <f>工程基本資料!$B$8+工程基本資料!$B$7+$L444+$M444-1</f>
        <v>-1</v>
      </c>
      <c r="Q444" s="9" t="e">
        <v>#N/A</v>
      </c>
    </row>
    <row r="445" spans="1:17" ht="63" customHeight="1" x14ac:dyDescent="0.3">
      <c r="A445" s="60"/>
      <c r="B445" s="61">
        <f t="shared" si="19"/>
        <v>442</v>
      </c>
      <c r="C445" s="62"/>
      <c r="D445" s="62"/>
      <c r="E445" s="68"/>
      <c r="F445" s="68"/>
      <c r="G445" s="68"/>
      <c r="H445" s="64" t="e">
        <f t="shared" si="18"/>
        <v>#N/A</v>
      </c>
      <c r="I445" s="68"/>
      <c r="J445" s="65">
        <f t="shared" si="20"/>
        <v>442</v>
      </c>
      <c r="K445" s="65">
        <f>工程基本資料!$B$7-$J445+$L445+$M445</f>
        <v>-442</v>
      </c>
      <c r="L445" s="66"/>
      <c r="M445" s="66"/>
      <c r="N445" s="66"/>
      <c r="O445" s="70"/>
      <c r="P445" s="58">
        <f>工程基本資料!$B$8+工程基本資料!$B$7+$L445+$M445-1</f>
        <v>-1</v>
      </c>
      <c r="Q445" s="9" t="e">
        <v>#N/A</v>
      </c>
    </row>
    <row r="446" spans="1:17" ht="63" customHeight="1" x14ac:dyDescent="0.3">
      <c r="A446" s="60"/>
      <c r="B446" s="61">
        <f t="shared" si="19"/>
        <v>443</v>
      </c>
      <c r="C446" s="62"/>
      <c r="D446" s="62"/>
      <c r="E446" s="68"/>
      <c r="F446" s="68"/>
      <c r="G446" s="68"/>
      <c r="H446" s="64" t="e">
        <f t="shared" si="18"/>
        <v>#N/A</v>
      </c>
      <c r="I446" s="68"/>
      <c r="J446" s="65">
        <f t="shared" si="20"/>
        <v>443</v>
      </c>
      <c r="K446" s="65">
        <f>工程基本資料!$B$7-$J446+$L446+$M446</f>
        <v>-443</v>
      </c>
      <c r="L446" s="66"/>
      <c r="M446" s="66"/>
      <c r="N446" s="66"/>
      <c r="O446" s="70"/>
      <c r="P446" s="58">
        <f>工程基本資料!$B$8+工程基本資料!$B$7+$L446+$M446-1</f>
        <v>-1</v>
      </c>
      <c r="Q446" s="9" t="e">
        <v>#N/A</v>
      </c>
    </row>
    <row r="447" spans="1:17" ht="63" customHeight="1" x14ac:dyDescent="0.3">
      <c r="A447" s="60"/>
      <c r="B447" s="61">
        <f t="shared" si="19"/>
        <v>444</v>
      </c>
      <c r="C447" s="62"/>
      <c r="D447" s="62"/>
      <c r="E447" s="68"/>
      <c r="F447" s="68"/>
      <c r="G447" s="68"/>
      <c r="H447" s="64" t="e">
        <f t="shared" si="18"/>
        <v>#N/A</v>
      </c>
      <c r="I447" s="68"/>
      <c r="J447" s="65">
        <f t="shared" si="20"/>
        <v>444</v>
      </c>
      <c r="K447" s="65">
        <f>工程基本資料!$B$7-$J447+$L447+$M447</f>
        <v>-444</v>
      </c>
      <c r="L447" s="66"/>
      <c r="M447" s="66"/>
      <c r="N447" s="66"/>
      <c r="O447" s="70"/>
      <c r="P447" s="58">
        <f>工程基本資料!$B$8+工程基本資料!$B$7+$L447+$M447-1</f>
        <v>-1</v>
      </c>
      <c r="Q447" s="9" t="e">
        <v>#N/A</v>
      </c>
    </row>
    <row r="448" spans="1:17" ht="63" customHeight="1" x14ac:dyDescent="0.3">
      <c r="A448" s="60"/>
      <c r="B448" s="61">
        <f t="shared" si="19"/>
        <v>445</v>
      </c>
      <c r="C448" s="62"/>
      <c r="D448" s="62"/>
      <c r="E448" s="68"/>
      <c r="F448" s="68"/>
      <c r="G448" s="68"/>
      <c r="H448" s="64" t="e">
        <f t="shared" si="18"/>
        <v>#N/A</v>
      </c>
      <c r="I448" s="68"/>
      <c r="J448" s="65">
        <f t="shared" si="20"/>
        <v>445</v>
      </c>
      <c r="K448" s="65">
        <f>工程基本資料!$B$7-$J448+$L448+$M448</f>
        <v>-445</v>
      </c>
      <c r="L448" s="66"/>
      <c r="M448" s="66"/>
      <c r="N448" s="66"/>
      <c r="O448" s="70"/>
      <c r="P448" s="58">
        <f>工程基本資料!$B$8+工程基本資料!$B$7+$L448+$M448-1</f>
        <v>-1</v>
      </c>
      <c r="Q448" s="9" t="e">
        <v>#N/A</v>
      </c>
    </row>
    <row r="449" spans="1:17" ht="63" customHeight="1" x14ac:dyDescent="0.3">
      <c r="A449" s="60"/>
      <c r="B449" s="61">
        <f t="shared" si="19"/>
        <v>446</v>
      </c>
      <c r="C449" s="62"/>
      <c r="D449" s="62"/>
      <c r="E449" s="68"/>
      <c r="F449" s="68"/>
      <c r="G449" s="68"/>
      <c r="H449" s="64" t="e">
        <f t="shared" si="18"/>
        <v>#N/A</v>
      </c>
      <c r="I449" s="68"/>
      <c r="J449" s="65">
        <f t="shared" si="20"/>
        <v>446</v>
      </c>
      <c r="K449" s="65">
        <f>工程基本資料!$B$7-$J449+$L449+$M449</f>
        <v>-446</v>
      </c>
      <c r="L449" s="66"/>
      <c r="M449" s="66"/>
      <c r="N449" s="66"/>
      <c r="O449" s="70"/>
      <c r="P449" s="58">
        <f>工程基本資料!$B$8+工程基本資料!$B$7+$L449+$M449-1</f>
        <v>-1</v>
      </c>
      <c r="Q449" s="9" t="e">
        <v>#N/A</v>
      </c>
    </row>
    <row r="450" spans="1:17" ht="63" customHeight="1" x14ac:dyDescent="0.3">
      <c r="A450" s="60"/>
      <c r="B450" s="61">
        <f t="shared" si="19"/>
        <v>447</v>
      </c>
      <c r="C450" s="62"/>
      <c r="D450" s="62"/>
      <c r="E450" s="68"/>
      <c r="F450" s="68"/>
      <c r="G450" s="68"/>
      <c r="H450" s="64" t="e">
        <f t="shared" si="18"/>
        <v>#N/A</v>
      </c>
      <c r="I450" s="68"/>
      <c r="J450" s="65">
        <f t="shared" si="20"/>
        <v>447</v>
      </c>
      <c r="K450" s="65">
        <f>工程基本資料!$B$7-$J450+$L450+$M450</f>
        <v>-447</v>
      </c>
      <c r="L450" s="66"/>
      <c r="M450" s="66"/>
      <c r="N450" s="66"/>
      <c r="O450" s="70"/>
      <c r="P450" s="58">
        <f>工程基本資料!$B$8+工程基本資料!$B$7+$L450+$M450-1</f>
        <v>-1</v>
      </c>
      <c r="Q450" s="9" t="e">
        <v>#N/A</v>
      </c>
    </row>
    <row r="451" spans="1:17" ht="63" customHeight="1" x14ac:dyDescent="0.3">
      <c r="A451" s="60"/>
      <c r="B451" s="61">
        <f t="shared" si="19"/>
        <v>448</v>
      </c>
      <c r="C451" s="62"/>
      <c r="D451" s="62"/>
      <c r="E451" s="68"/>
      <c r="F451" s="68"/>
      <c r="G451" s="68"/>
      <c r="H451" s="64" t="e">
        <f t="shared" si="18"/>
        <v>#N/A</v>
      </c>
      <c r="I451" s="68"/>
      <c r="J451" s="65">
        <f t="shared" si="20"/>
        <v>448</v>
      </c>
      <c r="K451" s="65">
        <f>工程基本資料!$B$7-$J451+$L451+$M451</f>
        <v>-448</v>
      </c>
      <c r="L451" s="66"/>
      <c r="M451" s="66"/>
      <c r="N451" s="66"/>
      <c r="O451" s="70"/>
      <c r="P451" s="58">
        <f>工程基本資料!$B$8+工程基本資料!$B$7+$L451+$M451-1</f>
        <v>-1</v>
      </c>
      <c r="Q451" s="9" t="e">
        <v>#N/A</v>
      </c>
    </row>
    <row r="452" spans="1:17" ht="63" customHeight="1" x14ac:dyDescent="0.3">
      <c r="A452" s="60"/>
      <c r="B452" s="61">
        <f t="shared" si="19"/>
        <v>449</v>
      </c>
      <c r="C452" s="62"/>
      <c r="D452" s="62"/>
      <c r="E452" s="68"/>
      <c r="F452" s="68"/>
      <c r="G452" s="68"/>
      <c r="H452" s="64" t="e">
        <f t="shared" ref="H452:H515" si="21">IF(Q452&gt;1,$R$3,$R$4)</f>
        <v>#N/A</v>
      </c>
      <c r="I452" s="68"/>
      <c r="J452" s="65">
        <f t="shared" si="20"/>
        <v>449</v>
      </c>
      <c r="K452" s="65">
        <f>工程基本資料!$B$7-$J452+$L452+$M452</f>
        <v>-449</v>
      </c>
      <c r="L452" s="66"/>
      <c r="M452" s="66"/>
      <c r="N452" s="66"/>
      <c r="O452" s="70"/>
      <c r="P452" s="58">
        <f>工程基本資料!$B$8+工程基本資料!$B$7+$L452+$M452-1</f>
        <v>-1</v>
      </c>
      <c r="Q452" s="9" t="e">
        <v>#N/A</v>
      </c>
    </row>
    <row r="453" spans="1:17" ht="63" customHeight="1" x14ac:dyDescent="0.3">
      <c r="A453" s="60"/>
      <c r="B453" s="61">
        <f t="shared" ref="B453:B516" si="22">B452+1</f>
        <v>450</v>
      </c>
      <c r="C453" s="62"/>
      <c r="D453" s="62"/>
      <c r="E453" s="68"/>
      <c r="F453" s="68"/>
      <c r="G453" s="68"/>
      <c r="H453" s="64" t="e">
        <f t="shared" si="21"/>
        <v>#N/A</v>
      </c>
      <c r="I453" s="68"/>
      <c r="J453" s="65">
        <f t="shared" ref="J453:J516" si="23">J452+1</f>
        <v>450</v>
      </c>
      <c r="K453" s="65">
        <f>工程基本資料!$B$7-$J453+$L453+$M453</f>
        <v>-450</v>
      </c>
      <c r="L453" s="66"/>
      <c r="M453" s="66"/>
      <c r="N453" s="66"/>
      <c r="O453" s="70"/>
      <c r="P453" s="58">
        <f>工程基本資料!$B$8+工程基本資料!$B$7+$L453+$M453-1</f>
        <v>-1</v>
      </c>
      <c r="Q453" s="9" t="e">
        <v>#N/A</v>
      </c>
    </row>
    <row r="454" spans="1:17" ht="63" customHeight="1" x14ac:dyDescent="0.3">
      <c r="A454" s="60"/>
      <c r="B454" s="61">
        <f t="shared" si="22"/>
        <v>451</v>
      </c>
      <c r="C454" s="62"/>
      <c r="D454" s="62"/>
      <c r="E454" s="68"/>
      <c r="F454" s="68"/>
      <c r="G454" s="68"/>
      <c r="H454" s="64" t="e">
        <f t="shared" si="21"/>
        <v>#N/A</v>
      </c>
      <c r="I454" s="68"/>
      <c r="J454" s="65">
        <f t="shared" si="23"/>
        <v>451</v>
      </c>
      <c r="K454" s="65">
        <f>工程基本資料!$B$7-$J454+$L454+$M454</f>
        <v>-451</v>
      </c>
      <c r="L454" s="66"/>
      <c r="M454" s="66"/>
      <c r="N454" s="66"/>
      <c r="O454" s="70"/>
      <c r="P454" s="58">
        <f>工程基本資料!$B$8+工程基本資料!$B$7+$L454+$M454-1</f>
        <v>-1</v>
      </c>
      <c r="Q454" s="9" t="e">
        <v>#N/A</v>
      </c>
    </row>
    <row r="455" spans="1:17" ht="63" customHeight="1" x14ac:dyDescent="0.3">
      <c r="A455" s="60"/>
      <c r="B455" s="61">
        <f t="shared" si="22"/>
        <v>452</v>
      </c>
      <c r="C455" s="62"/>
      <c r="D455" s="62"/>
      <c r="E455" s="68"/>
      <c r="F455" s="68"/>
      <c r="G455" s="68"/>
      <c r="H455" s="64" t="e">
        <f t="shared" si="21"/>
        <v>#N/A</v>
      </c>
      <c r="I455" s="68"/>
      <c r="J455" s="65">
        <f t="shared" si="23"/>
        <v>452</v>
      </c>
      <c r="K455" s="65">
        <f>工程基本資料!$B$7-$J455+$L455+$M455</f>
        <v>-452</v>
      </c>
      <c r="L455" s="66"/>
      <c r="M455" s="66"/>
      <c r="N455" s="66"/>
      <c r="O455" s="70"/>
      <c r="P455" s="58">
        <f>工程基本資料!$B$8+工程基本資料!$B$7+$L455+$M455-1</f>
        <v>-1</v>
      </c>
      <c r="Q455" s="9" t="e">
        <v>#N/A</v>
      </c>
    </row>
    <row r="456" spans="1:17" ht="63" customHeight="1" x14ac:dyDescent="0.3">
      <c r="A456" s="60"/>
      <c r="B456" s="61">
        <f t="shared" si="22"/>
        <v>453</v>
      </c>
      <c r="C456" s="62"/>
      <c r="D456" s="62"/>
      <c r="E456" s="68"/>
      <c r="F456" s="68"/>
      <c r="G456" s="68"/>
      <c r="H456" s="64" t="e">
        <f t="shared" si="21"/>
        <v>#N/A</v>
      </c>
      <c r="I456" s="68"/>
      <c r="J456" s="65">
        <f t="shared" si="23"/>
        <v>453</v>
      </c>
      <c r="K456" s="65">
        <f>工程基本資料!$B$7-$J456+$L456+$M456</f>
        <v>-453</v>
      </c>
      <c r="L456" s="66"/>
      <c r="M456" s="66"/>
      <c r="N456" s="66"/>
      <c r="O456" s="70"/>
      <c r="P456" s="58">
        <f>工程基本資料!$B$8+工程基本資料!$B$7+$L456+$M456-1</f>
        <v>-1</v>
      </c>
      <c r="Q456" s="9" t="e">
        <v>#N/A</v>
      </c>
    </row>
    <row r="457" spans="1:17" ht="63" customHeight="1" x14ac:dyDescent="0.3">
      <c r="A457" s="60"/>
      <c r="B457" s="61">
        <f t="shared" si="22"/>
        <v>454</v>
      </c>
      <c r="C457" s="62"/>
      <c r="D457" s="62"/>
      <c r="E457" s="68"/>
      <c r="F457" s="68"/>
      <c r="G457" s="68"/>
      <c r="H457" s="64" t="e">
        <f t="shared" si="21"/>
        <v>#N/A</v>
      </c>
      <c r="I457" s="68"/>
      <c r="J457" s="65">
        <f t="shared" si="23"/>
        <v>454</v>
      </c>
      <c r="K457" s="65">
        <f>工程基本資料!$B$7-$J457+$L457+$M457</f>
        <v>-454</v>
      </c>
      <c r="L457" s="66"/>
      <c r="M457" s="66"/>
      <c r="N457" s="66"/>
      <c r="O457" s="70"/>
      <c r="P457" s="58">
        <f>工程基本資料!$B$8+工程基本資料!$B$7+$L457+$M457-1</f>
        <v>-1</v>
      </c>
      <c r="Q457" s="9" t="e">
        <v>#N/A</v>
      </c>
    </row>
    <row r="458" spans="1:17" ht="63" customHeight="1" x14ac:dyDescent="0.3">
      <c r="A458" s="60"/>
      <c r="B458" s="61">
        <f t="shared" si="22"/>
        <v>455</v>
      </c>
      <c r="C458" s="62"/>
      <c r="D458" s="62"/>
      <c r="E458" s="68"/>
      <c r="F458" s="68"/>
      <c r="G458" s="68"/>
      <c r="H458" s="64" t="e">
        <f t="shared" si="21"/>
        <v>#N/A</v>
      </c>
      <c r="I458" s="68"/>
      <c r="J458" s="65">
        <f t="shared" si="23"/>
        <v>455</v>
      </c>
      <c r="K458" s="65">
        <f>工程基本資料!$B$7-$J458+$L458+$M458</f>
        <v>-455</v>
      </c>
      <c r="L458" s="66"/>
      <c r="M458" s="66"/>
      <c r="N458" s="66"/>
      <c r="O458" s="70"/>
      <c r="P458" s="58">
        <f>工程基本資料!$B$8+工程基本資料!$B$7+$L458+$M458-1</f>
        <v>-1</v>
      </c>
      <c r="Q458" s="9" t="e">
        <v>#N/A</v>
      </c>
    </row>
    <row r="459" spans="1:17" ht="63" customHeight="1" x14ac:dyDescent="0.3">
      <c r="A459" s="60"/>
      <c r="B459" s="61">
        <f t="shared" si="22"/>
        <v>456</v>
      </c>
      <c r="C459" s="62"/>
      <c r="D459" s="62"/>
      <c r="E459" s="68"/>
      <c r="F459" s="68"/>
      <c r="G459" s="68"/>
      <c r="H459" s="64" t="e">
        <f t="shared" si="21"/>
        <v>#N/A</v>
      </c>
      <c r="I459" s="68"/>
      <c r="J459" s="65">
        <f t="shared" si="23"/>
        <v>456</v>
      </c>
      <c r="K459" s="65">
        <f>工程基本資料!$B$7-$J459+$L459+$M459</f>
        <v>-456</v>
      </c>
      <c r="L459" s="66"/>
      <c r="M459" s="66"/>
      <c r="N459" s="66"/>
      <c r="O459" s="70"/>
      <c r="P459" s="58">
        <f>工程基本資料!$B$8+工程基本資料!$B$7+$L459+$M459-1</f>
        <v>-1</v>
      </c>
      <c r="Q459" s="9" t="e">
        <v>#N/A</v>
      </c>
    </row>
    <row r="460" spans="1:17" ht="63" customHeight="1" x14ac:dyDescent="0.3">
      <c r="A460" s="60"/>
      <c r="B460" s="61">
        <f t="shared" si="22"/>
        <v>457</v>
      </c>
      <c r="C460" s="62"/>
      <c r="D460" s="62"/>
      <c r="E460" s="68"/>
      <c r="F460" s="68"/>
      <c r="G460" s="68"/>
      <c r="H460" s="64" t="e">
        <f t="shared" si="21"/>
        <v>#N/A</v>
      </c>
      <c r="I460" s="68"/>
      <c r="J460" s="65">
        <f t="shared" si="23"/>
        <v>457</v>
      </c>
      <c r="K460" s="65">
        <f>工程基本資料!$B$7-$J460+$L460+$M460</f>
        <v>-457</v>
      </c>
      <c r="L460" s="66"/>
      <c r="M460" s="66"/>
      <c r="N460" s="66"/>
      <c r="O460" s="70"/>
      <c r="P460" s="58">
        <f>工程基本資料!$B$8+工程基本資料!$B$7+$L460+$M460-1</f>
        <v>-1</v>
      </c>
      <c r="Q460" s="9" t="e">
        <v>#N/A</v>
      </c>
    </row>
    <row r="461" spans="1:17" ht="63" customHeight="1" x14ac:dyDescent="0.3">
      <c r="A461" s="60"/>
      <c r="B461" s="61">
        <f t="shared" si="22"/>
        <v>458</v>
      </c>
      <c r="C461" s="62"/>
      <c r="D461" s="62"/>
      <c r="E461" s="68"/>
      <c r="F461" s="68"/>
      <c r="G461" s="68"/>
      <c r="H461" s="64" t="e">
        <f t="shared" si="21"/>
        <v>#N/A</v>
      </c>
      <c r="I461" s="68"/>
      <c r="J461" s="65">
        <f t="shared" si="23"/>
        <v>458</v>
      </c>
      <c r="K461" s="65">
        <f>工程基本資料!$B$7-$J461+$L461+$M461</f>
        <v>-458</v>
      </c>
      <c r="L461" s="66"/>
      <c r="M461" s="66"/>
      <c r="N461" s="66"/>
      <c r="O461" s="70"/>
      <c r="P461" s="58">
        <f>工程基本資料!$B$8+工程基本資料!$B$7+$L461+$M461-1</f>
        <v>-1</v>
      </c>
      <c r="Q461" s="9" t="e">
        <v>#N/A</v>
      </c>
    </row>
    <row r="462" spans="1:17" ht="63" customHeight="1" x14ac:dyDescent="0.3">
      <c r="A462" s="60"/>
      <c r="B462" s="61">
        <f t="shared" si="22"/>
        <v>459</v>
      </c>
      <c r="C462" s="62"/>
      <c r="D462" s="62"/>
      <c r="E462" s="68"/>
      <c r="F462" s="68"/>
      <c r="G462" s="68"/>
      <c r="H462" s="64" t="e">
        <f t="shared" si="21"/>
        <v>#N/A</v>
      </c>
      <c r="I462" s="68"/>
      <c r="J462" s="65">
        <f t="shared" si="23"/>
        <v>459</v>
      </c>
      <c r="K462" s="65">
        <f>工程基本資料!$B$7-$J462+$L462+$M462</f>
        <v>-459</v>
      </c>
      <c r="L462" s="66"/>
      <c r="M462" s="66"/>
      <c r="N462" s="66"/>
      <c r="O462" s="70"/>
      <c r="P462" s="58">
        <f>工程基本資料!$B$8+工程基本資料!$B$7+$L462+$M462-1</f>
        <v>-1</v>
      </c>
      <c r="Q462" s="9" t="e">
        <v>#N/A</v>
      </c>
    </row>
    <row r="463" spans="1:17" ht="63" customHeight="1" x14ac:dyDescent="0.3">
      <c r="A463" s="60"/>
      <c r="B463" s="61">
        <f t="shared" si="22"/>
        <v>460</v>
      </c>
      <c r="C463" s="62"/>
      <c r="D463" s="62"/>
      <c r="E463" s="68"/>
      <c r="F463" s="68"/>
      <c r="G463" s="68"/>
      <c r="H463" s="64" t="e">
        <f t="shared" si="21"/>
        <v>#N/A</v>
      </c>
      <c r="I463" s="68"/>
      <c r="J463" s="65">
        <f t="shared" si="23"/>
        <v>460</v>
      </c>
      <c r="K463" s="65">
        <f>工程基本資料!$B$7-$J463+$L463+$M463</f>
        <v>-460</v>
      </c>
      <c r="L463" s="66"/>
      <c r="M463" s="66"/>
      <c r="N463" s="66"/>
      <c r="O463" s="70"/>
      <c r="P463" s="58">
        <f>工程基本資料!$B$8+工程基本資料!$B$7+$L463+$M463-1</f>
        <v>-1</v>
      </c>
      <c r="Q463" s="9" t="e">
        <v>#N/A</v>
      </c>
    </row>
    <row r="464" spans="1:17" ht="63" customHeight="1" x14ac:dyDescent="0.3">
      <c r="A464" s="60"/>
      <c r="B464" s="61">
        <f t="shared" si="22"/>
        <v>461</v>
      </c>
      <c r="C464" s="62"/>
      <c r="D464" s="62"/>
      <c r="E464" s="68"/>
      <c r="F464" s="68"/>
      <c r="G464" s="68"/>
      <c r="H464" s="64" t="e">
        <f t="shared" si="21"/>
        <v>#N/A</v>
      </c>
      <c r="I464" s="68"/>
      <c r="J464" s="65">
        <f t="shared" si="23"/>
        <v>461</v>
      </c>
      <c r="K464" s="65">
        <f>工程基本資料!$B$7-$J464+$L464+$M464</f>
        <v>-461</v>
      </c>
      <c r="L464" s="66"/>
      <c r="M464" s="66"/>
      <c r="N464" s="66"/>
      <c r="O464" s="70"/>
      <c r="P464" s="58">
        <f>工程基本資料!$B$8+工程基本資料!$B$7+$L464+$M464-1</f>
        <v>-1</v>
      </c>
      <c r="Q464" s="9" t="e">
        <v>#N/A</v>
      </c>
    </row>
    <row r="465" spans="1:17" ht="63" customHeight="1" x14ac:dyDescent="0.3">
      <c r="A465" s="60"/>
      <c r="B465" s="61">
        <f t="shared" si="22"/>
        <v>462</v>
      </c>
      <c r="C465" s="62"/>
      <c r="D465" s="62"/>
      <c r="E465" s="68"/>
      <c r="F465" s="68"/>
      <c r="G465" s="68"/>
      <c r="H465" s="64" t="e">
        <f t="shared" si="21"/>
        <v>#N/A</v>
      </c>
      <c r="I465" s="68"/>
      <c r="J465" s="65">
        <f t="shared" si="23"/>
        <v>462</v>
      </c>
      <c r="K465" s="65">
        <f>工程基本資料!$B$7-$J465+$L465+$M465</f>
        <v>-462</v>
      </c>
      <c r="L465" s="66"/>
      <c r="M465" s="66"/>
      <c r="N465" s="66"/>
      <c r="O465" s="70"/>
      <c r="P465" s="58">
        <f>工程基本資料!$B$8+工程基本資料!$B$7+$L465+$M465-1</f>
        <v>-1</v>
      </c>
      <c r="Q465" s="9" t="e">
        <v>#N/A</v>
      </c>
    </row>
    <row r="466" spans="1:17" ht="63" customHeight="1" x14ac:dyDescent="0.3">
      <c r="A466" s="60"/>
      <c r="B466" s="61">
        <f t="shared" si="22"/>
        <v>463</v>
      </c>
      <c r="C466" s="62"/>
      <c r="D466" s="62"/>
      <c r="E466" s="68"/>
      <c r="F466" s="68"/>
      <c r="G466" s="68"/>
      <c r="H466" s="64" t="e">
        <f t="shared" si="21"/>
        <v>#N/A</v>
      </c>
      <c r="I466" s="68"/>
      <c r="J466" s="65">
        <f t="shared" si="23"/>
        <v>463</v>
      </c>
      <c r="K466" s="65">
        <f>工程基本資料!$B$7-$J466+$L466+$M466</f>
        <v>-463</v>
      </c>
      <c r="L466" s="66"/>
      <c r="M466" s="66"/>
      <c r="N466" s="66"/>
      <c r="O466" s="70"/>
      <c r="P466" s="58">
        <f>工程基本資料!$B$8+工程基本資料!$B$7+$L466+$M466-1</f>
        <v>-1</v>
      </c>
      <c r="Q466" s="9" t="e">
        <v>#N/A</v>
      </c>
    </row>
    <row r="467" spans="1:17" ht="63" customHeight="1" x14ac:dyDescent="0.3">
      <c r="A467" s="60"/>
      <c r="B467" s="61">
        <f t="shared" si="22"/>
        <v>464</v>
      </c>
      <c r="C467" s="62"/>
      <c r="D467" s="62"/>
      <c r="E467" s="68"/>
      <c r="F467" s="68"/>
      <c r="G467" s="68"/>
      <c r="H467" s="64" t="e">
        <f t="shared" si="21"/>
        <v>#N/A</v>
      </c>
      <c r="I467" s="68"/>
      <c r="J467" s="65">
        <f t="shared" si="23"/>
        <v>464</v>
      </c>
      <c r="K467" s="65">
        <f>工程基本資料!$B$7-$J467+$L467+$M467</f>
        <v>-464</v>
      </c>
      <c r="L467" s="66"/>
      <c r="M467" s="66"/>
      <c r="N467" s="66"/>
      <c r="O467" s="70"/>
      <c r="P467" s="58">
        <f>工程基本資料!$B$8+工程基本資料!$B$7+$L467+$M467-1</f>
        <v>-1</v>
      </c>
      <c r="Q467" s="9" t="e">
        <v>#N/A</v>
      </c>
    </row>
    <row r="468" spans="1:17" ht="63" customHeight="1" x14ac:dyDescent="0.3">
      <c r="A468" s="60"/>
      <c r="B468" s="61">
        <f t="shared" si="22"/>
        <v>465</v>
      </c>
      <c r="C468" s="62"/>
      <c r="D468" s="62"/>
      <c r="E468" s="68"/>
      <c r="F468" s="68"/>
      <c r="G468" s="68"/>
      <c r="H468" s="64" t="e">
        <f t="shared" si="21"/>
        <v>#N/A</v>
      </c>
      <c r="I468" s="68"/>
      <c r="J468" s="65">
        <f t="shared" si="23"/>
        <v>465</v>
      </c>
      <c r="K468" s="65">
        <f>工程基本資料!$B$7-$J468+$L468+$M468</f>
        <v>-465</v>
      </c>
      <c r="L468" s="66"/>
      <c r="M468" s="66"/>
      <c r="N468" s="66"/>
      <c r="O468" s="70"/>
      <c r="P468" s="58">
        <f>工程基本資料!$B$8+工程基本資料!$B$7+$L468+$M468-1</f>
        <v>-1</v>
      </c>
      <c r="Q468" s="9" t="e">
        <v>#N/A</v>
      </c>
    </row>
    <row r="469" spans="1:17" ht="63" customHeight="1" x14ac:dyDescent="0.3">
      <c r="A469" s="60"/>
      <c r="B469" s="61">
        <f t="shared" si="22"/>
        <v>466</v>
      </c>
      <c r="C469" s="62"/>
      <c r="D469" s="62"/>
      <c r="E469" s="68"/>
      <c r="F469" s="68"/>
      <c r="G469" s="68"/>
      <c r="H469" s="64" t="e">
        <f t="shared" si="21"/>
        <v>#N/A</v>
      </c>
      <c r="I469" s="68"/>
      <c r="J469" s="65">
        <f t="shared" si="23"/>
        <v>466</v>
      </c>
      <c r="K469" s="65">
        <f>工程基本資料!$B$7-$J469+$L469+$M469</f>
        <v>-466</v>
      </c>
      <c r="L469" s="66"/>
      <c r="M469" s="66"/>
      <c r="N469" s="66"/>
      <c r="O469" s="70"/>
      <c r="P469" s="58">
        <f>工程基本資料!$B$8+工程基本資料!$B$7+$L469+$M469-1</f>
        <v>-1</v>
      </c>
      <c r="Q469" s="9" t="e">
        <v>#N/A</v>
      </c>
    </row>
    <row r="470" spans="1:17" ht="63" customHeight="1" x14ac:dyDescent="0.3">
      <c r="A470" s="60"/>
      <c r="B470" s="61">
        <f t="shared" si="22"/>
        <v>467</v>
      </c>
      <c r="C470" s="62"/>
      <c r="D470" s="62"/>
      <c r="E470" s="68"/>
      <c r="F470" s="68"/>
      <c r="G470" s="68"/>
      <c r="H470" s="64" t="e">
        <f t="shared" si="21"/>
        <v>#N/A</v>
      </c>
      <c r="I470" s="68"/>
      <c r="J470" s="65">
        <f t="shared" si="23"/>
        <v>467</v>
      </c>
      <c r="K470" s="65">
        <f>工程基本資料!$B$7-$J470+$L470+$M470</f>
        <v>-467</v>
      </c>
      <c r="L470" s="66"/>
      <c r="M470" s="66"/>
      <c r="N470" s="66"/>
      <c r="O470" s="70"/>
      <c r="P470" s="58">
        <f>工程基本資料!$B$8+工程基本資料!$B$7+$L470+$M470-1</f>
        <v>-1</v>
      </c>
      <c r="Q470" s="9" t="e">
        <v>#N/A</v>
      </c>
    </row>
    <row r="471" spans="1:17" ht="63" customHeight="1" x14ac:dyDescent="0.3">
      <c r="A471" s="60"/>
      <c r="B471" s="61">
        <f t="shared" si="22"/>
        <v>468</v>
      </c>
      <c r="C471" s="62"/>
      <c r="D471" s="62"/>
      <c r="E471" s="68"/>
      <c r="F471" s="68"/>
      <c r="G471" s="68"/>
      <c r="H471" s="64" t="e">
        <f t="shared" si="21"/>
        <v>#N/A</v>
      </c>
      <c r="I471" s="68"/>
      <c r="J471" s="65">
        <f t="shared" si="23"/>
        <v>468</v>
      </c>
      <c r="K471" s="65">
        <f>工程基本資料!$B$7-$J471+$L471+$M471</f>
        <v>-468</v>
      </c>
      <c r="L471" s="66"/>
      <c r="M471" s="66"/>
      <c r="N471" s="66"/>
      <c r="O471" s="70"/>
      <c r="P471" s="58">
        <f>工程基本資料!$B$8+工程基本資料!$B$7+$L471+$M471-1</f>
        <v>-1</v>
      </c>
      <c r="Q471" s="9" t="e">
        <v>#N/A</v>
      </c>
    </row>
    <row r="472" spans="1:17" ht="63" customHeight="1" x14ac:dyDescent="0.3">
      <c r="A472" s="60"/>
      <c r="B472" s="61">
        <f t="shared" si="22"/>
        <v>469</v>
      </c>
      <c r="C472" s="62"/>
      <c r="D472" s="62"/>
      <c r="E472" s="68"/>
      <c r="F472" s="68"/>
      <c r="G472" s="68"/>
      <c r="H472" s="64" t="e">
        <f t="shared" si="21"/>
        <v>#N/A</v>
      </c>
      <c r="I472" s="68"/>
      <c r="J472" s="65">
        <f t="shared" si="23"/>
        <v>469</v>
      </c>
      <c r="K472" s="65">
        <f>工程基本資料!$B$7-$J472+$L472+$M472</f>
        <v>-469</v>
      </c>
      <c r="L472" s="66"/>
      <c r="M472" s="66"/>
      <c r="N472" s="66"/>
      <c r="O472" s="70"/>
      <c r="P472" s="58">
        <f>工程基本資料!$B$8+工程基本資料!$B$7+$L472+$M472-1</f>
        <v>-1</v>
      </c>
      <c r="Q472" s="9" t="e">
        <v>#N/A</v>
      </c>
    </row>
    <row r="473" spans="1:17" ht="63" customHeight="1" x14ac:dyDescent="0.3">
      <c r="A473" s="60"/>
      <c r="B473" s="61">
        <f t="shared" si="22"/>
        <v>470</v>
      </c>
      <c r="C473" s="62"/>
      <c r="D473" s="62"/>
      <c r="E473" s="68"/>
      <c r="F473" s="68"/>
      <c r="G473" s="68"/>
      <c r="H473" s="64" t="e">
        <f t="shared" si="21"/>
        <v>#N/A</v>
      </c>
      <c r="I473" s="68"/>
      <c r="J473" s="65">
        <f t="shared" si="23"/>
        <v>470</v>
      </c>
      <c r="K473" s="65">
        <f>工程基本資料!$B$7-$J473+$L473+$M473</f>
        <v>-470</v>
      </c>
      <c r="L473" s="66"/>
      <c r="M473" s="66"/>
      <c r="N473" s="66"/>
      <c r="O473" s="70"/>
      <c r="P473" s="58">
        <f>工程基本資料!$B$8+工程基本資料!$B$7+$L473+$M473-1</f>
        <v>-1</v>
      </c>
      <c r="Q473" s="9" t="e">
        <v>#N/A</v>
      </c>
    </row>
    <row r="474" spans="1:17" ht="63" customHeight="1" x14ac:dyDescent="0.3">
      <c r="A474" s="60"/>
      <c r="B474" s="61">
        <f t="shared" si="22"/>
        <v>471</v>
      </c>
      <c r="C474" s="62"/>
      <c r="D474" s="62"/>
      <c r="E474" s="68"/>
      <c r="F474" s="68"/>
      <c r="G474" s="68"/>
      <c r="H474" s="64" t="e">
        <f t="shared" si="21"/>
        <v>#N/A</v>
      </c>
      <c r="I474" s="68"/>
      <c r="J474" s="65">
        <f t="shared" si="23"/>
        <v>471</v>
      </c>
      <c r="K474" s="65">
        <f>工程基本資料!$B$7-$J474+$L474+$M474</f>
        <v>-471</v>
      </c>
      <c r="L474" s="66"/>
      <c r="M474" s="66"/>
      <c r="N474" s="66"/>
      <c r="O474" s="70"/>
      <c r="P474" s="58">
        <f>工程基本資料!$B$8+工程基本資料!$B$7+$L474+$M474-1</f>
        <v>-1</v>
      </c>
      <c r="Q474" s="9" t="e">
        <v>#N/A</v>
      </c>
    </row>
    <row r="475" spans="1:17" ht="63" customHeight="1" x14ac:dyDescent="0.3">
      <c r="A475" s="60"/>
      <c r="B475" s="61">
        <f t="shared" si="22"/>
        <v>472</v>
      </c>
      <c r="C475" s="62"/>
      <c r="D475" s="62"/>
      <c r="E475" s="68"/>
      <c r="F475" s="68"/>
      <c r="G475" s="68"/>
      <c r="H475" s="64" t="e">
        <f t="shared" si="21"/>
        <v>#N/A</v>
      </c>
      <c r="I475" s="68"/>
      <c r="J475" s="65">
        <f t="shared" si="23"/>
        <v>472</v>
      </c>
      <c r="K475" s="65">
        <f>工程基本資料!$B$7-$J475+$L475+$M475</f>
        <v>-472</v>
      </c>
      <c r="L475" s="66"/>
      <c r="M475" s="66"/>
      <c r="N475" s="66"/>
      <c r="O475" s="70"/>
      <c r="P475" s="58">
        <f>工程基本資料!$B$8+工程基本資料!$B$7+$L475+$M475-1</f>
        <v>-1</v>
      </c>
      <c r="Q475" s="9" t="e">
        <v>#N/A</v>
      </c>
    </row>
    <row r="476" spans="1:17" ht="63" customHeight="1" x14ac:dyDescent="0.3">
      <c r="A476" s="60"/>
      <c r="B476" s="61">
        <f t="shared" si="22"/>
        <v>473</v>
      </c>
      <c r="C476" s="62"/>
      <c r="D476" s="62"/>
      <c r="E476" s="68"/>
      <c r="F476" s="68"/>
      <c r="G476" s="68"/>
      <c r="H476" s="64" t="e">
        <f t="shared" si="21"/>
        <v>#N/A</v>
      </c>
      <c r="I476" s="68"/>
      <c r="J476" s="65">
        <f t="shared" si="23"/>
        <v>473</v>
      </c>
      <c r="K476" s="65">
        <f>工程基本資料!$B$7-$J476+$L476+$M476</f>
        <v>-473</v>
      </c>
      <c r="L476" s="66"/>
      <c r="M476" s="66"/>
      <c r="N476" s="66"/>
      <c r="O476" s="70"/>
      <c r="P476" s="58">
        <f>工程基本資料!$B$8+工程基本資料!$B$7+$L476+$M476-1</f>
        <v>-1</v>
      </c>
      <c r="Q476" s="9" t="e">
        <v>#N/A</v>
      </c>
    </row>
    <row r="477" spans="1:17" ht="63" customHeight="1" x14ac:dyDescent="0.3">
      <c r="A477" s="60"/>
      <c r="B477" s="61">
        <f t="shared" si="22"/>
        <v>474</v>
      </c>
      <c r="C477" s="62"/>
      <c r="D477" s="62"/>
      <c r="E477" s="68"/>
      <c r="F477" s="68"/>
      <c r="G477" s="68"/>
      <c r="H477" s="64" t="e">
        <f t="shared" si="21"/>
        <v>#N/A</v>
      </c>
      <c r="I477" s="68"/>
      <c r="J477" s="65">
        <f t="shared" si="23"/>
        <v>474</v>
      </c>
      <c r="K477" s="65">
        <f>工程基本資料!$B$7-$J477+$L477+$M477</f>
        <v>-474</v>
      </c>
      <c r="L477" s="66"/>
      <c r="M477" s="66"/>
      <c r="N477" s="66"/>
      <c r="O477" s="70"/>
      <c r="P477" s="58">
        <f>工程基本資料!$B$8+工程基本資料!$B$7+$L477+$M477-1</f>
        <v>-1</v>
      </c>
      <c r="Q477" s="9" t="e">
        <v>#N/A</v>
      </c>
    </row>
    <row r="478" spans="1:17" ht="63" customHeight="1" x14ac:dyDescent="0.3">
      <c r="A478" s="60"/>
      <c r="B478" s="61">
        <f t="shared" si="22"/>
        <v>475</v>
      </c>
      <c r="C478" s="62"/>
      <c r="D478" s="62"/>
      <c r="E478" s="68"/>
      <c r="F478" s="68"/>
      <c r="G478" s="68"/>
      <c r="H478" s="64" t="e">
        <f t="shared" si="21"/>
        <v>#N/A</v>
      </c>
      <c r="I478" s="68"/>
      <c r="J478" s="65">
        <f t="shared" si="23"/>
        <v>475</v>
      </c>
      <c r="K478" s="65">
        <f>工程基本資料!$B$7-$J478+$L478+$M478</f>
        <v>-475</v>
      </c>
      <c r="L478" s="66"/>
      <c r="M478" s="66"/>
      <c r="N478" s="66"/>
      <c r="O478" s="70"/>
      <c r="P478" s="58">
        <f>工程基本資料!$B$8+工程基本資料!$B$7+$L478+$M478-1</f>
        <v>-1</v>
      </c>
      <c r="Q478" s="9" t="e">
        <v>#N/A</v>
      </c>
    </row>
    <row r="479" spans="1:17" ht="63" customHeight="1" x14ac:dyDescent="0.3">
      <c r="A479" s="60"/>
      <c r="B479" s="61">
        <f t="shared" si="22"/>
        <v>476</v>
      </c>
      <c r="C479" s="62"/>
      <c r="D479" s="62"/>
      <c r="E479" s="68"/>
      <c r="F479" s="68"/>
      <c r="G479" s="68"/>
      <c r="H479" s="64" t="e">
        <f t="shared" si="21"/>
        <v>#N/A</v>
      </c>
      <c r="I479" s="68"/>
      <c r="J479" s="65">
        <f t="shared" si="23"/>
        <v>476</v>
      </c>
      <c r="K479" s="65">
        <f>工程基本資料!$B$7-$J479+$L479+$M479</f>
        <v>-476</v>
      </c>
      <c r="L479" s="66"/>
      <c r="M479" s="66"/>
      <c r="N479" s="66"/>
      <c r="O479" s="70"/>
      <c r="P479" s="58">
        <f>工程基本資料!$B$8+工程基本資料!$B$7+$L479+$M479-1</f>
        <v>-1</v>
      </c>
      <c r="Q479" s="9" t="e">
        <v>#N/A</v>
      </c>
    </row>
    <row r="480" spans="1:17" ht="63" customHeight="1" x14ac:dyDescent="0.3">
      <c r="A480" s="60"/>
      <c r="B480" s="61">
        <f t="shared" si="22"/>
        <v>477</v>
      </c>
      <c r="C480" s="62"/>
      <c r="D480" s="62"/>
      <c r="E480" s="68"/>
      <c r="F480" s="68"/>
      <c r="G480" s="68"/>
      <c r="H480" s="64" t="e">
        <f t="shared" si="21"/>
        <v>#N/A</v>
      </c>
      <c r="I480" s="68"/>
      <c r="J480" s="65">
        <f t="shared" si="23"/>
        <v>477</v>
      </c>
      <c r="K480" s="65">
        <f>工程基本資料!$B$7-$J480+$L480+$M480</f>
        <v>-477</v>
      </c>
      <c r="L480" s="66"/>
      <c r="M480" s="66"/>
      <c r="N480" s="66"/>
      <c r="O480" s="70"/>
      <c r="P480" s="58">
        <f>工程基本資料!$B$8+工程基本資料!$B$7+$L480+$M480-1</f>
        <v>-1</v>
      </c>
      <c r="Q480" s="9" t="e">
        <v>#N/A</v>
      </c>
    </row>
    <row r="481" spans="1:17" ht="63" customHeight="1" x14ac:dyDescent="0.3">
      <c r="A481" s="60"/>
      <c r="B481" s="61">
        <f t="shared" si="22"/>
        <v>478</v>
      </c>
      <c r="C481" s="62"/>
      <c r="D481" s="62"/>
      <c r="E481" s="68"/>
      <c r="F481" s="68"/>
      <c r="G481" s="68"/>
      <c r="H481" s="64" t="e">
        <f t="shared" si="21"/>
        <v>#N/A</v>
      </c>
      <c r="I481" s="68"/>
      <c r="J481" s="65">
        <f t="shared" si="23"/>
        <v>478</v>
      </c>
      <c r="K481" s="65">
        <f>工程基本資料!$B$7-$J481+$L481+$M481</f>
        <v>-478</v>
      </c>
      <c r="L481" s="66"/>
      <c r="M481" s="66"/>
      <c r="N481" s="66"/>
      <c r="O481" s="70"/>
      <c r="P481" s="58">
        <f>工程基本資料!$B$8+工程基本資料!$B$7+$L481+$M481-1</f>
        <v>-1</v>
      </c>
      <c r="Q481" s="9" t="e">
        <v>#N/A</v>
      </c>
    </row>
    <row r="482" spans="1:17" ht="63" customHeight="1" x14ac:dyDescent="0.3">
      <c r="A482" s="60"/>
      <c r="B482" s="61">
        <f t="shared" si="22"/>
        <v>479</v>
      </c>
      <c r="C482" s="62"/>
      <c r="D482" s="62"/>
      <c r="E482" s="68"/>
      <c r="F482" s="68"/>
      <c r="G482" s="68"/>
      <c r="H482" s="64" t="e">
        <f t="shared" si="21"/>
        <v>#N/A</v>
      </c>
      <c r="I482" s="68"/>
      <c r="J482" s="65">
        <f t="shared" si="23"/>
        <v>479</v>
      </c>
      <c r="K482" s="65">
        <f>工程基本資料!$B$7-$J482+$L482+$M482</f>
        <v>-479</v>
      </c>
      <c r="L482" s="66"/>
      <c r="M482" s="66"/>
      <c r="N482" s="66"/>
      <c r="O482" s="70"/>
      <c r="P482" s="58">
        <f>工程基本資料!$B$8+工程基本資料!$B$7+$L482+$M482-1</f>
        <v>-1</v>
      </c>
      <c r="Q482" s="9" t="e">
        <v>#N/A</v>
      </c>
    </row>
    <row r="483" spans="1:17" ht="63" customHeight="1" x14ac:dyDescent="0.3">
      <c r="A483" s="60"/>
      <c r="B483" s="61">
        <f t="shared" si="22"/>
        <v>480</v>
      </c>
      <c r="C483" s="62"/>
      <c r="D483" s="62"/>
      <c r="E483" s="68"/>
      <c r="F483" s="68"/>
      <c r="G483" s="68"/>
      <c r="H483" s="64" t="e">
        <f t="shared" si="21"/>
        <v>#N/A</v>
      </c>
      <c r="I483" s="68"/>
      <c r="J483" s="65">
        <f t="shared" si="23"/>
        <v>480</v>
      </c>
      <c r="K483" s="65">
        <f>工程基本資料!$B$7-$J483+$L483+$M483</f>
        <v>-480</v>
      </c>
      <c r="L483" s="66"/>
      <c r="M483" s="66"/>
      <c r="N483" s="66"/>
      <c r="O483" s="70"/>
      <c r="P483" s="58">
        <f>工程基本資料!$B$8+工程基本資料!$B$7+$L483+$M483-1</f>
        <v>-1</v>
      </c>
      <c r="Q483" s="9" t="e">
        <v>#N/A</v>
      </c>
    </row>
    <row r="484" spans="1:17" ht="63" customHeight="1" x14ac:dyDescent="0.3">
      <c r="A484" s="60"/>
      <c r="B484" s="61">
        <f t="shared" si="22"/>
        <v>481</v>
      </c>
      <c r="C484" s="62"/>
      <c r="D484" s="62"/>
      <c r="E484" s="68"/>
      <c r="F484" s="68"/>
      <c r="G484" s="68"/>
      <c r="H484" s="64" t="e">
        <f t="shared" si="21"/>
        <v>#N/A</v>
      </c>
      <c r="I484" s="68"/>
      <c r="J484" s="65">
        <f t="shared" si="23"/>
        <v>481</v>
      </c>
      <c r="K484" s="65">
        <f>工程基本資料!$B$7-$J484+$L484+$M484</f>
        <v>-481</v>
      </c>
      <c r="L484" s="66"/>
      <c r="M484" s="66"/>
      <c r="N484" s="66"/>
      <c r="O484" s="70"/>
      <c r="P484" s="58">
        <f>工程基本資料!$B$8+工程基本資料!$B$7+$L484+$M484-1</f>
        <v>-1</v>
      </c>
      <c r="Q484" s="9" t="e">
        <v>#N/A</v>
      </c>
    </row>
    <row r="485" spans="1:17" ht="63" customHeight="1" x14ac:dyDescent="0.3">
      <c r="A485" s="60"/>
      <c r="B485" s="61">
        <f t="shared" si="22"/>
        <v>482</v>
      </c>
      <c r="C485" s="62"/>
      <c r="D485" s="62"/>
      <c r="E485" s="68"/>
      <c r="F485" s="68"/>
      <c r="G485" s="68"/>
      <c r="H485" s="64" t="e">
        <f t="shared" si="21"/>
        <v>#N/A</v>
      </c>
      <c r="I485" s="68"/>
      <c r="J485" s="65">
        <f t="shared" si="23"/>
        <v>482</v>
      </c>
      <c r="K485" s="65">
        <f>工程基本資料!$B$7-$J485+$L485+$M485</f>
        <v>-482</v>
      </c>
      <c r="L485" s="66"/>
      <c r="M485" s="66"/>
      <c r="N485" s="66"/>
      <c r="O485" s="70"/>
      <c r="P485" s="58">
        <f>工程基本資料!$B$8+工程基本資料!$B$7+$L485+$M485-1</f>
        <v>-1</v>
      </c>
      <c r="Q485" s="9" t="e">
        <v>#N/A</v>
      </c>
    </row>
    <row r="486" spans="1:17" ht="63" customHeight="1" x14ac:dyDescent="0.3">
      <c r="A486" s="60"/>
      <c r="B486" s="61">
        <f t="shared" si="22"/>
        <v>483</v>
      </c>
      <c r="C486" s="62"/>
      <c r="D486" s="62"/>
      <c r="E486" s="68"/>
      <c r="F486" s="68"/>
      <c r="G486" s="68"/>
      <c r="H486" s="64" t="e">
        <f t="shared" si="21"/>
        <v>#N/A</v>
      </c>
      <c r="I486" s="68"/>
      <c r="J486" s="65">
        <f t="shared" si="23"/>
        <v>483</v>
      </c>
      <c r="K486" s="65">
        <f>工程基本資料!$B$7-$J486+$L486+$M486</f>
        <v>-483</v>
      </c>
      <c r="L486" s="66"/>
      <c r="M486" s="66"/>
      <c r="N486" s="66"/>
      <c r="O486" s="70"/>
      <c r="P486" s="58">
        <f>工程基本資料!$B$8+工程基本資料!$B$7+$L486+$M486-1</f>
        <v>-1</v>
      </c>
      <c r="Q486" s="9" t="e">
        <v>#N/A</v>
      </c>
    </row>
    <row r="487" spans="1:17" ht="63" customHeight="1" x14ac:dyDescent="0.3">
      <c r="A487" s="60"/>
      <c r="B487" s="61">
        <f t="shared" si="22"/>
        <v>484</v>
      </c>
      <c r="C487" s="62"/>
      <c r="D487" s="62"/>
      <c r="E487" s="68"/>
      <c r="F487" s="68"/>
      <c r="G487" s="68"/>
      <c r="H487" s="64" t="e">
        <f t="shared" si="21"/>
        <v>#N/A</v>
      </c>
      <c r="I487" s="68"/>
      <c r="J487" s="65">
        <f t="shared" si="23"/>
        <v>484</v>
      </c>
      <c r="K487" s="65">
        <f>工程基本資料!$B$7-$J487+$L487+$M487</f>
        <v>-484</v>
      </c>
      <c r="L487" s="66"/>
      <c r="M487" s="66"/>
      <c r="N487" s="66"/>
      <c r="O487" s="70"/>
      <c r="P487" s="58">
        <f>工程基本資料!$B$8+工程基本資料!$B$7+$L487+$M487-1</f>
        <v>-1</v>
      </c>
      <c r="Q487" s="9" t="e">
        <v>#N/A</v>
      </c>
    </row>
    <row r="488" spans="1:17" ht="63" customHeight="1" x14ac:dyDescent="0.3">
      <c r="A488" s="60"/>
      <c r="B488" s="61">
        <f t="shared" si="22"/>
        <v>485</v>
      </c>
      <c r="C488" s="62"/>
      <c r="D488" s="62"/>
      <c r="E488" s="68"/>
      <c r="F488" s="68"/>
      <c r="G488" s="68"/>
      <c r="H488" s="64" t="e">
        <f t="shared" si="21"/>
        <v>#N/A</v>
      </c>
      <c r="I488" s="68"/>
      <c r="J488" s="65">
        <f t="shared" si="23"/>
        <v>485</v>
      </c>
      <c r="K488" s="65">
        <f>工程基本資料!$B$7-$J488+$L488+$M488</f>
        <v>-485</v>
      </c>
      <c r="L488" s="66"/>
      <c r="M488" s="66"/>
      <c r="N488" s="66"/>
      <c r="O488" s="70"/>
      <c r="P488" s="58">
        <f>工程基本資料!$B$8+工程基本資料!$B$7+$L488+$M488-1</f>
        <v>-1</v>
      </c>
      <c r="Q488" s="9" t="e">
        <v>#N/A</v>
      </c>
    </row>
    <row r="489" spans="1:17" ht="63" customHeight="1" x14ac:dyDescent="0.3">
      <c r="A489" s="60"/>
      <c r="B489" s="61">
        <f t="shared" si="22"/>
        <v>486</v>
      </c>
      <c r="C489" s="62"/>
      <c r="D489" s="62"/>
      <c r="E489" s="68"/>
      <c r="F489" s="68"/>
      <c r="G489" s="68"/>
      <c r="H489" s="64" t="e">
        <f t="shared" si="21"/>
        <v>#N/A</v>
      </c>
      <c r="I489" s="68"/>
      <c r="J489" s="65">
        <f t="shared" si="23"/>
        <v>486</v>
      </c>
      <c r="K489" s="65">
        <f>工程基本資料!$B$7-$J489+$L489+$M489</f>
        <v>-486</v>
      </c>
      <c r="L489" s="66"/>
      <c r="M489" s="66"/>
      <c r="N489" s="66"/>
      <c r="O489" s="70"/>
      <c r="P489" s="58">
        <f>工程基本資料!$B$8+工程基本資料!$B$7+$L489+$M489-1</f>
        <v>-1</v>
      </c>
      <c r="Q489" s="9" t="e">
        <v>#N/A</v>
      </c>
    </row>
    <row r="490" spans="1:17" ht="63" customHeight="1" x14ac:dyDescent="0.3">
      <c r="A490" s="60"/>
      <c r="B490" s="61">
        <f t="shared" si="22"/>
        <v>487</v>
      </c>
      <c r="C490" s="62"/>
      <c r="D490" s="62"/>
      <c r="E490" s="68"/>
      <c r="F490" s="68"/>
      <c r="G490" s="68"/>
      <c r="H490" s="64" t="e">
        <f t="shared" si="21"/>
        <v>#N/A</v>
      </c>
      <c r="I490" s="68"/>
      <c r="J490" s="65">
        <f t="shared" si="23"/>
        <v>487</v>
      </c>
      <c r="K490" s="65">
        <f>工程基本資料!$B$7-$J490+$L490+$M490</f>
        <v>-487</v>
      </c>
      <c r="L490" s="66"/>
      <c r="M490" s="66"/>
      <c r="N490" s="66"/>
      <c r="O490" s="70"/>
      <c r="P490" s="58">
        <f>工程基本資料!$B$8+工程基本資料!$B$7+$L490+$M490-1</f>
        <v>-1</v>
      </c>
      <c r="Q490" s="9" t="e">
        <v>#N/A</v>
      </c>
    </row>
    <row r="491" spans="1:17" ht="63" customHeight="1" x14ac:dyDescent="0.3">
      <c r="A491" s="60"/>
      <c r="B491" s="61">
        <f t="shared" si="22"/>
        <v>488</v>
      </c>
      <c r="C491" s="62"/>
      <c r="D491" s="62"/>
      <c r="E491" s="68"/>
      <c r="F491" s="68"/>
      <c r="G491" s="68"/>
      <c r="H491" s="64" t="e">
        <f t="shared" si="21"/>
        <v>#N/A</v>
      </c>
      <c r="I491" s="68"/>
      <c r="J491" s="65">
        <f t="shared" si="23"/>
        <v>488</v>
      </c>
      <c r="K491" s="65">
        <f>工程基本資料!$B$7-$J491+$L491+$M491</f>
        <v>-488</v>
      </c>
      <c r="L491" s="66"/>
      <c r="M491" s="66"/>
      <c r="N491" s="66"/>
      <c r="O491" s="70"/>
      <c r="P491" s="58">
        <f>工程基本資料!$B$8+工程基本資料!$B$7+$L491+$M491-1</f>
        <v>-1</v>
      </c>
      <c r="Q491" s="9" t="e">
        <v>#N/A</v>
      </c>
    </row>
    <row r="492" spans="1:17" ht="63" customHeight="1" x14ac:dyDescent="0.3">
      <c r="A492" s="60"/>
      <c r="B492" s="61">
        <f t="shared" si="22"/>
        <v>489</v>
      </c>
      <c r="C492" s="62"/>
      <c r="D492" s="62"/>
      <c r="E492" s="68"/>
      <c r="F492" s="68"/>
      <c r="G492" s="68"/>
      <c r="H492" s="64" t="e">
        <f t="shared" si="21"/>
        <v>#N/A</v>
      </c>
      <c r="I492" s="68"/>
      <c r="J492" s="65">
        <f t="shared" si="23"/>
        <v>489</v>
      </c>
      <c r="K492" s="65">
        <f>工程基本資料!$B$7-$J492+$L492+$M492</f>
        <v>-489</v>
      </c>
      <c r="L492" s="66"/>
      <c r="M492" s="66"/>
      <c r="N492" s="66"/>
      <c r="O492" s="70"/>
      <c r="P492" s="58">
        <f>工程基本資料!$B$8+工程基本資料!$B$7+$L492+$M492-1</f>
        <v>-1</v>
      </c>
      <c r="Q492" s="9" t="e">
        <v>#N/A</v>
      </c>
    </row>
    <row r="493" spans="1:17" ht="63" customHeight="1" x14ac:dyDescent="0.3">
      <c r="A493" s="60"/>
      <c r="B493" s="61">
        <f t="shared" si="22"/>
        <v>490</v>
      </c>
      <c r="C493" s="62"/>
      <c r="D493" s="62"/>
      <c r="E493" s="68"/>
      <c r="F493" s="68"/>
      <c r="G493" s="68"/>
      <c r="H493" s="64" t="e">
        <f t="shared" si="21"/>
        <v>#N/A</v>
      </c>
      <c r="I493" s="68"/>
      <c r="J493" s="65">
        <f t="shared" si="23"/>
        <v>490</v>
      </c>
      <c r="K493" s="65">
        <f>工程基本資料!$B$7-$J493+$L493+$M493</f>
        <v>-490</v>
      </c>
      <c r="L493" s="66"/>
      <c r="M493" s="66"/>
      <c r="N493" s="66"/>
      <c r="O493" s="70"/>
      <c r="P493" s="58">
        <f>工程基本資料!$B$8+工程基本資料!$B$7+$L493+$M493-1</f>
        <v>-1</v>
      </c>
      <c r="Q493" s="9" t="e">
        <v>#N/A</v>
      </c>
    </row>
    <row r="494" spans="1:17" ht="63" customHeight="1" x14ac:dyDescent="0.3">
      <c r="A494" s="60"/>
      <c r="B494" s="61">
        <f t="shared" si="22"/>
        <v>491</v>
      </c>
      <c r="C494" s="62"/>
      <c r="D494" s="62"/>
      <c r="E494" s="68"/>
      <c r="F494" s="68"/>
      <c r="G494" s="68"/>
      <c r="H494" s="64" t="e">
        <f t="shared" si="21"/>
        <v>#N/A</v>
      </c>
      <c r="I494" s="68"/>
      <c r="J494" s="65">
        <f t="shared" si="23"/>
        <v>491</v>
      </c>
      <c r="K494" s="65">
        <f>工程基本資料!$B$7-$J494+$L494+$M494</f>
        <v>-491</v>
      </c>
      <c r="L494" s="66"/>
      <c r="M494" s="66"/>
      <c r="N494" s="66"/>
      <c r="O494" s="70"/>
      <c r="P494" s="58">
        <f>工程基本資料!$B$8+工程基本資料!$B$7+$L494+$M494-1</f>
        <v>-1</v>
      </c>
      <c r="Q494" s="9" t="e">
        <v>#N/A</v>
      </c>
    </row>
    <row r="495" spans="1:17" ht="63" customHeight="1" x14ac:dyDescent="0.3">
      <c r="A495" s="60"/>
      <c r="B495" s="61">
        <f t="shared" si="22"/>
        <v>492</v>
      </c>
      <c r="C495" s="62"/>
      <c r="D495" s="62"/>
      <c r="E495" s="68"/>
      <c r="F495" s="68"/>
      <c r="G495" s="68"/>
      <c r="H495" s="64" t="e">
        <f t="shared" si="21"/>
        <v>#N/A</v>
      </c>
      <c r="I495" s="68"/>
      <c r="J495" s="65">
        <f t="shared" si="23"/>
        <v>492</v>
      </c>
      <c r="K495" s="65">
        <f>工程基本資料!$B$7-$J495+$L495+$M495</f>
        <v>-492</v>
      </c>
      <c r="L495" s="66"/>
      <c r="M495" s="66"/>
      <c r="N495" s="66"/>
      <c r="O495" s="70"/>
      <c r="P495" s="58">
        <f>工程基本資料!$B$8+工程基本資料!$B$7+$L495+$M495-1</f>
        <v>-1</v>
      </c>
      <c r="Q495" s="9" t="e">
        <v>#N/A</v>
      </c>
    </row>
    <row r="496" spans="1:17" ht="63" customHeight="1" x14ac:dyDescent="0.3">
      <c r="A496" s="60"/>
      <c r="B496" s="61">
        <f t="shared" si="22"/>
        <v>493</v>
      </c>
      <c r="C496" s="62"/>
      <c r="D496" s="62"/>
      <c r="E496" s="68"/>
      <c r="F496" s="68"/>
      <c r="G496" s="68"/>
      <c r="H496" s="64" t="e">
        <f t="shared" si="21"/>
        <v>#N/A</v>
      </c>
      <c r="I496" s="68"/>
      <c r="J496" s="65">
        <f t="shared" si="23"/>
        <v>493</v>
      </c>
      <c r="K496" s="65">
        <f>工程基本資料!$B$7-$J496+$L496+$M496</f>
        <v>-493</v>
      </c>
      <c r="L496" s="66"/>
      <c r="M496" s="66"/>
      <c r="N496" s="66"/>
      <c r="O496" s="70"/>
      <c r="P496" s="58">
        <f>工程基本資料!$B$8+工程基本資料!$B$7+$L496+$M496-1</f>
        <v>-1</v>
      </c>
      <c r="Q496" s="9" t="e">
        <v>#N/A</v>
      </c>
    </row>
    <row r="497" spans="1:17" ht="63" customHeight="1" x14ac:dyDescent="0.3">
      <c r="A497" s="60"/>
      <c r="B497" s="61">
        <f t="shared" si="22"/>
        <v>494</v>
      </c>
      <c r="C497" s="62"/>
      <c r="D497" s="62"/>
      <c r="E497" s="68"/>
      <c r="F497" s="68"/>
      <c r="G497" s="68"/>
      <c r="H497" s="64" t="e">
        <f t="shared" si="21"/>
        <v>#N/A</v>
      </c>
      <c r="I497" s="68"/>
      <c r="J497" s="65">
        <f t="shared" si="23"/>
        <v>494</v>
      </c>
      <c r="K497" s="65">
        <f>工程基本資料!$B$7-$J497+$L497+$M497</f>
        <v>-494</v>
      </c>
      <c r="L497" s="66"/>
      <c r="M497" s="66"/>
      <c r="N497" s="66"/>
      <c r="O497" s="70"/>
      <c r="P497" s="58">
        <f>工程基本資料!$B$8+工程基本資料!$B$7+$L497+$M497-1</f>
        <v>-1</v>
      </c>
      <c r="Q497" s="9" t="e">
        <v>#N/A</v>
      </c>
    </row>
    <row r="498" spans="1:17" ht="63" customHeight="1" x14ac:dyDescent="0.3">
      <c r="A498" s="60"/>
      <c r="B498" s="61">
        <f t="shared" si="22"/>
        <v>495</v>
      </c>
      <c r="C498" s="62"/>
      <c r="D498" s="62"/>
      <c r="E498" s="68"/>
      <c r="F498" s="68"/>
      <c r="G498" s="68"/>
      <c r="H498" s="64" t="e">
        <f t="shared" si="21"/>
        <v>#N/A</v>
      </c>
      <c r="I498" s="68"/>
      <c r="J498" s="65">
        <f t="shared" si="23"/>
        <v>495</v>
      </c>
      <c r="K498" s="65">
        <f>工程基本資料!$B$7-$J498+$L498+$M498</f>
        <v>-495</v>
      </c>
      <c r="L498" s="66"/>
      <c r="M498" s="66"/>
      <c r="N498" s="66"/>
      <c r="O498" s="70"/>
      <c r="P498" s="58">
        <f>工程基本資料!$B$8+工程基本資料!$B$7+$L498+$M498-1</f>
        <v>-1</v>
      </c>
      <c r="Q498" s="9" t="e">
        <v>#N/A</v>
      </c>
    </row>
    <row r="499" spans="1:17" ht="63" customHeight="1" x14ac:dyDescent="0.3">
      <c r="A499" s="60"/>
      <c r="B499" s="61">
        <f t="shared" si="22"/>
        <v>496</v>
      </c>
      <c r="C499" s="62"/>
      <c r="D499" s="62"/>
      <c r="E499" s="68"/>
      <c r="F499" s="68"/>
      <c r="G499" s="68"/>
      <c r="H499" s="64" t="e">
        <f t="shared" si="21"/>
        <v>#N/A</v>
      </c>
      <c r="I499" s="68"/>
      <c r="J499" s="65">
        <f t="shared" si="23"/>
        <v>496</v>
      </c>
      <c r="K499" s="65">
        <f>工程基本資料!$B$7-$J499+$L499+$M499</f>
        <v>-496</v>
      </c>
      <c r="L499" s="66"/>
      <c r="M499" s="66"/>
      <c r="N499" s="66"/>
      <c r="O499" s="70"/>
      <c r="P499" s="58">
        <f>工程基本資料!$B$8+工程基本資料!$B$7+$L499+$M499-1</f>
        <v>-1</v>
      </c>
      <c r="Q499" s="9" t="e">
        <v>#N/A</v>
      </c>
    </row>
    <row r="500" spans="1:17" ht="63" customHeight="1" x14ac:dyDescent="0.3">
      <c r="A500" s="60"/>
      <c r="B500" s="61">
        <f t="shared" si="22"/>
        <v>497</v>
      </c>
      <c r="C500" s="62"/>
      <c r="D500" s="62"/>
      <c r="E500" s="68"/>
      <c r="F500" s="68"/>
      <c r="G500" s="68"/>
      <c r="H500" s="64" t="e">
        <f t="shared" si="21"/>
        <v>#N/A</v>
      </c>
      <c r="I500" s="68"/>
      <c r="J500" s="65">
        <f t="shared" si="23"/>
        <v>497</v>
      </c>
      <c r="K500" s="65">
        <f>工程基本資料!$B$7-$J500+$L500+$M500</f>
        <v>-497</v>
      </c>
      <c r="L500" s="66"/>
      <c r="M500" s="66"/>
      <c r="N500" s="66"/>
      <c r="O500" s="70"/>
      <c r="P500" s="58">
        <f>工程基本資料!$B$8+工程基本資料!$B$7+$L500+$M500-1</f>
        <v>-1</v>
      </c>
      <c r="Q500" s="9" t="e">
        <v>#N/A</v>
      </c>
    </row>
    <row r="501" spans="1:17" ht="63" customHeight="1" x14ac:dyDescent="0.3">
      <c r="A501" s="60"/>
      <c r="B501" s="61">
        <f t="shared" si="22"/>
        <v>498</v>
      </c>
      <c r="C501" s="62"/>
      <c r="D501" s="62"/>
      <c r="E501" s="68"/>
      <c r="F501" s="68"/>
      <c r="G501" s="68"/>
      <c r="H501" s="64" t="e">
        <f t="shared" si="21"/>
        <v>#N/A</v>
      </c>
      <c r="I501" s="68"/>
      <c r="J501" s="65">
        <f t="shared" si="23"/>
        <v>498</v>
      </c>
      <c r="K501" s="65">
        <f>工程基本資料!$B$7-$J501+$L501+$M501</f>
        <v>-498</v>
      </c>
      <c r="L501" s="66"/>
      <c r="M501" s="66"/>
      <c r="N501" s="66"/>
      <c r="O501" s="70"/>
      <c r="P501" s="58">
        <f>工程基本資料!$B$8+工程基本資料!$B$7+$L501+$M501-1</f>
        <v>-1</v>
      </c>
      <c r="Q501" s="9" t="e">
        <v>#N/A</v>
      </c>
    </row>
    <row r="502" spans="1:17" ht="63" customHeight="1" x14ac:dyDescent="0.3">
      <c r="A502" s="60"/>
      <c r="B502" s="61">
        <f t="shared" si="22"/>
        <v>499</v>
      </c>
      <c r="C502" s="62"/>
      <c r="D502" s="62"/>
      <c r="E502" s="68"/>
      <c r="F502" s="68"/>
      <c r="G502" s="68"/>
      <c r="H502" s="64" t="e">
        <f t="shared" si="21"/>
        <v>#N/A</v>
      </c>
      <c r="I502" s="68"/>
      <c r="J502" s="65">
        <f t="shared" si="23"/>
        <v>499</v>
      </c>
      <c r="K502" s="65">
        <f>工程基本資料!$B$7-$J502+$L502+$M502</f>
        <v>-499</v>
      </c>
      <c r="L502" s="66"/>
      <c r="M502" s="66"/>
      <c r="N502" s="66"/>
      <c r="O502" s="70"/>
      <c r="P502" s="58">
        <f>工程基本資料!$B$8+工程基本資料!$B$7+$L502+$M502-1</f>
        <v>-1</v>
      </c>
      <c r="Q502" s="9" t="e">
        <v>#N/A</v>
      </c>
    </row>
    <row r="503" spans="1:17" ht="63" customHeight="1" x14ac:dyDescent="0.3">
      <c r="A503" s="60"/>
      <c r="B503" s="61">
        <f t="shared" si="22"/>
        <v>500</v>
      </c>
      <c r="C503" s="62"/>
      <c r="D503" s="62"/>
      <c r="E503" s="68"/>
      <c r="F503" s="68"/>
      <c r="G503" s="68"/>
      <c r="H503" s="64" t="e">
        <f t="shared" si="21"/>
        <v>#N/A</v>
      </c>
      <c r="I503" s="68"/>
      <c r="J503" s="65">
        <f t="shared" si="23"/>
        <v>500</v>
      </c>
      <c r="K503" s="65">
        <f>工程基本資料!$B$7-$J503+$L503+$M503</f>
        <v>-500</v>
      </c>
      <c r="L503" s="66"/>
      <c r="M503" s="66"/>
      <c r="N503" s="66"/>
      <c r="O503" s="70"/>
      <c r="P503" s="58">
        <f>工程基本資料!$B$8+工程基本資料!$B$7+$L503+$M503-1</f>
        <v>-1</v>
      </c>
      <c r="Q503" s="9" t="e">
        <v>#N/A</v>
      </c>
    </row>
    <row r="504" spans="1:17" ht="63" customHeight="1" x14ac:dyDescent="0.3">
      <c r="A504" s="60"/>
      <c r="B504" s="61">
        <f t="shared" si="22"/>
        <v>501</v>
      </c>
      <c r="C504" s="62"/>
      <c r="D504" s="62"/>
      <c r="E504" s="68"/>
      <c r="F504" s="68"/>
      <c r="G504" s="68"/>
      <c r="H504" s="64" t="e">
        <f t="shared" si="21"/>
        <v>#N/A</v>
      </c>
      <c r="I504" s="68"/>
      <c r="J504" s="65">
        <f t="shared" si="23"/>
        <v>501</v>
      </c>
      <c r="K504" s="65">
        <f>工程基本資料!$B$7-$J504+$L504+$M504</f>
        <v>-501</v>
      </c>
      <c r="L504" s="66"/>
      <c r="M504" s="66"/>
      <c r="N504" s="66"/>
      <c r="O504" s="70"/>
      <c r="P504" s="58">
        <f>工程基本資料!$B$8+工程基本資料!$B$7+$L504+$M504-1</f>
        <v>-1</v>
      </c>
      <c r="Q504" s="9" t="e">
        <v>#N/A</v>
      </c>
    </row>
    <row r="505" spans="1:17" ht="63" customHeight="1" x14ac:dyDescent="0.3">
      <c r="A505" s="60"/>
      <c r="B505" s="61">
        <f t="shared" si="22"/>
        <v>502</v>
      </c>
      <c r="C505" s="62"/>
      <c r="D505" s="62"/>
      <c r="E505" s="68"/>
      <c r="F505" s="68"/>
      <c r="G505" s="68"/>
      <c r="H505" s="64" t="e">
        <f t="shared" si="21"/>
        <v>#N/A</v>
      </c>
      <c r="I505" s="68"/>
      <c r="J505" s="65">
        <f t="shared" si="23"/>
        <v>502</v>
      </c>
      <c r="K505" s="65">
        <f>工程基本資料!$B$7-$J505+$L505+$M505</f>
        <v>-502</v>
      </c>
      <c r="L505" s="66"/>
      <c r="M505" s="66"/>
      <c r="N505" s="66"/>
      <c r="O505" s="70"/>
      <c r="P505" s="58">
        <f>工程基本資料!$B$8+工程基本資料!$B$7+$L505+$M505-1</f>
        <v>-1</v>
      </c>
      <c r="Q505" s="9" t="e">
        <v>#N/A</v>
      </c>
    </row>
    <row r="506" spans="1:17" ht="63" customHeight="1" x14ac:dyDescent="0.3">
      <c r="A506" s="60"/>
      <c r="B506" s="61">
        <f t="shared" si="22"/>
        <v>503</v>
      </c>
      <c r="C506" s="62"/>
      <c r="D506" s="62"/>
      <c r="E506" s="68"/>
      <c r="F506" s="68"/>
      <c r="G506" s="68"/>
      <c r="H506" s="64" t="e">
        <f t="shared" si="21"/>
        <v>#N/A</v>
      </c>
      <c r="I506" s="68"/>
      <c r="J506" s="65">
        <f t="shared" si="23"/>
        <v>503</v>
      </c>
      <c r="K506" s="65">
        <f>工程基本資料!$B$7-$J506+$L506+$M506</f>
        <v>-503</v>
      </c>
      <c r="L506" s="66"/>
      <c r="M506" s="66"/>
      <c r="N506" s="66"/>
      <c r="O506" s="70"/>
      <c r="P506" s="58">
        <f>工程基本資料!$B$8+工程基本資料!$B$7+$L506+$M506-1</f>
        <v>-1</v>
      </c>
      <c r="Q506" s="9" t="e">
        <v>#N/A</v>
      </c>
    </row>
    <row r="507" spans="1:17" ht="63" customHeight="1" x14ac:dyDescent="0.3">
      <c r="A507" s="60"/>
      <c r="B507" s="61">
        <f t="shared" si="22"/>
        <v>504</v>
      </c>
      <c r="C507" s="62"/>
      <c r="D507" s="62"/>
      <c r="E507" s="68"/>
      <c r="F507" s="68"/>
      <c r="G507" s="68"/>
      <c r="H507" s="64" t="e">
        <f t="shared" si="21"/>
        <v>#N/A</v>
      </c>
      <c r="I507" s="68"/>
      <c r="J507" s="65">
        <f t="shared" si="23"/>
        <v>504</v>
      </c>
      <c r="K507" s="65">
        <f>工程基本資料!$B$7-$J507+$L507+$M507</f>
        <v>-504</v>
      </c>
      <c r="L507" s="66"/>
      <c r="M507" s="66"/>
      <c r="N507" s="66"/>
      <c r="O507" s="70"/>
      <c r="P507" s="58">
        <f>工程基本資料!$B$8+工程基本資料!$B$7+$L507+$M507-1</f>
        <v>-1</v>
      </c>
      <c r="Q507" s="9" t="e">
        <v>#N/A</v>
      </c>
    </row>
    <row r="508" spans="1:17" ht="63" customHeight="1" x14ac:dyDescent="0.3">
      <c r="A508" s="60"/>
      <c r="B508" s="61">
        <f t="shared" si="22"/>
        <v>505</v>
      </c>
      <c r="C508" s="62"/>
      <c r="D508" s="62"/>
      <c r="E508" s="68"/>
      <c r="F508" s="68"/>
      <c r="G508" s="68"/>
      <c r="H508" s="64" t="e">
        <f t="shared" si="21"/>
        <v>#N/A</v>
      </c>
      <c r="I508" s="68"/>
      <c r="J508" s="65">
        <f t="shared" si="23"/>
        <v>505</v>
      </c>
      <c r="K508" s="65">
        <f>工程基本資料!$B$7-$J508+$L508+$M508</f>
        <v>-505</v>
      </c>
      <c r="L508" s="66"/>
      <c r="M508" s="66"/>
      <c r="N508" s="66"/>
      <c r="O508" s="70"/>
      <c r="P508" s="58">
        <f>工程基本資料!$B$8+工程基本資料!$B$7+$L508+$M508-1</f>
        <v>-1</v>
      </c>
      <c r="Q508" s="9" t="e">
        <v>#N/A</v>
      </c>
    </row>
    <row r="509" spans="1:17" ht="63" customHeight="1" x14ac:dyDescent="0.3">
      <c r="A509" s="60"/>
      <c r="B509" s="61">
        <f t="shared" si="22"/>
        <v>506</v>
      </c>
      <c r="C509" s="62"/>
      <c r="D509" s="62"/>
      <c r="E509" s="68"/>
      <c r="F509" s="68"/>
      <c r="G509" s="68"/>
      <c r="H509" s="64" t="e">
        <f t="shared" si="21"/>
        <v>#N/A</v>
      </c>
      <c r="I509" s="68"/>
      <c r="J509" s="65">
        <f t="shared" si="23"/>
        <v>506</v>
      </c>
      <c r="K509" s="65">
        <f>工程基本資料!$B$7-$J509+$L509+$M509</f>
        <v>-506</v>
      </c>
      <c r="L509" s="66"/>
      <c r="M509" s="66"/>
      <c r="N509" s="66"/>
      <c r="O509" s="70"/>
      <c r="P509" s="58">
        <f>工程基本資料!$B$8+工程基本資料!$B$7+$L509+$M509-1</f>
        <v>-1</v>
      </c>
      <c r="Q509" s="9" t="e">
        <v>#N/A</v>
      </c>
    </row>
    <row r="510" spans="1:17" ht="63" customHeight="1" x14ac:dyDescent="0.3">
      <c r="A510" s="60"/>
      <c r="B510" s="61">
        <f t="shared" si="22"/>
        <v>507</v>
      </c>
      <c r="C510" s="62"/>
      <c r="D510" s="62"/>
      <c r="E510" s="68"/>
      <c r="F510" s="68"/>
      <c r="G510" s="68"/>
      <c r="H510" s="64" t="e">
        <f t="shared" si="21"/>
        <v>#N/A</v>
      </c>
      <c r="I510" s="68"/>
      <c r="J510" s="65">
        <f t="shared" si="23"/>
        <v>507</v>
      </c>
      <c r="K510" s="65">
        <f>工程基本資料!$B$7-$J510+$L510+$M510</f>
        <v>-507</v>
      </c>
      <c r="L510" s="66"/>
      <c r="M510" s="66"/>
      <c r="N510" s="66"/>
      <c r="O510" s="70"/>
      <c r="P510" s="58">
        <f>工程基本資料!$B$8+工程基本資料!$B$7+$L510+$M510-1</f>
        <v>-1</v>
      </c>
      <c r="Q510" s="9" t="e">
        <v>#N/A</v>
      </c>
    </row>
    <row r="511" spans="1:17" ht="63" customHeight="1" x14ac:dyDescent="0.3">
      <c r="A511" s="60"/>
      <c r="B511" s="61">
        <f t="shared" si="22"/>
        <v>508</v>
      </c>
      <c r="C511" s="62"/>
      <c r="D511" s="62"/>
      <c r="E511" s="68"/>
      <c r="F511" s="68"/>
      <c r="G511" s="68"/>
      <c r="H511" s="64" t="e">
        <f t="shared" si="21"/>
        <v>#N/A</v>
      </c>
      <c r="I511" s="68"/>
      <c r="J511" s="65">
        <f t="shared" si="23"/>
        <v>508</v>
      </c>
      <c r="K511" s="65">
        <f>工程基本資料!$B$7-$J511+$L511+$M511</f>
        <v>-508</v>
      </c>
      <c r="L511" s="66"/>
      <c r="M511" s="66"/>
      <c r="N511" s="66"/>
      <c r="O511" s="70"/>
      <c r="P511" s="58">
        <f>工程基本資料!$B$8+工程基本資料!$B$7+$L511+$M511-1</f>
        <v>-1</v>
      </c>
      <c r="Q511" s="9" t="e">
        <v>#N/A</v>
      </c>
    </row>
    <row r="512" spans="1:17" ht="63" customHeight="1" x14ac:dyDescent="0.3">
      <c r="A512" s="60"/>
      <c r="B512" s="61">
        <f t="shared" si="22"/>
        <v>509</v>
      </c>
      <c r="C512" s="62"/>
      <c r="D512" s="62"/>
      <c r="E512" s="68"/>
      <c r="F512" s="68"/>
      <c r="G512" s="68"/>
      <c r="H512" s="64" t="e">
        <f t="shared" si="21"/>
        <v>#N/A</v>
      </c>
      <c r="I512" s="68"/>
      <c r="J512" s="65">
        <f t="shared" si="23"/>
        <v>509</v>
      </c>
      <c r="K512" s="65">
        <f>工程基本資料!$B$7-$J512+$L512+$M512</f>
        <v>-509</v>
      </c>
      <c r="L512" s="66"/>
      <c r="M512" s="66"/>
      <c r="N512" s="66"/>
      <c r="O512" s="70"/>
      <c r="P512" s="58">
        <f>工程基本資料!$B$8+工程基本資料!$B$7+$L512+$M512-1</f>
        <v>-1</v>
      </c>
      <c r="Q512" s="9" t="e">
        <v>#N/A</v>
      </c>
    </row>
    <row r="513" spans="1:17" ht="63" customHeight="1" x14ac:dyDescent="0.3">
      <c r="A513" s="60"/>
      <c r="B513" s="61">
        <f t="shared" si="22"/>
        <v>510</v>
      </c>
      <c r="C513" s="62"/>
      <c r="D513" s="62"/>
      <c r="E513" s="68"/>
      <c r="F513" s="68"/>
      <c r="G513" s="68"/>
      <c r="H513" s="64" t="e">
        <f t="shared" si="21"/>
        <v>#N/A</v>
      </c>
      <c r="I513" s="68"/>
      <c r="J513" s="65">
        <f t="shared" si="23"/>
        <v>510</v>
      </c>
      <c r="K513" s="65">
        <f>工程基本資料!$B$7-$J513+$L513+$M513</f>
        <v>-510</v>
      </c>
      <c r="L513" s="66"/>
      <c r="M513" s="66"/>
      <c r="N513" s="66"/>
      <c r="O513" s="70"/>
      <c r="P513" s="58">
        <f>工程基本資料!$B$8+工程基本資料!$B$7+$L513+$M513-1</f>
        <v>-1</v>
      </c>
      <c r="Q513" s="9" t="e">
        <v>#N/A</v>
      </c>
    </row>
    <row r="514" spans="1:17" ht="63" customHeight="1" x14ac:dyDescent="0.3">
      <c r="A514" s="60"/>
      <c r="B514" s="61">
        <f t="shared" si="22"/>
        <v>511</v>
      </c>
      <c r="C514" s="62"/>
      <c r="D514" s="62"/>
      <c r="E514" s="68"/>
      <c r="F514" s="68"/>
      <c r="G514" s="68"/>
      <c r="H514" s="64" t="e">
        <f t="shared" si="21"/>
        <v>#N/A</v>
      </c>
      <c r="I514" s="68"/>
      <c r="J514" s="65">
        <f t="shared" si="23"/>
        <v>511</v>
      </c>
      <c r="K514" s="65">
        <f>工程基本資料!$B$7-$J514+$L514+$M514</f>
        <v>-511</v>
      </c>
      <c r="L514" s="66"/>
      <c r="M514" s="66"/>
      <c r="N514" s="66"/>
      <c r="O514" s="70"/>
      <c r="P514" s="58">
        <f>工程基本資料!$B$8+工程基本資料!$B$7+$L514+$M514-1</f>
        <v>-1</v>
      </c>
      <c r="Q514" s="9" t="e">
        <v>#N/A</v>
      </c>
    </row>
    <row r="515" spans="1:17" ht="63" customHeight="1" x14ac:dyDescent="0.3">
      <c r="A515" s="60"/>
      <c r="B515" s="61">
        <f t="shared" si="22"/>
        <v>512</v>
      </c>
      <c r="C515" s="62"/>
      <c r="D515" s="62"/>
      <c r="E515" s="68"/>
      <c r="F515" s="68"/>
      <c r="G515" s="68"/>
      <c r="H515" s="64" t="e">
        <f t="shared" si="21"/>
        <v>#N/A</v>
      </c>
      <c r="I515" s="68"/>
      <c r="J515" s="65">
        <f t="shared" si="23"/>
        <v>512</v>
      </c>
      <c r="K515" s="65">
        <f>工程基本資料!$B$7-$J515+$L515+$M515</f>
        <v>-512</v>
      </c>
      <c r="L515" s="66"/>
      <c r="M515" s="66"/>
      <c r="N515" s="66"/>
      <c r="O515" s="70"/>
      <c r="P515" s="58">
        <f>工程基本資料!$B$8+工程基本資料!$B$7+$L515+$M515-1</f>
        <v>-1</v>
      </c>
      <c r="Q515" s="9" t="e">
        <v>#N/A</v>
      </c>
    </row>
    <row r="516" spans="1:17" ht="63" customHeight="1" x14ac:dyDescent="0.3">
      <c r="A516" s="60"/>
      <c r="B516" s="61">
        <f t="shared" si="22"/>
        <v>513</v>
      </c>
      <c r="C516" s="62"/>
      <c r="D516" s="62"/>
      <c r="E516" s="68"/>
      <c r="F516" s="68"/>
      <c r="G516" s="68"/>
      <c r="H516" s="64" t="e">
        <f t="shared" ref="H516:H579" si="24">IF(Q516&gt;1,$R$3,$R$4)</f>
        <v>#N/A</v>
      </c>
      <c r="I516" s="68"/>
      <c r="J516" s="65">
        <f t="shared" si="23"/>
        <v>513</v>
      </c>
      <c r="K516" s="65">
        <f>工程基本資料!$B$7-$J516+$L516+$M516</f>
        <v>-513</v>
      </c>
      <c r="L516" s="66"/>
      <c r="M516" s="66"/>
      <c r="N516" s="66"/>
      <c r="O516" s="70"/>
      <c r="P516" s="58">
        <f>工程基本資料!$B$8+工程基本資料!$B$7+$L516+$M516-1</f>
        <v>-1</v>
      </c>
      <c r="Q516" s="9" t="e">
        <v>#N/A</v>
      </c>
    </row>
    <row r="517" spans="1:17" ht="63" customHeight="1" x14ac:dyDescent="0.3">
      <c r="A517" s="60"/>
      <c r="B517" s="61">
        <f t="shared" ref="B517:B580" si="25">B516+1</f>
        <v>514</v>
      </c>
      <c r="C517" s="62"/>
      <c r="D517" s="62"/>
      <c r="E517" s="68"/>
      <c r="F517" s="68"/>
      <c r="G517" s="68"/>
      <c r="H517" s="64" t="e">
        <f t="shared" si="24"/>
        <v>#N/A</v>
      </c>
      <c r="I517" s="68"/>
      <c r="J517" s="65">
        <f t="shared" ref="J517:J580" si="26">J516+1</f>
        <v>514</v>
      </c>
      <c r="K517" s="65">
        <f>工程基本資料!$B$7-$J517+$L517+$M517</f>
        <v>-514</v>
      </c>
      <c r="L517" s="66"/>
      <c r="M517" s="66"/>
      <c r="N517" s="66"/>
      <c r="O517" s="70"/>
      <c r="P517" s="58">
        <f>工程基本資料!$B$8+工程基本資料!$B$7+$L517+$M517-1</f>
        <v>-1</v>
      </c>
      <c r="Q517" s="9" t="e">
        <v>#N/A</v>
      </c>
    </row>
    <row r="518" spans="1:17" ht="63" customHeight="1" x14ac:dyDescent="0.3">
      <c r="A518" s="60"/>
      <c r="B518" s="61">
        <f t="shared" si="25"/>
        <v>515</v>
      </c>
      <c r="C518" s="62"/>
      <c r="D518" s="62"/>
      <c r="E518" s="68"/>
      <c r="F518" s="68"/>
      <c r="G518" s="68"/>
      <c r="H518" s="64" t="e">
        <f t="shared" si="24"/>
        <v>#N/A</v>
      </c>
      <c r="I518" s="68"/>
      <c r="J518" s="65">
        <f t="shared" si="26"/>
        <v>515</v>
      </c>
      <c r="K518" s="65">
        <f>工程基本資料!$B$7-$J518+$L518+$M518</f>
        <v>-515</v>
      </c>
      <c r="L518" s="66"/>
      <c r="M518" s="66"/>
      <c r="N518" s="66"/>
      <c r="O518" s="70"/>
      <c r="P518" s="58">
        <f>工程基本資料!$B$8+工程基本資料!$B$7+$L518+$M518-1</f>
        <v>-1</v>
      </c>
      <c r="Q518" s="9" t="e">
        <v>#N/A</v>
      </c>
    </row>
    <row r="519" spans="1:17" ht="63" customHeight="1" x14ac:dyDescent="0.3">
      <c r="A519" s="60"/>
      <c r="B519" s="61">
        <f t="shared" si="25"/>
        <v>516</v>
      </c>
      <c r="C519" s="62"/>
      <c r="D519" s="62"/>
      <c r="E519" s="68"/>
      <c r="F519" s="68"/>
      <c r="G519" s="68"/>
      <c r="H519" s="64" t="e">
        <f t="shared" si="24"/>
        <v>#N/A</v>
      </c>
      <c r="I519" s="68"/>
      <c r="J519" s="65">
        <f t="shared" si="26"/>
        <v>516</v>
      </c>
      <c r="K519" s="65">
        <f>工程基本資料!$B$7-$J519+$L519+$M519</f>
        <v>-516</v>
      </c>
      <c r="L519" s="66"/>
      <c r="M519" s="66"/>
      <c r="N519" s="66"/>
      <c r="O519" s="70"/>
      <c r="P519" s="58">
        <f>工程基本資料!$B$8+工程基本資料!$B$7+$L519+$M519-1</f>
        <v>-1</v>
      </c>
      <c r="Q519" s="9" t="e">
        <v>#N/A</v>
      </c>
    </row>
    <row r="520" spans="1:17" ht="63" customHeight="1" x14ac:dyDescent="0.3">
      <c r="A520" s="60"/>
      <c r="B520" s="61">
        <f t="shared" si="25"/>
        <v>517</v>
      </c>
      <c r="C520" s="62"/>
      <c r="D520" s="62"/>
      <c r="E520" s="68"/>
      <c r="F520" s="68"/>
      <c r="G520" s="68"/>
      <c r="H520" s="64" t="e">
        <f t="shared" si="24"/>
        <v>#N/A</v>
      </c>
      <c r="I520" s="68"/>
      <c r="J520" s="65">
        <f t="shared" si="26"/>
        <v>517</v>
      </c>
      <c r="K520" s="65">
        <f>工程基本資料!$B$7-$J520+$L520+$M520</f>
        <v>-517</v>
      </c>
      <c r="L520" s="66"/>
      <c r="M520" s="66"/>
      <c r="N520" s="66"/>
      <c r="O520" s="70"/>
      <c r="P520" s="58">
        <f>工程基本資料!$B$8+工程基本資料!$B$7+$L520+$M520-1</f>
        <v>-1</v>
      </c>
      <c r="Q520" s="9" t="e">
        <v>#N/A</v>
      </c>
    </row>
    <row r="521" spans="1:17" ht="63" customHeight="1" x14ac:dyDescent="0.3">
      <c r="A521" s="60"/>
      <c r="B521" s="61">
        <f t="shared" si="25"/>
        <v>518</v>
      </c>
      <c r="C521" s="62"/>
      <c r="D521" s="62"/>
      <c r="E521" s="68"/>
      <c r="F521" s="68"/>
      <c r="G521" s="68"/>
      <c r="H521" s="64" t="e">
        <f t="shared" si="24"/>
        <v>#N/A</v>
      </c>
      <c r="I521" s="68"/>
      <c r="J521" s="65">
        <f t="shared" si="26"/>
        <v>518</v>
      </c>
      <c r="K521" s="65">
        <f>工程基本資料!$B$7-$J521+$L521+$M521</f>
        <v>-518</v>
      </c>
      <c r="L521" s="66"/>
      <c r="M521" s="66"/>
      <c r="N521" s="66"/>
      <c r="O521" s="70"/>
      <c r="P521" s="58">
        <f>工程基本資料!$B$8+工程基本資料!$B$7+$L521+$M521-1</f>
        <v>-1</v>
      </c>
      <c r="Q521" s="9" t="e">
        <v>#N/A</v>
      </c>
    </row>
    <row r="522" spans="1:17" ht="63" customHeight="1" x14ac:dyDescent="0.3">
      <c r="A522" s="60"/>
      <c r="B522" s="61">
        <f t="shared" si="25"/>
        <v>519</v>
      </c>
      <c r="C522" s="62"/>
      <c r="D522" s="62"/>
      <c r="E522" s="68"/>
      <c r="F522" s="68"/>
      <c r="G522" s="68"/>
      <c r="H522" s="64" t="e">
        <f t="shared" si="24"/>
        <v>#N/A</v>
      </c>
      <c r="I522" s="68"/>
      <c r="J522" s="65">
        <f t="shared" si="26"/>
        <v>519</v>
      </c>
      <c r="K522" s="65">
        <f>工程基本資料!$B$7-$J522+$L522+$M522</f>
        <v>-519</v>
      </c>
      <c r="L522" s="66"/>
      <c r="M522" s="66"/>
      <c r="N522" s="66"/>
      <c r="O522" s="70"/>
      <c r="P522" s="58">
        <f>工程基本資料!$B$8+工程基本資料!$B$7+$L522+$M522-1</f>
        <v>-1</v>
      </c>
      <c r="Q522" s="9" t="e">
        <v>#N/A</v>
      </c>
    </row>
    <row r="523" spans="1:17" ht="63" customHeight="1" x14ac:dyDescent="0.3">
      <c r="A523" s="60"/>
      <c r="B523" s="61">
        <f t="shared" si="25"/>
        <v>520</v>
      </c>
      <c r="C523" s="62"/>
      <c r="D523" s="62"/>
      <c r="E523" s="68"/>
      <c r="F523" s="68"/>
      <c r="G523" s="68"/>
      <c r="H523" s="64" t="e">
        <f t="shared" si="24"/>
        <v>#N/A</v>
      </c>
      <c r="I523" s="68"/>
      <c r="J523" s="65">
        <f t="shared" si="26"/>
        <v>520</v>
      </c>
      <c r="K523" s="65">
        <f>工程基本資料!$B$7-$J523+$L523+$M523</f>
        <v>-520</v>
      </c>
      <c r="L523" s="66"/>
      <c r="M523" s="66"/>
      <c r="N523" s="66"/>
      <c r="O523" s="70"/>
      <c r="P523" s="58">
        <f>工程基本資料!$B$8+工程基本資料!$B$7+$L523+$M523-1</f>
        <v>-1</v>
      </c>
      <c r="Q523" s="9" t="e">
        <v>#N/A</v>
      </c>
    </row>
    <row r="524" spans="1:17" ht="63" customHeight="1" x14ac:dyDescent="0.3">
      <c r="A524" s="60"/>
      <c r="B524" s="61">
        <f t="shared" si="25"/>
        <v>521</v>
      </c>
      <c r="C524" s="62"/>
      <c r="D524" s="62"/>
      <c r="E524" s="68"/>
      <c r="F524" s="68"/>
      <c r="G524" s="68"/>
      <c r="H524" s="64" t="e">
        <f t="shared" si="24"/>
        <v>#N/A</v>
      </c>
      <c r="I524" s="68"/>
      <c r="J524" s="65">
        <f t="shared" si="26"/>
        <v>521</v>
      </c>
      <c r="K524" s="65">
        <f>工程基本資料!$B$7-$J524+$L524+$M524</f>
        <v>-521</v>
      </c>
      <c r="L524" s="66"/>
      <c r="M524" s="66"/>
      <c r="N524" s="66"/>
      <c r="O524" s="70"/>
      <c r="P524" s="58">
        <f>工程基本資料!$B$8+工程基本資料!$B$7+$L524+$M524-1</f>
        <v>-1</v>
      </c>
      <c r="Q524" s="9" t="e">
        <v>#N/A</v>
      </c>
    </row>
    <row r="525" spans="1:17" ht="63" customHeight="1" x14ac:dyDescent="0.3">
      <c r="A525" s="60"/>
      <c r="B525" s="61">
        <f t="shared" si="25"/>
        <v>522</v>
      </c>
      <c r="C525" s="62"/>
      <c r="D525" s="62"/>
      <c r="E525" s="68"/>
      <c r="F525" s="68"/>
      <c r="G525" s="68"/>
      <c r="H525" s="64" t="e">
        <f t="shared" si="24"/>
        <v>#N/A</v>
      </c>
      <c r="I525" s="68"/>
      <c r="J525" s="65">
        <f t="shared" si="26"/>
        <v>522</v>
      </c>
      <c r="K525" s="65">
        <f>工程基本資料!$B$7-$J525+$L525+$M525</f>
        <v>-522</v>
      </c>
      <c r="L525" s="66"/>
      <c r="M525" s="66"/>
      <c r="N525" s="66"/>
      <c r="O525" s="70"/>
      <c r="P525" s="58">
        <f>工程基本資料!$B$8+工程基本資料!$B$7+$L525+$M525-1</f>
        <v>-1</v>
      </c>
      <c r="Q525" s="9" t="e">
        <v>#N/A</v>
      </c>
    </row>
    <row r="526" spans="1:17" ht="63" customHeight="1" x14ac:dyDescent="0.3">
      <c r="A526" s="60"/>
      <c r="B526" s="61">
        <f t="shared" si="25"/>
        <v>523</v>
      </c>
      <c r="C526" s="62"/>
      <c r="D526" s="62"/>
      <c r="E526" s="68"/>
      <c r="F526" s="68"/>
      <c r="G526" s="68"/>
      <c r="H526" s="64" t="e">
        <f t="shared" si="24"/>
        <v>#N/A</v>
      </c>
      <c r="I526" s="68"/>
      <c r="J526" s="65">
        <f t="shared" si="26"/>
        <v>523</v>
      </c>
      <c r="K526" s="65">
        <f>工程基本資料!$B$7-$J526+$L526+$M526</f>
        <v>-523</v>
      </c>
      <c r="L526" s="66"/>
      <c r="M526" s="66"/>
      <c r="N526" s="66"/>
      <c r="O526" s="70"/>
      <c r="P526" s="58">
        <f>工程基本資料!$B$8+工程基本資料!$B$7+$L526+$M526-1</f>
        <v>-1</v>
      </c>
      <c r="Q526" s="9" t="e">
        <v>#N/A</v>
      </c>
    </row>
    <row r="527" spans="1:17" ht="63" customHeight="1" x14ac:dyDescent="0.3">
      <c r="A527" s="60"/>
      <c r="B527" s="61">
        <f t="shared" si="25"/>
        <v>524</v>
      </c>
      <c r="C527" s="62"/>
      <c r="D527" s="62"/>
      <c r="E527" s="68"/>
      <c r="F527" s="68"/>
      <c r="G527" s="68"/>
      <c r="H527" s="64" t="e">
        <f t="shared" si="24"/>
        <v>#N/A</v>
      </c>
      <c r="I527" s="68"/>
      <c r="J527" s="65">
        <f t="shared" si="26"/>
        <v>524</v>
      </c>
      <c r="K527" s="65">
        <f>工程基本資料!$B$7-$J527+$L527+$M527</f>
        <v>-524</v>
      </c>
      <c r="L527" s="66"/>
      <c r="M527" s="66"/>
      <c r="N527" s="66"/>
      <c r="O527" s="70"/>
      <c r="P527" s="58">
        <f>工程基本資料!$B$8+工程基本資料!$B$7+$L527+$M527-1</f>
        <v>-1</v>
      </c>
      <c r="Q527" s="9" t="e">
        <v>#N/A</v>
      </c>
    </row>
    <row r="528" spans="1:17" ht="63" customHeight="1" x14ac:dyDescent="0.3">
      <c r="A528" s="60"/>
      <c r="B528" s="61">
        <f t="shared" si="25"/>
        <v>525</v>
      </c>
      <c r="C528" s="62"/>
      <c r="D528" s="62"/>
      <c r="E528" s="68"/>
      <c r="F528" s="68"/>
      <c r="G528" s="68"/>
      <c r="H528" s="64" t="e">
        <f t="shared" si="24"/>
        <v>#N/A</v>
      </c>
      <c r="I528" s="68"/>
      <c r="J528" s="65">
        <f t="shared" si="26"/>
        <v>525</v>
      </c>
      <c r="K528" s="65">
        <f>工程基本資料!$B$7-$J528+$L528+$M528</f>
        <v>-525</v>
      </c>
      <c r="L528" s="66"/>
      <c r="M528" s="66"/>
      <c r="N528" s="66"/>
      <c r="O528" s="70"/>
      <c r="P528" s="58">
        <f>工程基本資料!$B$8+工程基本資料!$B$7+$L528+$M528-1</f>
        <v>-1</v>
      </c>
      <c r="Q528" s="9" t="e">
        <v>#N/A</v>
      </c>
    </row>
    <row r="529" spans="1:17" ht="63" customHeight="1" x14ac:dyDescent="0.3">
      <c r="A529" s="60"/>
      <c r="B529" s="61">
        <f t="shared" si="25"/>
        <v>526</v>
      </c>
      <c r="C529" s="62"/>
      <c r="D529" s="62"/>
      <c r="E529" s="68"/>
      <c r="F529" s="68"/>
      <c r="G529" s="68"/>
      <c r="H529" s="64" t="e">
        <f t="shared" si="24"/>
        <v>#N/A</v>
      </c>
      <c r="I529" s="68"/>
      <c r="J529" s="65">
        <f t="shared" si="26"/>
        <v>526</v>
      </c>
      <c r="K529" s="65">
        <f>工程基本資料!$B$7-$J529+$L529+$M529</f>
        <v>-526</v>
      </c>
      <c r="L529" s="66"/>
      <c r="M529" s="66"/>
      <c r="N529" s="66"/>
      <c r="O529" s="70"/>
      <c r="P529" s="58">
        <f>工程基本資料!$B$8+工程基本資料!$B$7+$L529+$M529-1</f>
        <v>-1</v>
      </c>
      <c r="Q529" s="9" t="e">
        <v>#N/A</v>
      </c>
    </row>
    <row r="530" spans="1:17" ht="63" customHeight="1" x14ac:dyDescent="0.3">
      <c r="A530" s="60"/>
      <c r="B530" s="61">
        <f t="shared" si="25"/>
        <v>527</v>
      </c>
      <c r="C530" s="62"/>
      <c r="D530" s="62"/>
      <c r="E530" s="68"/>
      <c r="F530" s="68"/>
      <c r="G530" s="68"/>
      <c r="H530" s="64" t="e">
        <f t="shared" si="24"/>
        <v>#N/A</v>
      </c>
      <c r="I530" s="68"/>
      <c r="J530" s="65">
        <f t="shared" si="26"/>
        <v>527</v>
      </c>
      <c r="K530" s="65">
        <f>工程基本資料!$B$7-$J530+$L530+$M530</f>
        <v>-527</v>
      </c>
      <c r="L530" s="66"/>
      <c r="M530" s="66"/>
      <c r="N530" s="66"/>
      <c r="O530" s="70"/>
      <c r="P530" s="58">
        <f>工程基本資料!$B$8+工程基本資料!$B$7+$L530+$M530-1</f>
        <v>-1</v>
      </c>
      <c r="Q530" s="9" t="e">
        <v>#N/A</v>
      </c>
    </row>
    <row r="531" spans="1:17" ht="63" customHeight="1" x14ac:dyDescent="0.3">
      <c r="A531" s="60"/>
      <c r="B531" s="61">
        <f t="shared" si="25"/>
        <v>528</v>
      </c>
      <c r="C531" s="62"/>
      <c r="D531" s="62"/>
      <c r="E531" s="68"/>
      <c r="F531" s="68"/>
      <c r="G531" s="68"/>
      <c r="H531" s="64" t="e">
        <f t="shared" si="24"/>
        <v>#N/A</v>
      </c>
      <c r="I531" s="68"/>
      <c r="J531" s="65">
        <f t="shared" si="26"/>
        <v>528</v>
      </c>
      <c r="K531" s="65">
        <f>工程基本資料!$B$7-$J531+$L531+$M531</f>
        <v>-528</v>
      </c>
      <c r="L531" s="66"/>
      <c r="M531" s="66"/>
      <c r="N531" s="66"/>
      <c r="O531" s="70"/>
      <c r="P531" s="58">
        <f>工程基本資料!$B$8+工程基本資料!$B$7+$L531+$M531-1</f>
        <v>-1</v>
      </c>
      <c r="Q531" s="9" t="e">
        <v>#N/A</v>
      </c>
    </row>
    <row r="532" spans="1:17" ht="63" customHeight="1" x14ac:dyDescent="0.3">
      <c r="A532" s="60"/>
      <c r="B532" s="61">
        <f t="shared" si="25"/>
        <v>529</v>
      </c>
      <c r="C532" s="62"/>
      <c r="D532" s="62"/>
      <c r="E532" s="68"/>
      <c r="F532" s="68"/>
      <c r="G532" s="68"/>
      <c r="H532" s="64" t="e">
        <f t="shared" si="24"/>
        <v>#N/A</v>
      </c>
      <c r="I532" s="68"/>
      <c r="J532" s="65">
        <f t="shared" si="26"/>
        <v>529</v>
      </c>
      <c r="K532" s="65">
        <f>工程基本資料!$B$7-$J532+$L532+$M532</f>
        <v>-529</v>
      </c>
      <c r="L532" s="66"/>
      <c r="M532" s="66"/>
      <c r="N532" s="66"/>
      <c r="O532" s="70"/>
      <c r="P532" s="58">
        <f>工程基本資料!$B$8+工程基本資料!$B$7+$L532+$M532-1</f>
        <v>-1</v>
      </c>
      <c r="Q532" s="9" t="e">
        <v>#N/A</v>
      </c>
    </row>
    <row r="533" spans="1:17" ht="63" customHeight="1" x14ac:dyDescent="0.3">
      <c r="A533" s="60"/>
      <c r="B533" s="61">
        <f t="shared" si="25"/>
        <v>530</v>
      </c>
      <c r="C533" s="62"/>
      <c r="D533" s="62"/>
      <c r="E533" s="68"/>
      <c r="F533" s="68"/>
      <c r="G533" s="68"/>
      <c r="H533" s="64" t="e">
        <f t="shared" si="24"/>
        <v>#N/A</v>
      </c>
      <c r="I533" s="68"/>
      <c r="J533" s="65">
        <f t="shared" si="26"/>
        <v>530</v>
      </c>
      <c r="K533" s="65">
        <f>工程基本資料!$B$7-$J533+$L533+$M533</f>
        <v>-530</v>
      </c>
      <c r="L533" s="66"/>
      <c r="M533" s="66"/>
      <c r="N533" s="66"/>
      <c r="O533" s="70"/>
      <c r="P533" s="58">
        <f>工程基本資料!$B$8+工程基本資料!$B$7+$L533+$M533-1</f>
        <v>-1</v>
      </c>
      <c r="Q533" s="9" t="e">
        <v>#N/A</v>
      </c>
    </row>
    <row r="534" spans="1:17" ht="63" customHeight="1" x14ac:dyDescent="0.3">
      <c r="A534" s="60"/>
      <c r="B534" s="61">
        <f t="shared" si="25"/>
        <v>531</v>
      </c>
      <c r="C534" s="62"/>
      <c r="D534" s="62"/>
      <c r="E534" s="68"/>
      <c r="F534" s="68"/>
      <c r="G534" s="68"/>
      <c r="H534" s="64" t="e">
        <f t="shared" si="24"/>
        <v>#N/A</v>
      </c>
      <c r="I534" s="68"/>
      <c r="J534" s="65">
        <f t="shared" si="26"/>
        <v>531</v>
      </c>
      <c r="K534" s="65">
        <f>工程基本資料!$B$7-$J534+$L534+$M534</f>
        <v>-531</v>
      </c>
      <c r="L534" s="66"/>
      <c r="M534" s="66"/>
      <c r="N534" s="66"/>
      <c r="O534" s="70"/>
      <c r="P534" s="58">
        <f>工程基本資料!$B$8+工程基本資料!$B$7+$L534+$M534-1</f>
        <v>-1</v>
      </c>
      <c r="Q534" s="9" t="e">
        <v>#N/A</v>
      </c>
    </row>
    <row r="535" spans="1:17" ht="63" customHeight="1" x14ac:dyDescent="0.3">
      <c r="A535" s="60"/>
      <c r="B535" s="61">
        <f t="shared" si="25"/>
        <v>532</v>
      </c>
      <c r="C535" s="62"/>
      <c r="D535" s="62"/>
      <c r="E535" s="68"/>
      <c r="F535" s="68"/>
      <c r="G535" s="68"/>
      <c r="H535" s="64" t="e">
        <f t="shared" si="24"/>
        <v>#N/A</v>
      </c>
      <c r="I535" s="68"/>
      <c r="J535" s="65">
        <f t="shared" si="26"/>
        <v>532</v>
      </c>
      <c r="K535" s="65">
        <f>工程基本資料!$B$7-$J535+$L535+$M535</f>
        <v>-532</v>
      </c>
      <c r="L535" s="66"/>
      <c r="M535" s="66"/>
      <c r="N535" s="66"/>
      <c r="O535" s="70"/>
      <c r="P535" s="58">
        <f>工程基本資料!$B$8+工程基本資料!$B$7+$L535+$M535-1</f>
        <v>-1</v>
      </c>
      <c r="Q535" s="9" t="e">
        <v>#N/A</v>
      </c>
    </row>
    <row r="536" spans="1:17" ht="63" customHeight="1" x14ac:dyDescent="0.3">
      <c r="A536" s="60"/>
      <c r="B536" s="61">
        <f t="shared" si="25"/>
        <v>533</v>
      </c>
      <c r="C536" s="62"/>
      <c r="D536" s="62"/>
      <c r="E536" s="68"/>
      <c r="F536" s="68"/>
      <c r="G536" s="68"/>
      <c r="H536" s="64" t="e">
        <f t="shared" si="24"/>
        <v>#N/A</v>
      </c>
      <c r="I536" s="68"/>
      <c r="J536" s="65">
        <f t="shared" si="26"/>
        <v>533</v>
      </c>
      <c r="K536" s="65">
        <f>工程基本資料!$B$7-$J536+$L536+$M536</f>
        <v>-533</v>
      </c>
      <c r="L536" s="66"/>
      <c r="M536" s="66"/>
      <c r="N536" s="66"/>
      <c r="O536" s="70"/>
      <c r="P536" s="58">
        <f>工程基本資料!$B$8+工程基本資料!$B$7+$L536+$M536-1</f>
        <v>-1</v>
      </c>
      <c r="Q536" s="9" t="e">
        <v>#N/A</v>
      </c>
    </row>
    <row r="537" spans="1:17" ht="63" customHeight="1" x14ac:dyDescent="0.3">
      <c r="A537" s="60"/>
      <c r="B537" s="61">
        <f t="shared" si="25"/>
        <v>534</v>
      </c>
      <c r="C537" s="62"/>
      <c r="D537" s="62"/>
      <c r="E537" s="68"/>
      <c r="F537" s="68"/>
      <c r="G537" s="68"/>
      <c r="H537" s="64" t="e">
        <f t="shared" si="24"/>
        <v>#N/A</v>
      </c>
      <c r="I537" s="68"/>
      <c r="J537" s="65">
        <f t="shared" si="26"/>
        <v>534</v>
      </c>
      <c r="K537" s="65">
        <f>工程基本資料!$B$7-$J537+$L537+$M537</f>
        <v>-534</v>
      </c>
      <c r="L537" s="66"/>
      <c r="M537" s="66"/>
      <c r="N537" s="66"/>
      <c r="O537" s="70"/>
      <c r="P537" s="58">
        <f>工程基本資料!$B$8+工程基本資料!$B$7+$L537+$M537-1</f>
        <v>-1</v>
      </c>
      <c r="Q537" s="9" t="e">
        <v>#N/A</v>
      </c>
    </row>
    <row r="538" spans="1:17" ht="63" customHeight="1" x14ac:dyDescent="0.3">
      <c r="A538" s="60"/>
      <c r="B538" s="61">
        <f t="shared" si="25"/>
        <v>535</v>
      </c>
      <c r="C538" s="62"/>
      <c r="D538" s="62"/>
      <c r="E538" s="68"/>
      <c r="F538" s="68"/>
      <c r="G538" s="68"/>
      <c r="H538" s="64" t="e">
        <f t="shared" si="24"/>
        <v>#N/A</v>
      </c>
      <c r="I538" s="68"/>
      <c r="J538" s="65">
        <f t="shared" si="26"/>
        <v>535</v>
      </c>
      <c r="K538" s="65">
        <f>工程基本資料!$B$7-$J538+$L538+$M538</f>
        <v>-535</v>
      </c>
      <c r="L538" s="66"/>
      <c r="M538" s="66"/>
      <c r="N538" s="66"/>
      <c r="O538" s="70"/>
      <c r="P538" s="58">
        <f>工程基本資料!$B$8+工程基本資料!$B$7+$L538+$M538-1</f>
        <v>-1</v>
      </c>
      <c r="Q538" s="9" t="e">
        <v>#N/A</v>
      </c>
    </row>
    <row r="539" spans="1:17" ht="63" customHeight="1" x14ac:dyDescent="0.3">
      <c r="A539" s="60"/>
      <c r="B539" s="61">
        <f t="shared" si="25"/>
        <v>536</v>
      </c>
      <c r="C539" s="62"/>
      <c r="D539" s="62"/>
      <c r="E539" s="68"/>
      <c r="F539" s="68"/>
      <c r="G539" s="68"/>
      <c r="H539" s="64" t="e">
        <f t="shared" si="24"/>
        <v>#N/A</v>
      </c>
      <c r="I539" s="68"/>
      <c r="J539" s="65">
        <f t="shared" si="26"/>
        <v>536</v>
      </c>
      <c r="K539" s="65">
        <f>工程基本資料!$B$7-$J539+$L539+$M539</f>
        <v>-536</v>
      </c>
      <c r="L539" s="66"/>
      <c r="M539" s="66"/>
      <c r="N539" s="66"/>
      <c r="O539" s="70"/>
      <c r="P539" s="58">
        <f>工程基本資料!$B$8+工程基本資料!$B$7+$L539+$M539-1</f>
        <v>-1</v>
      </c>
      <c r="Q539" s="9" t="e">
        <v>#N/A</v>
      </c>
    </row>
    <row r="540" spans="1:17" ht="63" customHeight="1" x14ac:dyDescent="0.3">
      <c r="A540" s="60"/>
      <c r="B540" s="61">
        <f t="shared" si="25"/>
        <v>537</v>
      </c>
      <c r="C540" s="62"/>
      <c r="D540" s="62"/>
      <c r="E540" s="68"/>
      <c r="F540" s="68"/>
      <c r="G540" s="68"/>
      <c r="H540" s="64" t="e">
        <f t="shared" si="24"/>
        <v>#N/A</v>
      </c>
      <c r="I540" s="68"/>
      <c r="J540" s="65">
        <f t="shared" si="26"/>
        <v>537</v>
      </c>
      <c r="K540" s="65">
        <f>工程基本資料!$B$7-$J540+$L540+$M540</f>
        <v>-537</v>
      </c>
      <c r="L540" s="66"/>
      <c r="M540" s="66"/>
      <c r="N540" s="66"/>
      <c r="O540" s="70"/>
      <c r="P540" s="58">
        <f>工程基本資料!$B$8+工程基本資料!$B$7+$L540+$M540-1</f>
        <v>-1</v>
      </c>
      <c r="Q540" s="9" t="e">
        <v>#N/A</v>
      </c>
    </row>
    <row r="541" spans="1:17" ht="63" customHeight="1" x14ac:dyDescent="0.3">
      <c r="A541" s="60"/>
      <c r="B541" s="61">
        <f t="shared" si="25"/>
        <v>538</v>
      </c>
      <c r="C541" s="62"/>
      <c r="D541" s="62"/>
      <c r="E541" s="68"/>
      <c r="F541" s="68"/>
      <c r="G541" s="68"/>
      <c r="H541" s="64" t="e">
        <f t="shared" si="24"/>
        <v>#N/A</v>
      </c>
      <c r="I541" s="68"/>
      <c r="J541" s="65">
        <f t="shared" si="26"/>
        <v>538</v>
      </c>
      <c r="K541" s="65">
        <f>工程基本資料!$B$7-$J541+$L541+$M541</f>
        <v>-538</v>
      </c>
      <c r="L541" s="66"/>
      <c r="M541" s="66"/>
      <c r="N541" s="66"/>
      <c r="O541" s="70"/>
      <c r="P541" s="58">
        <f>工程基本資料!$B$8+工程基本資料!$B$7+$L541+$M541-1</f>
        <v>-1</v>
      </c>
      <c r="Q541" s="9" t="e">
        <v>#N/A</v>
      </c>
    </row>
    <row r="542" spans="1:17" ht="63" customHeight="1" x14ac:dyDescent="0.3">
      <c r="A542" s="60"/>
      <c r="B542" s="61">
        <f t="shared" si="25"/>
        <v>539</v>
      </c>
      <c r="C542" s="62"/>
      <c r="D542" s="62"/>
      <c r="E542" s="68"/>
      <c r="F542" s="68"/>
      <c r="G542" s="68"/>
      <c r="H542" s="64" t="e">
        <f t="shared" si="24"/>
        <v>#N/A</v>
      </c>
      <c r="I542" s="68"/>
      <c r="J542" s="65">
        <f t="shared" si="26"/>
        <v>539</v>
      </c>
      <c r="K542" s="65">
        <f>工程基本資料!$B$7-$J542+$L542+$M542</f>
        <v>-539</v>
      </c>
      <c r="L542" s="66"/>
      <c r="M542" s="66"/>
      <c r="N542" s="66"/>
      <c r="O542" s="70"/>
      <c r="P542" s="58">
        <f>工程基本資料!$B$8+工程基本資料!$B$7+$L542+$M542-1</f>
        <v>-1</v>
      </c>
      <c r="Q542" s="9" t="e">
        <v>#N/A</v>
      </c>
    </row>
    <row r="543" spans="1:17" ht="63" customHeight="1" x14ac:dyDescent="0.3">
      <c r="A543" s="60"/>
      <c r="B543" s="61">
        <f t="shared" si="25"/>
        <v>540</v>
      </c>
      <c r="C543" s="62"/>
      <c r="D543" s="62"/>
      <c r="E543" s="68"/>
      <c r="F543" s="68"/>
      <c r="G543" s="68"/>
      <c r="H543" s="64" t="e">
        <f t="shared" si="24"/>
        <v>#N/A</v>
      </c>
      <c r="I543" s="68"/>
      <c r="J543" s="65">
        <f t="shared" si="26"/>
        <v>540</v>
      </c>
      <c r="K543" s="65">
        <f>工程基本資料!$B$7-$J543+$L543+$M543</f>
        <v>-540</v>
      </c>
      <c r="L543" s="66"/>
      <c r="M543" s="66"/>
      <c r="N543" s="66"/>
      <c r="O543" s="70"/>
      <c r="P543" s="58">
        <f>工程基本資料!$B$8+工程基本資料!$B$7+$L543+$M543-1</f>
        <v>-1</v>
      </c>
      <c r="Q543" s="9" t="e">
        <v>#N/A</v>
      </c>
    </row>
    <row r="544" spans="1:17" ht="63" customHeight="1" x14ac:dyDescent="0.3">
      <c r="A544" s="60"/>
      <c r="B544" s="61">
        <f t="shared" si="25"/>
        <v>541</v>
      </c>
      <c r="C544" s="62"/>
      <c r="D544" s="62"/>
      <c r="E544" s="68"/>
      <c r="F544" s="68"/>
      <c r="G544" s="68"/>
      <c r="H544" s="64" t="e">
        <f t="shared" si="24"/>
        <v>#N/A</v>
      </c>
      <c r="I544" s="68"/>
      <c r="J544" s="65">
        <f t="shared" si="26"/>
        <v>541</v>
      </c>
      <c r="K544" s="65">
        <f>工程基本資料!$B$7-$J544+$L544+$M544</f>
        <v>-541</v>
      </c>
      <c r="L544" s="66"/>
      <c r="M544" s="66"/>
      <c r="N544" s="66"/>
      <c r="O544" s="70"/>
      <c r="P544" s="58">
        <f>工程基本資料!$B$8+工程基本資料!$B$7+$L544+$M544-1</f>
        <v>-1</v>
      </c>
      <c r="Q544" s="9" t="e">
        <v>#N/A</v>
      </c>
    </row>
    <row r="545" spans="1:17" ht="63" customHeight="1" x14ac:dyDescent="0.3">
      <c r="A545" s="60"/>
      <c r="B545" s="61">
        <f t="shared" si="25"/>
        <v>542</v>
      </c>
      <c r="C545" s="62"/>
      <c r="D545" s="62"/>
      <c r="E545" s="68"/>
      <c r="F545" s="68"/>
      <c r="G545" s="68"/>
      <c r="H545" s="64" t="e">
        <f t="shared" si="24"/>
        <v>#N/A</v>
      </c>
      <c r="I545" s="68"/>
      <c r="J545" s="65">
        <f t="shared" si="26"/>
        <v>542</v>
      </c>
      <c r="K545" s="65">
        <f>工程基本資料!$B$7-$J545+$L545+$M545</f>
        <v>-542</v>
      </c>
      <c r="L545" s="66"/>
      <c r="M545" s="66"/>
      <c r="N545" s="66"/>
      <c r="O545" s="70"/>
      <c r="P545" s="58">
        <f>工程基本資料!$B$8+工程基本資料!$B$7+$L545+$M545-1</f>
        <v>-1</v>
      </c>
      <c r="Q545" s="9" t="e">
        <v>#N/A</v>
      </c>
    </row>
    <row r="546" spans="1:17" ht="63" customHeight="1" x14ac:dyDescent="0.3">
      <c r="A546" s="60"/>
      <c r="B546" s="61">
        <f t="shared" si="25"/>
        <v>543</v>
      </c>
      <c r="C546" s="62"/>
      <c r="D546" s="62"/>
      <c r="E546" s="68"/>
      <c r="F546" s="68"/>
      <c r="G546" s="68"/>
      <c r="H546" s="64" t="e">
        <f t="shared" si="24"/>
        <v>#N/A</v>
      </c>
      <c r="I546" s="68"/>
      <c r="J546" s="65">
        <f t="shared" si="26"/>
        <v>543</v>
      </c>
      <c r="K546" s="65">
        <f>工程基本資料!$B$7-$J546+$L546+$M546</f>
        <v>-543</v>
      </c>
      <c r="L546" s="66"/>
      <c r="M546" s="66"/>
      <c r="N546" s="66"/>
      <c r="O546" s="70"/>
      <c r="P546" s="58">
        <f>工程基本資料!$B$8+工程基本資料!$B$7+$L546+$M546-1</f>
        <v>-1</v>
      </c>
      <c r="Q546" s="9" t="e">
        <v>#N/A</v>
      </c>
    </row>
    <row r="547" spans="1:17" ht="63" customHeight="1" x14ac:dyDescent="0.3">
      <c r="A547" s="60"/>
      <c r="B547" s="61">
        <f t="shared" si="25"/>
        <v>544</v>
      </c>
      <c r="C547" s="62"/>
      <c r="D547" s="62"/>
      <c r="E547" s="68"/>
      <c r="F547" s="68"/>
      <c r="G547" s="68"/>
      <c r="H547" s="64" t="e">
        <f t="shared" si="24"/>
        <v>#N/A</v>
      </c>
      <c r="I547" s="68"/>
      <c r="J547" s="65">
        <f t="shared" si="26"/>
        <v>544</v>
      </c>
      <c r="K547" s="65">
        <f>工程基本資料!$B$7-$J547+$L547+$M547</f>
        <v>-544</v>
      </c>
      <c r="L547" s="66"/>
      <c r="M547" s="66"/>
      <c r="N547" s="66"/>
      <c r="O547" s="70"/>
      <c r="P547" s="58">
        <f>工程基本資料!$B$8+工程基本資料!$B$7+$L547+$M547-1</f>
        <v>-1</v>
      </c>
      <c r="Q547" s="9" t="e">
        <v>#N/A</v>
      </c>
    </row>
    <row r="548" spans="1:17" ht="63" customHeight="1" x14ac:dyDescent="0.3">
      <c r="A548" s="60"/>
      <c r="B548" s="61">
        <f t="shared" si="25"/>
        <v>545</v>
      </c>
      <c r="C548" s="62"/>
      <c r="D548" s="62"/>
      <c r="E548" s="68"/>
      <c r="F548" s="68"/>
      <c r="G548" s="68"/>
      <c r="H548" s="64" t="e">
        <f t="shared" si="24"/>
        <v>#N/A</v>
      </c>
      <c r="I548" s="68"/>
      <c r="J548" s="65">
        <f t="shared" si="26"/>
        <v>545</v>
      </c>
      <c r="K548" s="65">
        <f>工程基本資料!$B$7-$J548+$L548+$M548</f>
        <v>-545</v>
      </c>
      <c r="L548" s="66"/>
      <c r="M548" s="66"/>
      <c r="N548" s="66"/>
      <c r="O548" s="70"/>
      <c r="P548" s="58">
        <f>工程基本資料!$B$8+工程基本資料!$B$7+$L548+$M548-1</f>
        <v>-1</v>
      </c>
      <c r="Q548" s="9" t="e">
        <v>#N/A</v>
      </c>
    </row>
    <row r="549" spans="1:17" ht="63" customHeight="1" x14ac:dyDescent="0.3">
      <c r="A549" s="60"/>
      <c r="B549" s="61">
        <f t="shared" si="25"/>
        <v>546</v>
      </c>
      <c r="C549" s="62"/>
      <c r="D549" s="62"/>
      <c r="E549" s="68"/>
      <c r="F549" s="68"/>
      <c r="G549" s="68"/>
      <c r="H549" s="64" t="e">
        <f t="shared" si="24"/>
        <v>#N/A</v>
      </c>
      <c r="I549" s="68"/>
      <c r="J549" s="65">
        <f t="shared" si="26"/>
        <v>546</v>
      </c>
      <c r="K549" s="65">
        <f>工程基本資料!$B$7-$J549+$L549+$M549</f>
        <v>-546</v>
      </c>
      <c r="L549" s="66"/>
      <c r="M549" s="66"/>
      <c r="N549" s="66"/>
      <c r="O549" s="70"/>
      <c r="P549" s="58">
        <f>工程基本資料!$B$8+工程基本資料!$B$7+$L549+$M549-1</f>
        <v>-1</v>
      </c>
      <c r="Q549" s="9" t="e">
        <v>#N/A</v>
      </c>
    </row>
    <row r="550" spans="1:17" ht="63" customHeight="1" x14ac:dyDescent="0.3">
      <c r="A550" s="60"/>
      <c r="B550" s="61">
        <f t="shared" si="25"/>
        <v>547</v>
      </c>
      <c r="C550" s="62"/>
      <c r="D550" s="62"/>
      <c r="E550" s="68"/>
      <c r="F550" s="68"/>
      <c r="G550" s="68"/>
      <c r="H550" s="64" t="e">
        <f t="shared" si="24"/>
        <v>#N/A</v>
      </c>
      <c r="I550" s="68"/>
      <c r="J550" s="65">
        <f t="shared" si="26"/>
        <v>547</v>
      </c>
      <c r="K550" s="65">
        <f>工程基本資料!$B$7-$J550+$L550+$M550</f>
        <v>-547</v>
      </c>
      <c r="L550" s="66"/>
      <c r="M550" s="66"/>
      <c r="N550" s="66"/>
      <c r="O550" s="70"/>
      <c r="P550" s="58">
        <f>工程基本資料!$B$8+工程基本資料!$B$7+$L550+$M550-1</f>
        <v>-1</v>
      </c>
      <c r="Q550" s="9" t="e">
        <v>#N/A</v>
      </c>
    </row>
    <row r="551" spans="1:17" ht="63" customHeight="1" x14ac:dyDescent="0.3">
      <c r="A551" s="60"/>
      <c r="B551" s="61">
        <f t="shared" si="25"/>
        <v>548</v>
      </c>
      <c r="C551" s="62"/>
      <c r="D551" s="62"/>
      <c r="E551" s="68"/>
      <c r="F551" s="68"/>
      <c r="G551" s="68"/>
      <c r="H551" s="64" t="e">
        <f t="shared" si="24"/>
        <v>#N/A</v>
      </c>
      <c r="I551" s="68"/>
      <c r="J551" s="65">
        <f t="shared" si="26"/>
        <v>548</v>
      </c>
      <c r="K551" s="65">
        <f>工程基本資料!$B$7-$J551+$L551+$M551</f>
        <v>-548</v>
      </c>
      <c r="L551" s="66"/>
      <c r="M551" s="66"/>
      <c r="N551" s="66"/>
      <c r="O551" s="70"/>
      <c r="P551" s="58">
        <f>工程基本資料!$B$8+工程基本資料!$B$7+$L551+$M551-1</f>
        <v>-1</v>
      </c>
      <c r="Q551" s="9" t="e">
        <v>#N/A</v>
      </c>
    </row>
    <row r="552" spans="1:17" ht="63" customHeight="1" x14ac:dyDescent="0.3">
      <c r="A552" s="60"/>
      <c r="B552" s="61">
        <f t="shared" si="25"/>
        <v>549</v>
      </c>
      <c r="C552" s="62"/>
      <c r="D552" s="62"/>
      <c r="E552" s="68"/>
      <c r="F552" s="68"/>
      <c r="G552" s="68"/>
      <c r="H552" s="64" t="e">
        <f t="shared" si="24"/>
        <v>#N/A</v>
      </c>
      <c r="I552" s="68"/>
      <c r="J552" s="65">
        <f t="shared" si="26"/>
        <v>549</v>
      </c>
      <c r="K552" s="65">
        <f>工程基本資料!$B$7-$J552+$L552+$M552</f>
        <v>-549</v>
      </c>
      <c r="L552" s="66"/>
      <c r="M552" s="66"/>
      <c r="N552" s="66"/>
      <c r="O552" s="70"/>
      <c r="P552" s="58">
        <f>工程基本資料!$B$8+工程基本資料!$B$7+$L552+$M552-1</f>
        <v>-1</v>
      </c>
      <c r="Q552" s="9" t="e">
        <v>#N/A</v>
      </c>
    </row>
    <row r="553" spans="1:17" ht="63" customHeight="1" x14ac:dyDescent="0.3">
      <c r="A553" s="60"/>
      <c r="B553" s="61">
        <f t="shared" si="25"/>
        <v>550</v>
      </c>
      <c r="C553" s="62"/>
      <c r="D553" s="62"/>
      <c r="E553" s="68"/>
      <c r="F553" s="68"/>
      <c r="G553" s="68"/>
      <c r="H553" s="64" t="e">
        <f t="shared" si="24"/>
        <v>#N/A</v>
      </c>
      <c r="I553" s="68"/>
      <c r="J553" s="65">
        <f t="shared" si="26"/>
        <v>550</v>
      </c>
      <c r="K553" s="65">
        <f>工程基本資料!$B$7-$J553+$L553+$M553</f>
        <v>-550</v>
      </c>
      <c r="L553" s="66"/>
      <c r="M553" s="66"/>
      <c r="N553" s="66"/>
      <c r="O553" s="70"/>
      <c r="P553" s="58">
        <f>工程基本資料!$B$8+工程基本資料!$B$7+$L553+$M553-1</f>
        <v>-1</v>
      </c>
      <c r="Q553" s="9" t="e">
        <v>#N/A</v>
      </c>
    </row>
    <row r="554" spans="1:17" ht="63" customHeight="1" x14ac:dyDescent="0.3">
      <c r="A554" s="60"/>
      <c r="B554" s="61">
        <f t="shared" si="25"/>
        <v>551</v>
      </c>
      <c r="C554" s="62"/>
      <c r="D554" s="62"/>
      <c r="E554" s="68"/>
      <c r="F554" s="68"/>
      <c r="G554" s="68"/>
      <c r="H554" s="64" t="e">
        <f t="shared" si="24"/>
        <v>#N/A</v>
      </c>
      <c r="I554" s="68"/>
      <c r="J554" s="65">
        <f t="shared" si="26"/>
        <v>551</v>
      </c>
      <c r="K554" s="65">
        <f>工程基本資料!$B$7-$J554+$L554+$M554</f>
        <v>-551</v>
      </c>
      <c r="L554" s="66"/>
      <c r="M554" s="66"/>
      <c r="N554" s="66"/>
      <c r="O554" s="70"/>
      <c r="P554" s="58">
        <f>工程基本資料!$B$8+工程基本資料!$B$7+$L554+$M554-1</f>
        <v>-1</v>
      </c>
      <c r="Q554" s="9" t="e">
        <v>#N/A</v>
      </c>
    </row>
    <row r="555" spans="1:17" ht="63" customHeight="1" x14ac:dyDescent="0.3">
      <c r="A555" s="60"/>
      <c r="B555" s="61">
        <f t="shared" si="25"/>
        <v>552</v>
      </c>
      <c r="C555" s="62"/>
      <c r="D555" s="62"/>
      <c r="E555" s="68"/>
      <c r="F555" s="68"/>
      <c r="G555" s="68"/>
      <c r="H555" s="64" t="e">
        <f t="shared" si="24"/>
        <v>#N/A</v>
      </c>
      <c r="I555" s="68"/>
      <c r="J555" s="65">
        <f t="shared" si="26"/>
        <v>552</v>
      </c>
      <c r="K555" s="65">
        <f>工程基本資料!$B$7-$J555+$L555+$M555</f>
        <v>-552</v>
      </c>
      <c r="L555" s="66"/>
      <c r="M555" s="66"/>
      <c r="N555" s="66"/>
      <c r="O555" s="70"/>
      <c r="P555" s="58">
        <f>工程基本資料!$B$8+工程基本資料!$B$7+$L555+$M555-1</f>
        <v>-1</v>
      </c>
      <c r="Q555" s="9" t="e">
        <v>#N/A</v>
      </c>
    </row>
    <row r="556" spans="1:17" ht="63" customHeight="1" x14ac:dyDescent="0.3">
      <c r="A556" s="60"/>
      <c r="B556" s="61">
        <f t="shared" si="25"/>
        <v>553</v>
      </c>
      <c r="C556" s="62"/>
      <c r="D556" s="62"/>
      <c r="E556" s="68"/>
      <c r="F556" s="68"/>
      <c r="G556" s="68"/>
      <c r="H556" s="64" t="e">
        <f t="shared" si="24"/>
        <v>#N/A</v>
      </c>
      <c r="I556" s="68"/>
      <c r="J556" s="65">
        <f t="shared" si="26"/>
        <v>553</v>
      </c>
      <c r="K556" s="65">
        <f>工程基本資料!$B$7-$J556+$L556+$M556</f>
        <v>-553</v>
      </c>
      <c r="L556" s="66"/>
      <c r="M556" s="66"/>
      <c r="N556" s="66"/>
      <c r="O556" s="70"/>
      <c r="P556" s="58">
        <f>工程基本資料!$B$8+工程基本資料!$B$7+$L556+$M556-1</f>
        <v>-1</v>
      </c>
      <c r="Q556" s="9" t="e">
        <v>#N/A</v>
      </c>
    </row>
    <row r="557" spans="1:17" ht="63" customHeight="1" x14ac:dyDescent="0.3">
      <c r="A557" s="60"/>
      <c r="B557" s="61">
        <f t="shared" si="25"/>
        <v>554</v>
      </c>
      <c r="C557" s="62"/>
      <c r="D557" s="62"/>
      <c r="E557" s="68"/>
      <c r="F557" s="68"/>
      <c r="G557" s="68"/>
      <c r="H557" s="64" t="e">
        <f t="shared" si="24"/>
        <v>#N/A</v>
      </c>
      <c r="I557" s="68"/>
      <c r="J557" s="65">
        <f t="shared" si="26"/>
        <v>554</v>
      </c>
      <c r="K557" s="65">
        <f>工程基本資料!$B$7-$J557+$L557+$M557</f>
        <v>-554</v>
      </c>
      <c r="L557" s="66"/>
      <c r="M557" s="66"/>
      <c r="N557" s="66"/>
      <c r="O557" s="70"/>
      <c r="P557" s="58">
        <f>工程基本資料!$B$8+工程基本資料!$B$7+$L557+$M557-1</f>
        <v>-1</v>
      </c>
      <c r="Q557" s="9" t="e">
        <v>#N/A</v>
      </c>
    </row>
    <row r="558" spans="1:17" ht="63" customHeight="1" x14ac:dyDescent="0.3">
      <c r="A558" s="60"/>
      <c r="B558" s="61">
        <f t="shared" si="25"/>
        <v>555</v>
      </c>
      <c r="C558" s="62"/>
      <c r="D558" s="62"/>
      <c r="E558" s="68"/>
      <c r="F558" s="68"/>
      <c r="G558" s="68"/>
      <c r="H558" s="64" t="e">
        <f t="shared" si="24"/>
        <v>#N/A</v>
      </c>
      <c r="I558" s="68"/>
      <c r="J558" s="65">
        <f t="shared" si="26"/>
        <v>555</v>
      </c>
      <c r="K558" s="65">
        <f>工程基本資料!$B$7-$J558+$L558+$M558</f>
        <v>-555</v>
      </c>
      <c r="L558" s="66"/>
      <c r="M558" s="66"/>
      <c r="N558" s="66"/>
      <c r="O558" s="70"/>
      <c r="P558" s="58">
        <f>工程基本資料!$B$8+工程基本資料!$B$7+$L558+$M558-1</f>
        <v>-1</v>
      </c>
      <c r="Q558" s="9" t="e">
        <v>#N/A</v>
      </c>
    </row>
    <row r="559" spans="1:17" ht="63" customHeight="1" x14ac:dyDescent="0.3">
      <c r="A559" s="60"/>
      <c r="B559" s="61">
        <f t="shared" si="25"/>
        <v>556</v>
      </c>
      <c r="C559" s="62"/>
      <c r="D559" s="62"/>
      <c r="E559" s="68"/>
      <c r="F559" s="68"/>
      <c r="G559" s="68"/>
      <c r="H559" s="64" t="e">
        <f t="shared" si="24"/>
        <v>#N/A</v>
      </c>
      <c r="I559" s="68"/>
      <c r="J559" s="65">
        <f t="shared" si="26"/>
        <v>556</v>
      </c>
      <c r="K559" s="65">
        <f>工程基本資料!$B$7-$J559+$L559+$M559</f>
        <v>-556</v>
      </c>
      <c r="L559" s="66"/>
      <c r="M559" s="66"/>
      <c r="N559" s="66"/>
      <c r="O559" s="70"/>
      <c r="P559" s="58">
        <f>工程基本資料!$B$8+工程基本資料!$B$7+$L559+$M559-1</f>
        <v>-1</v>
      </c>
      <c r="Q559" s="9" t="e">
        <v>#N/A</v>
      </c>
    </row>
    <row r="560" spans="1:17" ht="63" customHeight="1" x14ac:dyDescent="0.3">
      <c r="A560" s="60"/>
      <c r="B560" s="61">
        <f t="shared" si="25"/>
        <v>557</v>
      </c>
      <c r="C560" s="62"/>
      <c r="D560" s="62"/>
      <c r="E560" s="68"/>
      <c r="F560" s="68"/>
      <c r="G560" s="68"/>
      <c r="H560" s="64" t="e">
        <f t="shared" si="24"/>
        <v>#N/A</v>
      </c>
      <c r="I560" s="68"/>
      <c r="J560" s="65">
        <f t="shared" si="26"/>
        <v>557</v>
      </c>
      <c r="K560" s="65">
        <f>工程基本資料!$B$7-$J560+$L560+$M560</f>
        <v>-557</v>
      </c>
      <c r="L560" s="66"/>
      <c r="M560" s="66"/>
      <c r="N560" s="66"/>
      <c r="O560" s="70"/>
      <c r="P560" s="58">
        <f>工程基本資料!$B$8+工程基本資料!$B$7+$L560+$M560-1</f>
        <v>-1</v>
      </c>
      <c r="Q560" s="9" t="e">
        <v>#N/A</v>
      </c>
    </row>
    <row r="561" spans="1:17" ht="63" customHeight="1" x14ac:dyDescent="0.3">
      <c r="A561" s="60"/>
      <c r="B561" s="61">
        <f t="shared" si="25"/>
        <v>558</v>
      </c>
      <c r="C561" s="62"/>
      <c r="D561" s="62"/>
      <c r="E561" s="68"/>
      <c r="F561" s="68"/>
      <c r="G561" s="68"/>
      <c r="H561" s="64" t="e">
        <f t="shared" si="24"/>
        <v>#N/A</v>
      </c>
      <c r="I561" s="68"/>
      <c r="J561" s="65">
        <f t="shared" si="26"/>
        <v>558</v>
      </c>
      <c r="K561" s="65">
        <f>工程基本資料!$B$7-$J561+$L561+$M561</f>
        <v>-558</v>
      </c>
      <c r="L561" s="66"/>
      <c r="M561" s="66"/>
      <c r="N561" s="66"/>
      <c r="O561" s="70"/>
      <c r="P561" s="58">
        <f>工程基本資料!$B$8+工程基本資料!$B$7+$L561+$M561-1</f>
        <v>-1</v>
      </c>
      <c r="Q561" s="9" t="e">
        <v>#N/A</v>
      </c>
    </row>
    <row r="562" spans="1:17" ht="63" customHeight="1" x14ac:dyDescent="0.3">
      <c r="A562" s="60"/>
      <c r="B562" s="61">
        <f t="shared" si="25"/>
        <v>559</v>
      </c>
      <c r="C562" s="62"/>
      <c r="D562" s="62"/>
      <c r="E562" s="68"/>
      <c r="F562" s="68"/>
      <c r="G562" s="68"/>
      <c r="H562" s="64" t="e">
        <f t="shared" si="24"/>
        <v>#N/A</v>
      </c>
      <c r="I562" s="68"/>
      <c r="J562" s="65">
        <f t="shared" si="26"/>
        <v>559</v>
      </c>
      <c r="K562" s="65">
        <f>工程基本資料!$B$7-$J562+$L562+$M562</f>
        <v>-559</v>
      </c>
      <c r="L562" s="66"/>
      <c r="M562" s="66"/>
      <c r="N562" s="66"/>
      <c r="O562" s="70"/>
      <c r="P562" s="58">
        <f>工程基本資料!$B$8+工程基本資料!$B$7+$L562+$M562-1</f>
        <v>-1</v>
      </c>
      <c r="Q562" s="9" t="e">
        <v>#N/A</v>
      </c>
    </row>
    <row r="563" spans="1:17" ht="63" customHeight="1" x14ac:dyDescent="0.3">
      <c r="A563" s="60"/>
      <c r="B563" s="61">
        <f t="shared" si="25"/>
        <v>560</v>
      </c>
      <c r="C563" s="62"/>
      <c r="D563" s="62"/>
      <c r="E563" s="68"/>
      <c r="F563" s="68"/>
      <c r="G563" s="68"/>
      <c r="H563" s="64" t="e">
        <f t="shared" si="24"/>
        <v>#N/A</v>
      </c>
      <c r="I563" s="68"/>
      <c r="J563" s="65">
        <f t="shared" si="26"/>
        <v>560</v>
      </c>
      <c r="K563" s="65">
        <f>工程基本資料!$B$7-$J563+$L563+$M563</f>
        <v>-560</v>
      </c>
      <c r="L563" s="66"/>
      <c r="M563" s="66"/>
      <c r="N563" s="66"/>
      <c r="O563" s="70"/>
      <c r="P563" s="58">
        <f>工程基本資料!$B$8+工程基本資料!$B$7+$L563+$M563-1</f>
        <v>-1</v>
      </c>
      <c r="Q563" s="9" t="e">
        <v>#N/A</v>
      </c>
    </row>
    <row r="564" spans="1:17" ht="63" customHeight="1" x14ac:dyDescent="0.3">
      <c r="A564" s="60"/>
      <c r="B564" s="61">
        <f t="shared" si="25"/>
        <v>561</v>
      </c>
      <c r="C564" s="62"/>
      <c r="D564" s="62"/>
      <c r="E564" s="68"/>
      <c r="F564" s="68"/>
      <c r="G564" s="68"/>
      <c r="H564" s="64" t="e">
        <f t="shared" si="24"/>
        <v>#N/A</v>
      </c>
      <c r="I564" s="68"/>
      <c r="J564" s="65">
        <f t="shared" si="26"/>
        <v>561</v>
      </c>
      <c r="K564" s="65">
        <f>工程基本資料!$B$7-$J564+$L564+$M564</f>
        <v>-561</v>
      </c>
      <c r="L564" s="66"/>
      <c r="M564" s="66"/>
      <c r="N564" s="66"/>
      <c r="O564" s="70"/>
      <c r="P564" s="58">
        <f>工程基本資料!$B$8+工程基本資料!$B$7+$L564+$M564-1</f>
        <v>-1</v>
      </c>
      <c r="Q564" s="9" t="e">
        <v>#N/A</v>
      </c>
    </row>
    <row r="565" spans="1:17" ht="63" customHeight="1" x14ac:dyDescent="0.3">
      <c r="A565" s="60"/>
      <c r="B565" s="61">
        <f t="shared" si="25"/>
        <v>562</v>
      </c>
      <c r="C565" s="62"/>
      <c r="D565" s="62"/>
      <c r="E565" s="68"/>
      <c r="F565" s="68"/>
      <c r="G565" s="68"/>
      <c r="H565" s="64" t="e">
        <f t="shared" si="24"/>
        <v>#N/A</v>
      </c>
      <c r="I565" s="68"/>
      <c r="J565" s="65">
        <f t="shared" si="26"/>
        <v>562</v>
      </c>
      <c r="K565" s="65">
        <f>工程基本資料!$B$7-$J565+$L565+$M565</f>
        <v>-562</v>
      </c>
      <c r="L565" s="66"/>
      <c r="M565" s="66"/>
      <c r="N565" s="66"/>
      <c r="O565" s="70"/>
      <c r="P565" s="58">
        <f>工程基本資料!$B$8+工程基本資料!$B$7+$L565+$M565-1</f>
        <v>-1</v>
      </c>
      <c r="Q565" s="9" t="e">
        <v>#N/A</v>
      </c>
    </row>
    <row r="566" spans="1:17" ht="63" customHeight="1" x14ac:dyDescent="0.3">
      <c r="A566" s="60"/>
      <c r="B566" s="61">
        <f t="shared" si="25"/>
        <v>563</v>
      </c>
      <c r="C566" s="62"/>
      <c r="D566" s="62"/>
      <c r="E566" s="68"/>
      <c r="F566" s="68"/>
      <c r="G566" s="68"/>
      <c r="H566" s="64" t="e">
        <f t="shared" si="24"/>
        <v>#N/A</v>
      </c>
      <c r="I566" s="68"/>
      <c r="J566" s="65">
        <f t="shared" si="26"/>
        <v>563</v>
      </c>
      <c r="K566" s="65">
        <f>工程基本資料!$B$7-$J566+$L566+$M566</f>
        <v>-563</v>
      </c>
      <c r="L566" s="66"/>
      <c r="M566" s="66"/>
      <c r="N566" s="66"/>
      <c r="O566" s="70"/>
      <c r="P566" s="58">
        <f>工程基本資料!$B$8+工程基本資料!$B$7+$L566+$M566-1</f>
        <v>-1</v>
      </c>
      <c r="Q566" s="9" t="e">
        <v>#N/A</v>
      </c>
    </row>
    <row r="567" spans="1:17" ht="63" customHeight="1" x14ac:dyDescent="0.3">
      <c r="A567" s="60"/>
      <c r="B567" s="61">
        <f t="shared" si="25"/>
        <v>564</v>
      </c>
      <c r="C567" s="62"/>
      <c r="D567" s="62"/>
      <c r="E567" s="68"/>
      <c r="F567" s="68"/>
      <c r="G567" s="68"/>
      <c r="H567" s="64" t="e">
        <f t="shared" si="24"/>
        <v>#N/A</v>
      </c>
      <c r="I567" s="68"/>
      <c r="J567" s="65">
        <f t="shared" si="26"/>
        <v>564</v>
      </c>
      <c r="K567" s="65">
        <f>工程基本資料!$B$7-$J567+$L567+$M567</f>
        <v>-564</v>
      </c>
      <c r="L567" s="66"/>
      <c r="M567" s="66"/>
      <c r="N567" s="66"/>
      <c r="O567" s="70"/>
      <c r="P567" s="58">
        <f>工程基本資料!$B$8+工程基本資料!$B$7+$L567+$M567-1</f>
        <v>-1</v>
      </c>
      <c r="Q567" s="9" t="e">
        <v>#N/A</v>
      </c>
    </row>
    <row r="568" spans="1:17" ht="63" customHeight="1" x14ac:dyDescent="0.3">
      <c r="A568" s="60"/>
      <c r="B568" s="61">
        <f t="shared" si="25"/>
        <v>565</v>
      </c>
      <c r="C568" s="62"/>
      <c r="D568" s="62"/>
      <c r="E568" s="68"/>
      <c r="F568" s="68"/>
      <c r="G568" s="68"/>
      <c r="H568" s="64" t="e">
        <f t="shared" si="24"/>
        <v>#N/A</v>
      </c>
      <c r="I568" s="68"/>
      <c r="J568" s="65">
        <f t="shared" si="26"/>
        <v>565</v>
      </c>
      <c r="K568" s="65">
        <f>工程基本資料!$B$7-$J568+$L568+$M568</f>
        <v>-565</v>
      </c>
      <c r="L568" s="66"/>
      <c r="M568" s="66"/>
      <c r="N568" s="66"/>
      <c r="O568" s="70"/>
      <c r="P568" s="58">
        <f>工程基本資料!$B$8+工程基本資料!$B$7+$L568+$M568-1</f>
        <v>-1</v>
      </c>
      <c r="Q568" s="9" t="e">
        <v>#N/A</v>
      </c>
    </row>
    <row r="569" spans="1:17" ht="63" customHeight="1" x14ac:dyDescent="0.3">
      <c r="A569" s="60"/>
      <c r="B569" s="61">
        <f t="shared" si="25"/>
        <v>566</v>
      </c>
      <c r="C569" s="62"/>
      <c r="D569" s="62"/>
      <c r="E569" s="68"/>
      <c r="F569" s="68"/>
      <c r="G569" s="68"/>
      <c r="H569" s="64" t="e">
        <f t="shared" si="24"/>
        <v>#N/A</v>
      </c>
      <c r="I569" s="68"/>
      <c r="J569" s="65">
        <f t="shared" si="26"/>
        <v>566</v>
      </c>
      <c r="K569" s="65">
        <f>工程基本資料!$B$7-$J569+$L569+$M569</f>
        <v>-566</v>
      </c>
      <c r="L569" s="66"/>
      <c r="M569" s="66"/>
      <c r="N569" s="66"/>
      <c r="O569" s="70"/>
      <c r="P569" s="58">
        <f>工程基本資料!$B$8+工程基本資料!$B$7+$L569+$M569-1</f>
        <v>-1</v>
      </c>
      <c r="Q569" s="9" t="e">
        <v>#N/A</v>
      </c>
    </row>
    <row r="570" spans="1:17" ht="63" customHeight="1" x14ac:dyDescent="0.3">
      <c r="A570" s="60"/>
      <c r="B570" s="61">
        <f t="shared" si="25"/>
        <v>567</v>
      </c>
      <c r="C570" s="62"/>
      <c r="D570" s="62"/>
      <c r="E570" s="68"/>
      <c r="F570" s="68"/>
      <c r="G570" s="68"/>
      <c r="H570" s="64" t="e">
        <f t="shared" si="24"/>
        <v>#N/A</v>
      </c>
      <c r="I570" s="68"/>
      <c r="J570" s="65">
        <f t="shared" si="26"/>
        <v>567</v>
      </c>
      <c r="K570" s="65">
        <f>工程基本資料!$B$7-$J570+$L570+$M570</f>
        <v>-567</v>
      </c>
      <c r="L570" s="66"/>
      <c r="M570" s="66"/>
      <c r="N570" s="66"/>
      <c r="O570" s="70"/>
      <c r="P570" s="58">
        <f>工程基本資料!$B$8+工程基本資料!$B$7+$L570+$M570-1</f>
        <v>-1</v>
      </c>
      <c r="Q570" s="9" t="e">
        <v>#N/A</v>
      </c>
    </row>
    <row r="571" spans="1:17" ht="63" customHeight="1" x14ac:dyDescent="0.3">
      <c r="A571" s="60"/>
      <c r="B571" s="61">
        <f t="shared" si="25"/>
        <v>568</v>
      </c>
      <c r="C571" s="62"/>
      <c r="D571" s="62"/>
      <c r="E571" s="68"/>
      <c r="F571" s="68"/>
      <c r="G571" s="68"/>
      <c r="H571" s="64" t="e">
        <f t="shared" si="24"/>
        <v>#N/A</v>
      </c>
      <c r="I571" s="68"/>
      <c r="J571" s="65">
        <f t="shared" si="26"/>
        <v>568</v>
      </c>
      <c r="K571" s="65">
        <f>工程基本資料!$B$7-$J571+$L571+$M571</f>
        <v>-568</v>
      </c>
      <c r="L571" s="66"/>
      <c r="M571" s="66"/>
      <c r="N571" s="66"/>
      <c r="O571" s="70"/>
      <c r="P571" s="58">
        <f>工程基本資料!$B$8+工程基本資料!$B$7+$L571+$M571-1</f>
        <v>-1</v>
      </c>
      <c r="Q571" s="9" t="e">
        <v>#N/A</v>
      </c>
    </row>
    <row r="572" spans="1:17" ht="63" customHeight="1" x14ac:dyDescent="0.3">
      <c r="A572" s="60"/>
      <c r="B572" s="61">
        <f t="shared" si="25"/>
        <v>569</v>
      </c>
      <c r="C572" s="62"/>
      <c r="D572" s="62"/>
      <c r="E572" s="68"/>
      <c r="F572" s="68"/>
      <c r="G572" s="68"/>
      <c r="H572" s="64" t="e">
        <f t="shared" si="24"/>
        <v>#N/A</v>
      </c>
      <c r="I572" s="68"/>
      <c r="J572" s="65">
        <f t="shared" si="26"/>
        <v>569</v>
      </c>
      <c r="K572" s="65">
        <f>工程基本資料!$B$7-$J572+$L572+$M572</f>
        <v>-569</v>
      </c>
      <c r="L572" s="66"/>
      <c r="M572" s="66"/>
      <c r="N572" s="66"/>
      <c r="O572" s="70"/>
      <c r="P572" s="58">
        <f>工程基本資料!$B$8+工程基本資料!$B$7+$L572+$M572-1</f>
        <v>-1</v>
      </c>
      <c r="Q572" s="9" t="e">
        <v>#N/A</v>
      </c>
    </row>
    <row r="573" spans="1:17" ht="63" customHeight="1" x14ac:dyDescent="0.3">
      <c r="A573" s="60"/>
      <c r="B573" s="61">
        <f t="shared" si="25"/>
        <v>570</v>
      </c>
      <c r="C573" s="62"/>
      <c r="D573" s="62"/>
      <c r="E573" s="68"/>
      <c r="F573" s="68"/>
      <c r="G573" s="68"/>
      <c r="H573" s="64" t="e">
        <f t="shared" si="24"/>
        <v>#N/A</v>
      </c>
      <c r="I573" s="68"/>
      <c r="J573" s="65">
        <f t="shared" si="26"/>
        <v>570</v>
      </c>
      <c r="K573" s="65">
        <f>工程基本資料!$B$7-$J573+$L573+$M573</f>
        <v>-570</v>
      </c>
      <c r="L573" s="66"/>
      <c r="M573" s="66"/>
      <c r="N573" s="66"/>
      <c r="O573" s="70"/>
      <c r="P573" s="58">
        <f>工程基本資料!$B$8+工程基本資料!$B$7+$L573+$M573-1</f>
        <v>-1</v>
      </c>
      <c r="Q573" s="9" t="e">
        <v>#N/A</v>
      </c>
    </row>
    <row r="574" spans="1:17" ht="63" customHeight="1" x14ac:dyDescent="0.3">
      <c r="A574" s="60"/>
      <c r="B574" s="61">
        <f t="shared" si="25"/>
        <v>571</v>
      </c>
      <c r="C574" s="62"/>
      <c r="D574" s="62"/>
      <c r="E574" s="68"/>
      <c r="F574" s="68"/>
      <c r="G574" s="68"/>
      <c r="H574" s="64" t="e">
        <f t="shared" si="24"/>
        <v>#N/A</v>
      </c>
      <c r="I574" s="68"/>
      <c r="J574" s="65">
        <f t="shared" si="26"/>
        <v>571</v>
      </c>
      <c r="K574" s="65">
        <f>工程基本資料!$B$7-$J574+$L574+$M574</f>
        <v>-571</v>
      </c>
      <c r="L574" s="66"/>
      <c r="M574" s="66"/>
      <c r="N574" s="66"/>
      <c r="O574" s="70"/>
      <c r="P574" s="58">
        <f>工程基本資料!$B$8+工程基本資料!$B$7+$L574+$M574-1</f>
        <v>-1</v>
      </c>
      <c r="Q574" s="9" t="e">
        <v>#N/A</v>
      </c>
    </row>
    <row r="575" spans="1:17" ht="63" customHeight="1" x14ac:dyDescent="0.3">
      <c r="A575" s="60"/>
      <c r="B575" s="61">
        <f t="shared" si="25"/>
        <v>572</v>
      </c>
      <c r="C575" s="62"/>
      <c r="D575" s="62"/>
      <c r="E575" s="68"/>
      <c r="F575" s="68"/>
      <c r="G575" s="68"/>
      <c r="H575" s="64" t="e">
        <f t="shared" si="24"/>
        <v>#N/A</v>
      </c>
      <c r="I575" s="68"/>
      <c r="J575" s="65">
        <f t="shared" si="26"/>
        <v>572</v>
      </c>
      <c r="K575" s="65">
        <f>工程基本資料!$B$7-$J575+$L575+$M575</f>
        <v>-572</v>
      </c>
      <c r="L575" s="66"/>
      <c r="M575" s="66"/>
      <c r="N575" s="66"/>
      <c r="O575" s="70"/>
      <c r="P575" s="58">
        <f>工程基本資料!$B$8+工程基本資料!$B$7+$L575+$M575-1</f>
        <v>-1</v>
      </c>
      <c r="Q575" s="9" t="e">
        <v>#N/A</v>
      </c>
    </row>
    <row r="576" spans="1:17" ht="63" customHeight="1" x14ac:dyDescent="0.3">
      <c r="A576" s="60"/>
      <c r="B576" s="61">
        <f t="shared" si="25"/>
        <v>573</v>
      </c>
      <c r="C576" s="62"/>
      <c r="D576" s="62"/>
      <c r="E576" s="68"/>
      <c r="F576" s="68"/>
      <c r="G576" s="68"/>
      <c r="H576" s="64" t="e">
        <f t="shared" si="24"/>
        <v>#N/A</v>
      </c>
      <c r="I576" s="68"/>
      <c r="J576" s="65">
        <f t="shared" si="26"/>
        <v>573</v>
      </c>
      <c r="K576" s="65">
        <f>工程基本資料!$B$7-$J576+$L576+$M576</f>
        <v>-573</v>
      </c>
      <c r="L576" s="66"/>
      <c r="M576" s="66"/>
      <c r="N576" s="66"/>
      <c r="O576" s="70"/>
      <c r="P576" s="58">
        <f>工程基本資料!$B$8+工程基本資料!$B$7+$L576+$M576-1</f>
        <v>-1</v>
      </c>
      <c r="Q576" s="9" t="e">
        <v>#N/A</v>
      </c>
    </row>
    <row r="577" spans="1:17" ht="63" customHeight="1" x14ac:dyDescent="0.3">
      <c r="A577" s="60"/>
      <c r="B577" s="61">
        <f t="shared" si="25"/>
        <v>574</v>
      </c>
      <c r="C577" s="62"/>
      <c r="D577" s="62"/>
      <c r="E577" s="68"/>
      <c r="F577" s="68"/>
      <c r="G577" s="68"/>
      <c r="H577" s="64" t="e">
        <f t="shared" si="24"/>
        <v>#N/A</v>
      </c>
      <c r="I577" s="68"/>
      <c r="J577" s="65">
        <f t="shared" si="26"/>
        <v>574</v>
      </c>
      <c r="K577" s="65">
        <f>工程基本資料!$B$7-$J577+$L577+$M577</f>
        <v>-574</v>
      </c>
      <c r="L577" s="66"/>
      <c r="M577" s="66"/>
      <c r="N577" s="66"/>
      <c r="O577" s="70"/>
      <c r="P577" s="58">
        <f>工程基本資料!$B$8+工程基本資料!$B$7+$L577+$M577-1</f>
        <v>-1</v>
      </c>
      <c r="Q577" s="9" t="e">
        <v>#N/A</v>
      </c>
    </row>
    <row r="578" spans="1:17" ht="63" customHeight="1" x14ac:dyDescent="0.3">
      <c r="A578" s="60"/>
      <c r="B578" s="61">
        <f t="shared" si="25"/>
        <v>575</v>
      </c>
      <c r="C578" s="62"/>
      <c r="D578" s="62"/>
      <c r="E578" s="68"/>
      <c r="F578" s="68"/>
      <c r="G578" s="68"/>
      <c r="H578" s="64" t="e">
        <f t="shared" si="24"/>
        <v>#N/A</v>
      </c>
      <c r="I578" s="68"/>
      <c r="J578" s="65">
        <f t="shared" si="26"/>
        <v>575</v>
      </c>
      <c r="K578" s="65">
        <f>工程基本資料!$B$7-$J578+$L578+$M578</f>
        <v>-575</v>
      </c>
      <c r="L578" s="66"/>
      <c r="M578" s="66"/>
      <c r="N578" s="66"/>
      <c r="O578" s="70"/>
      <c r="P578" s="58">
        <f>工程基本資料!$B$8+工程基本資料!$B$7+$L578+$M578-1</f>
        <v>-1</v>
      </c>
      <c r="Q578" s="9" t="e">
        <v>#N/A</v>
      </c>
    </row>
    <row r="579" spans="1:17" ht="63" customHeight="1" x14ac:dyDescent="0.3">
      <c r="A579" s="60"/>
      <c r="B579" s="61">
        <f t="shared" si="25"/>
        <v>576</v>
      </c>
      <c r="C579" s="62"/>
      <c r="D579" s="62"/>
      <c r="E579" s="68"/>
      <c r="F579" s="68"/>
      <c r="G579" s="68"/>
      <c r="H579" s="64" t="e">
        <f t="shared" si="24"/>
        <v>#N/A</v>
      </c>
      <c r="I579" s="68"/>
      <c r="J579" s="65">
        <f t="shared" si="26"/>
        <v>576</v>
      </c>
      <c r="K579" s="65">
        <f>工程基本資料!$B$7-$J579+$L579+$M579</f>
        <v>-576</v>
      </c>
      <c r="L579" s="66"/>
      <c r="M579" s="66"/>
      <c r="N579" s="66"/>
      <c r="O579" s="70"/>
      <c r="P579" s="58">
        <f>工程基本資料!$B$8+工程基本資料!$B$7+$L579+$M579-1</f>
        <v>-1</v>
      </c>
      <c r="Q579" s="9" t="e">
        <v>#N/A</v>
      </c>
    </row>
    <row r="580" spans="1:17" ht="63" customHeight="1" x14ac:dyDescent="0.3">
      <c r="A580" s="60"/>
      <c r="B580" s="61">
        <f t="shared" si="25"/>
        <v>577</v>
      </c>
      <c r="C580" s="62"/>
      <c r="D580" s="62"/>
      <c r="E580" s="68"/>
      <c r="F580" s="68"/>
      <c r="G580" s="68"/>
      <c r="H580" s="64" t="e">
        <f t="shared" ref="H580:H643" si="27">IF(Q580&gt;1,$R$3,$R$4)</f>
        <v>#N/A</v>
      </c>
      <c r="I580" s="68"/>
      <c r="J580" s="65">
        <f t="shared" si="26"/>
        <v>577</v>
      </c>
      <c r="K580" s="65">
        <f>工程基本資料!$B$7-$J580+$L580+$M580</f>
        <v>-577</v>
      </c>
      <c r="L580" s="66"/>
      <c r="M580" s="66"/>
      <c r="N580" s="66"/>
      <c r="O580" s="70"/>
      <c r="P580" s="58">
        <f>工程基本資料!$B$8+工程基本資料!$B$7+$L580+$M580-1</f>
        <v>-1</v>
      </c>
      <c r="Q580" s="9" t="e">
        <v>#N/A</v>
      </c>
    </row>
    <row r="581" spans="1:17" ht="63" customHeight="1" x14ac:dyDescent="0.3">
      <c r="A581" s="60"/>
      <c r="B581" s="61">
        <f t="shared" ref="B581:B644" si="28">B580+1</f>
        <v>578</v>
      </c>
      <c r="C581" s="62"/>
      <c r="D581" s="62"/>
      <c r="E581" s="68"/>
      <c r="F581" s="68"/>
      <c r="G581" s="68"/>
      <c r="H581" s="64" t="e">
        <f t="shared" si="27"/>
        <v>#N/A</v>
      </c>
      <c r="I581" s="68"/>
      <c r="J581" s="65">
        <f t="shared" ref="J581:J644" si="29">J580+1</f>
        <v>578</v>
      </c>
      <c r="K581" s="65">
        <f>工程基本資料!$B$7-$J581+$L581+$M581</f>
        <v>-578</v>
      </c>
      <c r="L581" s="66"/>
      <c r="M581" s="66"/>
      <c r="N581" s="66"/>
      <c r="O581" s="70"/>
      <c r="P581" s="58">
        <f>工程基本資料!$B$8+工程基本資料!$B$7+$L581+$M581-1</f>
        <v>-1</v>
      </c>
      <c r="Q581" s="9" t="e">
        <v>#N/A</v>
      </c>
    </row>
    <row r="582" spans="1:17" ht="63" customHeight="1" x14ac:dyDescent="0.3">
      <c r="A582" s="60"/>
      <c r="B582" s="61">
        <f t="shared" si="28"/>
        <v>579</v>
      </c>
      <c r="C582" s="62"/>
      <c r="D582" s="62"/>
      <c r="E582" s="68"/>
      <c r="F582" s="68"/>
      <c r="G582" s="68"/>
      <c r="H582" s="64" t="e">
        <f t="shared" si="27"/>
        <v>#N/A</v>
      </c>
      <c r="I582" s="68"/>
      <c r="J582" s="65">
        <f t="shared" si="29"/>
        <v>579</v>
      </c>
      <c r="K582" s="65">
        <f>工程基本資料!$B$7-$J582+$L582+$M582</f>
        <v>-579</v>
      </c>
      <c r="L582" s="66"/>
      <c r="M582" s="66"/>
      <c r="N582" s="66"/>
      <c r="O582" s="70"/>
      <c r="P582" s="58">
        <f>工程基本資料!$B$8+工程基本資料!$B$7+$L582+$M582-1</f>
        <v>-1</v>
      </c>
      <c r="Q582" s="9" t="e">
        <v>#N/A</v>
      </c>
    </row>
    <row r="583" spans="1:17" ht="63" customHeight="1" x14ac:dyDescent="0.3">
      <c r="A583" s="60"/>
      <c r="B583" s="61">
        <f t="shared" si="28"/>
        <v>580</v>
      </c>
      <c r="C583" s="62"/>
      <c r="D583" s="62"/>
      <c r="E583" s="68"/>
      <c r="F583" s="68"/>
      <c r="G583" s="68"/>
      <c r="H583" s="64" t="e">
        <f t="shared" si="27"/>
        <v>#N/A</v>
      </c>
      <c r="I583" s="68"/>
      <c r="J583" s="65">
        <f t="shared" si="29"/>
        <v>580</v>
      </c>
      <c r="K583" s="65">
        <f>工程基本資料!$B$7-$J583+$L583+$M583</f>
        <v>-580</v>
      </c>
      <c r="L583" s="66"/>
      <c r="M583" s="66"/>
      <c r="N583" s="66"/>
      <c r="O583" s="70"/>
      <c r="P583" s="58">
        <f>工程基本資料!$B$8+工程基本資料!$B$7+$L583+$M583-1</f>
        <v>-1</v>
      </c>
      <c r="Q583" s="9" t="e">
        <v>#N/A</v>
      </c>
    </row>
    <row r="584" spans="1:17" ht="63" customHeight="1" x14ac:dyDescent="0.3">
      <c r="A584" s="60"/>
      <c r="B584" s="61">
        <f t="shared" si="28"/>
        <v>581</v>
      </c>
      <c r="C584" s="62"/>
      <c r="D584" s="62"/>
      <c r="E584" s="68"/>
      <c r="F584" s="68"/>
      <c r="G584" s="68"/>
      <c r="H584" s="64" t="e">
        <f t="shared" si="27"/>
        <v>#N/A</v>
      </c>
      <c r="I584" s="68"/>
      <c r="J584" s="65">
        <f t="shared" si="29"/>
        <v>581</v>
      </c>
      <c r="K584" s="65">
        <f>工程基本資料!$B$7-$J584+$L584+$M584</f>
        <v>-581</v>
      </c>
      <c r="L584" s="66"/>
      <c r="M584" s="66"/>
      <c r="N584" s="66"/>
      <c r="O584" s="70"/>
      <c r="P584" s="58">
        <f>工程基本資料!$B$8+工程基本資料!$B$7+$L584+$M584-1</f>
        <v>-1</v>
      </c>
      <c r="Q584" s="9" t="e">
        <v>#N/A</v>
      </c>
    </row>
    <row r="585" spans="1:17" ht="63" customHeight="1" x14ac:dyDescent="0.3">
      <c r="A585" s="60"/>
      <c r="B585" s="61">
        <f t="shared" si="28"/>
        <v>582</v>
      </c>
      <c r="C585" s="62"/>
      <c r="D585" s="62"/>
      <c r="E585" s="68"/>
      <c r="F585" s="68"/>
      <c r="G585" s="68"/>
      <c r="H585" s="64" t="e">
        <f t="shared" si="27"/>
        <v>#N/A</v>
      </c>
      <c r="I585" s="68"/>
      <c r="J585" s="65">
        <f t="shared" si="29"/>
        <v>582</v>
      </c>
      <c r="K585" s="65">
        <f>工程基本資料!$B$7-$J585+$L585+$M585</f>
        <v>-582</v>
      </c>
      <c r="L585" s="66"/>
      <c r="M585" s="66"/>
      <c r="N585" s="66"/>
      <c r="O585" s="70"/>
      <c r="P585" s="58">
        <f>工程基本資料!$B$8+工程基本資料!$B$7+$L585+$M585-1</f>
        <v>-1</v>
      </c>
      <c r="Q585" s="9" t="e">
        <v>#N/A</v>
      </c>
    </row>
    <row r="586" spans="1:17" ht="63" customHeight="1" x14ac:dyDescent="0.3">
      <c r="A586" s="60"/>
      <c r="B586" s="61">
        <f t="shared" si="28"/>
        <v>583</v>
      </c>
      <c r="C586" s="62"/>
      <c r="D586" s="62"/>
      <c r="E586" s="68"/>
      <c r="F586" s="68"/>
      <c r="G586" s="68"/>
      <c r="H586" s="64" t="e">
        <f t="shared" si="27"/>
        <v>#N/A</v>
      </c>
      <c r="I586" s="68"/>
      <c r="J586" s="65">
        <f t="shared" si="29"/>
        <v>583</v>
      </c>
      <c r="K586" s="65">
        <f>工程基本資料!$B$7-$J586+$L586+$M586</f>
        <v>-583</v>
      </c>
      <c r="L586" s="66"/>
      <c r="M586" s="66"/>
      <c r="N586" s="66"/>
      <c r="O586" s="70"/>
      <c r="P586" s="58">
        <f>工程基本資料!$B$8+工程基本資料!$B$7+$L586+$M586-1</f>
        <v>-1</v>
      </c>
      <c r="Q586" s="9" t="e">
        <v>#N/A</v>
      </c>
    </row>
    <row r="587" spans="1:17" ht="63" customHeight="1" x14ac:dyDescent="0.3">
      <c r="A587" s="60"/>
      <c r="B587" s="61">
        <f t="shared" si="28"/>
        <v>584</v>
      </c>
      <c r="C587" s="62"/>
      <c r="D587" s="62"/>
      <c r="E587" s="68"/>
      <c r="F587" s="68"/>
      <c r="G587" s="68"/>
      <c r="H587" s="64" t="e">
        <f t="shared" si="27"/>
        <v>#N/A</v>
      </c>
      <c r="I587" s="68"/>
      <c r="J587" s="65">
        <f t="shared" si="29"/>
        <v>584</v>
      </c>
      <c r="K587" s="65">
        <f>工程基本資料!$B$7-$J587+$L587+$M587</f>
        <v>-584</v>
      </c>
      <c r="L587" s="66"/>
      <c r="M587" s="66"/>
      <c r="N587" s="66"/>
      <c r="O587" s="70"/>
      <c r="P587" s="58">
        <f>工程基本資料!$B$8+工程基本資料!$B$7+$L587+$M587-1</f>
        <v>-1</v>
      </c>
      <c r="Q587" s="9" t="e">
        <v>#N/A</v>
      </c>
    </row>
    <row r="588" spans="1:17" ht="63" customHeight="1" x14ac:dyDescent="0.3">
      <c r="A588" s="60"/>
      <c r="B588" s="61">
        <f t="shared" si="28"/>
        <v>585</v>
      </c>
      <c r="C588" s="62"/>
      <c r="D588" s="62"/>
      <c r="E588" s="68"/>
      <c r="F588" s="68"/>
      <c r="G588" s="68"/>
      <c r="H588" s="64" t="e">
        <f t="shared" si="27"/>
        <v>#N/A</v>
      </c>
      <c r="I588" s="68"/>
      <c r="J588" s="65">
        <f t="shared" si="29"/>
        <v>585</v>
      </c>
      <c r="K588" s="65">
        <f>工程基本資料!$B$7-$J588+$L588+$M588</f>
        <v>-585</v>
      </c>
      <c r="L588" s="66"/>
      <c r="M588" s="66"/>
      <c r="N588" s="66"/>
      <c r="O588" s="70"/>
      <c r="P588" s="58">
        <f>工程基本資料!$B$8+工程基本資料!$B$7+$L588+$M588-1</f>
        <v>-1</v>
      </c>
      <c r="Q588" s="9" t="e">
        <v>#N/A</v>
      </c>
    </row>
    <row r="589" spans="1:17" ht="63" customHeight="1" x14ac:dyDescent="0.3">
      <c r="A589" s="60"/>
      <c r="B589" s="61">
        <f t="shared" si="28"/>
        <v>586</v>
      </c>
      <c r="C589" s="62"/>
      <c r="D589" s="62"/>
      <c r="E589" s="68"/>
      <c r="F589" s="68"/>
      <c r="G589" s="68"/>
      <c r="H589" s="64" t="e">
        <f t="shared" si="27"/>
        <v>#N/A</v>
      </c>
      <c r="I589" s="68"/>
      <c r="J589" s="65">
        <f t="shared" si="29"/>
        <v>586</v>
      </c>
      <c r="K589" s="65">
        <f>工程基本資料!$B$7-$J589+$L589+$M589</f>
        <v>-586</v>
      </c>
      <c r="L589" s="66"/>
      <c r="M589" s="66"/>
      <c r="N589" s="66"/>
      <c r="O589" s="70"/>
      <c r="P589" s="58">
        <f>工程基本資料!$B$8+工程基本資料!$B$7+$L589+$M589-1</f>
        <v>-1</v>
      </c>
      <c r="Q589" s="9" t="e">
        <v>#N/A</v>
      </c>
    </row>
    <row r="590" spans="1:17" ht="63" customHeight="1" x14ac:dyDescent="0.3">
      <c r="A590" s="60"/>
      <c r="B590" s="61">
        <f t="shared" si="28"/>
        <v>587</v>
      </c>
      <c r="C590" s="62"/>
      <c r="D590" s="62"/>
      <c r="E590" s="68"/>
      <c r="F590" s="68"/>
      <c r="G590" s="68"/>
      <c r="H590" s="64" t="e">
        <f t="shared" si="27"/>
        <v>#N/A</v>
      </c>
      <c r="I590" s="68"/>
      <c r="J590" s="65">
        <f t="shared" si="29"/>
        <v>587</v>
      </c>
      <c r="K590" s="65">
        <f>工程基本資料!$B$7-$J590+$L590+$M590</f>
        <v>-587</v>
      </c>
      <c r="L590" s="66"/>
      <c r="M590" s="66"/>
      <c r="N590" s="66"/>
      <c r="O590" s="70"/>
      <c r="P590" s="58">
        <f>工程基本資料!$B$8+工程基本資料!$B$7+$L590+$M590-1</f>
        <v>-1</v>
      </c>
      <c r="Q590" s="9" t="e">
        <v>#N/A</v>
      </c>
    </row>
    <row r="591" spans="1:17" ht="63" customHeight="1" x14ac:dyDescent="0.3">
      <c r="A591" s="60"/>
      <c r="B591" s="61">
        <f t="shared" si="28"/>
        <v>588</v>
      </c>
      <c r="C591" s="62"/>
      <c r="D591" s="62"/>
      <c r="E591" s="68"/>
      <c r="F591" s="68"/>
      <c r="G591" s="68"/>
      <c r="H591" s="64" t="e">
        <f t="shared" si="27"/>
        <v>#N/A</v>
      </c>
      <c r="I591" s="68"/>
      <c r="J591" s="65">
        <f t="shared" si="29"/>
        <v>588</v>
      </c>
      <c r="K591" s="65">
        <f>工程基本資料!$B$7-$J591+$L591+$M591</f>
        <v>-588</v>
      </c>
      <c r="L591" s="66"/>
      <c r="M591" s="66"/>
      <c r="N591" s="66"/>
      <c r="O591" s="70"/>
      <c r="P591" s="58">
        <f>工程基本資料!$B$8+工程基本資料!$B$7+$L591+$M591-1</f>
        <v>-1</v>
      </c>
      <c r="Q591" s="9" t="e">
        <v>#N/A</v>
      </c>
    </row>
    <row r="592" spans="1:17" ht="63" customHeight="1" x14ac:dyDescent="0.3">
      <c r="A592" s="60"/>
      <c r="B592" s="61">
        <f t="shared" si="28"/>
        <v>589</v>
      </c>
      <c r="C592" s="62"/>
      <c r="D592" s="62"/>
      <c r="E592" s="68"/>
      <c r="F592" s="68"/>
      <c r="G592" s="68"/>
      <c r="H592" s="64" t="e">
        <f t="shared" si="27"/>
        <v>#N/A</v>
      </c>
      <c r="I592" s="68"/>
      <c r="J592" s="65">
        <f t="shared" si="29"/>
        <v>589</v>
      </c>
      <c r="K592" s="65">
        <f>工程基本資料!$B$7-$J592+$L592+$M592</f>
        <v>-589</v>
      </c>
      <c r="L592" s="66"/>
      <c r="M592" s="66"/>
      <c r="N592" s="66"/>
      <c r="O592" s="70"/>
      <c r="P592" s="58">
        <f>工程基本資料!$B$8+工程基本資料!$B$7+$L592+$M592-1</f>
        <v>-1</v>
      </c>
      <c r="Q592" s="9" t="e">
        <v>#N/A</v>
      </c>
    </row>
    <row r="593" spans="1:17" ht="63" customHeight="1" x14ac:dyDescent="0.3">
      <c r="A593" s="60"/>
      <c r="B593" s="61">
        <f t="shared" si="28"/>
        <v>590</v>
      </c>
      <c r="C593" s="62"/>
      <c r="D593" s="62"/>
      <c r="E593" s="68"/>
      <c r="F593" s="68"/>
      <c r="G593" s="68"/>
      <c r="H593" s="64" t="e">
        <f t="shared" si="27"/>
        <v>#N/A</v>
      </c>
      <c r="I593" s="68"/>
      <c r="J593" s="65">
        <f t="shared" si="29"/>
        <v>590</v>
      </c>
      <c r="K593" s="65">
        <f>工程基本資料!$B$7-$J593+$L593+$M593</f>
        <v>-590</v>
      </c>
      <c r="L593" s="66"/>
      <c r="M593" s="66"/>
      <c r="N593" s="66"/>
      <c r="O593" s="70"/>
      <c r="P593" s="58">
        <f>工程基本資料!$B$8+工程基本資料!$B$7+$L593+$M593-1</f>
        <v>-1</v>
      </c>
      <c r="Q593" s="9" t="e">
        <v>#N/A</v>
      </c>
    </row>
    <row r="594" spans="1:17" ht="63" customHeight="1" x14ac:dyDescent="0.3">
      <c r="A594" s="60"/>
      <c r="B594" s="61">
        <f t="shared" si="28"/>
        <v>591</v>
      </c>
      <c r="C594" s="62"/>
      <c r="D594" s="62"/>
      <c r="E594" s="68"/>
      <c r="F594" s="68"/>
      <c r="G594" s="68"/>
      <c r="H594" s="64" t="e">
        <f t="shared" si="27"/>
        <v>#N/A</v>
      </c>
      <c r="I594" s="68"/>
      <c r="J594" s="65">
        <f t="shared" si="29"/>
        <v>591</v>
      </c>
      <c r="K594" s="65">
        <f>工程基本資料!$B$7-$J594+$L594+$M594</f>
        <v>-591</v>
      </c>
      <c r="L594" s="66"/>
      <c r="M594" s="66"/>
      <c r="N594" s="66"/>
      <c r="O594" s="70"/>
      <c r="P594" s="58">
        <f>工程基本資料!$B$8+工程基本資料!$B$7+$L594+$M594-1</f>
        <v>-1</v>
      </c>
      <c r="Q594" s="9" t="e">
        <v>#N/A</v>
      </c>
    </row>
    <row r="595" spans="1:17" ht="63" customHeight="1" x14ac:dyDescent="0.3">
      <c r="A595" s="60"/>
      <c r="B595" s="61">
        <f t="shared" si="28"/>
        <v>592</v>
      </c>
      <c r="C595" s="62"/>
      <c r="D595" s="62"/>
      <c r="E595" s="68"/>
      <c r="F595" s="68"/>
      <c r="G595" s="68"/>
      <c r="H595" s="64" t="e">
        <f t="shared" si="27"/>
        <v>#N/A</v>
      </c>
      <c r="I595" s="68"/>
      <c r="J595" s="65">
        <f t="shared" si="29"/>
        <v>592</v>
      </c>
      <c r="K595" s="65">
        <f>工程基本資料!$B$7-$J595+$L595+$M595</f>
        <v>-592</v>
      </c>
      <c r="L595" s="66"/>
      <c r="M595" s="66"/>
      <c r="N595" s="66"/>
      <c r="O595" s="70"/>
      <c r="P595" s="58">
        <f>工程基本資料!$B$8+工程基本資料!$B$7+$L595+$M595-1</f>
        <v>-1</v>
      </c>
      <c r="Q595" s="9" t="e">
        <v>#N/A</v>
      </c>
    </row>
    <row r="596" spans="1:17" ht="63" customHeight="1" x14ac:dyDescent="0.3">
      <c r="A596" s="60"/>
      <c r="B596" s="61">
        <f t="shared" si="28"/>
        <v>593</v>
      </c>
      <c r="C596" s="62"/>
      <c r="D596" s="62"/>
      <c r="E596" s="68"/>
      <c r="F596" s="68"/>
      <c r="G596" s="68"/>
      <c r="H596" s="64" t="e">
        <f t="shared" si="27"/>
        <v>#N/A</v>
      </c>
      <c r="I596" s="68"/>
      <c r="J596" s="65">
        <f t="shared" si="29"/>
        <v>593</v>
      </c>
      <c r="K596" s="65">
        <f>工程基本資料!$B$7-$J596+$L596+$M596</f>
        <v>-593</v>
      </c>
      <c r="L596" s="66"/>
      <c r="M596" s="66"/>
      <c r="N596" s="66"/>
      <c r="O596" s="70"/>
      <c r="P596" s="58">
        <f>工程基本資料!$B$8+工程基本資料!$B$7+$L596+$M596-1</f>
        <v>-1</v>
      </c>
      <c r="Q596" s="9" t="e">
        <v>#N/A</v>
      </c>
    </row>
    <row r="597" spans="1:17" ht="63" customHeight="1" x14ac:dyDescent="0.3">
      <c r="A597" s="60"/>
      <c r="B597" s="61">
        <f t="shared" si="28"/>
        <v>594</v>
      </c>
      <c r="C597" s="62"/>
      <c r="D597" s="62"/>
      <c r="E597" s="68"/>
      <c r="F597" s="68"/>
      <c r="G597" s="68"/>
      <c r="H597" s="64" t="e">
        <f t="shared" si="27"/>
        <v>#N/A</v>
      </c>
      <c r="I597" s="68"/>
      <c r="J597" s="65">
        <f t="shared" si="29"/>
        <v>594</v>
      </c>
      <c r="K597" s="65">
        <f>工程基本資料!$B$7-$J597+$L597+$M597</f>
        <v>-594</v>
      </c>
      <c r="L597" s="66"/>
      <c r="M597" s="66"/>
      <c r="N597" s="66"/>
      <c r="O597" s="70"/>
      <c r="P597" s="58">
        <f>工程基本資料!$B$8+工程基本資料!$B$7+$L597+$M597-1</f>
        <v>-1</v>
      </c>
      <c r="Q597" s="9" t="e">
        <v>#N/A</v>
      </c>
    </row>
    <row r="598" spans="1:17" ht="63" customHeight="1" x14ac:dyDescent="0.3">
      <c r="A598" s="60"/>
      <c r="B598" s="61">
        <f t="shared" si="28"/>
        <v>595</v>
      </c>
      <c r="C598" s="62"/>
      <c r="D598" s="62"/>
      <c r="E598" s="68"/>
      <c r="F598" s="68"/>
      <c r="G598" s="68"/>
      <c r="H598" s="64">
        <f t="shared" si="27"/>
        <v>0</v>
      </c>
      <c r="I598" s="68"/>
      <c r="J598" s="65">
        <f t="shared" si="29"/>
        <v>595</v>
      </c>
      <c r="K598" s="65">
        <f>工程基本資料!$B$7-$J598+$L598+$M598</f>
        <v>-595</v>
      </c>
      <c r="L598" s="66"/>
      <c r="M598" s="66"/>
      <c r="N598" s="66"/>
      <c r="O598" s="70"/>
      <c r="P598" s="58">
        <f>工程基本資料!$B$8+工程基本資料!$B$7+$L598+$M598-1</f>
        <v>-1</v>
      </c>
    </row>
    <row r="599" spans="1:17" ht="63" customHeight="1" x14ac:dyDescent="0.3">
      <c r="A599" s="60"/>
      <c r="B599" s="61">
        <f t="shared" si="28"/>
        <v>596</v>
      </c>
      <c r="C599" s="62"/>
      <c r="D599" s="62"/>
      <c r="E599" s="68"/>
      <c r="F599" s="68"/>
      <c r="G599" s="68"/>
      <c r="H599" s="64">
        <f t="shared" si="27"/>
        <v>0</v>
      </c>
      <c r="I599" s="68"/>
      <c r="J599" s="65">
        <f t="shared" si="29"/>
        <v>596</v>
      </c>
      <c r="K599" s="65">
        <f>工程基本資料!$B$7-$J599+$L599+$M599</f>
        <v>-596</v>
      </c>
      <c r="L599" s="66"/>
      <c r="M599" s="66"/>
      <c r="N599" s="66"/>
      <c r="O599" s="70"/>
      <c r="P599" s="58">
        <f>工程基本資料!$B$8+工程基本資料!$B$7+$L599+$M599-1</f>
        <v>-1</v>
      </c>
    </row>
    <row r="600" spans="1:17" ht="63" customHeight="1" x14ac:dyDescent="0.3">
      <c r="A600" s="60"/>
      <c r="B600" s="61">
        <f t="shared" si="28"/>
        <v>597</v>
      </c>
      <c r="C600" s="62"/>
      <c r="D600" s="62"/>
      <c r="E600" s="68"/>
      <c r="F600" s="68"/>
      <c r="G600" s="68"/>
      <c r="H600" s="64">
        <f t="shared" si="27"/>
        <v>0</v>
      </c>
      <c r="I600" s="68"/>
      <c r="J600" s="65">
        <f t="shared" si="29"/>
        <v>597</v>
      </c>
      <c r="K600" s="65">
        <f>工程基本資料!$B$7-$J600+$L600+$M600</f>
        <v>-597</v>
      </c>
      <c r="L600" s="66"/>
      <c r="M600" s="66"/>
      <c r="N600" s="66"/>
      <c r="O600" s="70"/>
      <c r="P600" s="58">
        <f>工程基本資料!$B$8+工程基本資料!$B$7+$L600+$M600-1</f>
        <v>-1</v>
      </c>
    </row>
    <row r="601" spans="1:17" ht="63" customHeight="1" x14ac:dyDescent="0.3">
      <c r="A601" s="60"/>
      <c r="B601" s="61">
        <f t="shared" si="28"/>
        <v>598</v>
      </c>
      <c r="C601" s="62"/>
      <c r="D601" s="62"/>
      <c r="E601" s="68"/>
      <c r="F601" s="68"/>
      <c r="G601" s="68"/>
      <c r="H601" s="64">
        <f t="shared" si="27"/>
        <v>0</v>
      </c>
      <c r="I601" s="68"/>
      <c r="J601" s="65">
        <f t="shared" si="29"/>
        <v>598</v>
      </c>
      <c r="K601" s="65">
        <f>工程基本資料!$B$7-$J601+$L601+$M601</f>
        <v>-598</v>
      </c>
      <c r="L601" s="66"/>
      <c r="M601" s="66"/>
      <c r="N601" s="66"/>
      <c r="O601" s="70"/>
      <c r="P601" s="58">
        <f>工程基本資料!$B$8+工程基本資料!$B$7+$L601+$M601-1</f>
        <v>-1</v>
      </c>
    </row>
    <row r="602" spans="1:17" ht="63" customHeight="1" x14ac:dyDescent="0.3">
      <c r="A602" s="60"/>
      <c r="B602" s="61">
        <f t="shared" si="28"/>
        <v>599</v>
      </c>
      <c r="C602" s="62"/>
      <c r="D602" s="62"/>
      <c r="E602" s="68"/>
      <c r="F602" s="68"/>
      <c r="G602" s="68"/>
      <c r="H602" s="64">
        <f t="shared" si="27"/>
        <v>0</v>
      </c>
      <c r="I602" s="68"/>
      <c r="J602" s="65">
        <f t="shared" si="29"/>
        <v>599</v>
      </c>
      <c r="K602" s="65">
        <f>工程基本資料!$B$7-$J602+$L602+$M602</f>
        <v>-599</v>
      </c>
      <c r="L602" s="66"/>
      <c r="M602" s="66"/>
      <c r="N602" s="66"/>
      <c r="O602" s="70"/>
      <c r="P602" s="58">
        <f>工程基本資料!$B$8+工程基本資料!$B$7+$L602+$M602-1</f>
        <v>-1</v>
      </c>
    </row>
    <row r="603" spans="1:17" ht="63" customHeight="1" x14ac:dyDescent="0.3">
      <c r="A603" s="60"/>
      <c r="B603" s="61">
        <f t="shared" si="28"/>
        <v>600</v>
      </c>
      <c r="C603" s="62"/>
      <c r="D603" s="62"/>
      <c r="E603" s="68"/>
      <c r="F603" s="68"/>
      <c r="G603" s="68"/>
      <c r="H603" s="64">
        <f t="shared" si="27"/>
        <v>0</v>
      </c>
      <c r="I603" s="68"/>
      <c r="J603" s="65">
        <f t="shared" si="29"/>
        <v>600</v>
      </c>
      <c r="K603" s="65">
        <f>工程基本資料!$B$7-$J603+$L603+$M603</f>
        <v>-600</v>
      </c>
      <c r="L603" s="66"/>
      <c r="M603" s="66"/>
      <c r="N603" s="66"/>
      <c r="O603" s="70"/>
      <c r="P603" s="58">
        <f>工程基本資料!$B$8+工程基本資料!$B$7+$L603+$M603-1</f>
        <v>-1</v>
      </c>
    </row>
    <row r="604" spans="1:17" ht="63" customHeight="1" x14ac:dyDescent="0.3">
      <c r="A604" s="60"/>
      <c r="B604" s="61">
        <f t="shared" si="28"/>
        <v>601</v>
      </c>
      <c r="C604" s="62"/>
      <c r="D604" s="62"/>
      <c r="E604" s="68"/>
      <c r="F604" s="68"/>
      <c r="G604" s="68"/>
      <c r="H604" s="64">
        <f t="shared" si="27"/>
        <v>0</v>
      </c>
      <c r="I604" s="68"/>
      <c r="J604" s="65">
        <f t="shared" si="29"/>
        <v>601</v>
      </c>
      <c r="K604" s="65">
        <f>工程基本資料!$B$7-$J604+$L604+$M604</f>
        <v>-601</v>
      </c>
      <c r="L604" s="66"/>
      <c r="M604" s="66"/>
      <c r="N604" s="66"/>
      <c r="O604" s="70"/>
      <c r="P604" s="58">
        <f>工程基本資料!$B$8+工程基本資料!$B$7+$L604+$M604-1</f>
        <v>-1</v>
      </c>
    </row>
    <row r="605" spans="1:17" ht="63" customHeight="1" x14ac:dyDescent="0.3">
      <c r="A605" s="60"/>
      <c r="B605" s="61">
        <f t="shared" si="28"/>
        <v>602</v>
      </c>
      <c r="C605" s="62"/>
      <c r="D605" s="62"/>
      <c r="E605" s="68"/>
      <c r="F605" s="68"/>
      <c r="G605" s="68"/>
      <c r="H605" s="64">
        <f t="shared" si="27"/>
        <v>0</v>
      </c>
      <c r="I605" s="68"/>
      <c r="J605" s="65">
        <f t="shared" si="29"/>
        <v>602</v>
      </c>
      <c r="K605" s="65">
        <f>工程基本資料!$B$7-$J605+$L605+$M605</f>
        <v>-602</v>
      </c>
      <c r="L605" s="66"/>
      <c r="M605" s="66"/>
      <c r="N605" s="66"/>
      <c r="O605" s="70"/>
      <c r="P605" s="58">
        <f>工程基本資料!$B$8+工程基本資料!$B$7+$L605+$M605-1</f>
        <v>-1</v>
      </c>
    </row>
    <row r="606" spans="1:17" ht="63" customHeight="1" x14ac:dyDescent="0.3">
      <c r="A606" s="60"/>
      <c r="B606" s="61">
        <f t="shared" si="28"/>
        <v>603</v>
      </c>
      <c r="C606" s="62"/>
      <c r="D606" s="62"/>
      <c r="E606" s="68"/>
      <c r="F606" s="68"/>
      <c r="G606" s="68"/>
      <c r="H606" s="64">
        <f t="shared" si="27"/>
        <v>0</v>
      </c>
      <c r="I606" s="68"/>
      <c r="J606" s="65">
        <f t="shared" si="29"/>
        <v>603</v>
      </c>
      <c r="K606" s="65">
        <f>工程基本資料!$B$7-$J606+$L606+$M606</f>
        <v>-603</v>
      </c>
      <c r="L606" s="66"/>
      <c r="M606" s="66"/>
      <c r="N606" s="66"/>
      <c r="O606" s="70"/>
      <c r="P606" s="58">
        <f>工程基本資料!$B$8+工程基本資料!$B$7+$L606+$M606-1</f>
        <v>-1</v>
      </c>
    </row>
    <row r="607" spans="1:17" ht="63" customHeight="1" x14ac:dyDescent="0.3">
      <c r="A607" s="60"/>
      <c r="B607" s="61">
        <f t="shared" si="28"/>
        <v>604</v>
      </c>
      <c r="C607" s="62"/>
      <c r="D607" s="62"/>
      <c r="E607" s="68"/>
      <c r="F607" s="68"/>
      <c r="G607" s="68"/>
      <c r="H607" s="64">
        <f t="shared" si="27"/>
        <v>0</v>
      </c>
      <c r="I607" s="68"/>
      <c r="J607" s="65">
        <f t="shared" si="29"/>
        <v>604</v>
      </c>
      <c r="K607" s="65">
        <f>工程基本資料!$B$7-$J607+$L607+$M607</f>
        <v>-604</v>
      </c>
      <c r="L607" s="66"/>
      <c r="M607" s="66"/>
      <c r="N607" s="66"/>
      <c r="O607" s="70"/>
      <c r="P607" s="58">
        <f>工程基本資料!$B$8+工程基本資料!$B$7+$L607+$M607-1</f>
        <v>-1</v>
      </c>
    </row>
    <row r="608" spans="1:17" ht="63" customHeight="1" x14ac:dyDescent="0.3">
      <c r="A608" s="60"/>
      <c r="B608" s="61">
        <f t="shared" si="28"/>
        <v>605</v>
      </c>
      <c r="C608" s="62"/>
      <c r="D608" s="62"/>
      <c r="E608" s="68"/>
      <c r="F608" s="68"/>
      <c r="G608" s="68"/>
      <c r="H608" s="64">
        <f t="shared" si="27"/>
        <v>0</v>
      </c>
      <c r="I608" s="68"/>
      <c r="J608" s="65">
        <f t="shared" si="29"/>
        <v>605</v>
      </c>
      <c r="K608" s="65">
        <f>工程基本資料!$B$7-$J608+$L608+$M608</f>
        <v>-605</v>
      </c>
      <c r="L608" s="66"/>
      <c r="M608" s="66"/>
      <c r="N608" s="66"/>
      <c r="O608" s="70"/>
      <c r="P608" s="58">
        <f>工程基本資料!$B$8+工程基本資料!$B$7+$L608+$M608-1</f>
        <v>-1</v>
      </c>
    </row>
    <row r="609" spans="1:16" ht="63" customHeight="1" x14ac:dyDescent="0.3">
      <c r="A609" s="60"/>
      <c r="B609" s="61">
        <f t="shared" si="28"/>
        <v>606</v>
      </c>
      <c r="C609" s="62"/>
      <c r="D609" s="62"/>
      <c r="E609" s="68"/>
      <c r="F609" s="68"/>
      <c r="G609" s="68"/>
      <c r="H609" s="64">
        <f t="shared" si="27"/>
        <v>0</v>
      </c>
      <c r="I609" s="68"/>
      <c r="J609" s="65">
        <f t="shared" si="29"/>
        <v>606</v>
      </c>
      <c r="K609" s="65">
        <f>工程基本資料!$B$7-$J609+$L609+$M609</f>
        <v>-606</v>
      </c>
      <c r="L609" s="66"/>
      <c r="M609" s="66"/>
      <c r="N609" s="66"/>
      <c r="O609" s="70"/>
      <c r="P609" s="58">
        <f>工程基本資料!$B$8+工程基本資料!$B$7+$L609+$M609-1</f>
        <v>-1</v>
      </c>
    </row>
    <row r="610" spans="1:16" ht="63" customHeight="1" x14ac:dyDescent="0.3">
      <c r="A610" s="60"/>
      <c r="B610" s="61">
        <f t="shared" si="28"/>
        <v>607</v>
      </c>
      <c r="C610" s="62"/>
      <c r="D610" s="62"/>
      <c r="E610" s="68"/>
      <c r="F610" s="68"/>
      <c r="G610" s="68"/>
      <c r="H610" s="64">
        <f t="shared" si="27"/>
        <v>0</v>
      </c>
      <c r="I610" s="68"/>
      <c r="J610" s="65">
        <f t="shared" si="29"/>
        <v>607</v>
      </c>
      <c r="K610" s="65">
        <f>工程基本資料!$B$7-$J610+$L610+$M610</f>
        <v>-607</v>
      </c>
      <c r="L610" s="66"/>
      <c r="M610" s="66"/>
      <c r="N610" s="66"/>
      <c r="O610" s="70"/>
      <c r="P610" s="58">
        <f>工程基本資料!$B$8+工程基本資料!$B$7+$L610+$M610-1</f>
        <v>-1</v>
      </c>
    </row>
    <row r="611" spans="1:16" ht="63" customHeight="1" x14ac:dyDescent="0.3">
      <c r="A611" s="60"/>
      <c r="B611" s="61">
        <f t="shared" si="28"/>
        <v>608</v>
      </c>
      <c r="C611" s="62"/>
      <c r="D611" s="62"/>
      <c r="E611" s="68"/>
      <c r="F611" s="68"/>
      <c r="G611" s="68"/>
      <c r="H611" s="64">
        <f t="shared" si="27"/>
        <v>0</v>
      </c>
      <c r="I611" s="68"/>
      <c r="J611" s="65">
        <f t="shared" si="29"/>
        <v>608</v>
      </c>
      <c r="K611" s="65">
        <f>工程基本資料!$B$7-$J611+$L611+$M611</f>
        <v>-608</v>
      </c>
      <c r="L611" s="66"/>
      <c r="M611" s="66"/>
      <c r="N611" s="66"/>
      <c r="O611" s="70"/>
      <c r="P611" s="58">
        <f>工程基本資料!$B$8+工程基本資料!$B$7+$L611+$M611-1</f>
        <v>-1</v>
      </c>
    </row>
    <row r="612" spans="1:16" ht="63" customHeight="1" x14ac:dyDescent="0.3">
      <c r="A612" s="60"/>
      <c r="B612" s="61">
        <f t="shared" si="28"/>
        <v>609</v>
      </c>
      <c r="C612" s="62"/>
      <c r="D612" s="62"/>
      <c r="E612" s="68"/>
      <c r="F612" s="68"/>
      <c r="G612" s="68"/>
      <c r="H612" s="64">
        <f t="shared" si="27"/>
        <v>0</v>
      </c>
      <c r="I612" s="68"/>
      <c r="J612" s="65">
        <f t="shared" si="29"/>
        <v>609</v>
      </c>
      <c r="K612" s="65">
        <f>工程基本資料!$B$7-$J612+$L612+$M612</f>
        <v>-609</v>
      </c>
      <c r="L612" s="66"/>
      <c r="M612" s="66"/>
      <c r="N612" s="66"/>
      <c r="O612" s="70"/>
      <c r="P612" s="58">
        <f>工程基本資料!$B$8+工程基本資料!$B$7+$L612+$M612-1</f>
        <v>-1</v>
      </c>
    </row>
    <row r="613" spans="1:16" ht="63" customHeight="1" x14ac:dyDescent="0.3">
      <c r="A613" s="60"/>
      <c r="B613" s="61">
        <f t="shared" si="28"/>
        <v>610</v>
      </c>
      <c r="C613" s="62"/>
      <c r="D613" s="62"/>
      <c r="E613" s="68"/>
      <c r="F613" s="68"/>
      <c r="G613" s="68"/>
      <c r="H613" s="64">
        <f t="shared" si="27"/>
        <v>0</v>
      </c>
      <c r="I613" s="68"/>
      <c r="J613" s="65">
        <f t="shared" si="29"/>
        <v>610</v>
      </c>
      <c r="K613" s="65">
        <f>工程基本資料!$B$7-$J613+$L613+$M613</f>
        <v>-610</v>
      </c>
      <c r="L613" s="66"/>
      <c r="M613" s="66"/>
      <c r="N613" s="66"/>
      <c r="O613" s="70"/>
      <c r="P613" s="58">
        <f>工程基本資料!$B$8+工程基本資料!$B$7+$L613+$M613-1</f>
        <v>-1</v>
      </c>
    </row>
    <row r="614" spans="1:16" ht="63" customHeight="1" x14ac:dyDescent="0.3">
      <c r="A614" s="60"/>
      <c r="B614" s="61">
        <f t="shared" si="28"/>
        <v>611</v>
      </c>
      <c r="C614" s="62"/>
      <c r="D614" s="62"/>
      <c r="E614" s="68"/>
      <c r="F614" s="68"/>
      <c r="G614" s="68"/>
      <c r="H614" s="64">
        <f t="shared" si="27"/>
        <v>0</v>
      </c>
      <c r="I614" s="68"/>
      <c r="J614" s="65">
        <f t="shared" si="29"/>
        <v>611</v>
      </c>
      <c r="K614" s="65">
        <f>工程基本資料!$B$7-$J614+$L614+$M614</f>
        <v>-611</v>
      </c>
      <c r="L614" s="66"/>
      <c r="M614" s="66"/>
      <c r="N614" s="66"/>
      <c r="O614" s="70"/>
      <c r="P614" s="58">
        <f>工程基本資料!$B$8+工程基本資料!$B$7+$L614+$M614-1</f>
        <v>-1</v>
      </c>
    </row>
    <row r="615" spans="1:16" ht="63" customHeight="1" x14ac:dyDescent="0.3">
      <c r="A615" s="60"/>
      <c r="B615" s="61">
        <f t="shared" si="28"/>
        <v>612</v>
      </c>
      <c r="C615" s="62"/>
      <c r="D615" s="62"/>
      <c r="E615" s="68"/>
      <c r="F615" s="68"/>
      <c r="G615" s="68"/>
      <c r="H615" s="64">
        <f t="shared" si="27"/>
        <v>0</v>
      </c>
      <c r="I615" s="68"/>
      <c r="J615" s="65">
        <f t="shared" si="29"/>
        <v>612</v>
      </c>
      <c r="K615" s="65">
        <f>工程基本資料!$B$7-$J615+$L615+$M615</f>
        <v>-612</v>
      </c>
      <c r="L615" s="66"/>
      <c r="M615" s="66"/>
      <c r="N615" s="66"/>
      <c r="O615" s="70"/>
      <c r="P615" s="58">
        <f>工程基本資料!$B$8+工程基本資料!$B$7+$L615+$M615-1</f>
        <v>-1</v>
      </c>
    </row>
    <row r="616" spans="1:16" ht="63" customHeight="1" x14ac:dyDescent="0.3">
      <c r="A616" s="60"/>
      <c r="B616" s="61">
        <f t="shared" si="28"/>
        <v>613</v>
      </c>
      <c r="C616" s="62"/>
      <c r="D616" s="62"/>
      <c r="E616" s="68"/>
      <c r="F616" s="68"/>
      <c r="G616" s="68"/>
      <c r="H616" s="64">
        <f t="shared" si="27"/>
        <v>0</v>
      </c>
      <c r="I616" s="68"/>
      <c r="J616" s="65">
        <f t="shared" si="29"/>
        <v>613</v>
      </c>
      <c r="K616" s="65">
        <f>工程基本資料!$B$7-$J616+$L616+$M616</f>
        <v>-613</v>
      </c>
      <c r="L616" s="66"/>
      <c r="M616" s="66"/>
      <c r="N616" s="66"/>
      <c r="O616" s="70"/>
      <c r="P616" s="58">
        <f>工程基本資料!$B$8+工程基本資料!$B$7+$L616+$M616-1</f>
        <v>-1</v>
      </c>
    </row>
    <row r="617" spans="1:16" ht="63" customHeight="1" x14ac:dyDescent="0.3">
      <c r="A617" s="60"/>
      <c r="B617" s="61">
        <f t="shared" si="28"/>
        <v>614</v>
      </c>
      <c r="C617" s="62"/>
      <c r="D617" s="62"/>
      <c r="E617" s="68"/>
      <c r="F617" s="68"/>
      <c r="G617" s="68"/>
      <c r="H617" s="64">
        <f t="shared" si="27"/>
        <v>0</v>
      </c>
      <c r="I617" s="68"/>
      <c r="J617" s="65">
        <f t="shared" si="29"/>
        <v>614</v>
      </c>
      <c r="K617" s="65">
        <f>工程基本資料!$B$7-$J617+$L617+$M617</f>
        <v>-614</v>
      </c>
      <c r="L617" s="66"/>
      <c r="M617" s="66"/>
      <c r="N617" s="66"/>
      <c r="O617" s="70"/>
      <c r="P617" s="58">
        <f>工程基本資料!$B$8+工程基本資料!$B$7+$L617+$M617-1</f>
        <v>-1</v>
      </c>
    </row>
    <row r="618" spans="1:16" ht="63" customHeight="1" x14ac:dyDescent="0.3">
      <c r="A618" s="60"/>
      <c r="B618" s="61">
        <f t="shared" si="28"/>
        <v>615</v>
      </c>
      <c r="C618" s="62"/>
      <c r="D618" s="62"/>
      <c r="E618" s="68"/>
      <c r="F618" s="68"/>
      <c r="G618" s="68"/>
      <c r="H618" s="64">
        <f t="shared" si="27"/>
        <v>0</v>
      </c>
      <c r="I618" s="68"/>
      <c r="J618" s="65">
        <f t="shared" si="29"/>
        <v>615</v>
      </c>
      <c r="K618" s="65">
        <f>工程基本資料!$B$7-$J618+$L618+$M618</f>
        <v>-615</v>
      </c>
      <c r="L618" s="66"/>
      <c r="M618" s="66"/>
      <c r="N618" s="66"/>
      <c r="O618" s="70"/>
      <c r="P618" s="58">
        <f>工程基本資料!$B$8+工程基本資料!$B$7+$L618+$M618-1</f>
        <v>-1</v>
      </c>
    </row>
    <row r="619" spans="1:16" ht="63" customHeight="1" x14ac:dyDescent="0.3">
      <c r="A619" s="60"/>
      <c r="B619" s="61">
        <f t="shared" si="28"/>
        <v>616</v>
      </c>
      <c r="C619" s="62"/>
      <c r="D619" s="62"/>
      <c r="E619" s="68"/>
      <c r="F619" s="68"/>
      <c r="G619" s="68"/>
      <c r="H619" s="64">
        <f t="shared" si="27"/>
        <v>0</v>
      </c>
      <c r="I619" s="68"/>
      <c r="J619" s="65">
        <f t="shared" si="29"/>
        <v>616</v>
      </c>
      <c r="K619" s="65">
        <f>工程基本資料!$B$7-$J619+$L619+$M619</f>
        <v>-616</v>
      </c>
      <c r="L619" s="66"/>
      <c r="M619" s="66"/>
      <c r="N619" s="66"/>
      <c r="O619" s="70"/>
      <c r="P619" s="58">
        <f>工程基本資料!$B$8+工程基本資料!$B$7+$L619+$M619-1</f>
        <v>-1</v>
      </c>
    </row>
    <row r="620" spans="1:16" ht="63" customHeight="1" x14ac:dyDescent="0.3">
      <c r="A620" s="60"/>
      <c r="B620" s="61">
        <f t="shared" si="28"/>
        <v>617</v>
      </c>
      <c r="C620" s="62"/>
      <c r="D620" s="62"/>
      <c r="E620" s="68"/>
      <c r="F620" s="68"/>
      <c r="G620" s="68"/>
      <c r="H620" s="64">
        <f t="shared" si="27"/>
        <v>0</v>
      </c>
      <c r="I620" s="68"/>
      <c r="J620" s="65">
        <f t="shared" si="29"/>
        <v>617</v>
      </c>
      <c r="K620" s="65">
        <f>工程基本資料!$B$7-$J620+$L620+$M620</f>
        <v>-617</v>
      </c>
      <c r="L620" s="66"/>
      <c r="M620" s="66"/>
      <c r="N620" s="66"/>
      <c r="O620" s="70"/>
      <c r="P620" s="58">
        <f>工程基本資料!$B$8+工程基本資料!$B$7+$L620+$M620-1</f>
        <v>-1</v>
      </c>
    </row>
    <row r="621" spans="1:16" ht="63" customHeight="1" x14ac:dyDescent="0.3">
      <c r="A621" s="60"/>
      <c r="B621" s="61">
        <f t="shared" si="28"/>
        <v>618</v>
      </c>
      <c r="C621" s="62"/>
      <c r="D621" s="62"/>
      <c r="E621" s="68"/>
      <c r="F621" s="68"/>
      <c r="G621" s="68"/>
      <c r="H621" s="64">
        <f t="shared" si="27"/>
        <v>0</v>
      </c>
      <c r="I621" s="68"/>
      <c r="J621" s="65">
        <f t="shared" si="29"/>
        <v>618</v>
      </c>
      <c r="K621" s="65">
        <f>工程基本資料!$B$7-$J621+$L621+$M621</f>
        <v>-618</v>
      </c>
      <c r="L621" s="66"/>
      <c r="M621" s="66"/>
      <c r="N621" s="66"/>
      <c r="O621" s="70"/>
      <c r="P621" s="58">
        <f>工程基本資料!$B$8+工程基本資料!$B$7+$L621+$M621-1</f>
        <v>-1</v>
      </c>
    </row>
    <row r="622" spans="1:16" ht="63" customHeight="1" x14ac:dyDescent="0.3">
      <c r="A622" s="60"/>
      <c r="B622" s="61">
        <f t="shared" si="28"/>
        <v>619</v>
      </c>
      <c r="C622" s="62"/>
      <c r="D622" s="62"/>
      <c r="E622" s="68"/>
      <c r="F622" s="68"/>
      <c r="G622" s="68"/>
      <c r="H622" s="64">
        <f t="shared" si="27"/>
        <v>0</v>
      </c>
      <c r="I622" s="68"/>
      <c r="J622" s="65">
        <f t="shared" si="29"/>
        <v>619</v>
      </c>
      <c r="K622" s="65">
        <f>工程基本資料!$B$7-$J622+$L622+$M622</f>
        <v>-619</v>
      </c>
      <c r="L622" s="66"/>
      <c r="M622" s="66"/>
      <c r="N622" s="66"/>
      <c r="O622" s="70"/>
      <c r="P622" s="58">
        <f>工程基本資料!$B$8+工程基本資料!$B$7+$L622+$M622-1</f>
        <v>-1</v>
      </c>
    </row>
    <row r="623" spans="1:16" ht="63" customHeight="1" x14ac:dyDescent="0.3">
      <c r="A623" s="60"/>
      <c r="B623" s="61">
        <f t="shared" si="28"/>
        <v>620</v>
      </c>
      <c r="C623" s="62"/>
      <c r="D623" s="62"/>
      <c r="E623" s="68"/>
      <c r="F623" s="68"/>
      <c r="G623" s="68"/>
      <c r="H623" s="64">
        <f t="shared" si="27"/>
        <v>0</v>
      </c>
      <c r="I623" s="68"/>
      <c r="J623" s="65">
        <f t="shared" si="29"/>
        <v>620</v>
      </c>
      <c r="K623" s="65">
        <f>工程基本資料!$B$7-$J623+$L623+$M623</f>
        <v>-620</v>
      </c>
      <c r="L623" s="66"/>
      <c r="M623" s="66"/>
      <c r="N623" s="66"/>
      <c r="O623" s="70"/>
      <c r="P623" s="58">
        <f>工程基本資料!$B$8+工程基本資料!$B$7+$L623+$M623-1</f>
        <v>-1</v>
      </c>
    </row>
    <row r="624" spans="1:16" ht="63" customHeight="1" x14ac:dyDescent="0.3">
      <c r="A624" s="60"/>
      <c r="B624" s="61">
        <f t="shared" si="28"/>
        <v>621</v>
      </c>
      <c r="C624" s="62"/>
      <c r="D624" s="62"/>
      <c r="E624" s="68"/>
      <c r="F624" s="68"/>
      <c r="G624" s="68"/>
      <c r="H624" s="64">
        <f t="shared" si="27"/>
        <v>0</v>
      </c>
      <c r="I624" s="68"/>
      <c r="J624" s="65">
        <f t="shared" si="29"/>
        <v>621</v>
      </c>
      <c r="K624" s="65">
        <f>工程基本資料!$B$7-$J624+$L624+$M624</f>
        <v>-621</v>
      </c>
      <c r="L624" s="66"/>
      <c r="M624" s="66"/>
      <c r="N624" s="66"/>
      <c r="O624" s="70"/>
      <c r="P624" s="58">
        <f>工程基本資料!$B$8+工程基本資料!$B$7+$L624+$M624-1</f>
        <v>-1</v>
      </c>
    </row>
    <row r="625" spans="1:16" ht="63" customHeight="1" x14ac:dyDescent="0.3">
      <c r="A625" s="60"/>
      <c r="B625" s="61">
        <f t="shared" si="28"/>
        <v>622</v>
      </c>
      <c r="C625" s="62"/>
      <c r="D625" s="62"/>
      <c r="E625" s="68"/>
      <c r="F625" s="68"/>
      <c r="G625" s="68"/>
      <c r="H625" s="64">
        <f t="shared" si="27"/>
        <v>0</v>
      </c>
      <c r="I625" s="68"/>
      <c r="J625" s="65">
        <f t="shared" si="29"/>
        <v>622</v>
      </c>
      <c r="K625" s="65">
        <f>工程基本資料!$B$7-$J625+$L625+$M625</f>
        <v>-622</v>
      </c>
      <c r="L625" s="66"/>
      <c r="M625" s="66"/>
      <c r="N625" s="66"/>
      <c r="O625" s="70"/>
      <c r="P625" s="58">
        <f>工程基本資料!$B$8+工程基本資料!$B$7+$L625+$M625-1</f>
        <v>-1</v>
      </c>
    </row>
    <row r="626" spans="1:16" ht="63" customHeight="1" x14ac:dyDescent="0.3">
      <c r="A626" s="60"/>
      <c r="B626" s="61">
        <f t="shared" si="28"/>
        <v>623</v>
      </c>
      <c r="C626" s="62"/>
      <c r="D626" s="62"/>
      <c r="E626" s="68"/>
      <c r="F626" s="68"/>
      <c r="G626" s="68"/>
      <c r="H626" s="64">
        <f t="shared" si="27"/>
        <v>0</v>
      </c>
      <c r="I626" s="68"/>
      <c r="J626" s="65">
        <f t="shared" si="29"/>
        <v>623</v>
      </c>
      <c r="K626" s="65">
        <f>工程基本資料!$B$7-$J626+$L626+$M626</f>
        <v>-623</v>
      </c>
      <c r="L626" s="66"/>
      <c r="M626" s="66"/>
      <c r="N626" s="66"/>
      <c r="O626" s="70"/>
      <c r="P626" s="58">
        <f>工程基本資料!$B$8+工程基本資料!$B$7+$L626+$M626-1</f>
        <v>-1</v>
      </c>
    </row>
    <row r="627" spans="1:16" ht="63" customHeight="1" x14ac:dyDescent="0.3">
      <c r="A627" s="60"/>
      <c r="B627" s="61">
        <f t="shared" si="28"/>
        <v>624</v>
      </c>
      <c r="C627" s="62"/>
      <c r="D627" s="62"/>
      <c r="E627" s="68"/>
      <c r="F627" s="68"/>
      <c r="G627" s="68"/>
      <c r="H627" s="64">
        <f t="shared" si="27"/>
        <v>0</v>
      </c>
      <c r="I627" s="68"/>
      <c r="J627" s="65">
        <f t="shared" si="29"/>
        <v>624</v>
      </c>
      <c r="K627" s="65">
        <f>工程基本資料!$B$7-$J627+$L627+$M627</f>
        <v>-624</v>
      </c>
      <c r="L627" s="66"/>
      <c r="M627" s="66"/>
      <c r="N627" s="66"/>
      <c r="O627" s="70"/>
      <c r="P627" s="58">
        <f>工程基本資料!$B$8+工程基本資料!$B$7+$L627+$M627-1</f>
        <v>-1</v>
      </c>
    </row>
    <row r="628" spans="1:16" x14ac:dyDescent="0.3">
      <c r="A628" s="60"/>
      <c r="B628" s="61">
        <f t="shared" si="28"/>
        <v>625</v>
      </c>
      <c r="C628" s="62"/>
      <c r="D628" s="62"/>
      <c r="E628" s="68"/>
      <c r="F628" s="68"/>
      <c r="G628" s="68"/>
      <c r="H628" s="64">
        <f t="shared" si="27"/>
        <v>0</v>
      </c>
      <c r="I628" s="68"/>
      <c r="J628" s="65">
        <f t="shared" si="29"/>
        <v>625</v>
      </c>
      <c r="K628" s="65">
        <f>工程基本資料!$B$7-$J628+$L628+$M628</f>
        <v>-625</v>
      </c>
      <c r="L628" s="66"/>
      <c r="M628" s="66"/>
      <c r="N628" s="66"/>
      <c r="O628" s="70"/>
      <c r="P628" s="58">
        <f>工程基本資料!$B$8+工程基本資料!$B$7+$L628+$M628-1</f>
        <v>-1</v>
      </c>
    </row>
    <row r="629" spans="1:16" x14ac:dyDescent="0.3">
      <c r="A629" s="60"/>
      <c r="B629" s="61">
        <f t="shared" si="28"/>
        <v>626</v>
      </c>
      <c r="C629" s="62"/>
      <c r="D629" s="62"/>
      <c r="E629" s="68"/>
      <c r="F629" s="68"/>
      <c r="G629" s="68"/>
      <c r="H629" s="64">
        <f t="shared" si="27"/>
        <v>0</v>
      </c>
      <c r="I629" s="68"/>
      <c r="J629" s="65">
        <f t="shared" si="29"/>
        <v>626</v>
      </c>
      <c r="K629" s="65">
        <f>工程基本資料!$B$7-$J629+$L629+$M629</f>
        <v>-626</v>
      </c>
      <c r="L629" s="66"/>
      <c r="M629" s="66"/>
      <c r="N629" s="66"/>
      <c r="O629" s="70"/>
      <c r="P629" s="58">
        <f>工程基本資料!$B$8+工程基本資料!$B$7+$L629+$M629-1</f>
        <v>-1</v>
      </c>
    </row>
    <row r="630" spans="1:16" x14ac:dyDescent="0.3">
      <c r="A630" s="60"/>
      <c r="B630" s="61">
        <f t="shared" si="28"/>
        <v>627</v>
      </c>
      <c r="C630" s="62"/>
      <c r="D630" s="62"/>
      <c r="E630" s="68"/>
      <c r="F630" s="68"/>
      <c r="G630" s="68"/>
      <c r="H630" s="64">
        <f t="shared" si="27"/>
        <v>0</v>
      </c>
      <c r="I630" s="68"/>
      <c r="J630" s="65">
        <f t="shared" si="29"/>
        <v>627</v>
      </c>
      <c r="K630" s="65">
        <f>工程基本資料!$B$7-$J630+$L630+$M630</f>
        <v>-627</v>
      </c>
      <c r="L630" s="66"/>
      <c r="M630" s="66"/>
      <c r="N630" s="66"/>
      <c r="O630" s="70"/>
      <c r="P630" s="58">
        <f>工程基本資料!$B$8+工程基本資料!$B$7+$L630+$M630-1</f>
        <v>-1</v>
      </c>
    </row>
    <row r="631" spans="1:16" x14ac:dyDescent="0.3">
      <c r="A631" s="60"/>
      <c r="B631" s="61">
        <f t="shared" si="28"/>
        <v>628</v>
      </c>
      <c r="C631" s="62"/>
      <c r="D631" s="62"/>
      <c r="E631" s="68"/>
      <c r="F631" s="68"/>
      <c r="G631" s="68"/>
      <c r="H631" s="64">
        <f t="shared" si="27"/>
        <v>0</v>
      </c>
      <c r="I631" s="68"/>
      <c r="J631" s="65">
        <f t="shared" si="29"/>
        <v>628</v>
      </c>
      <c r="K631" s="65">
        <f>工程基本資料!$B$7-$J631+$L631+$M631</f>
        <v>-628</v>
      </c>
      <c r="L631" s="66"/>
      <c r="M631" s="66"/>
      <c r="N631" s="66"/>
      <c r="O631" s="70"/>
      <c r="P631" s="58">
        <f>工程基本資料!$B$8+工程基本資料!$B$7+$L631+$M631-1</f>
        <v>-1</v>
      </c>
    </row>
    <row r="632" spans="1:16" x14ac:dyDescent="0.3">
      <c r="A632" s="60"/>
      <c r="B632" s="61">
        <f t="shared" si="28"/>
        <v>629</v>
      </c>
      <c r="C632" s="62"/>
      <c r="D632" s="62"/>
      <c r="E632" s="68"/>
      <c r="F632" s="68"/>
      <c r="G632" s="68"/>
      <c r="H632" s="64">
        <f t="shared" si="27"/>
        <v>0</v>
      </c>
      <c r="I632" s="68"/>
      <c r="J632" s="65">
        <f t="shared" si="29"/>
        <v>629</v>
      </c>
      <c r="K632" s="65">
        <f>工程基本資料!$B$7-$J632+$L632+$M632</f>
        <v>-629</v>
      </c>
      <c r="L632" s="66"/>
      <c r="M632" s="66"/>
      <c r="N632" s="66"/>
      <c r="O632" s="70"/>
      <c r="P632" s="58">
        <f>工程基本資料!$B$8+工程基本資料!$B$7+$L632+$M632-1</f>
        <v>-1</v>
      </c>
    </row>
    <row r="633" spans="1:16" x14ac:dyDescent="0.3">
      <c r="A633" s="60"/>
      <c r="B633" s="61">
        <f t="shared" si="28"/>
        <v>630</v>
      </c>
      <c r="C633" s="62"/>
      <c r="D633" s="62"/>
      <c r="E633" s="68"/>
      <c r="F633" s="68"/>
      <c r="G633" s="68"/>
      <c r="H633" s="64">
        <f t="shared" si="27"/>
        <v>0</v>
      </c>
      <c r="I633" s="68"/>
      <c r="J633" s="65">
        <f t="shared" si="29"/>
        <v>630</v>
      </c>
      <c r="K633" s="65">
        <f>工程基本資料!$B$7-$J633+$L633+$M633</f>
        <v>-630</v>
      </c>
      <c r="L633" s="66"/>
      <c r="M633" s="66"/>
      <c r="N633" s="66"/>
      <c r="O633" s="70"/>
      <c r="P633" s="58">
        <f>工程基本資料!$B$8+工程基本資料!$B$7+$L633+$M633-1</f>
        <v>-1</v>
      </c>
    </row>
    <row r="634" spans="1:16" x14ac:dyDescent="0.3">
      <c r="A634" s="60"/>
      <c r="B634" s="61">
        <f t="shared" si="28"/>
        <v>631</v>
      </c>
      <c r="C634" s="62"/>
      <c r="D634" s="62"/>
      <c r="E634" s="68"/>
      <c r="F634" s="68"/>
      <c r="G634" s="68"/>
      <c r="H634" s="64">
        <f t="shared" si="27"/>
        <v>0</v>
      </c>
      <c r="I634" s="68"/>
      <c r="J634" s="65">
        <f t="shared" si="29"/>
        <v>631</v>
      </c>
      <c r="K634" s="65">
        <f>工程基本資料!$B$7-$J634+$L634+$M634</f>
        <v>-631</v>
      </c>
      <c r="L634" s="66"/>
      <c r="M634" s="66"/>
      <c r="N634" s="66"/>
      <c r="O634" s="70"/>
      <c r="P634" s="58">
        <f>工程基本資料!$B$8+工程基本資料!$B$7+$L634+$M634-1</f>
        <v>-1</v>
      </c>
    </row>
    <row r="635" spans="1:16" x14ac:dyDescent="0.3">
      <c r="A635" s="60"/>
      <c r="B635" s="61">
        <f t="shared" si="28"/>
        <v>632</v>
      </c>
      <c r="C635" s="62"/>
      <c r="D635" s="62"/>
      <c r="E635" s="68"/>
      <c r="F635" s="68"/>
      <c r="G635" s="68"/>
      <c r="H635" s="64">
        <f t="shared" si="27"/>
        <v>0</v>
      </c>
      <c r="I635" s="68"/>
      <c r="J635" s="65">
        <f t="shared" si="29"/>
        <v>632</v>
      </c>
      <c r="K635" s="65">
        <f>工程基本資料!$B$7-$J635+$L635+$M635</f>
        <v>-632</v>
      </c>
      <c r="L635" s="66"/>
      <c r="M635" s="66"/>
      <c r="N635" s="66"/>
      <c r="O635" s="70"/>
      <c r="P635" s="58">
        <f>工程基本資料!$B$8+工程基本資料!$B$7+$L635+$M635-1</f>
        <v>-1</v>
      </c>
    </row>
    <row r="636" spans="1:16" x14ac:dyDescent="0.3">
      <c r="A636" s="60"/>
      <c r="B636" s="61">
        <f t="shared" si="28"/>
        <v>633</v>
      </c>
      <c r="C636" s="62"/>
      <c r="D636" s="62"/>
      <c r="E636" s="68"/>
      <c r="F636" s="68"/>
      <c r="G636" s="68"/>
      <c r="H636" s="64">
        <f t="shared" si="27"/>
        <v>0</v>
      </c>
      <c r="I636" s="68"/>
      <c r="J636" s="65">
        <f t="shared" si="29"/>
        <v>633</v>
      </c>
      <c r="K636" s="65">
        <f>工程基本資料!$B$7-$J636+$L636+$M636</f>
        <v>-633</v>
      </c>
      <c r="L636" s="66"/>
      <c r="M636" s="66"/>
      <c r="N636" s="66"/>
      <c r="O636" s="70"/>
      <c r="P636" s="58">
        <f>工程基本資料!$B$8+工程基本資料!$B$7+$L636+$M636-1</f>
        <v>-1</v>
      </c>
    </row>
    <row r="637" spans="1:16" x14ac:dyDescent="0.3">
      <c r="A637" s="60"/>
      <c r="B637" s="61">
        <f t="shared" si="28"/>
        <v>634</v>
      </c>
      <c r="C637" s="62"/>
      <c r="D637" s="62"/>
      <c r="E637" s="68"/>
      <c r="F637" s="68"/>
      <c r="G637" s="68"/>
      <c r="H637" s="64">
        <f t="shared" si="27"/>
        <v>0</v>
      </c>
      <c r="I637" s="68"/>
      <c r="J637" s="65">
        <f t="shared" si="29"/>
        <v>634</v>
      </c>
      <c r="K637" s="65">
        <f>工程基本資料!$B$7-$J637+$L637+$M637</f>
        <v>-634</v>
      </c>
      <c r="L637" s="66"/>
      <c r="M637" s="66"/>
      <c r="N637" s="66"/>
      <c r="O637" s="70"/>
      <c r="P637" s="58">
        <f>工程基本資料!$B$8+工程基本資料!$B$7+$L637+$M637-1</f>
        <v>-1</v>
      </c>
    </row>
    <row r="638" spans="1:16" x14ac:dyDescent="0.3">
      <c r="A638" s="60"/>
      <c r="B638" s="61">
        <f t="shared" si="28"/>
        <v>635</v>
      </c>
      <c r="C638" s="62"/>
      <c r="D638" s="62"/>
      <c r="E638" s="68"/>
      <c r="F638" s="68"/>
      <c r="G638" s="68"/>
      <c r="H638" s="64">
        <f t="shared" si="27"/>
        <v>0</v>
      </c>
      <c r="I638" s="68"/>
      <c r="J638" s="65">
        <f t="shared" si="29"/>
        <v>635</v>
      </c>
      <c r="K638" s="65">
        <f>工程基本資料!$B$7-$J638+$L638+$M638</f>
        <v>-635</v>
      </c>
      <c r="L638" s="66"/>
      <c r="M638" s="66"/>
      <c r="N638" s="66"/>
      <c r="O638" s="70"/>
      <c r="P638" s="58">
        <f>工程基本資料!$B$8+工程基本資料!$B$7+$L638+$M638-1</f>
        <v>-1</v>
      </c>
    </row>
    <row r="639" spans="1:16" x14ac:dyDescent="0.3">
      <c r="A639" s="60"/>
      <c r="B639" s="61">
        <f t="shared" si="28"/>
        <v>636</v>
      </c>
      <c r="C639" s="62"/>
      <c r="D639" s="62"/>
      <c r="E639" s="68"/>
      <c r="F639" s="68"/>
      <c r="G639" s="68"/>
      <c r="H639" s="64">
        <f t="shared" si="27"/>
        <v>0</v>
      </c>
      <c r="I639" s="68"/>
      <c r="J639" s="65">
        <f t="shared" si="29"/>
        <v>636</v>
      </c>
      <c r="K639" s="65">
        <f>工程基本資料!$B$7-$J639+$L639+$M639</f>
        <v>-636</v>
      </c>
      <c r="L639" s="66"/>
      <c r="M639" s="66"/>
      <c r="N639" s="66"/>
      <c r="O639" s="70"/>
      <c r="P639" s="58">
        <f>工程基本資料!$B$8+工程基本資料!$B$7+$L639+$M639-1</f>
        <v>-1</v>
      </c>
    </row>
    <row r="640" spans="1:16" x14ac:dyDescent="0.3">
      <c r="A640" s="60"/>
      <c r="B640" s="61">
        <f t="shared" si="28"/>
        <v>637</v>
      </c>
      <c r="C640" s="62"/>
      <c r="D640" s="62"/>
      <c r="E640" s="68"/>
      <c r="F640" s="68"/>
      <c r="G640" s="68"/>
      <c r="H640" s="64">
        <f t="shared" si="27"/>
        <v>0</v>
      </c>
      <c r="I640" s="68"/>
      <c r="J640" s="65">
        <f t="shared" si="29"/>
        <v>637</v>
      </c>
      <c r="K640" s="65">
        <f>工程基本資料!$B$7-$J640+$L640+$M640</f>
        <v>-637</v>
      </c>
      <c r="L640" s="66"/>
      <c r="M640" s="66"/>
      <c r="N640" s="66"/>
      <c r="O640" s="70"/>
      <c r="P640" s="58">
        <f>工程基本資料!$B$8+工程基本資料!$B$7+$L640+$M640-1</f>
        <v>-1</v>
      </c>
    </row>
    <row r="641" spans="1:16" x14ac:dyDescent="0.3">
      <c r="A641" s="60"/>
      <c r="B641" s="61">
        <f t="shared" si="28"/>
        <v>638</v>
      </c>
      <c r="C641" s="62"/>
      <c r="D641" s="62"/>
      <c r="E641" s="68"/>
      <c r="F641" s="68"/>
      <c r="G641" s="68"/>
      <c r="H641" s="64">
        <f t="shared" si="27"/>
        <v>0</v>
      </c>
      <c r="I641" s="68"/>
      <c r="J641" s="65">
        <f t="shared" si="29"/>
        <v>638</v>
      </c>
      <c r="K641" s="65">
        <f>工程基本資料!$B$7-$J641+$L641+$M641</f>
        <v>-638</v>
      </c>
      <c r="L641" s="66"/>
      <c r="M641" s="66"/>
      <c r="N641" s="66"/>
      <c r="O641" s="70"/>
      <c r="P641" s="58">
        <f>工程基本資料!$B$8+工程基本資料!$B$7+$L641+$M641-1</f>
        <v>-1</v>
      </c>
    </row>
    <row r="642" spans="1:16" x14ac:dyDescent="0.3">
      <c r="A642" s="60"/>
      <c r="B642" s="61">
        <f t="shared" si="28"/>
        <v>639</v>
      </c>
      <c r="C642" s="62"/>
      <c r="D642" s="62"/>
      <c r="E642" s="68"/>
      <c r="F642" s="68"/>
      <c r="G642" s="68"/>
      <c r="H642" s="64">
        <f t="shared" si="27"/>
        <v>0</v>
      </c>
      <c r="I642" s="68"/>
      <c r="J642" s="65">
        <f t="shared" si="29"/>
        <v>639</v>
      </c>
      <c r="K642" s="65">
        <f>工程基本資料!$B$7-$J642+$L642+$M642</f>
        <v>-639</v>
      </c>
      <c r="L642" s="66"/>
      <c r="M642" s="66"/>
      <c r="N642" s="66"/>
      <c r="O642" s="70"/>
      <c r="P642" s="58">
        <f>工程基本資料!$B$8+工程基本資料!$B$7+$L642+$M642-1</f>
        <v>-1</v>
      </c>
    </row>
    <row r="643" spans="1:16" x14ac:dyDescent="0.3">
      <c r="A643" s="60"/>
      <c r="B643" s="61">
        <f t="shared" si="28"/>
        <v>640</v>
      </c>
      <c r="C643" s="62"/>
      <c r="D643" s="62"/>
      <c r="E643" s="68"/>
      <c r="F643" s="68"/>
      <c r="G643" s="68"/>
      <c r="H643" s="64">
        <f t="shared" si="27"/>
        <v>0</v>
      </c>
      <c r="I643" s="68"/>
      <c r="J643" s="65">
        <f t="shared" si="29"/>
        <v>640</v>
      </c>
      <c r="K643" s="65">
        <f>工程基本資料!$B$7-$J643+$L643+$M643</f>
        <v>-640</v>
      </c>
      <c r="L643" s="66"/>
      <c r="M643" s="66"/>
      <c r="N643" s="66"/>
      <c r="O643" s="70"/>
      <c r="P643" s="58">
        <f>工程基本資料!$B$8+工程基本資料!$B$7+$L643+$M643-1</f>
        <v>-1</v>
      </c>
    </row>
    <row r="644" spans="1:16" x14ac:dyDescent="0.3">
      <c r="A644" s="60"/>
      <c r="B644" s="61">
        <f t="shared" si="28"/>
        <v>641</v>
      </c>
      <c r="C644" s="62"/>
      <c r="D644" s="62"/>
      <c r="E644" s="68"/>
      <c r="F644" s="68"/>
      <c r="G644" s="68"/>
      <c r="H644" s="64">
        <f t="shared" ref="H644" si="30">IF(Q644&gt;1,$R$3,$R$4)</f>
        <v>0</v>
      </c>
      <c r="I644" s="68"/>
      <c r="J644" s="65">
        <f t="shared" si="29"/>
        <v>641</v>
      </c>
      <c r="K644" s="65">
        <f>工程基本資料!$B$7-$J644+$L644+$M644</f>
        <v>-641</v>
      </c>
      <c r="L644" s="66"/>
      <c r="M644" s="66"/>
      <c r="N644" s="66"/>
      <c r="O644" s="70"/>
      <c r="P644" s="58">
        <f>工程基本資料!$B$8+工程基本資料!$B$7+$L644+$M644-1</f>
        <v>-1</v>
      </c>
    </row>
    <row r="645" spans="1:16" x14ac:dyDescent="0.3">
      <c r="A645" s="60"/>
      <c r="B645" s="61">
        <f t="shared" ref="B645:B708" si="31">B644+1</f>
        <v>642</v>
      </c>
      <c r="C645" s="62"/>
      <c r="D645" s="62"/>
      <c r="E645" s="68"/>
      <c r="F645" s="68"/>
      <c r="G645" s="68"/>
      <c r="H645" s="64"/>
      <c r="I645" s="68"/>
      <c r="J645" s="65">
        <f t="shared" ref="J645:J708" si="32">J644+1</f>
        <v>642</v>
      </c>
      <c r="K645" s="65">
        <f>工程基本資料!$B$7-$J645+$L645+$M645</f>
        <v>-642</v>
      </c>
      <c r="L645" s="66"/>
      <c r="M645" s="66"/>
      <c r="N645" s="66"/>
      <c r="O645" s="70"/>
      <c r="P645" s="58">
        <f>工程基本資料!$B$8+工程基本資料!$B$7+$L645+$M645-1</f>
        <v>-1</v>
      </c>
    </row>
    <row r="646" spans="1:16" x14ac:dyDescent="0.3">
      <c r="A646" s="60"/>
      <c r="B646" s="61">
        <f t="shared" si="31"/>
        <v>643</v>
      </c>
      <c r="C646" s="62"/>
      <c r="D646" s="62"/>
      <c r="E646" s="68"/>
      <c r="F646" s="68"/>
      <c r="G646" s="68"/>
      <c r="H646" s="64"/>
      <c r="I646" s="68"/>
      <c r="J646" s="65">
        <f t="shared" si="32"/>
        <v>643</v>
      </c>
      <c r="K646" s="65">
        <f>工程基本資料!$B$7-$J646+$L646+$M646</f>
        <v>-643</v>
      </c>
      <c r="L646" s="66"/>
      <c r="M646" s="66"/>
      <c r="N646" s="66"/>
      <c r="O646" s="70"/>
      <c r="P646" s="58">
        <f>工程基本資料!$B$8+工程基本資料!$B$7+$L646+$M646-1</f>
        <v>-1</v>
      </c>
    </row>
    <row r="647" spans="1:16" x14ac:dyDescent="0.3">
      <c r="A647" s="60"/>
      <c r="B647" s="61">
        <f t="shared" si="31"/>
        <v>644</v>
      </c>
      <c r="C647" s="62"/>
      <c r="D647" s="62"/>
      <c r="E647" s="68"/>
      <c r="F647" s="68"/>
      <c r="G647" s="68"/>
      <c r="H647" s="64"/>
      <c r="I647" s="68"/>
      <c r="J647" s="65">
        <f t="shared" si="32"/>
        <v>644</v>
      </c>
      <c r="K647" s="65">
        <f>工程基本資料!$B$7-$J647+$L647+$M647</f>
        <v>-644</v>
      </c>
      <c r="L647" s="66"/>
      <c r="M647" s="66"/>
      <c r="N647" s="66"/>
      <c r="O647" s="70"/>
      <c r="P647" s="58">
        <f>工程基本資料!$B$8+工程基本資料!$B$7+$L647+$M647-1</f>
        <v>-1</v>
      </c>
    </row>
    <row r="648" spans="1:16" x14ac:dyDescent="0.3">
      <c r="A648" s="60"/>
      <c r="B648" s="61">
        <f t="shared" si="31"/>
        <v>645</v>
      </c>
      <c r="C648" s="62"/>
      <c r="D648" s="62"/>
      <c r="E648" s="68"/>
      <c r="F648" s="68"/>
      <c r="G648" s="68"/>
      <c r="H648" s="64"/>
      <c r="I648" s="68"/>
      <c r="J648" s="65">
        <f t="shared" si="32"/>
        <v>645</v>
      </c>
      <c r="K648" s="65">
        <f>工程基本資料!$B$7-$J648+$L648+$M648</f>
        <v>-645</v>
      </c>
      <c r="L648" s="66"/>
      <c r="M648" s="66"/>
      <c r="N648" s="66"/>
      <c r="O648" s="70"/>
      <c r="P648" s="58">
        <f>工程基本資料!$B$8+工程基本資料!$B$7+$L648+$M648-1</f>
        <v>-1</v>
      </c>
    </row>
    <row r="649" spans="1:16" x14ac:dyDescent="0.3">
      <c r="A649" s="60"/>
      <c r="B649" s="61">
        <f t="shared" si="31"/>
        <v>646</v>
      </c>
      <c r="C649" s="62"/>
      <c r="D649" s="62"/>
      <c r="E649" s="68"/>
      <c r="F649" s="68"/>
      <c r="G649" s="68"/>
      <c r="H649" s="64"/>
      <c r="I649" s="68"/>
      <c r="J649" s="65">
        <f t="shared" si="32"/>
        <v>646</v>
      </c>
      <c r="K649" s="65">
        <f>工程基本資料!$B$7-$J649+$L649+$M649</f>
        <v>-646</v>
      </c>
      <c r="L649" s="66"/>
      <c r="M649" s="66"/>
      <c r="N649" s="66"/>
      <c r="O649" s="70"/>
      <c r="P649" s="58">
        <f>工程基本資料!$B$8+工程基本資料!$B$7+$L649+$M649-1</f>
        <v>-1</v>
      </c>
    </row>
    <row r="650" spans="1:16" x14ac:dyDescent="0.3">
      <c r="A650" s="60"/>
      <c r="B650" s="61">
        <f t="shared" si="31"/>
        <v>647</v>
      </c>
      <c r="C650" s="62"/>
      <c r="D650" s="62"/>
      <c r="E650" s="68"/>
      <c r="F650" s="68"/>
      <c r="G650" s="68"/>
      <c r="H650" s="64"/>
      <c r="I650" s="68"/>
      <c r="J650" s="65">
        <f t="shared" si="32"/>
        <v>647</v>
      </c>
      <c r="K650" s="65">
        <f>工程基本資料!$B$7-$J650+$L650+$M650</f>
        <v>-647</v>
      </c>
      <c r="L650" s="66"/>
      <c r="M650" s="66"/>
      <c r="N650" s="66"/>
      <c r="O650" s="70"/>
      <c r="P650" s="58">
        <f>工程基本資料!$B$8+工程基本資料!$B$7+$L650+$M650-1</f>
        <v>-1</v>
      </c>
    </row>
    <row r="651" spans="1:16" x14ac:dyDescent="0.3">
      <c r="A651" s="60"/>
      <c r="B651" s="61">
        <f t="shared" si="31"/>
        <v>648</v>
      </c>
      <c r="C651" s="62"/>
      <c r="D651" s="62"/>
      <c r="E651" s="68"/>
      <c r="F651" s="68"/>
      <c r="G651" s="68"/>
      <c r="H651" s="64"/>
      <c r="I651" s="68"/>
      <c r="J651" s="65">
        <f t="shared" si="32"/>
        <v>648</v>
      </c>
      <c r="K651" s="65">
        <f>工程基本資料!$B$7-$J651+$L651+$M651</f>
        <v>-648</v>
      </c>
      <c r="L651" s="66"/>
      <c r="M651" s="66"/>
      <c r="N651" s="66"/>
      <c r="O651" s="70"/>
      <c r="P651" s="58">
        <f>工程基本資料!$B$8+工程基本資料!$B$7+$L651+$M651-1</f>
        <v>-1</v>
      </c>
    </row>
    <row r="652" spans="1:16" x14ac:dyDescent="0.3">
      <c r="A652" s="60"/>
      <c r="B652" s="61">
        <f t="shared" si="31"/>
        <v>649</v>
      </c>
      <c r="C652" s="62"/>
      <c r="D652" s="62"/>
      <c r="E652" s="68"/>
      <c r="F652" s="68"/>
      <c r="G652" s="68"/>
      <c r="H652" s="64"/>
      <c r="I652" s="68"/>
      <c r="J652" s="65">
        <f t="shared" si="32"/>
        <v>649</v>
      </c>
      <c r="K652" s="65">
        <f>工程基本資料!$B$7-$J652+$L652+$M652</f>
        <v>-649</v>
      </c>
      <c r="L652" s="66"/>
      <c r="M652" s="66"/>
      <c r="N652" s="66"/>
      <c r="O652" s="70"/>
      <c r="P652" s="58">
        <f>工程基本資料!$B$8+工程基本資料!$B$7+$L652+$M652-1</f>
        <v>-1</v>
      </c>
    </row>
    <row r="653" spans="1:16" x14ac:dyDescent="0.3">
      <c r="A653" s="60"/>
      <c r="B653" s="61">
        <f t="shared" si="31"/>
        <v>650</v>
      </c>
      <c r="C653" s="62"/>
      <c r="D653" s="62"/>
      <c r="E653" s="68"/>
      <c r="F653" s="68"/>
      <c r="G653" s="68"/>
      <c r="H653" s="64"/>
      <c r="I653" s="68"/>
      <c r="J653" s="65">
        <f t="shared" si="32"/>
        <v>650</v>
      </c>
      <c r="K653" s="65">
        <f>工程基本資料!$B$7-$J653+$L653+$M653</f>
        <v>-650</v>
      </c>
      <c r="L653" s="66"/>
      <c r="M653" s="66"/>
      <c r="N653" s="66"/>
      <c r="O653" s="70"/>
      <c r="P653" s="58">
        <f>工程基本資料!$B$8+工程基本資料!$B$7+$L653+$M653-1</f>
        <v>-1</v>
      </c>
    </row>
    <row r="654" spans="1:16" x14ac:dyDescent="0.3">
      <c r="A654" s="60"/>
      <c r="B654" s="61">
        <f t="shared" si="31"/>
        <v>651</v>
      </c>
      <c r="C654" s="62"/>
      <c r="D654" s="62"/>
      <c r="E654" s="68"/>
      <c r="F654" s="68"/>
      <c r="G654" s="68"/>
      <c r="H654" s="64"/>
      <c r="I654" s="68"/>
      <c r="J654" s="65">
        <f t="shared" si="32"/>
        <v>651</v>
      </c>
      <c r="K654" s="65">
        <f>工程基本資料!$B$7-$J654+$L654+$M654</f>
        <v>-651</v>
      </c>
      <c r="L654" s="66"/>
      <c r="M654" s="66"/>
      <c r="N654" s="66"/>
      <c r="O654" s="70"/>
      <c r="P654" s="58">
        <f>工程基本資料!$B$8+工程基本資料!$B$7+$L654+$M654-1</f>
        <v>-1</v>
      </c>
    </row>
    <row r="655" spans="1:16" x14ac:dyDescent="0.3">
      <c r="A655" s="60"/>
      <c r="B655" s="61">
        <f t="shared" si="31"/>
        <v>652</v>
      </c>
      <c r="C655" s="62"/>
      <c r="D655" s="62"/>
      <c r="E655" s="68"/>
      <c r="F655" s="68"/>
      <c r="G655" s="68"/>
      <c r="H655" s="64"/>
      <c r="I655" s="68"/>
      <c r="J655" s="65">
        <f t="shared" si="32"/>
        <v>652</v>
      </c>
      <c r="K655" s="65">
        <f>工程基本資料!$B$7-$J655+$L655+$M655</f>
        <v>-652</v>
      </c>
      <c r="L655" s="66"/>
      <c r="M655" s="66"/>
      <c r="N655" s="66"/>
      <c r="O655" s="70"/>
      <c r="P655" s="58">
        <f>工程基本資料!$B$8+工程基本資料!$B$7+$L655+$M655-1</f>
        <v>-1</v>
      </c>
    </row>
    <row r="656" spans="1:16" x14ac:dyDescent="0.3">
      <c r="A656" s="60"/>
      <c r="B656" s="61">
        <f t="shared" si="31"/>
        <v>653</v>
      </c>
      <c r="C656" s="62"/>
      <c r="D656" s="62"/>
      <c r="E656" s="68"/>
      <c r="F656" s="68"/>
      <c r="G656" s="68"/>
      <c r="H656" s="64"/>
      <c r="I656" s="68"/>
      <c r="J656" s="65">
        <f t="shared" si="32"/>
        <v>653</v>
      </c>
      <c r="K656" s="65">
        <f>工程基本資料!$B$7-$J656+$L656+$M656</f>
        <v>-653</v>
      </c>
      <c r="L656" s="66"/>
      <c r="M656" s="66"/>
      <c r="N656" s="66"/>
      <c r="O656" s="70"/>
      <c r="P656" s="58">
        <f>工程基本資料!$B$8+工程基本資料!$B$7+$L656+$M656-1</f>
        <v>-1</v>
      </c>
    </row>
    <row r="657" spans="1:16" x14ac:dyDescent="0.3">
      <c r="A657" s="60"/>
      <c r="B657" s="61">
        <f t="shared" si="31"/>
        <v>654</v>
      </c>
      <c r="C657" s="62"/>
      <c r="D657" s="62"/>
      <c r="E657" s="68"/>
      <c r="F657" s="68"/>
      <c r="G657" s="68"/>
      <c r="H657" s="64"/>
      <c r="I657" s="68"/>
      <c r="J657" s="65">
        <f t="shared" si="32"/>
        <v>654</v>
      </c>
      <c r="K657" s="65">
        <f>工程基本資料!$B$7-$J657+$L657+$M657</f>
        <v>-654</v>
      </c>
      <c r="L657" s="66"/>
      <c r="M657" s="66"/>
      <c r="N657" s="66"/>
      <c r="O657" s="70"/>
      <c r="P657" s="58">
        <f>工程基本資料!$B$8+工程基本資料!$B$7+$L657+$M657-1</f>
        <v>-1</v>
      </c>
    </row>
    <row r="658" spans="1:16" x14ac:dyDescent="0.3">
      <c r="A658" s="60"/>
      <c r="B658" s="61">
        <f t="shared" si="31"/>
        <v>655</v>
      </c>
      <c r="C658" s="62"/>
      <c r="D658" s="62"/>
      <c r="E658" s="68"/>
      <c r="F658" s="68"/>
      <c r="G658" s="68"/>
      <c r="H658" s="64"/>
      <c r="I658" s="68"/>
      <c r="J658" s="65">
        <f t="shared" si="32"/>
        <v>655</v>
      </c>
      <c r="K658" s="65">
        <f>工程基本資料!$B$7-$J658+$L658+$M658</f>
        <v>-655</v>
      </c>
      <c r="L658" s="66"/>
      <c r="M658" s="66"/>
      <c r="N658" s="66"/>
      <c r="O658" s="70"/>
      <c r="P658" s="58">
        <f>工程基本資料!$B$8+工程基本資料!$B$7+$L658+$M658-1</f>
        <v>-1</v>
      </c>
    </row>
    <row r="659" spans="1:16" x14ac:dyDescent="0.3">
      <c r="A659" s="60"/>
      <c r="B659" s="61">
        <f t="shared" si="31"/>
        <v>656</v>
      </c>
      <c r="C659" s="62"/>
      <c r="D659" s="62"/>
      <c r="E659" s="68"/>
      <c r="F659" s="68"/>
      <c r="G659" s="68"/>
      <c r="H659" s="64"/>
      <c r="I659" s="68"/>
      <c r="J659" s="65">
        <f t="shared" si="32"/>
        <v>656</v>
      </c>
      <c r="K659" s="65">
        <f>工程基本資料!$B$7-$J659+$L659+$M659</f>
        <v>-656</v>
      </c>
      <c r="L659" s="66"/>
      <c r="M659" s="66"/>
      <c r="N659" s="66"/>
      <c r="O659" s="70"/>
      <c r="P659" s="58">
        <f>工程基本資料!$B$8+工程基本資料!$B$7+$L659+$M659-1</f>
        <v>-1</v>
      </c>
    </row>
    <row r="660" spans="1:16" x14ac:dyDescent="0.3">
      <c r="A660" s="60"/>
      <c r="B660" s="61">
        <f t="shared" si="31"/>
        <v>657</v>
      </c>
      <c r="C660" s="62"/>
      <c r="D660" s="62"/>
      <c r="E660" s="68"/>
      <c r="F660" s="68"/>
      <c r="G660" s="68"/>
      <c r="H660" s="64"/>
      <c r="I660" s="68"/>
      <c r="J660" s="65">
        <f t="shared" si="32"/>
        <v>657</v>
      </c>
      <c r="K660" s="65">
        <f>工程基本資料!$B$7-$J660+$L660+$M660</f>
        <v>-657</v>
      </c>
      <c r="L660" s="66"/>
      <c r="M660" s="66"/>
      <c r="N660" s="66"/>
      <c r="O660" s="70"/>
      <c r="P660" s="58">
        <f>工程基本資料!$B$8+工程基本資料!$B$7+$L660+$M660-1</f>
        <v>-1</v>
      </c>
    </row>
    <row r="661" spans="1:16" x14ac:dyDescent="0.3">
      <c r="A661" s="60"/>
      <c r="B661" s="61">
        <f t="shared" si="31"/>
        <v>658</v>
      </c>
      <c r="C661" s="62"/>
      <c r="D661" s="62"/>
      <c r="E661" s="68"/>
      <c r="F661" s="68"/>
      <c r="G661" s="68"/>
      <c r="H661" s="64"/>
      <c r="I661" s="68"/>
      <c r="J661" s="65">
        <f t="shared" si="32"/>
        <v>658</v>
      </c>
      <c r="K661" s="65">
        <f>工程基本資料!$B$7-$J661+$L661+$M661</f>
        <v>-658</v>
      </c>
      <c r="L661" s="66"/>
      <c r="M661" s="66"/>
      <c r="N661" s="66"/>
      <c r="O661" s="70"/>
      <c r="P661" s="58">
        <f>工程基本資料!$B$8+工程基本資料!$B$7+$L661+$M661-1</f>
        <v>-1</v>
      </c>
    </row>
    <row r="662" spans="1:16" x14ac:dyDescent="0.3">
      <c r="A662" s="60"/>
      <c r="B662" s="61">
        <f t="shared" si="31"/>
        <v>659</v>
      </c>
      <c r="C662" s="62"/>
      <c r="D662" s="62"/>
      <c r="E662" s="68"/>
      <c r="F662" s="68"/>
      <c r="G662" s="68"/>
      <c r="H662" s="64"/>
      <c r="I662" s="68"/>
      <c r="J662" s="65">
        <f t="shared" si="32"/>
        <v>659</v>
      </c>
      <c r="K662" s="65">
        <f>工程基本資料!$B$7-$J662+$L662+$M662</f>
        <v>-659</v>
      </c>
      <c r="L662" s="66"/>
      <c r="M662" s="66"/>
      <c r="N662" s="66"/>
      <c r="O662" s="70"/>
      <c r="P662" s="58">
        <f>工程基本資料!$B$8+工程基本資料!$B$7+$L662+$M662-1</f>
        <v>-1</v>
      </c>
    </row>
    <row r="663" spans="1:16" x14ac:dyDescent="0.3">
      <c r="A663" s="60"/>
      <c r="B663" s="61">
        <f t="shared" si="31"/>
        <v>660</v>
      </c>
      <c r="C663" s="62"/>
      <c r="D663" s="62"/>
      <c r="E663" s="68"/>
      <c r="F663" s="68"/>
      <c r="G663" s="68"/>
      <c r="H663" s="64"/>
      <c r="I663" s="68"/>
      <c r="J663" s="65">
        <f t="shared" si="32"/>
        <v>660</v>
      </c>
      <c r="K663" s="65">
        <f>工程基本資料!$B$7-$J663+$L663+$M663</f>
        <v>-660</v>
      </c>
      <c r="L663" s="66"/>
      <c r="M663" s="66"/>
      <c r="N663" s="66"/>
      <c r="O663" s="70"/>
      <c r="P663" s="58">
        <f>工程基本資料!$B$8+工程基本資料!$B$7+$L663+$M663-1</f>
        <v>-1</v>
      </c>
    </row>
    <row r="664" spans="1:16" x14ac:dyDescent="0.3">
      <c r="A664" s="60"/>
      <c r="B664" s="61">
        <f t="shared" si="31"/>
        <v>661</v>
      </c>
      <c r="C664" s="62"/>
      <c r="D664" s="62"/>
      <c r="E664" s="68"/>
      <c r="F664" s="68"/>
      <c r="G664" s="68"/>
      <c r="H664" s="64"/>
      <c r="I664" s="68"/>
      <c r="J664" s="65">
        <f t="shared" si="32"/>
        <v>661</v>
      </c>
      <c r="K664" s="65">
        <f>工程基本資料!$B$7-$J664+$L664+$M664</f>
        <v>-661</v>
      </c>
      <c r="L664" s="66"/>
      <c r="M664" s="66"/>
      <c r="N664" s="66"/>
      <c r="O664" s="70"/>
      <c r="P664" s="58">
        <f>工程基本資料!$B$8+工程基本資料!$B$7+$L664+$M664-1</f>
        <v>-1</v>
      </c>
    </row>
    <row r="665" spans="1:16" x14ac:dyDescent="0.3">
      <c r="A665" s="60"/>
      <c r="B665" s="61">
        <f t="shared" si="31"/>
        <v>662</v>
      </c>
      <c r="C665" s="62"/>
      <c r="D665" s="62"/>
      <c r="E665" s="68"/>
      <c r="F665" s="68"/>
      <c r="G665" s="68"/>
      <c r="H665" s="64"/>
      <c r="I665" s="68"/>
      <c r="J665" s="65">
        <f t="shared" si="32"/>
        <v>662</v>
      </c>
      <c r="K665" s="65">
        <f>工程基本資料!$B$7-$J665+$L665+$M665</f>
        <v>-662</v>
      </c>
      <c r="L665" s="66"/>
      <c r="M665" s="66"/>
      <c r="N665" s="66"/>
      <c r="O665" s="70"/>
      <c r="P665" s="58">
        <f>工程基本資料!$B$8+工程基本資料!$B$7+$L665+$M665-1</f>
        <v>-1</v>
      </c>
    </row>
    <row r="666" spans="1:16" x14ac:dyDescent="0.3">
      <c r="A666" s="60"/>
      <c r="B666" s="61">
        <f t="shared" si="31"/>
        <v>663</v>
      </c>
      <c r="C666" s="62"/>
      <c r="D666" s="62"/>
      <c r="E666" s="68"/>
      <c r="F666" s="68"/>
      <c r="G666" s="68"/>
      <c r="H666" s="64"/>
      <c r="I666" s="68"/>
      <c r="J666" s="65">
        <f t="shared" si="32"/>
        <v>663</v>
      </c>
      <c r="K666" s="65">
        <f>工程基本資料!$B$7-$J666+$L666+$M666</f>
        <v>-663</v>
      </c>
      <c r="L666" s="66"/>
      <c r="M666" s="66"/>
      <c r="N666" s="66"/>
      <c r="O666" s="70"/>
      <c r="P666" s="58">
        <f>工程基本資料!$B$8+工程基本資料!$B$7+$L666+$M666-1</f>
        <v>-1</v>
      </c>
    </row>
    <row r="667" spans="1:16" x14ac:dyDescent="0.3">
      <c r="A667" s="60"/>
      <c r="B667" s="61">
        <f t="shared" si="31"/>
        <v>664</v>
      </c>
      <c r="C667" s="62"/>
      <c r="D667" s="62"/>
      <c r="E667" s="68"/>
      <c r="F667" s="68"/>
      <c r="G667" s="68"/>
      <c r="H667" s="64"/>
      <c r="I667" s="68"/>
      <c r="J667" s="65">
        <f t="shared" si="32"/>
        <v>664</v>
      </c>
      <c r="K667" s="65">
        <f>工程基本資料!$B$7-$J667+$L667+$M667</f>
        <v>-664</v>
      </c>
      <c r="L667" s="66"/>
      <c r="M667" s="66"/>
      <c r="N667" s="66"/>
      <c r="O667" s="70"/>
      <c r="P667" s="58">
        <f>工程基本資料!$B$8+工程基本資料!$B$7+$L667+$M667-1</f>
        <v>-1</v>
      </c>
    </row>
    <row r="668" spans="1:16" x14ac:dyDescent="0.3">
      <c r="A668" s="60"/>
      <c r="B668" s="61">
        <f t="shared" si="31"/>
        <v>665</v>
      </c>
      <c r="C668" s="62"/>
      <c r="D668" s="62"/>
      <c r="E668" s="68"/>
      <c r="F668" s="68"/>
      <c r="G668" s="68"/>
      <c r="H668" s="64"/>
      <c r="I668" s="68"/>
      <c r="J668" s="65">
        <f t="shared" si="32"/>
        <v>665</v>
      </c>
      <c r="K668" s="65">
        <f>工程基本資料!$B$7-$J668+$L668+$M668</f>
        <v>-665</v>
      </c>
      <c r="L668" s="66"/>
      <c r="M668" s="66"/>
      <c r="N668" s="66"/>
      <c r="O668" s="70"/>
      <c r="P668" s="58">
        <f>工程基本資料!$B$8+工程基本資料!$B$7+$L668+$M668-1</f>
        <v>-1</v>
      </c>
    </row>
    <row r="669" spans="1:16" x14ac:dyDescent="0.3">
      <c r="A669" s="60"/>
      <c r="B669" s="61">
        <f t="shared" si="31"/>
        <v>666</v>
      </c>
      <c r="C669" s="62"/>
      <c r="D669" s="62"/>
      <c r="E669" s="68"/>
      <c r="F669" s="68"/>
      <c r="G669" s="68"/>
      <c r="H669" s="64"/>
      <c r="I669" s="68"/>
      <c r="J669" s="65">
        <f t="shared" si="32"/>
        <v>666</v>
      </c>
      <c r="K669" s="65">
        <f>工程基本資料!$B$7-$J669+$L669+$M669</f>
        <v>-666</v>
      </c>
      <c r="L669" s="66"/>
      <c r="M669" s="66"/>
      <c r="N669" s="66"/>
      <c r="O669" s="70"/>
      <c r="P669" s="58">
        <f>工程基本資料!$B$8+工程基本資料!$B$7+$L669+$M669-1</f>
        <v>-1</v>
      </c>
    </row>
    <row r="670" spans="1:16" x14ac:dyDescent="0.3">
      <c r="A670" s="60"/>
      <c r="B670" s="61">
        <f t="shared" si="31"/>
        <v>667</v>
      </c>
      <c r="C670" s="62"/>
      <c r="D670" s="62"/>
      <c r="E670" s="68"/>
      <c r="F670" s="68"/>
      <c r="G670" s="68"/>
      <c r="H670" s="64"/>
      <c r="I670" s="68"/>
      <c r="J670" s="65">
        <f t="shared" si="32"/>
        <v>667</v>
      </c>
      <c r="K670" s="65">
        <f>工程基本資料!$B$7-$J670+$L670+$M670</f>
        <v>-667</v>
      </c>
      <c r="L670" s="66"/>
      <c r="M670" s="66"/>
      <c r="N670" s="66"/>
      <c r="O670" s="70"/>
      <c r="P670" s="58">
        <f>工程基本資料!$B$8+工程基本資料!$B$7+$L670+$M670-1</f>
        <v>-1</v>
      </c>
    </row>
    <row r="671" spans="1:16" x14ac:dyDescent="0.3">
      <c r="A671" s="60"/>
      <c r="B671" s="61">
        <f t="shared" si="31"/>
        <v>668</v>
      </c>
      <c r="C671" s="62"/>
      <c r="D671" s="62"/>
      <c r="E671" s="68"/>
      <c r="F671" s="68"/>
      <c r="G671" s="68"/>
      <c r="H671" s="64"/>
      <c r="I671" s="68"/>
      <c r="J671" s="65">
        <f t="shared" si="32"/>
        <v>668</v>
      </c>
      <c r="K671" s="65">
        <f>工程基本資料!$B$7-$J671+$L671+$M671</f>
        <v>-668</v>
      </c>
      <c r="L671" s="66"/>
      <c r="M671" s="66"/>
      <c r="N671" s="66"/>
      <c r="O671" s="70"/>
      <c r="P671" s="58">
        <f>工程基本資料!$B$8+工程基本資料!$B$7+$L671+$M671-1</f>
        <v>-1</v>
      </c>
    </row>
    <row r="672" spans="1:16" x14ac:dyDescent="0.3">
      <c r="A672" s="60"/>
      <c r="B672" s="61">
        <f t="shared" si="31"/>
        <v>669</v>
      </c>
      <c r="C672" s="62"/>
      <c r="D672" s="62"/>
      <c r="E672" s="68"/>
      <c r="F672" s="68"/>
      <c r="G672" s="68"/>
      <c r="H672" s="64"/>
      <c r="I672" s="68"/>
      <c r="J672" s="65">
        <f t="shared" si="32"/>
        <v>669</v>
      </c>
      <c r="K672" s="65">
        <f>工程基本資料!$B$7-$J672+$L672+$M672</f>
        <v>-669</v>
      </c>
      <c r="L672" s="66"/>
      <c r="M672" s="66"/>
      <c r="N672" s="66"/>
      <c r="O672" s="70"/>
      <c r="P672" s="58">
        <f>工程基本資料!$B$8+工程基本資料!$B$7+$L672+$M672-1</f>
        <v>-1</v>
      </c>
    </row>
    <row r="673" spans="1:16" x14ac:dyDescent="0.3">
      <c r="A673" s="60"/>
      <c r="B673" s="61">
        <f t="shared" si="31"/>
        <v>670</v>
      </c>
      <c r="C673" s="62"/>
      <c r="D673" s="62"/>
      <c r="E673" s="68"/>
      <c r="F673" s="68"/>
      <c r="G673" s="68"/>
      <c r="H673" s="64"/>
      <c r="I673" s="68"/>
      <c r="J673" s="65">
        <f t="shared" si="32"/>
        <v>670</v>
      </c>
      <c r="K673" s="65">
        <f>工程基本資料!$B$7-$J673+$L673+$M673</f>
        <v>-670</v>
      </c>
      <c r="L673" s="66"/>
      <c r="M673" s="66"/>
      <c r="N673" s="66"/>
      <c r="O673" s="70"/>
      <c r="P673" s="58">
        <f>工程基本資料!$B$8+工程基本資料!$B$7+$L673+$M673-1</f>
        <v>-1</v>
      </c>
    </row>
    <row r="674" spans="1:16" x14ac:dyDescent="0.3">
      <c r="A674" s="60"/>
      <c r="B674" s="61">
        <f t="shared" si="31"/>
        <v>671</v>
      </c>
      <c r="C674" s="62"/>
      <c r="D674" s="62"/>
      <c r="E674" s="68"/>
      <c r="F674" s="68"/>
      <c r="G674" s="68"/>
      <c r="H674" s="64"/>
      <c r="I674" s="68"/>
      <c r="J674" s="65">
        <f t="shared" si="32"/>
        <v>671</v>
      </c>
      <c r="K674" s="65">
        <f>工程基本資料!$B$7-$J674+$L674+$M674</f>
        <v>-671</v>
      </c>
      <c r="L674" s="66"/>
      <c r="M674" s="66"/>
      <c r="N674" s="66"/>
      <c r="O674" s="70"/>
      <c r="P674" s="58">
        <f>工程基本資料!$B$8+工程基本資料!$B$7+$L674+$M674-1</f>
        <v>-1</v>
      </c>
    </row>
    <row r="675" spans="1:16" x14ac:dyDescent="0.3">
      <c r="A675" s="60"/>
      <c r="B675" s="61">
        <f t="shared" si="31"/>
        <v>672</v>
      </c>
      <c r="C675" s="62"/>
      <c r="D675" s="62"/>
      <c r="E675" s="68"/>
      <c r="F675" s="68"/>
      <c r="G675" s="68"/>
      <c r="H675" s="64"/>
      <c r="I675" s="68"/>
      <c r="J675" s="65">
        <f t="shared" si="32"/>
        <v>672</v>
      </c>
      <c r="K675" s="65">
        <f>工程基本資料!$B$7-$J675+$L675+$M675</f>
        <v>-672</v>
      </c>
      <c r="L675" s="66"/>
      <c r="M675" s="66"/>
      <c r="N675" s="66"/>
      <c r="O675" s="70"/>
      <c r="P675" s="58">
        <f>工程基本資料!$B$8+工程基本資料!$B$7+$L675+$M675-1</f>
        <v>-1</v>
      </c>
    </row>
    <row r="676" spans="1:16" x14ac:dyDescent="0.3">
      <c r="A676" s="60"/>
      <c r="B676" s="61">
        <f t="shared" si="31"/>
        <v>673</v>
      </c>
      <c r="C676" s="62"/>
      <c r="D676" s="62"/>
      <c r="E676" s="68"/>
      <c r="F676" s="68"/>
      <c r="G676" s="68"/>
      <c r="H676" s="64"/>
      <c r="I676" s="68"/>
      <c r="J676" s="65">
        <f t="shared" si="32"/>
        <v>673</v>
      </c>
      <c r="K676" s="65">
        <f>工程基本資料!$B$7-$J676+$L676+$M676</f>
        <v>-673</v>
      </c>
      <c r="L676" s="66"/>
      <c r="M676" s="66"/>
      <c r="N676" s="66"/>
      <c r="O676" s="70"/>
      <c r="P676" s="58">
        <f>工程基本資料!$B$8+工程基本資料!$B$7+$L676+$M676-1</f>
        <v>-1</v>
      </c>
    </row>
    <row r="677" spans="1:16" x14ac:dyDescent="0.3">
      <c r="A677" s="60"/>
      <c r="B677" s="61">
        <f t="shared" si="31"/>
        <v>674</v>
      </c>
      <c r="C677" s="62"/>
      <c r="D677" s="62"/>
      <c r="E677" s="68"/>
      <c r="F677" s="68"/>
      <c r="G677" s="68"/>
      <c r="H677" s="64"/>
      <c r="I677" s="68"/>
      <c r="J677" s="65">
        <f t="shared" si="32"/>
        <v>674</v>
      </c>
      <c r="K677" s="65">
        <f>工程基本資料!$B$7-$J677+$L677+$M677</f>
        <v>-674</v>
      </c>
      <c r="L677" s="66"/>
      <c r="M677" s="66"/>
      <c r="N677" s="66"/>
      <c r="O677" s="70"/>
      <c r="P677" s="58">
        <f>工程基本資料!$B$8+工程基本資料!$B$7+$L677+$M677-1</f>
        <v>-1</v>
      </c>
    </row>
    <row r="678" spans="1:16" x14ac:dyDescent="0.3">
      <c r="A678" s="60"/>
      <c r="B678" s="61">
        <f t="shared" si="31"/>
        <v>675</v>
      </c>
      <c r="C678" s="62"/>
      <c r="D678" s="62"/>
      <c r="E678" s="68"/>
      <c r="F678" s="68"/>
      <c r="G678" s="68"/>
      <c r="H678" s="64"/>
      <c r="I678" s="68"/>
      <c r="J678" s="65">
        <f t="shared" si="32"/>
        <v>675</v>
      </c>
      <c r="K678" s="65">
        <f>工程基本資料!$B$7-$J678+$L678+$M678</f>
        <v>-675</v>
      </c>
      <c r="L678" s="66"/>
      <c r="M678" s="66"/>
      <c r="N678" s="66"/>
      <c r="O678" s="70"/>
      <c r="P678" s="58">
        <f>工程基本資料!$B$8+工程基本資料!$B$7+$L678+$M678-1</f>
        <v>-1</v>
      </c>
    </row>
    <row r="679" spans="1:16" x14ac:dyDescent="0.3">
      <c r="A679" s="60"/>
      <c r="B679" s="61">
        <f t="shared" si="31"/>
        <v>676</v>
      </c>
      <c r="C679" s="62"/>
      <c r="D679" s="62"/>
      <c r="E679" s="68"/>
      <c r="F679" s="68"/>
      <c r="G679" s="68"/>
      <c r="H679" s="64"/>
      <c r="I679" s="68"/>
      <c r="J679" s="65">
        <f t="shared" si="32"/>
        <v>676</v>
      </c>
      <c r="K679" s="65">
        <f>工程基本資料!$B$7-$J679+$L679+$M679</f>
        <v>-676</v>
      </c>
      <c r="L679" s="66"/>
      <c r="M679" s="66"/>
      <c r="N679" s="66"/>
      <c r="O679" s="70"/>
      <c r="P679" s="58">
        <f>工程基本資料!$B$8+工程基本資料!$B$7+$L679+$M679-1</f>
        <v>-1</v>
      </c>
    </row>
    <row r="680" spans="1:16" x14ac:dyDescent="0.3">
      <c r="A680" s="60"/>
      <c r="B680" s="61">
        <f t="shared" si="31"/>
        <v>677</v>
      </c>
      <c r="C680" s="62"/>
      <c r="D680" s="62"/>
      <c r="E680" s="68"/>
      <c r="F680" s="68"/>
      <c r="G680" s="68"/>
      <c r="H680" s="64"/>
      <c r="I680" s="68"/>
      <c r="J680" s="65">
        <f t="shared" si="32"/>
        <v>677</v>
      </c>
      <c r="K680" s="65">
        <f>工程基本資料!$B$7-$J680+$L680+$M680</f>
        <v>-677</v>
      </c>
      <c r="L680" s="66"/>
      <c r="M680" s="66"/>
      <c r="N680" s="66"/>
      <c r="O680" s="70"/>
      <c r="P680" s="58">
        <f>工程基本資料!$B$8+工程基本資料!$B$7+$L680+$M680-1</f>
        <v>-1</v>
      </c>
    </row>
    <row r="681" spans="1:16" x14ac:dyDescent="0.3">
      <c r="A681" s="60"/>
      <c r="B681" s="61">
        <f t="shared" si="31"/>
        <v>678</v>
      </c>
      <c r="C681" s="62"/>
      <c r="D681" s="62"/>
      <c r="E681" s="68"/>
      <c r="F681" s="68"/>
      <c r="G681" s="68"/>
      <c r="H681" s="64"/>
      <c r="I681" s="68"/>
      <c r="J681" s="65">
        <f t="shared" si="32"/>
        <v>678</v>
      </c>
      <c r="K681" s="65">
        <f>工程基本資料!$B$7-$J681+$L681+$M681</f>
        <v>-678</v>
      </c>
      <c r="L681" s="66"/>
      <c r="M681" s="66"/>
      <c r="N681" s="66"/>
      <c r="O681" s="70"/>
      <c r="P681" s="58">
        <f>工程基本資料!$B$8+工程基本資料!$B$7+$L681+$M681-1</f>
        <v>-1</v>
      </c>
    </row>
    <row r="682" spans="1:16" x14ac:dyDescent="0.3">
      <c r="A682" s="60"/>
      <c r="B682" s="61">
        <f t="shared" si="31"/>
        <v>679</v>
      </c>
      <c r="C682" s="62"/>
      <c r="D682" s="62"/>
      <c r="E682" s="68"/>
      <c r="F682" s="68"/>
      <c r="G682" s="68"/>
      <c r="H682" s="64"/>
      <c r="I682" s="68"/>
      <c r="J682" s="65">
        <f t="shared" si="32"/>
        <v>679</v>
      </c>
      <c r="K682" s="65">
        <f>工程基本資料!$B$7-$J682+$L682+$M682</f>
        <v>-679</v>
      </c>
      <c r="L682" s="66"/>
      <c r="M682" s="66"/>
      <c r="N682" s="66"/>
      <c r="O682" s="70"/>
      <c r="P682" s="58">
        <f>工程基本資料!$B$8+工程基本資料!$B$7+$L682+$M682-1</f>
        <v>-1</v>
      </c>
    </row>
    <row r="683" spans="1:16" x14ac:dyDescent="0.3">
      <c r="A683" s="60"/>
      <c r="B683" s="61">
        <f t="shared" si="31"/>
        <v>680</v>
      </c>
      <c r="C683" s="62"/>
      <c r="D683" s="62"/>
      <c r="E683" s="68"/>
      <c r="F683" s="68"/>
      <c r="G683" s="68"/>
      <c r="H683" s="64"/>
      <c r="I683" s="68"/>
      <c r="J683" s="65">
        <f t="shared" si="32"/>
        <v>680</v>
      </c>
      <c r="K683" s="65">
        <f>工程基本資料!$B$7-$J683+$L683+$M683</f>
        <v>-680</v>
      </c>
      <c r="L683" s="66"/>
      <c r="M683" s="66"/>
      <c r="N683" s="66"/>
      <c r="O683" s="70"/>
      <c r="P683" s="58">
        <f>工程基本資料!$B$8+工程基本資料!$B$7+$L683+$M683-1</f>
        <v>-1</v>
      </c>
    </row>
    <row r="684" spans="1:16" x14ac:dyDescent="0.3">
      <c r="A684" s="60"/>
      <c r="B684" s="61">
        <f t="shared" si="31"/>
        <v>681</v>
      </c>
      <c r="C684" s="62"/>
      <c r="D684" s="62"/>
      <c r="E684" s="68"/>
      <c r="F684" s="68"/>
      <c r="G684" s="68"/>
      <c r="H684" s="64"/>
      <c r="I684" s="68"/>
      <c r="J684" s="65">
        <f t="shared" si="32"/>
        <v>681</v>
      </c>
      <c r="K684" s="65">
        <f>工程基本資料!$B$7-$J684+$L684+$M684</f>
        <v>-681</v>
      </c>
      <c r="L684" s="66"/>
      <c r="M684" s="66"/>
      <c r="N684" s="66"/>
      <c r="O684" s="70"/>
      <c r="P684" s="58">
        <f>工程基本資料!$B$8+工程基本資料!$B$7+$L684+$M684-1</f>
        <v>-1</v>
      </c>
    </row>
    <row r="685" spans="1:16" x14ac:dyDescent="0.3">
      <c r="A685" s="60"/>
      <c r="B685" s="61">
        <f t="shared" si="31"/>
        <v>682</v>
      </c>
      <c r="C685" s="62"/>
      <c r="D685" s="62"/>
      <c r="E685" s="68"/>
      <c r="F685" s="68"/>
      <c r="G685" s="68"/>
      <c r="H685" s="64"/>
      <c r="I685" s="68"/>
      <c r="J685" s="65">
        <f t="shared" si="32"/>
        <v>682</v>
      </c>
      <c r="K685" s="65">
        <f>工程基本資料!$B$7-$J685+$L685+$M685</f>
        <v>-682</v>
      </c>
      <c r="L685" s="66"/>
      <c r="M685" s="66"/>
      <c r="N685" s="66"/>
      <c r="O685" s="70"/>
      <c r="P685" s="58">
        <f>工程基本資料!$B$8+工程基本資料!$B$7+$L685+$M685-1</f>
        <v>-1</v>
      </c>
    </row>
    <row r="686" spans="1:16" x14ac:dyDescent="0.3">
      <c r="A686" s="60"/>
      <c r="B686" s="61">
        <f t="shared" si="31"/>
        <v>683</v>
      </c>
      <c r="C686" s="62"/>
      <c r="D686" s="62"/>
      <c r="E686" s="68"/>
      <c r="F686" s="68"/>
      <c r="G686" s="68"/>
      <c r="H686" s="64"/>
      <c r="I686" s="68"/>
      <c r="J686" s="65">
        <f t="shared" si="32"/>
        <v>683</v>
      </c>
      <c r="K686" s="65">
        <f>工程基本資料!$B$7-$J686+$L686+$M686</f>
        <v>-683</v>
      </c>
      <c r="L686" s="66"/>
      <c r="M686" s="66"/>
      <c r="N686" s="66"/>
      <c r="O686" s="70"/>
      <c r="P686" s="58">
        <f>工程基本資料!$B$8+工程基本資料!$B$7+$L686+$M686-1</f>
        <v>-1</v>
      </c>
    </row>
    <row r="687" spans="1:16" x14ac:dyDescent="0.3">
      <c r="A687" s="60"/>
      <c r="B687" s="61">
        <f t="shared" si="31"/>
        <v>684</v>
      </c>
      <c r="C687" s="62"/>
      <c r="D687" s="62"/>
      <c r="E687" s="68"/>
      <c r="F687" s="68"/>
      <c r="G687" s="68"/>
      <c r="H687" s="64"/>
      <c r="I687" s="68"/>
      <c r="J687" s="65">
        <f t="shared" si="32"/>
        <v>684</v>
      </c>
      <c r="K687" s="65">
        <f>工程基本資料!$B$7-$J687+$L687+$M687</f>
        <v>-684</v>
      </c>
      <c r="L687" s="66"/>
      <c r="M687" s="66"/>
      <c r="N687" s="66"/>
      <c r="O687" s="70"/>
      <c r="P687" s="58">
        <f>工程基本資料!$B$8+工程基本資料!$B$7+$L687+$M687-1</f>
        <v>-1</v>
      </c>
    </row>
    <row r="688" spans="1:16" x14ac:dyDescent="0.3">
      <c r="A688" s="60"/>
      <c r="B688" s="61">
        <f t="shared" si="31"/>
        <v>685</v>
      </c>
      <c r="C688" s="62"/>
      <c r="D688" s="62"/>
      <c r="E688" s="68"/>
      <c r="F688" s="68"/>
      <c r="G688" s="68"/>
      <c r="H688" s="64"/>
      <c r="I688" s="68"/>
      <c r="J688" s="65">
        <f t="shared" si="32"/>
        <v>685</v>
      </c>
      <c r="K688" s="65">
        <f>工程基本資料!$B$7-$J688+$L688+$M688</f>
        <v>-685</v>
      </c>
      <c r="L688" s="66"/>
      <c r="M688" s="66"/>
      <c r="N688" s="66"/>
      <c r="O688" s="70"/>
      <c r="P688" s="58">
        <f>工程基本資料!$B$8+工程基本資料!$B$7+$L688+$M688-1</f>
        <v>-1</v>
      </c>
    </row>
    <row r="689" spans="1:16" x14ac:dyDescent="0.3">
      <c r="A689" s="60"/>
      <c r="B689" s="61">
        <f t="shared" si="31"/>
        <v>686</v>
      </c>
      <c r="C689" s="62"/>
      <c r="D689" s="62"/>
      <c r="E689" s="68"/>
      <c r="F689" s="68"/>
      <c r="G689" s="68"/>
      <c r="H689" s="64"/>
      <c r="I689" s="68"/>
      <c r="J689" s="65">
        <f t="shared" si="32"/>
        <v>686</v>
      </c>
      <c r="K689" s="65">
        <f>工程基本資料!$B$7-$J689+$L689+$M689</f>
        <v>-686</v>
      </c>
      <c r="L689" s="66"/>
      <c r="M689" s="66"/>
      <c r="N689" s="66"/>
      <c r="O689" s="70"/>
      <c r="P689" s="58">
        <f>工程基本資料!$B$8+工程基本資料!$B$7+$L689+$M689-1</f>
        <v>-1</v>
      </c>
    </row>
    <row r="690" spans="1:16" x14ac:dyDescent="0.3">
      <c r="A690" s="60"/>
      <c r="B690" s="61">
        <f t="shared" si="31"/>
        <v>687</v>
      </c>
      <c r="C690" s="62"/>
      <c r="D690" s="62"/>
      <c r="E690" s="68"/>
      <c r="F690" s="68"/>
      <c r="G690" s="68"/>
      <c r="H690" s="64"/>
      <c r="I690" s="68"/>
      <c r="J690" s="65">
        <f t="shared" si="32"/>
        <v>687</v>
      </c>
      <c r="K690" s="65">
        <f>工程基本資料!$B$7-$J690+$L690+$M690</f>
        <v>-687</v>
      </c>
      <c r="L690" s="66"/>
      <c r="M690" s="66"/>
      <c r="N690" s="66"/>
      <c r="O690" s="70"/>
      <c r="P690" s="58">
        <f>工程基本資料!$B$8+工程基本資料!$B$7+$L690+$M690-1</f>
        <v>-1</v>
      </c>
    </row>
    <row r="691" spans="1:16" x14ac:dyDescent="0.3">
      <c r="A691" s="60"/>
      <c r="B691" s="61">
        <f t="shared" si="31"/>
        <v>688</v>
      </c>
      <c r="C691" s="62"/>
      <c r="D691" s="62"/>
      <c r="E691" s="68"/>
      <c r="F691" s="68"/>
      <c r="G691" s="68"/>
      <c r="H691" s="64"/>
      <c r="I691" s="68"/>
      <c r="J691" s="65">
        <f t="shared" si="32"/>
        <v>688</v>
      </c>
      <c r="K691" s="65">
        <f>工程基本資料!$B$7-$J691+$L691+$M691</f>
        <v>-688</v>
      </c>
      <c r="L691" s="66"/>
      <c r="M691" s="66"/>
      <c r="N691" s="66"/>
      <c r="O691" s="70"/>
      <c r="P691" s="58">
        <f>工程基本資料!$B$8+工程基本資料!$B$7+$L691+$M691-1</f>
        <v>-1</v>
      </c>
    </row>
    <row r="692" spans="1:16" x14ac:dyDescent="0.3">
      <c r="A692" s="60"/>
      <c r="B692" s="61">
        <f t="shared" si="31"/>
        <v>689</v>
      </c>
      <c r="C692" s="62"/>
      <c r="D692" s="62"/>
      <c r="E692" s="68"/>
      <c r="F692" s="68"/>
      <c r="G692" s="68"/>
      <c r="H692" s="64"/>
      <c r="I692" s="68"/>
      <c r="J692" s="65">
        <f t="shared" si="32"/>
        <v>689</v>
      </c>
      <c r="K692" s="65">
        <f>工程基本資料!$B$7-$J692+$L692+$M692</f>
        <v>-689</v>
      </c>
      <c r="L692" s="66"/>
      <c r="M692" s="66"/>
      <c r="N692" s="66"/>
      <c r="O692" s="70"/>
      <c r="P692" s="58">
        <f>工程基本資料!$B$8+工程基本資料!$B$7+$L692+$M692-1</f>
        <v>-1</v>
      </c>
    </row>
    <row r="693" spans="1:16" x14ac:dyDescent="0.3">
      <c r="A693" s="60"/>
      <c r="B693" s="61">
        <f t="shared" si="31"/>
        <v>690</v>
      </c>
      <c r="C693" s="62"/>
      <c r="D693" s="62"/>
      <c r="E693" s="68"/>
      <c r="F693" s="68"/>
      <c r="G693" s="68"/>
      <c r="H693" s="64"/>
      <c r="I693" s="68"/>
      <c r="J693" s="65">
        <f t="shared" si="32"/>
        <v>690</v>
      </c>
      <c r="K693" s="65">
        <f>工程基本資料!$B$7-$J693+$L693+$M693</f>
        <v>-690</v>
      </c>
      <c r="L693" s="66"/>
      <c r="M693" s="66"/>
      <c r="N693" s="66"/>
      <c r="O693" s="70"/>
      <c r="P693" s="58">
        <f>工程基本資料!$B$8+工程基本資料!$B$7+$L693+$M693-1</f>
        <v>-1</v>
      </c>
    </row>
    <row r="694" spans="1:16" x14ac:dyDescent="0.3">
      <c r="A694" s="60"/>
      <c r="B694" s="61">
        <f t="shared" si="31"/>
        <v>691</v>
      </c>
      <c r="C694" s="62"/>
      <c r="D694" s="62"/>
      <c r="E694" s="68"/>
      <c r="F694" s="68"/>
      <c r="G694" s="68"/>
      <c r="H694" s="64"/>
      <c r="I694" s="68"/>
      <c r="J694" s="65">
        <f t="shared" si="32"/>
        <v>691</v>
      </c>
      <c r="K694" s="65">
        <f>工程基本資料!$B$7-$J694+$L694+$M694</f>
        <v>-691</v>
      </c>
      <c r="L694" s="66"/>
      <c r="M694" s="66"/>
      <c r="N694" s="66"/>
      <c r="O694" s="70"/>
      <c r="P694" s="58">
        <f>工程基本資料!$B$8+工程基本資料!$B$7+$L694+$M694-1</f>
        <v>-1</v>
      </c>
    </row>
    <row r="695" spans="1:16" x14ac:dyDescent="0.3">
      <c r="A695" s="60"/>
      <c r="B695" s="61">
        <f t="shared" si="31"/>
        <v>692</v>
      </c>
      <c r="C695" s="62"/>
      <c r="D695" s="62"/>
      <c r="E695" s="68"/>
      <c r="F695" s="68"/>
      <c r="G695" s="68"/>
      <c r="H695" s="64"/>
      <c r="I695" s="68"/>
      <c r="J695" s="65">
        <f t="shared" si="32"/>
        <v>692</v>
      </c>
      <c r="K695" s="65">
        <f>工程基本資料!$B$7-$J695+$L695+$M695</f>
        <v>-692</v>
      </c>
      <c r="L695" s="66"/>
      <c r="M695" s="66"/>
      <c r="N695" s="66"/>
      <c r="O695" s="70"/>
      <c r="P695" s="58">
        <f>工程基本資料!$B$8+工程基本資料!$B$7+$L695+$M695-1</f>
        <v>-1</v>
      </c>
    </row>
    <row r="696" spans="1:16" x14ac:dyDescent="0.3">
      <c r="A696" s="60"/>
      <c r="B696" s="61">
        <f t="shared" si="31"/>
        <v>693</v>
      </c>
      <c r="C696" s="62"/>
      <c r="D696" s="62"/>
      <c r="E696" s="68"/>
      <c r="F696" s="68"/>
      <c r="G696" s="68"/>
      <c r="H696" s="64"/>
      <c r="I696" s="68"/>
      <c r="J696" s="65">
        <f t="shared" si="32"/>
        <v>693</v>
      </c>
      <c r="K696" s="65">
        <f>工程基本資料!$B$7-$J696+$L696+$M696</f>
        <v>-693</v>
      </c>
      <c r="L696" s="66"/>
      <c r="M696" s="66"/>
      <c r="N696" s="66"/>
      <c r="O696" s="70"/>
      <c r="P696" s="58">
        <f>工程基本資料!$B$8+工程基本資料!$B$7+$L696+$M696-1</f>
        <v>-1</v>
      </c>
    </row>
    <row r="697" spans="1:16" x14ac:dyDescent="0.3">
      <c r="A697" s="60"/>
      <c r="B697" s="61">
        <f t="shared" si="31"/>
        <v>694</v>
      </c>
      <c r="C697" s="62"/>
      <c r="D697" s="62"/>
      <c r="E697" s="68"/>
      <c r="F697" s="68"/>
      <c r="G697" s="68"/>
      <c r="H697" s="64"/>
      <c r="I697" s="68"/>
      <c r="J697" s="65">
        <f t="shared" si="32"/>
        <v>694</v>
      </c>
      <c r="K697" s="65">
        <f>工程基本資料!$B$7-$J697+$L697+$M697</f>
        <v>-694</v>
      </c>
      <c r="L697" s="66"/>
      <c r="M697" s="66"/>
      <c r="N697" s="66"/>
      <c r="O697" s="70"/>
      <c r="P697" s="58">
        <f>工程基本資料!$B$8+工程基本資料!$B$7+$L697+$M697-1</f>
        <v>-1</v>
      </c>
    </row>
    <row r="698" spans="1:16" x14ac:dyDescent="0.3">
      <c r="A698" s="60"/>
      <c r="B698" s="61">
        <f t="shared" si="31"/>
        <v>695</v>
      </c>
      <c r="C698" s="62"/>
      <c r="D698" s="62"/>
      <c r="E698" s="68"/>
      <c r="F698" s="68"/>
      <c r="G698" s="68"/>
      <c r="H698" s="64"/>
      <c r="I698" s="68"/>
      <c r="J698" s="65">
        <f t="shared" si="32"/>
        <v>695</v>
      </c>
      <c r="K698" s="65">
        <f>工程基本資料!$B$7-$J698+$L698+$M698</f>
        <v>-695</v>
      </c>
      <c r="L698" s="66"/>
      <c r="M698" s="66"/>
      <c r="N698" s="66"/>
      <c r="O698" s="70"/>
      <c r="P698" s="58">
        <f>工程基本資料!$B$8+工程基本資料!$B$7+$L698+$M698-1</f>
        <v>-1</v>
      </c>
    </row>
    <row r="699" spans="1:16" x14ac:dyDescent="0.3">
      <c r="A699" s="60"/>
      <c r="B699" s="61">
        <f t="shared" si="31"/>
        <v>696</v>
      </c>
      <c r="C699" s="62"/>
      <c r="D699" s="62"/>
      <c r="E699" s="68"/>
      <c r="F699" s="68"/>
      <c r="G699" s="68"/>
      <c r="H699" s="64"/>
      <c r="I699" s="68"/>
      <c r="J699" s="65">
        <f t="shared" si="32"/>
        <v>696</v>
      </c>
      <c r="K699" s="65">
        <f>工程基本資料!$B$7-$J699+$L699+$M699</f>
        <v>-696</v>
      </c>
      <c r="L699" s="66"/>
      <c r="M699" s="66"/>
      <c r="N699" s="66"/>
      <c r="O699" s="70"/>
      <c r="P699" s="58">
        <f>工程基本資料!$B$8+工程基本資料!$B$7+$L699+$M699-1</f>
        <v>-1</v>
      </c>
    </row>
    <row r="700" spans="1:16" x14ac:dyDescent="0.3">
      <c r="A700" s="60"/>
      <c r="B700" s="61">
        <f t="shared" si="31"/>
        <v>697</v>
      </c>
      <c r="C700" s="62"/>
      <c r="D700" s="62"/>
      <c r="E700" s="68"/>
      <c r="F700" s="68"/>
      <c r="G700" s="68"/>
      <c r="H700" s="64"/>
      <c r="I700" s="68"/>
      <c r="J700" s="65">
        <f t="shared" si="32"/>
        <v>697</v>
      </c>
      <c r="K700" s="65">
        <f>工程基本資料!$B$7-$J700+$L700+$M700</f>
        <v>-697</v>
      </c>
      <c r="L700" s="66"/>
      <c r="M700" s="66"/>
      <c r="N700" s="66"/>
      <c r="O700" s="70"/>
      <c r="P700" s="58">
        <f>工程基本資料!$B$8+工程基本資料!$B$7+$L700+$M700-1</f>
        <v>-1</v>
      </c>
    </row>
    <row r="701" spans="1:16" x14ac:dyDescent="0.3">
      <c r="A701" s="60"/>
      <c r="B701" s="61">
        <f t="shared" si="31"/>
        <v>698</v>
      </c>
      <c r="C701" s="62"/>
      <c r="D701" s="62"/>
      <c r="E701" s="68"/>
      <c r="F701" s="68"/>
      <c r="G701" s="68"/>
      <c r="H701" s="64"/>
      <c r="I701" s="68"/>
      <c r="J701" s="65">
        <f t="shared" si="32"/>
        <v>698</v>
      </c>
      <c r="K701" s="65">
        <f>工程基本資料!$B$7-$J701+$L701+$M701</f>
        <v>-698</v>
      </c>
      <c r="L701" s="66"/>
      <c r="M701" s="66"/>
      <c r="N701" s="66"/>
      <c r="O701" s="70"/>
      <c r="P701" s="58">
        <f>工程基本資料!$B$8+工程基本資料!$B$7+$L701+$M701-1</f>
        <v>-1</v>
      </c>
    </row>
    <row r="702" spans="1:16" x14ac:dyDescent="0.3">
      <c r="A702" s="60"/>
      <c r="B702" s="61">
        <f t="shared" si="31"/>
        <v>699</v>
      </c>
      <c r="C702" s="62"/>
      <c r="D702" s="62"/>
      <c r="E702" s="68"/>
      <c r="F702" s="68"/>
      <c r="G702" s="68"/>
      <c r="H702" s="64"/>
      <c r="I702" s="68"/>
      <c r="J702" s="65">
        <f t="shared" si="32"/>
        <v>699</v>
      </c>
      <c r="K702" s="65">
        <f>工程基本資料!$B$7-$J702+$L702+$M702</f>
        <v>-699</v>
      </c>
      <c r="L702" s="66"/>
      <c r="M702" s="66"/>
      <c r="N702" s="66"/>
      <c r="O702" s="70"/>
      <c r="P702" s="58">
        <f>工程基本資料!$B$8+工程基本資料!$B$7+$L702+$M702-1</f>
        <v>-1</v>
      </c>
    </row>
    <row r="703" spans="1:16" x14ac:dyDescent="0.3">
      <c r="A703" s="60"/>
      <c r="B703" s="61">
        <f t="shared" si="31"/>
        <v>700</v>
      </c>
      <c r="C703" s="62"/>
      <c r="D703" s="62"/>
      <c r="E703" s="68"/>
      <c r="F703" s="68"/>
      <c r="G703" s="68"/>
      <c r="H703" s="64"/>
      <c r="I703" s="68"/>
      <c r="J703" s="65">
        <f t="shared" si="32"/>
        <v>700</v>
      </c>
      <c r="K703" s="65">
        <f>工程基本資料!$B$7-$J703+$L703+$M703</f>
        <v>-700</v>
      </c>
      <c r="L703" s="66"/>
      <c r="M703" s="66"/>
      <c r="N703" s="66"/>
      <c r="O703" s="70"/>
      <c r="P703" s="58">
        <f>工程基本資料!$B$8+工程基本資料!$B$7+$L703+$M703-1</f>
        <v>-1</v>
      </c>
    </row>
    <row r="704" spans="1:16" x14ac:dyDescent="0.3">
      <c r="A704" s="60"/>
      <c r="B704" s="61">
        <f t="shared" si="31"/>
        <v>701</v>
      </c>
      <c r="C704" s="62"/>
      <c r="D704" s="62"/>
      <c r="E704" s="68"/>
      <c r="F704" s="68"/>
      <c r="G704" s="68"/>
      <c r="H704" s="64"/>
      <c r="I704" s="68"/>
      <c r="J704" s="65">
        <f t="shared" si="32"/>
        <v>701</v>
      </c>
      <c r="K704" s="65">
        <f>工程基本資料!$B$7-$J704+$L704+$M704</f>
        <v>-701</v>
      </c>
      <c r="L704" s="66"/>
      <c r="M704" s="66"/>
      <c r="N704" s="66"/>
      <c r="O704" s="70"/>
      <c r="P704" s="58">
        <f>工程基本資料!$B$8+工程基本資料!$B$7+$L704+$M704-1</f>
        <v>-1</v>
      </c>
    </row>
    <row r="705" spans="1:16" x14ac:dyDescent="0.3">
      <c r="A705" s="60"/>
      <c r="B705" s="61">
        <f t="shared" si="31"/>
        <v>702</v>
      </c>
      <c r="C705" s="62"/>
      <c r="D705" s="62"/>
      <c r="E705" s="68"/>
      <c r="F705" s="68"/>
      <c r="G705" s="68"/>
      <c r="H705" s="64"/>
      <c r="I705" s="68"/>
      <c r="J705" s="65">
        <f t="shared" si="32"/>
        <v>702</v>
      </c>
      <c r="K705" s="65">
        <f>工程基本資料!$B$7-$J705+$L705+$M705</f>
        <v>-702</v>
      </c>
      <c r="L705" s="66"/>
      <c r="M705" s="66"/>
      <c r="N705" s="66"/>
      <c r="O705" s="70"/>
      <c r="P705" s="58">
        <f>工程基本資料!$B$8+工程基本資料!$B$7+$L705+$M705-1</f>
        <v>-1</v>
      </c>
    </row>
    <row r="706" spans="1:16" x14ac:dyDescent="0.3">
      <c r="A706" s="60"/>
      <c r="B706" s="61">
        <f t="shared" si="31"/>
        <v>703</v>
      </c>
      <c r="C706" s="62"/>
      <c r="D706" s="62"/>
      <c r="E706" s="68"/>
      <c r="F706" s="68"/>
      <c r="G706" s="68"/>
      <c r="H706" s="64"/>
      <c r="I706" s="68"/>
      <c r="J706" s="65">
        <f t="shared" si="32"/>
        <v>703</v>
      </c>
      <c r="K706" s="65">
        <f>工程基本資料!$B$7-$J706+$L706+$M706</f>
        <v>-703</v>
      </c>
      <c r="L706" s="66"/>
      <c r="M706" s="66"/>
      <c r="N706" s="66"/>
      <c r="O706" s="70"/>
      <c r="P706" s="58">
        <f>工程基本資料!$B$8+工程基本資料!$B$7+$L706+$M706-1</f>
        <v>-1</v>
      </c>
    </row>
    <row r="707" spans="1:16" x14ac:dyDescent="0.3">
      <c r="A707" s="60"/>
      <c r="B707" s="61">
        <f t="shared" si="31"/>
        <v>704</v>
      </c>
      <c r="C707" s="62"/>
      <c r="D707" s="62"/>
      <c r="E707" s="68"/>
      <c r="F707" s="68"/>
      <c r="G707" s="68"/>
      <c r="H707" s="64"/>
      <c r="I707" s="68"/>
      <c r="J707" s="65">
        <f t="shared" si="32"/>
        <v>704</v>
      </c>
      <c r="K707" s="65">
        <f>工程基本資料!$B$7-$J707+$L707+$M707</f>
        <v>-704</v>
      </c>
      <c r="L707" s="66"/>
      <c r="M707" s="66"/>
      <c r="N707" s="66"/>
      <c r="O707" s="70"/>
      <c r="P707" s="58">
        <f>工程基本資料!$B$8+工程基本資料!$B$7+$L707+$M707-1</f>
        <v>-1</v>
      </c>
    </row>
    <row r="708" spans="1:16" x14ac:dyDescent="0.3">
      <c r="A708" s="60"/>
      <c r="B708" s="61">
        <f t="shared" si="31"/>
        <v>705</v>
      </c>
      <c r="C708" s="62"/>
      <c r="D708" s="62"/>
      <c r="E708" s="68"/>
      <c r="F708" s="68"/>
      <c r="G708" s="68"/>
      <c r="H708" s="64"/>
      <c r="I708" s="68"/>
      <c r="J708" s="65">
        <f t="shared" si="32"/>
        <v>705</v>
      </c>
      <c r="K708" s="65">
        <f>工程基本資料!$B$7-$J708+$L708+$M708</f>
        <v>-705</v>
      </c>
      <c r="L708" s="66"/>
      <c r="M708" s="66"/>
      <c r="N708" s="66"/>
      <c r="O708" s="70"/>
      <c r="P708" s="58">
        <f>工程基本資料!$B$8+工程基本資料!$B$7+$L708+$M708-1</f>
        <v>-1</v>
      </c>
    </row>
    <row r="709" spans="1:16" x14ac:dyDescent="0.3">
      <c r="A709" s="60"/>
      <c r="B709" s="61">
        <f t="shared" ref="B709:B763" si="33">B708+1</f>
        <v>706</v>
      </c>
      <c r="C709" s="62"/>
      <c r="D709" s="62"/>
      <c r="E709" s="68"/>
      <c r="F709" s="68"/>
      <c r="G709" s="68"/>
      <c r="H709" s="64"/>
      <c r="I709" s="68"/>
      <c r="J709" s="65">
        <f t="shared" ref="J709:J763" si="34">J708+1</f>
        <v>706</v>
      </c>
      <c r="K709" s="65">
        <f>工程基本資料!$B$7-$J709+$L709+$M709</f>
        <v>-706</v>
      </c>
      <c r="L709" s="66"/>
      <c r="M709" s="66"/>
      <c r="N709" s="66"/>
      <c r="O709" s="70"/>
      <c r="P709" s="58">
        <f>工程基本資料!$B$8+工程基本資料!$B$7+$L709+$M709-1</f>
        <v>-1</v>
      </c>
    </row>
    <row r="710" spans="1:16" x14ac:dyDescent="0.3">
      <c r="A710" s="60"/>
      <c r="B710" s="61">
        <f t="shared" si="33"/>
        <v>707</v>
      </c>
      <c r="C710" s="62"/>
      <c r="D710" s="62"/>
      <c r="E710" s="68"/>
      <c r="F710" s="68"/>
      <c r="G710" s="68"/>
      <c r="H710" s="64"/>
      <c r="I710" s="68"/>
      <c r="J710" s="65">
        <f t="shared" si="34"/>
        <v>707</v>
      </c>
      <c r="K710" s="65">
        <f>工程基本資料!$B$7-$J710+$L710+$M710</f>
        <v>-707</v>
      </c>
      <c r="L710" s="66"/>
      <c r="M710" s="66"/>
      <c r="N710" s="66"/>
      <c r="O710" s="70"/>
      <c r="P710" s="58">
        <f>工程基本資料!$B$8+工程基本資料!$B$7+$L710+$M710-1</f>
        <v>-1</v>
      </c>
    </row>
    <row r="711" spans="1:16" x14ac:dyDescent="0.3">
      <c r="A711" s="60"/>
      <c r="B711" s="61">
        <f t="shared" si="33"/>
        <v>708</v>
      </c>
      <c r="C711" s="62"/>
      <c r="D711" s="62"/>
      <c r="E711" s="68"/>
      <c r="F711" s="68"/>
      <c r="G711" s="68"/>
      <c r="H711" s="64"/>
      <c r="I711" s="68"/>
      <c r="J711" s="65">
        <f t="shared" si="34"/>
        <v>708</v>
      </c>
      <c r="K711" s="65">
        <f>工程基本資料!$B$7-$J711+$L711+$M711</f>
        <v>-708</v>
      </c>
      <c r="L711" s="66"/>
      <c r="M711" s="66"/>
      <c r="N711" s="66"/>
      <c r="O711" s="70"/>
      <c r="P711" s="58">
        <f>工程基本資料!$B$8+工程基本資料!$B$7+$L711+$M711-1</f>
        <v>-1</v>
      </c>
    </row>
    <row r="712" spans="1:16" x14ac:dyDescent="0.3">
      <c r="A712" s="60"/>
      <c r="B712" s="61">
        <f t="shared" si="33"/>
        <v>709</v>
      </c>
      <c r="C712" s="62"/>
      <c r="D712" s="62"/>
      <c r="E712" s="68"/>
      <c r="F712" s="68"/>
      <c r="G712" s="68"/>
      <c r="H712" s="64"/>
      <c r="I712" s="68"/>
      <c r="J712" s="65">
        <f t="shared" si="34"/>
        <v>709</v>
      </c>
      <c r="K712" s="65">
        <f>工程基本資料!$B$7-$J712+$L712+$M712</f>
        <v>-709</v>
      </c>
      <c r="L712" s="66"/>
      <c r="M712" s="66"/>
      <c r="N712" s="66"/>
      <c r="O712" s="70"/>
      <c r="P712" s="58">
        <f>工程基本資料!$B$8+工程基本資料!$B$7+$L712+$M712-1</f>
        <v>-1</v>
      </c>
    </row>
    <row r="713" spans="1:16" x14ac:dyDescent="0.3">
      <c r="A713" s="60"/>
      <c r="B713" s="61">
        <f t="shared" si="33"/>
        <v>710</v>
      </c>
      <c r="C713" s="62"/>
      <c r="D713" s="62"/>
      <c r="E713" s="68"/>
      <c r="F713" s="68"/>
      <c r="G713" s="68"/>
      <c r="H713" s="64"/>
      <c r="I713" s="68"/>
      <c r="J713" s="65">
        <f t="shared" si="34"/>
        <v>710</v>
      </c>
      <c r="K713" s="65">
        <f>工程基本資料!$B$7-$J713+$L713+$M713</f>
        <v>-710</v>
      </c>
      <c r="L713" s="66"/>
      <c r="M713" s="66"/>
      <c r="N713" s="66"/>
      <c r="O713" s="70"/>
      <c r="P713" s="58">
        <f>工程基本資料!$B$8+工程基本資料!$B$7+$L713+$M713-1</f>
        <v>-1</v>
      </c>
    </row>
    <row r="714" spans="1:16" x14ac:dyDescent="0.3">
      <c r="A714" s="60"/>
      <c r="B714" s="61">
        <f t="shared" si="33"/>
        <v>711</v>
      </c>
      <c r="C714" s="62"/>
      <c r="D714" s="62"/>
      <c r="E714" s="68"/>
      <c r="F714" s="68"/>
      <c r="G714" s="68"/>
      <c r="H714" s="64"/>
      <c r="I714" s="68"/>
      <c r="J714" s="65">
        <f t="shared" si="34"/>
        <v>711</v>
      </c>
      <c r="K714" s="65">
        <f>工程基本資料!$B$7-$J714+$L714+$M714</f>
        <v>-711</v>
      </c>
      <c r="L714" s="66"/>
      <c r="M714" s="66"/>
      <c r="N714" s="66"/>
      <c r="O714" s="70"/>
      <c r="P714" s="58">
        <f>工程基本資料!$B$8+工程基本資料!$B$7+$L714+$M714-1</f>
        <v>-1</v>
      </c>
    </row>
    <row r="715" spans="1:16" x14ac:dyDescent="0.3">
      <c r="A715" s="60"/>
      <c r="B715" s="61">
        <f t="shared" si="33"/>
        <v>712</v>
      </c>
      <c r="C715" s="62"/>
      <c r="D715" s="62"/>
      <c r="E715" s="68"/>
      <c r="F715" s="68"/>
      <c r="G715" s="68"/>
      <c r="H715" s="64"/>
      <c r="I715" s="68"/>
      <c r="J715" s="65">
        <f t="shared" si="34"/>
        <v>712</v>
      </c>
      <c r="K715" s="65">
        <f>工程基本資料!$B$7-$J715+$L715+$M715</f>
        <v>-712</v>
      </c>
      <c r="L715" s="66"/>
      <c r="M715" s="66"/>
      <c r="N715" s="66"/>
      <c r="O715" s="70"/>
      <c r="P715" s="58">
        <f>工程基本資料!$B$8+工程基本資料!$B$7+$L715+$M715-1</f>
        <v>-1</v>
      </c>
    </row>
    <row r="716" spans="1:16" x14ac:dyDescent="0.3">
      <c r="A716" s="60"/>
      <c r="B716" s="61">
        <f t="shared" si="33"/>
        <v>713</v>
      </c>
      <c r="C716" s="62"/>
      <c r="D716" s="62"/>
      <c r="E716" s="68"/>
      <c r="F716" s="68"/>
      <c r="G716" s="68"/>
      <c r="H716" s="64"/>
      <c r="I716" s="68"/>
      <c r="J716" s="65">
        <f t="shared" si="34"/>
        <v>713</v>
      </c>
      <c r="K716" s="65">
        <f>工程基本資料!$B$7-$J716+$L716+$M716</f>
        <v>-713</v>
      </c>
      <c r="L716" s="66"/>
      <c r="M716" s="66"/>
      <c r="N716" s="66"/>
      <c r="O716" s="70"/>
      <c r="P716" s="58">
        <f>工程基本資料!$B$8+工程基本資料!$B$7+$L716+$M716-1</f>
        <v>-1</v>
      </c>
    </row>
    <row r="717" spans="1:16" x14ac:dyDescent="0.3">
      <c r="A717" s="60"/>
      <c r="B717" s="61">
        <f t="shared" si="33"/>
        <v>714</v>
      </c>
      <c r="C717" s="62"/>
      <c r="D717" s="62"/>
      <c r="E717" s="68"/>
      <c r="F717" s="68"/>
      <c r="G717" s="68"/>
      <c r="H717" s="64"/>
      <c r="I717" s="68"/>
      <c r="J717" s="65">
        <f t="shared" si="34"/>
        <v>714</v>
      </c>
      <c r="K717" s="65">
        <f>工程基本資料!$B$7-$J717+$L717+$M717</f>
        <v>-714</v>
      </c>
      <c r="L717" s="66"/>
      <c r="M717" s="66"/>
      <c r="N717" s="66"/>
      <c r="O717" s="70"/>
      <c r="P717" s="58">
        <f>工程基本資料!$B$8+工程基本資料!$B$7+$L717+$M717-1</f>
        <v>-1</v>
      </c>
    </row>
    <row r="718" spans="1:16" x14ac:dyDescent="0.3">
      <c r="A718" s="60"/>
      <c r="B718" s="61">
        <f t="shared" si="33"/>
        <v>715</v>
      </c>
      <c r="C718" s="62"/>
      <c r="D718" s="62"/>
      <c r="E718" s="68"/>
      <c r="F718" s="68"/>
      <c r="G718" s="68"/>
      <c r="H718" s="64"/>
      <c r="I718" s="68"/>
      <c r="J718" s="65">
        <f t="shared" si="34"/>
        <v>715</v>
      </c>
      <c r="K718" s="65">
        <f>工程基本資料!$B$7-$J718+$L718+$M718</f>
        <v>-715</v>
      </c>
      <c r="L718" s="66"/>
      <c r="M718" s="66"/>
      <c r="N718" s="66"/>
      <c r="O718" s="70"/>
      <c r="P718" s="58">
        <f>工程基本資料!$B$8+工程基本資料!$B$7+$L718+$M718-1</f>
        <v>-1</v>
      </c>
    </row>
    <row r="719" spans="1:16" x14ac:dyDescent="0.3">
      <c r="A719" s="60"/>
      <c r="B719" s="61">
        <f t="shared" si="33"/>
        <v>716</v>
      </c>
      <c r="C719" s="62"/>
      <c r="D719" s="62"/>
      <c r="E719" s="68"/>
      <c r="F719" s="68"/>
      <c r="G719" s="68"/>
      <c r="H719" s="64"/>
      <c r="I719" s="68"/>
      <c r="J719" s="65">
        <f t="shared" si="34"/>
        <v>716</v>
      </c>
      <c r="K719" s="65">
        <f>工程基本資料!$B$7-$J719+$L719+$M719</f>
        <v>-716</v>
      </c>
      <c r="L719" s="66"/>
      <c r="M719" s="66"/>
      <c r="N719" s="66"/>
      <c r="O719" s="70"/>
      <c r="P719" s="58">
        <f>工程基本資料!$B$8+工程基本資料!$B$7+$L719+$M719-1</f>
        <v>-1</v>
      </c>
    </row>
    <row r="720" spans="1:16" x14ac:dyDescent="0.3">
      <c r="A720" s="60"/>
      <c r="B720" s="61">
        <f t="shared" si="33"/>
        <v>717</v>
      </c>
      <c r="C720" s="62"/>
      <c r="D720" s="62"/>
      <c r="E720" s="68"/>
      <c r="F720" s="68"/>
      <c r="G720" s="68"/>
      <c r="H720" s="64"/>
      <c r="I720" s="68"/>
      <c r="J720" s="65">
        <f t="shared" si="34"/>
        <v>717</v>
      </c>
      <c r="K720" s="65">
        <f>工程基本資料!$B$7-$J720+$L720+$M720</f>
        <v>-717</v>
      </c>
      <c r="L720" s="66"/>
      <c r="M720" s="66"/>
      <c r="N720" s="66"/>
      <c r="O720" s="70"/>
      <c r="P720" s="58">
        <f>工程基本資料!$B$8+工程基本資料!$B$7+$L720+$M720-1</f>
        <v>-1</v>
      </c>
    </row>
    <row r="721" spans="1:16" x14ac:dyDescent="0.3">
      <c r="A721" s="60"/>
      <c r="B721" s="61">
        <f t="shared" si="33"/>
        <v>718</v>
      </c>
      <c r="C721" s="62"/>
      <c r="D721" s="62"/>
      <c r="E721" s="68"/>
      <c r="F721" s="68"/>
      <c r="G721" s="68"/>
      <c r="H721" s="64"/>
      <c r="I721" s="68"/>
      <c r="J721" s="65">
        <f t="shared" si="34"/>
        <v>718</v>
      </c>
      <c r="K721" s="65">
        <f>工程基本資料!$B$7-$J721+$L721+$M721</f>
        <v>-718</v>
      </c>
      <c r="L721" s="66"/>
      <c r="M721" s="66"/>
      <c r="N721" s="66"/>
      <c r="O721" s="70"/>
      <c r="P721" s="58">
        <f>工程基本資料!$B$8+工程基本資料!$B$7+$L721+$M721-1</f>
        <v>-1</v>
      </c>
    </row>
    <row r="722" spans="1:16" x14ac:dyDescent="0.3">
      <c r="A722" s="60"/>
      <c r="B722" s="61">
        <f t="shared" si="33"/>
        <v>719</v>
      </c>
      <c r="C722" s="62"/>
      <c r="D722" s="62"/>
      <c r="E722" s="68"/>
      <c r="F722" s="68"/>
      <c r="G722" s="68"/>
      <c r="H722" s="64"/>
      <c r="I722" s="68"/>
      <c r="J722" s="65">
        <f t="shared" si="34"/>
        <v>719</v>
      </c>
      <c r="K722" s="65">
        <f>工程基本資料!$B$7-$J722+$L722+$M722</f>
        <v>-719</v>
      </c>
      <c r="L722" s="66"/>
      <c r="M722" s="66"/>
      <c r="N722" s="66"/>
      <c r="O722" s="70"/>
      <c r="P722" s="58">
        <f>工程基本資料!$B$8+工程基本資料!$B$7+$L722+$M722-1</f>
        <v>-1</v>
      </c>
    </row>
    <row r="723" spans="1:16" x14ac:dyDescent="0.3">
      <c r="A723" s="60"/>
      <c r="B723" s="61">
        <f t="shared" si="33"/>
        <v>720</v>
      </c>
      <c r="C723" s="62"/>
      <c r="D723" s="62"/>
      <c r="E723" s="68"/>
      <c r="F723" s="68"/>
      <c r="G723" s="68"/>
      <c r="H723" s="64"/>
      <c r="I723" s="68"/>
      <c r="J723" s="65">
        <f t="shared" si="34"/>
        <v>720</v>
      </c>
      <c r="K723" s="65">
        <f>工程基本資料!$B$7-$J723+$L723+$M723</f>
        <v>-720</v>
      </c>
      <c r="L723" s="66"/>
      <c r="M723" s="66"/>
      <c r="N723" s="66"/>
      <c r="O723" s="70"/>
      <c r="P723" s="58">
        <f>工程基本資料!$B$8+工程基本資料!$B$7+$L723+$M723-1</f>
        <v>-1</v>
      </c>
    </row>
    <row r="724" spans="1:16" x14ac:dyDescent="0.3">
      <c r="A724" s="60"/>
      <c r="B724" s="61">
        <f t="shared" si="33"/>
        <v>721</v>
      </c>
      <c r="C724" s="62"/>
      <c r="D724" s="62"/>
      <c r="E724" s="68"/>
      <c r="F724" s="68"/>
      <c r="G724" s="68"/>
      <c r="H724" s="64"/>
      <c r="I724" s="68"/>
      <c r="J724" s="65">
        <f t="shared" si="34"/>
        <v>721</v>
      </c>
      <c r="K724" s="65">
        <f>工程基本資料!$B$7-$J724+$L724+$M724</f>
        <v>-721</v>
      </c>
      <c r="L724" s="66"/>
      <c r="M724" s="66"/>
      <c r="N724" s="66"/>
      <c r="O724" s="70"/>
      <c r="P724" s="58">
        <f>工程基本資料!$B$8+工程基本資料!$B$7+$L724+$M724-1</f>
        <v>-1</v>
      </c>
    </row>
    <row r="725" spans="1:16" x14ac:dyDescent="0.3">
      <c r="A725" s="60"/>
      <c r="B725" s="61">
        <f t="shared" si="33"/>
        <v>722</v>
      </c>
      <c r="C725" s="62"/>
      <c r="D725" s="62"/>
      <c r="E725" s="68"/>
      <c r="F725" s="68"/>
      <c r="G725" s="68"/>
      <c r="H725" s="64"/>
      <c r="I725" s="68"/>
      <c r="J725" s="65">
        <f t="shared" si="34"/>
        <v>722</v>
      </c>
      <c r="K725" s="65">
        <f>工程基本資料!$B$7-$J725+$L725+$M725</f>
        <v>-722</v>
      </c>
      <c r="L725" s="66"/>
      <c r="M725" s="66"/>
      <c r="N725" s="66"/>
      <c r="O725" s="70"/>
      <c r="P725" s="58">
        <f>工程基本資料!$B$8+工程基本資料!$B$7+$L725+$M725-1</f>
        <v>-1</v>
      </c>
    </row>
    <row r="726" spans="1:16" x14ac:dyDescent="0.3">
      <c r="A726" s="60"/>
      <c r="B726" s="61">
        <f t="shared" si="33"/>
        <v>723</v>
      </c>
      <c r="C726" s="62"/>
      <c r="D726" s="62"/>
      <c r="E726" s="68"/>
      <c r="F726" s="68"/>
      <c r="G726" s="68"/>
      <c r="H726" s="64"/>
      <c r="I726" s="68"/>
      <c r="J726" s="65">
        <f t="shared" si="34"/>
        <v>723</v>
      </c>
      <c r="K726" s="65">
        <f>工程基本資料!$B$7-$J726+$L726+$M726</f>
        <v>-723</v>
      </c>
      <c r="L726" s="66"/>
      <c r="M726" s="66"/>
      <c r="N726" s="66"/>
      <c r="O726" s="70"/>
      <c r="P726" s="58">
        <f>工程基本資料!$B$8+工程基本資料!$B$7+$L726+$M726-1</f>
        <v>-1</v>
      </c>
    </row>
    <row r="727" spans="1:16" x14ac:dyDescent="0.3">
      <c r="A727" s="60"/>
      <c r="B727" s="61">
        <f t="shared" si="33"/>
        <v>724</v>
      </c>
      <c r="C727" s="62"/>
      <c r="D727" s="62"/>
      <c r="E727" s="68"/>
      <c r="F727" s="68"/>
      <c r="G727" s="68"/>
      <c r="H727" s="64"/>
      <c r="I727" s="68"/>
      <c r="J727" s="65">
        <f t="shared" si="34"/>
        <v>724</v>
      </c>
      <c r="K727" s="65">
        <f>工程基本資料!$B$7-$J727+$L727+$M727</f>
        <v>-724</v>
      </c>
      <c r="L727" s="66"/>
      <c r="M727" s="66"/>
      <c r="N727" s="66"/>
      <c r="O727" s="70"/>
      <c r="P727" s="58">
        <f>工程基本資料!$B$8+工程基本資料!$B$7+$L727+$M727-1</f>
        <v>-1</v>
      </c>
    </row>
    <row r="728" spans="1:16" x14ac:dyDescent="0.3">
      <c r="A728" s="60"/>
      <c r="B728" s="61">
        <f t="shared" si="33"/>
        <v>725</v>
      </c>
      <c r="C728" s="62"/>
      <c r="D728" s="62"/>
      <c r="E728" s="68"/>
      <c r="F728" s="68"/>
      <c r="G728" s="68"/>
      <c r="H728" s="64"/>
      <c r="I728" s="68"/>
      <c r="J728" s="65">
        <f t="shared" si="34"/>
        <v>725</v>
      </c>
      <c r="K728" s="65">
        <f>工程基本資料!$B$7-$J728+$L728+$M728</f>
        <v>-725</v>
      </c>
      <c r="L728" s="66"/>
      <c r="M728" s="66"/>
      <c r="N728" s="66"/>
      <c r="O728" s="70"/>
      <c r="P728" s="58">
        <f>工程基本資料!$B$8+工程基本資料!$B$7+$L728+$M728-1</f>
        <v>-1</v>
      </c>
    </row>
    <row r="729" spans="1:16" x14ac:dyDescent="0.3">
      <c r="A729" s="60"/>
      <c r="B729" s="61">
        <f t="shared" si="33"/>
        <v>726</v>
      </c>
      <c r="C729" s="62"/>
      <c r="D729" s="62"/>
      <c r="E729" s="68"/>
      <c r="F729" s="68"/>
      <c r="G729" s="68"/>
      <c r="H729" s="64"/>
      <c r="I729" s="68"/>
      <c r="J729" s="65">
        <f t="shared" si="34"/>
        <v>726</v>
      </c>
      <c r="K729" s="65">
        <f>工程基本資料!$B$7-$J729+$L729+$M729</f>
        <v>-726</v>
      </c>
      <c r="L729" s="66"/>
      <c r="M729" s="66"/>
      <c r="N729" s="66"/>
      <c r="O729" s="70"/>
      <c r="P729" s="58">
        <f>工程基本資料!$B$8+工程基本資料!$B$7+$L729+$M729-1</f>
        <v>-1</v>
      </c>
    </row>
    <row r="730" spans="1:16" x14ac:dyDescent="0.3">
      <c r="A730" s="60"/>
      <c r="B730" s="61">
        <f t="shared" si="33"/>
        <v>727</v>
      </c>
      <c r="C730" s="62"/>
      <c r="D730" s="62"/>
      <c r="E730" s="68"/>
      <c r="F730" s="68"/>
      <c r="G730" s="68"/>
      <c r="H730" s="64"/>
      <c r="I730" s="68"/>
      <c r="J730" s="65">
        <f t="shared" si="34"/>
        <v>727</v>
      </c>
      <c r="K730" s="65">
        <f>工程基本資料!$B$7-$J730+$L730+$M730</f>
        <v>-727</v>
      </c>
      <c r="L730" s="66"/>
      <c r="M730" s="66"/>
      <c r="N730" s="66"/>
      <c r="O730" s="70"/>
      <c r="P730" s="58">
        <f>工程基本資料!$B$8+工程基本資料!$B$7+$L730+$M730-1</f>
        <v>-1</v>
      </c>
    </row>
    <row r="731" spans="1:16" x14ac:dyDescent="0.3">
      <c r="A731" s="60"/>
      <c r="B731" s="61">
        <f t="shared" si="33"/>
        <v>728</v>
      </c>
      <c r="C731" s="62"/>
      <c r="D731" s="62"/>
      <c r="E731" s="68"/>
      <c r="F731" s="68"/>
      <c r="G731" s="68"/>
      <c r="H731" s="64"/>
      <c r="I731" s="68"/>
      <c r="J731" s="65">
        <f t="shared" si="34"/>
        <v>728</v>
      </c>
      <c r="K731" s="65">
        <f>工程基本資料!$B$7-$J731+$L731+$M731</f>
        <v>-728</v>
      </c>
      <c r="L731" s="66"/>
      <c r="M731" s="66"/>
      <c r="N731" s="66"/>
      <c r="O731" s="70"/>
      <c r="P731" s="58">
        <f>工程基本資料!$B$8+工程基本資料!$B$7+$L731+$M731-1</f>
        <v>-1</v>
      </c>
    </row>
    <row r="732" spans="1:16" x14ac:dyDescent="0.3">
      <c r="A732" s="60"/>
      <c r="B732" s="61">
        <f t="shared" si="33"/>
        <v>729</v>
      </c>
      <c r="C732" s="62"/>
      <c r="D732" s="62"/>
      <c r="E732" s="68"/>
      <c r="F732" s="68"/>
      <c r="G732" s="68"/>
      <c r="H732" s="64"/>
      <c r="I732" s="68"/>
      <c r="J732" s="65">
        <f t="shared" si="34"/>
        <v>729</v>
      </c>
      <c r="K732" s="65">
        <f>工程基本資料!$B$7-$J732+$L732+$M732</f>
        <v>-729</v>
      </c>
      <c r="L732" s="66"/>
      <c r="M732" s="66"/>
      <c r="N732" s="66"/>
      <c r="O732" s="70"/>
      <c r="P732" s="58">
        <f>工程基本資料!$B$8+工程基本資料!$B$7+$L732+$M732-1</f>
        <v>-1</v>
      </c>
    </row>
    <row r="733" spans="1:16" x14ac:dyDescent="0.3">
      <c r="A733" s="60"/>
      <c r="B733" s="61">
        <f t="shared" si="33"/>
        <v>730</v>
      </c>
      <c r="C733" s="62"/>
      <c r="D733" s="62"/>
      <c r="E733" s="68"/>
      <c r="F733" s="68"/>
      <c r="G733" s="68"/>
      <c r="H733" s="64"/>
      <c r="I733" s="68"/>
      <c r="J733" s="65">
        <f t="shared" si="34"/>
        <v>730</v>
      </c>
      <c r="K733" s="65">
        <f>工程基本資料!$B$7-$J733+$L733+$M733</f>
        <v>-730</v>
      </c>
      <c r="L733" s="66"/>
      <c r="M733" s="66"/>
      <c r="N733" s="66"/>
      <c r="O733" s="70"/>
      <c r="P733" s="58">
        <f>工程基本資料!$B$8+工程基本資料!$B$7+$L733+$M733-1</f>
        <v>-1</v>
      </c>
    </row>
    <row r="734" spans="1:16" x14ac:dyDescent="0.3">
      <c r="A734" s="60"/>
      <c r="B734" s="61">
        <f t="shared" si="33"/>
        <v>731</v>
      </c>
      <c r="C734" s="62"/>
      <c r="D734" s="62"/>
      <c r="E734" s="68"/>
      <c r="F734" s="68"/>
      <c r="G734" s="68"/>
      <c r="H734" s="64"/>
      <c r="I734" s="68"/>
      <c r="J734" s="65">
        <f t="shared" si="34"/>
        <v>731</v>
      </c>
      <c r="K734" s="65">
        <f>工程基本資料!$B$7-$J734+$L734+$M734</f>
        <v>-731</v>
      </c>
      <c r="L734" s="66"/>
      <c r="M734" s="66"/>
      <c r="N734" s="66"/>
      <c r="O734" s="70"/>
      <c r="P734" s="58">
        <f>工程基本資料!$B$8+工程基本資料!$B$7+$L734+$M734-1</f>
        <v>-1</v>
      </c>
    </row>
    <row r="735" spans="1:16" x14ac:dyDescent="0.3">
      <c r="A735" s="60"/>
      <c r="B735" s="61">
        <f t="shared" si="33"/>
        <v>732</v>
      </c>
      <c r="C735" s="62"/>
      <c r="D735" s="62"/>
      <c r="E735" s="68"/>
      <c r="F735" s="68"/>
      <c r="G735" s="68"/>
      <c r="H735" s="64"/>
      <c r="I735" s="68"/>
      <c r="J735" s="65">
        <f t="shared" si="34"/>
        <v>732</v>
      </c>
      <c r="K735" s="65">
        <f>工程基本資料!$B$7-$J735+$L735+$M735</f>
        <v>-732</v>
      </c>
      <c r="L735" s="66"/>
      <c r="M735" s="66"/>
      <c r="N735" s="66"/>
      <c r="O735" s="70"/>
      <c r="P735" s="58">
        <f>工程基本資料!$B$8+工程基本資料!$B$7+$L735+$M735-1</f>
        <v>-1</v>
      </c>
    </row>
    <row r="736" spans="1:16" x14ac:dyDescent="0.3">
      <c r="A736" s="60"/>
      <c r="B736" s="61">
        <f t="shared" si="33"/>
        <v>733</v>
      </c>
      <c r="C736" s="62"/>
      <c r="D736" s="62"/>
      <c r="E736" s="68"/>
      <c r="F736" s="68"/>
      <c r="G736" s="68"/>
      <c r="H736" s="64"/>
      <c r="I736" s="68"/>
      <c r="J736" s="65">
        <f t="shared" si="34"/>
        <v>733</v>
      </c>
      <c r="K736" s="65">
        <f>工程基本資料!$B$7-$J736+$L736+$M736</f>
        <v>-733</v>
      </c>
      <c r="L736" s="66"/>
      <c r="M736" s="66"/>
      <c r="N736" s="66"/>
      <c r="O736" s="70"/>
      <c r="P736" s="58">
        <f>工程基本資料!$B$8+工程基本資料!$B$7+$L736+$M736-1</f>
        <v>-1</v>
      </c>
    </row>
    <row r="737" spans="1:16" x14ac:dyDescent="0.3">
      <c r="A737" s="60"/>
      <c r="B737" s="61">
        <f t="shared" si="33"/>
        <v>734</v>
      </c>
      <c r="C737" s="62"/>
      <c r="D737" s="62"/>
      <c r="E737" s="68"/>
      <c r="F737" s="68"/>
      <c r="G737" s="68"/>
      <c r="H737" s="64"/>
      <c r="I737" s="68"/>
      <c r="J737" s="65">
        <f t="shared" si="34"/>
        <v>734</v>
      </c>
      <c r="K737" s="65">
        <f>工程基本資料!$B$7-$J737+$L737+$M737</f>
        <v>-734</v>
      </c>
      <c r="L737" s="66"/>
      <c r="M737" s="66"/>
      <c r="N737" s="66"/>
      <c r="O737" s="70"/>
      <c r="P737" s="58">
        <f>工程基本資料!$B$8+工程基本資料!$B$7+$L737+$M737-1</f>
        <v>-1</v>
      </c>
    </row>
    <row r="738" spans="1:16" x14ac:dyDescent="0.3">
      <c r="A738" s="60"/>
      <c r="B738" s="61">
        <f t="shared" si="33"/>
        <v>735</v>
      </c>
      <c r="C738" s="62"/>
      <c r="D738" s="62"/>
      <c r="E738" s="68"/>
      <c r="F738" s="68"/>
      <c r="G738" s="68"/>
      <c r="H738" s="64"/>
      <c r="I738" s="68"/>
      <c r="J738" s="65">
        <f t="shared" si="34"/>
        <v>735</v>
      </c>
      <c r="K738" s="65">
        <f>工程基本資料!$B$7-$J738+$L738+$M738</f>
        <v>-735</v>
      </c>
      <c r="L738" s="66"/>
      <c r="M738" s="66"/>
      <c r="N738" s="66"/>
      <c r="O738" s="70"/>
      <c r="P738" s="58">
        <f>工程基本資料!$B$8+工程基本資料!$B$7+$L738+$M738-1</f>
        <v>-1</v>
      </c>
    </row>
    <row r="739" spans="1:16" x14ac:dyDescent="0.3">
      <c r="A739" s="60"/>
      <c r="B739" s="61">
        <f t="shared" si="33"/>
        <v>736</v>
      </c>
      <c r="C739" s="62"/>
      <c r="D739" s="62"/>
      <c r="E739" s="68"/>
      <c r="F739" s="68"/>
      <c r="G739" s="68"/>
      <c r="H739" s="64"/>
      <c r="I739" s="68"/>
      <c r="J739" s="65">
        <f t="shared" si="34"/>
        <v>736</v>
      </c>
      <c r="K739" s="65">
        <f>工程基本資料!$B$7-$J739+$L739+$M739</f>
        <v>-736</v>
      </c>
      <c r="L739" s="66"/>
      <c r="M739" s="66"/>
      <c r="N739" s="66"/>
      <c r="O739" s="70"/>
      <c r="P739" s="58">
        <f>工程基本資料!$B$8+工程基本資料!$B$7+$L739+$M739-1</f>
        <v>-1</v>
      </c>
    </row>
    <row r="740" spans="1:16" x14ac:dyDescent="0.3">
      <c r="A740" s="60"/>
      <c r="B740" s="61">
        <f t="shared" si="33"/>
        <v>737</v>
      </c>
      <c r="C740" s="62"/>
      <c r="D740" s="62"/>
      <c r="E740" s="68"/>
      <c r="F740" s="68"/>
      <c r="G740" s="68"/>
      <c r="H740" s="64"/>
      <c r="I740" s="68"/>
      <c r="J740" s="65">
        <f t="shared" si="34"/>
        <v>737</v>
      </c>
      <c r="K740" s="65">
        <f>工程基本資料!$B$7-$J740+$L740+$M740</f>
        <v>-737</v>
      </c>
      <c r="L740" s="66"/>
      <c r="M740" s="66"/>
      <c r="N740" s="66"/>
      <c r="O740" s="70"/>
      <c r="P740" s="58">
        <f>工程基本資料!$B$8+工程基本資料!$B$7+$L740+$M740-1</f>
        <v>-1</v>
      </c>
    </row>
    <row r="741" spans="1:16" x14ac:dyDescent="0.3">
      <c r="A741" s="60"/>
      <c r="B741" s="61">
        <f t="shared" si="33"/>
        <v>738</v>
      </c>
      <c r="C741" s="62"/>
      <c r="D741" s="62"/>
      <c r="E741" s="68"/>
      <c r="F741" s="68"/>
      <c r="G741" s="68"/>
      <c r="H741" s="64"/>
      <c r="I741" s="68"/>
      <c r="J741" s="65">
        <f t="shared" si="34"/>
        <v>738</v>
      </c>
      <c r="K741" s="65">
        <f>工程基本資料!$B$7-$J741+$L741+$M741</f>
        <v>-738</v>
      </c>
      <c r="L741" s="66"/>
      <c r="M741" s="66"/>
      <c r="N741" s="66"/>
      <c r="O741" s="70"/>
      <c r="P741" s="58">
        <f>工程基本資料!$B$8+工程基本資料!$B$7+$L741+$M741-1</f>
        <v>-1</v>
      </c>
    </row>
    <row r="742" spans="1:16" x14ac:dyDescent="0.3">
      <c r="A742" s="60"/>
      <c r="B742" s="61">
        <f t="shared" si="33"/>
        <v>739</v>
      </c>
      <c r="C742" s="62"/>
      <c r="D742" s="62"/>
      <c r="E742" s="68"/>
      <c r="F742" s="68"/>
      <c r="G742" s="68"/>
      <c r="H742" s="64"/>
      <c r="I742" s="68"/>
      <c r="J742" s="65">
        <f t="shared" si="34"/>
        <v>739</v>
      </c>
      <c r="K742" s="65">
        <f>工程基本資料!$B$7-$J742+$L742+$M742</f>
        <v>-739</v>
      </c>
      <c r="L742" s="66"/>
      <c r="M742" s="66"/>
      <c r="N742" s="66"/>
      <c r="O742" s="70"/>
      <c r="P742" s="58">
        <f>工程基本資料!$B$8+工程基本資料!$B$7+$L742+$M742-1</f>
        <v>-1</v>
      </c>
    </row>
    <row r="743" spans="1:16" x14ac:dyDescent="0.3">
      <c r="A743" s="60"/>
      <c r="B743" s="61">
        <f t="shared" si="33"/>
        <v>740</v>
      </c>
      <c r="C743" s="62"/>
      <c r="D743" s="62"/>
      <c r="E743" s="68"/>
      <c r="F743" s="68"/>
      <c r="G743" s="68"/>
      <c r="H743" s="64"/>
      <c r="I743" s="68"/>
      <c r="J743" s="65">
        <f t="shared" si="34"/>
        <v>740</v>
      </c>
      <c r="K743" s="65">
        <f>工程基本資料!$B$7-$J743+$L743+$M743</f>
        <v>-740</v>
      </c>
      <c r="L743" s="66"/>
      <c r="M743" s="66"/>
      <c r="N743" s="66"/>
      <c r="O743" s="70"/>
      <c r="P743" s="58">
        <f>工程基本資料!$B$8+工程基本資料!$B$7+$L743+$M743-1</f>
        <v>-1</v>
      </c>
    </row>
    <row r="744" spans="1:16" x14ac:dyDescent="0.3">
      <c r="A744" s="60"/>
      <c r="B744" s="61">
        <f t="shared" si="33"/>
        <v>741</v>
      </c>
      <c r="C744" s="62"/>
      <c r="D744" s="62"/>
      <c r="E744" s="68"/>
      <c r="F744" s="68"/>
      <c r="G744" s="68"/>
      <c r="H744" s="64"/>
      <c r="I744" s="68"/>
      <c r="J744" s="65">
        <f t="shared" si="34"/>
        <v>741</v>
      </c>
      <c r="K744" s="65">
        <f>工程基本資料!$B$7-$J744+$L744+$M744</f>
        <v>-741</v>
      </c>
      <c r="L744" s="66"/>
      <c r="M744" s="66"/>
      <c r="N744" s="66"/>
      <c r="O744" s="70"/>
      <c r="P744" s="58">
        <f>工程基本資料!$B$8+工程基本資料!$B$7+$L744+$M744-1</f>
        <v>-1</v>
      </c>
    </row>
    <row r="745" spans="1:16" x14ac:dyDescent="0.3">
      <c r="A745" s="60"/>
      <c r="B745" s="61">
        <f t="shared" si="33"/>
        <v>742</v>
      </c>
      <c r="C745" s="62"/>
      <c r="D745" s="62"/>
      <c r="E745" s="68"/>
      <c r="F745" s="68"/>
      <c r="G745" s="68"/>
      <c r="H745" s="64"/>
      <c r="I745" s="68"/>
      <c r="J745" s="65">
        <f t="shared" si="34"/>
        <v>742</v>
      </c>
      <c r="K745" s="65">
        <f>工程基本資料!$B$7-$J745+$L745+$M745</f>
        <v>-742</v>
      </c>
      <c r="L745" s="66"/>
      <c r="M745" s="66"/>
      <c r="N745" s="66"/>
      <c r="O745" s="70"/>
      <c r="P745" s="58">
        <f>工程基本資料!$B$8+工程基本資料!$B$7+$L745+$M745-1</f>
        <v>-1</v>
      </c>
    </row>
    <row r="746" spans="1:16" x14ac:dyDescent="0.3">
      <c r="A746" s="60"/>
      <c r="B746" s="61">
        <f t="shared" si="33"/>
        <v>743</v>
      </c>
      <c r="C746" s="62"/>
      <c r="D746" s="62"/>
      <c r="E746" s="68"/>
      <c r="F746" s="68"/>
      <c r="G746" s="68"/>
      <c r="H746" s="64"/>
      <c r="I746" s="68"/>
      <c r="J746" s="65">
        <f t="shared" si="34"/>
        <v>743</v>
      </c>
      <c r="K746" s="65">
        <f>工程基本資料!$B$7-$J746+$L746+$M746</f>
        <v>-743</v>
      </c>
      <c r="L746" s="66"/>
      <c r="M746" s="66"/>
      <c r="N746" s="66"/>
      <c r="O746" s="70"/>
      <c r="P746" s="58">
        <f>工程基本資料!$B$8+工程基本資料!$B$7+$L746+$M746-1</f>
        <v>-1</v>
      </c>
    </row>
    <row r="747" spans="1:16" x14ac:dyDescent="0.3">
      <c r="A747" s="60"/>
      <c r="B747" s="61">
        <f t="shared" si="33"/>
        <v>744</v>
      </c>
      <c r="C747" s="62"/>
      <c r="D747" s="62"/>
      <c r="E747" s="68"/>
      <c r="F747" s="68"/>
      <c r="G747" s="68"/>
      <c r="H747" s="64"/>
      <c r="I747" s="68"/>
      <c r="J747" s="65">
        <f t="shared" si="34"/>
        <v>744</v>
      </c>
      <c r="K747" s="65">
        <f>工程基本資料!$B$7-$J747+$L747+$M747</f>
        <v>-744</v>
      </c>
      <c r="L747" s="66"/>
      <c r="M747" s="66"/>
      <c r="N747" s="66"/>
      <c r="O747" s="70"/>
      <c r="P747" s="58">
        <f>工程基本資料!$B$8+工程基本資料!$B$7+$L747+$M747-1</f>
        <v>-1</v>
      </c>
    </row>
    <row r="748" spans="1:16" x14ac:dyDescent="0.3">
      <c r="A748" s="60"/>
      <c r="B748" s="61">
        <f t="shared" si="33"/>
        <v>745</v>
      </c>
      <c r="C748" s="62"/>
      <c r="D748" s="62"/>
      <c r="E748" s="68"/>
      <c r="F748" s="68"/>
      <c r="G748" s="68"/>
      <c r="H748" s="64"/>
      <c r="I748" s="68"/>
      <c r="J748" s="65">
        <f t="shared" si="34"/>
        <v>745</v>
      </c>
      <c r="K748" s="65">
        <f>工程基本資料!$B$7-$J748+$L748+$M748</f>
        <v>-745</v>
      </c>
      <c r="L748" s="66"/>
      <c r="M748" s="66"/>
      <c r="N748" s="66"/>
      <c r="O748" s="70"/>
      <c r="P748" s="58">
        <f>工程基本資料!$B$8+工程基本資料!$B$7+$L748+$M748-1</f>
        <v>-1</v>
      </c>
    </row>
    <row r="749" spans="1:16" x14ac:dyDescent="0.3">
      <c r="A749" s="60"/>
      <c r="B749" s="61">
        <f t="shared" si="33"/>
        <v>746</v>
      </c>
      <c r="C749" s="62"/>
      <c r="D749" s="62"/>
      <c r="E749" s="68"/>
      <c r="F749" s="68"/>
      <c r="G749" s="68"/>
      <c r="H749" s="64"/>
      <c r="I749" s="68"/>
      <c r="J749" s="65">
        <f t="shared" si="34"/>
        <v>746</v>
      </c>
      <c r="K749" s="65">
        <f>工程基本資料!$B$7-$J749+$L749+$M749</f>
        <v>-746</v>
      </c>
      <c r="L749" s="66"/>
      <c r="M749" s="66"/>
      <c r="N749" s="66"/>
      <c r="O749" s="70"/>
      <c r="P749" s="58">
        <f>工程基本資料!$B$8+工程基本資料!$B$7+$L749+$M749-1</f>
        <v>-1</v>
      </c>
    </row>
    <row r="750" spans="1:16" x14ac:dyDescent="0.3">
      <c r="A750" s="60"/>
      <c r="B750" s="61">
        <f t="shared" si="33"/>
        <v>747</v>
      </c>
      <c r="C750" s="62"/>
      <c r="D750" s="62"/>
      <c r="E750" s="68"/>
      <c r="F750" s="68"/>
      <c r="G750" s="68"/>
      <c r="H750" s="64"/>
      <c r="I750" s="68"/>
      <c r="J750" s="65">
        <f t="shared" si="34"/>
        <v>747</v>
      </c>
      <c r="K750" s="65">
        <f>工程基本資料!$B$7-$J750+$L750+$M750</f>
        <v>-747</v>
      </c>
      <c r="L750" s="66"/>
      <c r="M750" s="66"/>
      <c r="N750" s="66"/>
      <c r="O750" s="70"/>
      <c r="P750" s="58">
        <f>工程基本資料!$B$8+工程基本資料!$B$7+$L750+$M750-1</f>
        <v>-1</v>
      </c>
    </row>
    <row r="751" spans="1:16" x14ac:dyDescent="0.3">
      <c r="A751" s="60"/>
      <c r="B751" s="61">
        <f t="shared" si="33"/>
        <v>748</v>
      </c>
      <c r="C751" s="62"/>
      <c r="D751" s="62"/>
      <c r="E751" s="68"/>
      <c r="F751" s="68"/>
      <c r="G751" s="68"/>
      <c r="H751" s="64"/>
      <c r="I751" s="68"/>
      <c r="J751" s="65">
        <f t="shared" si="34"/>
        <v>748</v>
      </c>
      <c r="K751" s="65">
        <f>工程基本資料!$B$7-$J751+$L751+$M751</f>
        <v>-748</v>
      </c>
      <c r="L751" s="66"/>
      <c r="M751" s="66"/>
      <c r="N751" s="66"/>
      <c r="O751" s="70"/>
      <c r="P751" s="58">
        <f>工程基本資料!$B$8+工程基本資料!$B$7+$L751+$M751-1</f>
        <v>-1</v>
      </c>
    </row>
    <row r="752" spans="1:16" x14ac:dyDescent="0.3">
      <c r="A752" s="60"/>
      <c r="B752" s="61">
        <f t="shared" si="33"/>
        <v>749</v>
      </c>
      <c r="C752" s="62"/>
      <c r="D752" s="62"/>
      <c r="E752" s="68"/>
      <c r="F752" s="68"/>
      <c r="G752" s="68"/>
      <c r="H752" s="64"/>
      <c r="I752" s="68"/>
      <c r="J752" s="65">
        <f t="shared" si="34"/>
        <v>749</v>
      </c>
      <c r="K752" s="65">
        <f>工程基本資料!$B$7-$J752+$L752+$M752</f>
        <v>-749</v>
      </c>
      <c r="L752" s="66"/>
      <c r="M752" s="66"/>
      <c r="N752" s="66"/>
      <c r="O752" s="70"/>
      <c r="P752" s="58">
        <f>工程基本資料!$B$8+工程基本資料!$B$7+$L752+$M752-1</f>
        <v>-1</v>
      </c>
    </row>
    <row r="753" spans="1:16" x14ac:dyDescent="0.3">
      <c r="A753" s="60"/>
      <c r="B753" s="61">
        <f t="shared" si="33"/>
        <v>750</v>
      </c>
      <c r="C753" s="62"/>
      <c r="D753" s="62"/>
      <c r="E753" s="68"/>
      <c r="F753" s="68"/>
      <c r="G753" s="68"/>
      <c r="H753" s="64"/>
      <c r="I753" s="68"/>
      <c r="J753" s="65">
        <f t="shared" si="34"/>
        <v>750</v>
      </c>
      <c r="K753" s="65">
        <f>工程基本資料!$B$7-$J753+$L753+$M753</f>
        <v>-750</v>
      </c>
      <c r="L753" s="66"/>
      <c r="M753" s="66"/>
      <c r="N753" s="66"/>
      <c r="O753" s="70"/>
      <c r="P753" s="58">
        <f>工程基本資料!$B$8+工程基本資料!$B$7+$L753+$M753-1</f>
        <v>-1</v>
      </c>
    </row>
    <row r="754" spans="1:16" x14ac:dyDescent="0.3">
      <c r="A754" s="60"/>
      <c r="B754" s="61">
        <f t="shared" si="33"/>
        <v>751</v>
      </c>
      <c r="C754" s="62"/>
      <c r="D754" s="62"/>
      <c r="E754" s="68"/>
      <c r="F754" s="68"/>
      <c r="G754" s="68"/>
      <c r="H754" s="64"/>
      <c r="I754" s="68"/>
      <c r="J754" s="65">
        <f t="shared" si="34"/>
        <v>751</v>
      </c>
      <c r="K754" s="65">
        <f>工程基本資料!$B$7-$J754+$L754+$M754</f>
        <v>-751</v>
      </c>
      <c r="L754" s="66"/>
      <c r="M754" s="66"/>
      <c r="N754" s="66"/>
      <c r="O754" s="70"/>
      <c r="P754" s="58">
        <f>工程基本資料!$B$8+工程基本資料!$B$7+$L754+$M754-1</f>
        <v>-1</v>
      </c>
    </row>
    <row r="755" spans="1:16" x14ac:dyDescent="0.3">
      <c r="A755" s="60"/>
      <c r="B755" s="61">
        <f t="shared" si="33"/>
        <v>752</v>
      </c>
      <c r="C755" s="62"/>
      <c r="D755" s="62"/>
      <c r="E755" s="68"/>
      <c r="F755" s="68"/>
      <c r="G755" s="68"/>
      <c r="H755" s="64"/>
      <c r="I755" s="68"/>
      <c r="J755" s="65">
        <f t="shared" si="34"/>
        <v>752</v>
      </c>
      <c r="K755" s="65">
        <f>工程基本資料!$B$7-$J755+$L755+$M755</f>
        <v>-752</v>
      </c>
      <c r="L755" s="66"/>
      <c r="M755" s="66"/>
      <c r="N755" s="66"/>
      <c r="O755" s="70"/>
      <c r="P755" s="58">
        <f>工程基本資料!$B$8+工程基本資料!$B$7+$L755+$M755-1</f>
        <v>-1</v>
      </c>
    </row>
    <row r="756" spans="1:16" x14ac:dyDescent="0.3">
      <c r="A756" s="60"/>
      <c r="B756" s="61">
        <f t="shared" si="33"/>
        <v>753</v>
      </c>
      <c r="C756" s="62"/>
      <c r="D756" s="62"/>
      <c r="E756" s="68"/>
      <c r="F756" s="68"/>
      <c r="G756" s="68"/>
      <c r="H756" s="64"/>
      <c r="I756" s="68"/>
      <c r="J756" s="65">
        <f t="shared" si="34"/>
        <v>753</v>
      </c>
      <c r="K756" s="65">
        <f>工程基本資料!$B$7-$J756+$L756+$M756</f>
        <v>-753</v>
      </c>
      <c r="L756" s="66"/>
      <c r="M756" s="66"/>
      <c r="N756" s="66"/>
      <c r="O756" s="70"/>
      <c r="P756" s="58">
        <f>工程基本資料!$B$8+工程基本資料!$B$7+$L756+$M756-1</f>
        <v>-1</v>
      </c>
    </row>
    <row r="757" spans="1:16" x14ac:dyDescent="0.3">
      <c r="A757" s="60"/>
      <c r="B757" s="61">
        <f t="shared" si="33"/>
        <v>754</v>
      </c>
      <c r="C757" s="62"/>
      <c r="D757" s="62"/>
      <c r="E757" s="68"/>
      <c r="F757" s="68"/>
      <c r="G757" s="68"/>
      <c r="H757" s="64"/>
      <c r="I757" s="68"/>
      <c r="J757" s="65">
        <f t="shared" si="34"/>
        <v>754</v>
      </c>
      <c r="K757" s="65">
        <f>工程基本資料!$B$7-$J757+$L757+$M757</f>
        <v>-754</v>
      </c>
      <c r="L757" s="66"/>
      <c r="M757" s="66"/>
      <c r="N757" s="66"/>
      <c r="O757" s="70"/>
      <c r="P757" s="58">
        <f>工程基本資料!$B$8+工程基本資料!$B$7+$L757+$M757-1</f>
        <v>-1</v>
      </c>
    </row>
    <row r="758" spans="1:16" x14ac:dyDescent="0.3">
      <c r="A758" s="60"/>
      <c r="B758" s="61">
        <f t="shared" si="33"/>
        <v>755</v>
      </c>
      <c r="C758" s="62"/>
      <c r="D758" s="62"/>
      <c r="E758" s="68"/>
      <c r="F758" s="68"/>
      <c r="G758" s="68"/>
      <c r="H758" s="64"/>
      <c r="I758" s="68"/>
      <c r="J758" s="65">
        <f t="shared" si="34"/>
        <v>755</v>
      </c>
      <c r="K758" s="65">
        <f>工程基本資料!$B$7-$J758+$L758+$M758</f>
        <v>-755</v>
      </c>
      <c r="L758" s="66"/>
      <c r="M758" s="66"/>
      <c r="N758" s="66"/>
      <c r="O758" s="70"/>
      <c r="P758" s="58">
        <f>工程基本資料!$B$8+工程基本資料!$B$7+$L758+$M758-1</f>
        <v>-1</v>
      </c>
    </row>
    <row r="759" spans="1:16" x14ac:dyDescent="0.3">
      <c r="A759" s="60"/>
      <c r="B759" s="61">
        <f t="shared" si="33"/>
        <v>756</v>
      </c>
      <c r="C759" s="62"/>
      <c r="D759" s="62"/>
      <c r="E759" s="68"/>
      <c r="F759" s="68"/>
      <c r="G759" s="68"/>
      <c r="H759" s="64"/>
      <c r="I759" s="68"/>
      <c r="J759" s="65">
        <f t="shared" si="34"/>
        <v>756</v>
      </c>
      <c r="K759" s="65">
        <f>工程基本資料!$B$7-$J759+$L759+$M759</f>
        <v>-756</v>
      </c>
      <c r="L759" s="66"/>
      <c r="M759" s="66"/>
      <c r="N759" s="66"/>
      <c r="O759" s="70"/>
      <c r="P759" s="58">
        <f>工程基本資料!$B$8+工程基本資料!$B$7+$L759+$M759-1</f>
        <v>-1</v>
      </c>
    </row>
    <row r="760" spans="1:16" x14ac:dyDescent="0.3">
      <c r="A760" s="60"/>
      <c r="B760" s="61">
        <f t="shared" si="33"/>
        <v>757</v>
      </c>
      <c r="C760" s="62"/>
      <c r="D760" s="62"/>
      <c r="E760" s="68"/>
      <c r="F760" s="68"/>
      <c r="G760" s="68"/>
      <c r="H760" s="64"/>
      <c r="I760" s="68"/>
      <c r="J760" s="65">
        <f t="shared" si="34"/>
        <v>757</v>
      </c>
      <c r="K760" s="65">
        <f>工程基本資料!$B$7-$J760+$L760+$M760</f>
        <v>-757</v>
      </c>
      <c r="L760" s="66"/>
      <c r="M760" s="66"/>
      <c r="N760" s="66"/>
      <c r="O760" s="70"/>
      <c r="P760" s="58">
        <f>工程基本資料!$B$8+工程基本資料!$B$7+$L760+$M760-1</f>
        <v>-1</v>
      </c>
    </row>
    <row r="761" spans="1:16" x14ac:dyDescent="0.3">
      <c r="A761" s="60"/>
      <c r="B761" s="61">
        <f t="shared" si="33"/>
        <v>758</v>
      </c>
      <c r="C761" s="62"/>
      <c r="D761" s="62"/>
      <c r="E761" s="68"/>
      <c r="F761" s="68"/>
      <c r="G761" s="68"/>
      <c r="H761" s="64"/>
      <c r="I761" s="68"/>
      <c r="J761" s="65">
        <f t="shared" si="34"/>
        <v>758</v>
      </c>
      <c r="K761" s="65">
        <f>工程基本資料!$B$7-$J761+$L761+$M761</f>
        <v>-758</v>
      </c>
      <c r="L761" s="66"/>
      <c r="M761" s="66"/>
      <c r="N761" s="66"/>
      <c r="O761" s="70"/>
      <c r="P761" s="58">
        <f>工程基本資料!$B$8+工程基本資料!$B$7+$L761+$M761-1</f>
        <v>-1</v>
      </c>
    </row>
    <row r="762" spans="1:16" x14ac:dyDescent="0.3">
      <c r="A762" s="60"/>
      <c r="B762" s="61">
        <f t="shared" si="33"/>
        <v>759</v>
      </c>
      <c r="C762" s="62"/>
      <c r="D762" s="62"/>
      <c r="E762" s="68"/>
      <c r="F762" s="68"/>
      <c r="G762" s="68"/>
      <c r="H762" s="64"/>
      <c r="I762" s="68"/>
      <c r="J762" s="65">
        <f t="shared" si="34"/>
        <v>759</v>
      </c>
      <c r="K762" s="65">
        <f>工程基本資料!$B$7-$J762+$L762+$M762</f>
        <v>-759</v>
      </c>
      <c r="L762" s="66"/>
      <c r="M762" s="66"/>
      <c r="N762" s="66"/>
      <c r="O762" s="70"/>
      <c r="P762" s="58">
        <f>工程基本資料!$B$8+工程基本資料!$B$7+$L762+$M762-1</f>
        <v>-1</v>
      </c>
    </row>
    <row r="763" spans="1:16" x14ac:dyDescent="0.3">
      <c r="A763" s="60"/>
      <c r="B763" s="61">
        <f t="shared" si="33"/>
        <v>760</v>
      </c>
      <c r="C763" s="62"/>
      <c r="D763" s="62"/>
      <c r="E763" s="68"/>
      <c r="F763" s="68"/>
      <c r="G763" s="68"/>
      <c r="H763" s="64"/>
      <c r="I763" s="68"/>
      <c r="J763" s="65">
        <f t="shared" si="34"/>
        <v>760</v>
      </c>
      <c r="K763" s="65">
        <f>工程基本資料!$B$7-$J763+$L763+$M763</f>
        <v>-760</v>
      </c>
      <c r="L763" s="66"/>
      <c r="M763" s="66"/>
      <c r="N763" s="66"/>
      <c r="O763" s="70"/>
      <c r="P763" s="58">
        <f>工程基本資料!$B$8+工程基本資料!$B$7+$L763+$M763-1</f>
        <v>-1</v>
      </c>
    </row>
  </sheetData>
  <protectedRanges>
    <protectedRange sqref="F41" name="範圍1_2_1"/>
    <protectedRange sqref="F3:F11 F42:F232 F13:F40" name="範圍1_2_1_3"/>
  </protectedRanges>
  <mergeCells count="15">
    <mergeCell ref="A1:A2"/>
    <mergeCell ref="K1:K2"/>
    <mergeCell ref="J1:J2"/>
    <mergeCell ref="L1:L2"/>
    <mergeCell ref="P1:P2"/>
    <mergeCell ref="M1:M2"/>
    <mergeCell ref="N1:N2"/>
    <mergeCell ref="O1:O2"/>
    <mergeCell ref="B1:B2"/>
    <mergeCell ref="C1:D1"/>
    <mergeCell ref="E1:E2"/>
    <mergeCell ref="F1:F2"/>
    <mergeCell ref="H1:H2"/>
    <mergeCell ref="I1:I2"/>
    <mergeCell ref="G1:G2"/>
  </mergeCells>
  <phoneticPr fontId="32" type="noConversion"/>
  <conditionalFormatting sqref="F12 I12 C3:D763">
    <cfRule type="cellIs" dxfId="1" priority="386" stopIfTrue="1" operator="between">
      <formula>"雨"</formula>
      <formula>"陰"</formula>
    </cfRule>
  </conditionalFormatting>
  <conditionalFormatting sqref="G12">
    <cfRule type="cellIs" dxfId="0" priority="1" stopIfTrue="1" operator="between">
      <formula>"雨"</formula>
      <formula>"陰"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>
    <tabColor rgb="FFFFC000"/>
  </sheetPr>
  <dimension ref="A1:WF291"/>
  <sheetViews>
    <sheetView view="pageBreakPreview" zoomScale="80" zoomScaleNormal="70" zoomScaleSheetLayoutView="80" workbookViewId="0">
      <pane xSplit="9" ySplit="1" topLeftCell="CP20" activePane="bottomRight" state="frozen"/>
      <selection activeCell="K284" sqref="K284"/>
      <selection pane="topRight" activeCell="K284" sqref="K284"/>
      <selection pane="bottomLeft" activeCell="K284" sqref="K284"/>
      <selection pane="bottomRight" activeCell="DJ291" sqref="DJ29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6" width="9.88671875" customWidth="1"/>
    <col min="7" max="8" width="11.21875" customWidth="1"/>
    <col min="9" max="9" width="9.88671875" customWidth="1"/>
    <col min="10" max="10" width="10.6640625" bestFit="1" customWidth="1"/>
    <col min="11" max="12" width="9.44140625" bestFit="1" customWidth="1"/>
    <col min="13" max="17" width="10.6640625" bestFit="1" customWidth="1"/>
    <col min="18" max="21" width="9.109375" bestFit="1" customWidth="1"/>
    <col min="22" max="51" width="9.44140625" bestFit="1" customWidth="1"/>
    <col min="52" max="604" width="10.44140625" bestFit="1" customWidth="1"/>
    <col min="790" max="790" width="5.21875" customWidth="1"/>
    <col min="791" max="791" width="23.6640625" customWidth="1"/>
    <col min="792" max="792" width="5.44140625" customWidth="1"/>
    <col min="793" max="793" width="6.77734375" customWidth="1"/>
    <col min="794" max="797" width="7.6640625" customWidth="1"/>
    <col min="798" max="799" width="8.6640625" customWidth="1"/>
    <col min="800" max="800" width="4.77734375" customWidth="1"/>
    <col min="802" max="802" width="9" customWidth="1"/>
    <col min="1046" max="1046" width="5.21875" customWidth="1"/>
    <col min="1047" max="1047" width="23.6640625" customWidth="1"/>
    <col min="1048" max="1048" width="5.44140625" customWidth="1"/>
    <col min="1049" max="1049" width="6.77734375" customWidth="1"/>
    <col min="1050" max="1053" width="7.6640625" customWidth="1"/>
    <col min="1054" max="1055" width="8.6640625" customWidth="1"/>
    <col min="1056" max="1056" width="4.77734375" customWidth="1"/>
    <col min="1058" max="1058" width="9" customWidth="1"/>
    <col min="1302" max="1302" width="5.21875" customWidth="1"/>
    <col min="1303" max="1303" width="23.6640625" customWidth="1"/>
    <col min="1304" max="1304" width="5.44140625" customWidth="1"/>
    <col min="1305" max="1305" width="6.77734375" customWidth="1"/>
    <col min="1306" max="1309" width="7.6640625" customWidth="1"/>
    <col min="1310" max="1311" width="8.6640625" customWidth="1"/>
    <col min="1312" max="1312" width="4.77734375" customWidth="1"/>
    <col min="1314" max="1314" width="9" customWidth="1"/>
    <col min="1558" max="1558" width="5.21875" customWidth="1"/>
    <col min="1559" max="1559" width="23.6640625" customWidth="1"/>
    <col min="1560" max="1560" width="5.44140625" customWidth="1"/>
    <col min="1561" max="1561" width="6.77734375" customWidth="1"/>
    <col min="1562" max="1565" width="7.6640625" customWidth="1"/>
    <col min="1566" max="1567" width="8.6640625" customWidth="1"/>
    <col min="1568" max="1568" width="4.77734375" customWidth="1"/>
    <col min="1570" max="1570" width="9" customWidth="1"/>
    <col min="1814" max="1814" width="5.21875" customWidth="1"/>
    <col min="1815" max="1815" width="23.6640625" customWidth="1"/>
    <col min="1816" max="1816" width="5.44140625" customWidth="1"/>
    <col min="1817" max="1817" width="6.77734375" customWidth="1"/>
    <col min="1818" max="1821" width="7.6640625" customWidth="1"/>
    <col min="1822" max="1823" width="8.6640625" customWidth="1"/>
    <col min="1824" max="1824" width="4.77734375" customWidth="1"/>
    <col min="1826" max="1826" width="9" customWidth="1"/>
    <col min="2070" max="2070" width="5.21875" customWidth="1"/>
    <col min="2071" max="2071" width="23.6640625" customWidth="1"/>
    <col min="2072" max="2072" width="5.44140625" customWidth="1"/>
    <col min="2073" max="2073" width="6.77734375" customWidth="1"/>
    <col min="2074" max="2077" width="7.6640625" customWidth="1"/>
    <col min="2078" max="2079" width="8.6640625" customWidth="1"/>
    <col min="2080" max="2080" width="4.77734375" customWidth="1"/>
    <col min="2082" max="2082" width="9" customWidth="1"/>
    <col min="2326" max="2326" width="5.21875" customWidth="1"/>
    <col min="2327" max="2327" width="23.6640625" customWidth="1"/>
    <col min="2328" max="2328" width="5.44140625" customWidth="1"/>
    <col min="2329" max="2329" width="6.77734375" customWidth="1"/>
    <col min="2330" max="2333" width="7.6640625" customWidth="1"/>
    <col min="2334" max="2335" width="8.6640625" customWidth="1"/>
    <col min="2336" max="2336" width="4.77734375" customWidth="1"/>
    <col min="2338" max="2338" width="9" customWidth="1"/>
    <col min="2582" max="2582" width="5.21875" customWidth="1"/>
    <col min="2583" max="2583" width="23.6640625" customWidth="1"/>
    <col min="2584" max="2584" width="5.44140625" customWidth="1"/>
    <col min="2585" max="2585" width="6.77734375" customWidth="1"/>
    <col min="2586" max="2589" width="7.6640625" customWidth="1"/>
    <col min="2590" max="2591" width="8.6640625" customWidth="1"/>
    <col min="2592" max="2592" width="4.77734375" customWidth="1"/>
    <col min="2594" max="2594" width="9" customWidth="1"/>
    <col min="2838" max="2838" width="5.21875" customWidth="1"/>
    <col min="2839" max="2839" width="23.6640625" customWidth="1"/>
    <col min="2840" max="2840" width="5.44140625" customWidth="1"/>
    <col min="2841" max="2841" width="6.77734375" customWidth="1"/>
    <col min="2842" max="2845" width="7.6640625" customWidth="1"/>
    <col min="2846" max="2847" width="8.6640625" customWidth="1"/>
    <col min="2848" max="2848" width="4.77734375" customWidth="1"/>
    <col min="2850" max="2850" width="9" customWidth="1"/>
    <col min="3094" max="3094" width="5.21875" customWidth="1"/>
    <col min="3095" max="3095" width="23.6640625" customWidth="1"/>
    <col min="3096" max="3096" width="5.44140625" customWidth="1"/>
    <col min="3097" max="3097" width="6.77734375" customWidth="1"/>
    <col min="3098" max="3101" width="7.6640625" customWidth="1"/>
    <col min="3102" max="3103" width="8.6640625" customWidth="1"/>
    <col min="3104" max="3104" width="4.77734375" customWidth="1"/>
    <col min="3106" max="3106" width="9" customWidth="1"/>
    <col min="3350" max="3350" width="5.21875" customWidth="1"/>
    <col min="3351" max="3351" width="23.6640625" customWidth="1"/>
    <col min="3352" max="3352" width="5.44140625" customWidth="1"/>
    <col min="3353" max="3353" width="6.77734375" customWidth="1"/>
    <col min="3354" max="3357" width="7.6640625" customWidth="1"/>
    <col min="3358" max="3359" width="8.6640625" customWidth="1"/>
    <col min="3360" max="3360" width="4.77734375" customWidth="1"/>
    <col min="3362" max="3362" width="9" customWidth="1"/>
    <col min="3606" max="3606" width="5.21875" customWidth="1"/>
    <col min="3607" max="3607" width="23.6640625" customWidth="1"/>
    <col min="3608" max="3608" width="5.44140625" customWidth="1"/>
    <col min="3609" max="3609" width="6.77734375" customWidth="1"/>
    <col min="3610" max="3613" width="7.6640625" customWidth="1"/>
    <col min="3614" max="3615" width="8.6640625" customWidth="1"/>
    <col min="3616" max="3616" width="4.77734375" customWidth="1"/>
    <col min="3618" max="3618" width="9" customWidth="1"/>
    <col min="3862" max="3862" width="5.21875" customWidth="1"/>
    <col min="3863" max="3863" width="23.6640625" customWidth="1"/>
    <col min="3864" max="3864" width="5.44140625" customWidth="1"/>
    <col min="3865" max="3865" width="6.77734375" customWidth="1"/>
    <col min="3866" max="3869" width="7.6640625" customWidth="1"/>
    <col min="3870" max="3871" width="8.6640625" customWidth="1"/>
    <col min="3872" max="3872" width="4.77734375" customWidth="1"/>
    <col min="3874" max="3874" width="9" customWidth="1"/>
    <col min="4118" max="4118" width="5.21875" customWidth="1"/>
    <col min="4119" max="4119" width="23.6640625" customWidth="1"/>
    <col min="4120" max="4120" width="5.44140625" customWidth="1"/>
    <col min="4121" max="4121" width="6.77734375" customWidth="1"/>
    <col min="4122" max="4125" width="7.6640625" customWidth="1"/>
    <col min="4126" max="4127" width="8.6640625" customWidth="1"/>
    <col min="4128" max="4128" width="4.77734375" customWidth="1"/>
    <col min="4130" max="4130" width="9" customWidth="1"/>
    <col min="4374" max="4374" width="5.21875" customWidth="1"/>
    <col min="4375" max="4375" width="23.6640625" customWidth="1"/>
    <col min="4376" max="4376" width="5.44140625" customWidth="1"/>
    <col min="4377" max="4377" width="6.77734375" customWidth="1"/>
    <col min="4378" max="4381" width="7.6640625" customWidth="1"/>
    <col min="4382" max="4383" width="8.6640625" customWidth="1"/>
    <col min="4384" max="4384" width="4.77734375" customWidth="1"/>
    <col min="4386" max="4386" width="9" customWidth="1"/>
    <col min="4630" max="4630" width="5.21875" customWidth="1"/>
    <col min="4631" max="4631" width="23.6640625" customWidth="1"/>
    <col min="4632" max="4632" width="5.44140625" customWidth="1"/>
    <col min="4633" max="4633" width="6.77734375" customWidth="1"/>
    <col min="4634" max="4637" width="7.6640625" customWidth="1"/>
    <col min="4638" max="4639" width="8.6640625" customWidth="1"/>
    <col min="4640" max="4640" width="4.77734375" customWidth="1"/>
    <col min="4642" max="4642" width="9" customWidth="1"/>
    <col min="4886" max="4886" width="5.21875" customWidth="1"/>
    <col min="4887" max="4887" width="23.6640625" customWidth="1"/>
    <col min="4888" max="4888" width="5.44140625" customWidth="1"/>
    <col min="4889" max="4889" width="6.77734375" customWidth="1"/>
    <col min="4890" max="4893" width="7.6640625" customWidth="1"/>
    <col min="4894" max="4895" width="8.6640625" customWidth="1"/>
    <col min="4896" max="4896" width="4.77734375" customWidth="1"/>
    <col min="4898" max="4898" width="9" customWidth="1"/>
    <col min="5142" max="5142" width="5.21875" customWidth="1"/>
    <col min="5143" max="5143" width="23.6640625" customWidth="1"/>
    <col min="5144" max="5144" width="5.44140625" customWidth="1"/>
    <col min="5145" max="5145" width="6.77734375" customWidth="1"/>
    <col min="5146" max="5149" width="7.6640625" customWidth="1"/>
    <col min="5150" max="5151" width="8.6640625" customWidth="1"/>
    <col min="5152" max="5152" width="4.77734375" customWidth="1"/>
    <col min="5154" max="5154" width="9" customWidth="1"/>
    <col min="5398" max="5398" width="5.21875" customWidth="1"/>
    <col min="5399" max="5399" width="23.6640625" customWidth="1"/>
    <col min="5400" max="5400" width="5.44140625" customWidth="1"/>
    <col min="5401" max="5401" width="6.77734375" customWidth="1"/>
    <col min="5402" max="5405" width="7.6640625" customWidth="1"/>
    <col min="5406" max="5407" width="8.6640625" customWidth="1"/>
    <col min="5408" max="5408" width="4.77734375" customWidth="1"/>
    <col min="5410" max="5410" width="9" customWidth="1"/>
    <col min="5654" max="5654" width="5.21875" customWidth="1"/>
    <col min="5655" max="5655" width="23.6640625" customWidth="1"/>
    <col min="5656" max="5656" width="5.44140625" customWidth="1"/>
    <col min="5657" max="5657" width="6.77734375" customWidth="1"/>
    <col min="5658" max="5661" width="7.6640625" customWidth="1"/>
    <col min="5662" max="5663" width="8.6640625" customWidth="1"/>
    <col min="5664" max="5664" width="4.77734375" customWidth="1"/>
    <col min="5666" max="5666" width="9" customWidth="1"/>
    <col min="5910" max="5910" width="5.21875" customWidth="1"/>
    <col min="5911" max="5911" width="23.6640625" customWidth="1"/>
    <col min="5912" max="5912" width="5.44140625" customWidth="1"/>
    <col min="5913" max="5913" width="6.77734375" customWidth="1"/>
    <col min="5914" max="5917" width="7.6640625" customWidth="1"/>
    <col min="5918" max="5919" width="8.6640625" customWidth="1"/>
    <col min="5920" max="5920" width="4.77734375" customWidth="1"/>
    <col min="5922" max="5922" width="9" customWidth="1"/>
    <col min="6166" max="6166" width="5.21875" customWidth="1"/>
    <col min="6167" max="6167" width="23.6640625" customWidth="1"/>
    <col min="6168" max="6168" width="5.44140625" customWidth="1"/>
    <col min="6169" max="6169" width="6.77734375" customWidth="1"/>
    <col min="6170" max="6173" width="7.6640625" customWidth="1"/>
    <col min="6174" max="6175" width="8.6640625" customWidth="1"/>
    <col min="6176" max="6176" width="4.77734375" customWidth="1"/>
    <col min="6178" max="6178" width="9" customWidth="1"/>
    <col min="6422" max="6422" width="5.21875" customWidth="1"/>
    <col min="6423" max="6423" width="23.6640625" customWidth="1"/>
    <col min="6424" max="6424" width="5.44140625" customWidth="1"/>
    <col min="6425" max="6425" width="6.77734375" customWidth="1"/>
    <col min="6426" max="6429" width="7.6640625" customWidth="1"/>
    <col min="6430" max="6431" width="8.6640625" customWidth="1"/>
    <col min="6432" max="6432" width="4.77734375" customWidth="1"/>
    <col min="6434" max="6434" width="9" customWidth="1"/>
    <col min="6678" max="6678" width="5.21875" customWidth="1"/>
    <col min="6679" max="6679" width="23.6640625" customWidth="1"/>
    <col min="6680" max="6680" width="5.44140625" customWidth="1"/>
    <col min="6681" max="6681" width="6.77734375" customWidth="1"/>
    <col min="6682" max="6685" width="7.6640625" customWidth="1"/>
    <col min="6686" max="6687" width="8.6640625" customWidth="1"/>
    <col min="6688" max="6688" width="4.77734375" customWidth="1"/>
    <col min="6690" max="6690" width="9" customWidth="1"/>
    <col min="6934" max="6934" width="5.21875" customWidth="1"/>
    <col min="6935" max="6935" width="23.6640625" customWidth="1"/>
    <col min="6936" max="6936" width="5.44140625" customWidth="1"/>
    <col min="6937" max="6937" width="6.77734375" customWidth="1"/>
    <col min="6938" max="6941" width="7.6640625" customWidth="1"/>
    <col min="6942" max="6943" width="8.6640625" customWidth="1"/>
    <col min="6944" max="6944" width="4.77734375" customWidth="1"/>
    <col min="6946" max="6946" width="9" customWidth="1"/>
    <col min="7190" max="7190" width="5.21875" customWidth="1"/>
    <col min="7191" max="7191" width="23.6640625" customWidth="1"/>
    <col min="7192" max="7192" width="5.44140625" customWidth="1"/>
    <col min="7193" max="7193" width="6.77734375" customWidth="1"/>
    <col min="7194" max="7197" width="7.6640625" customWidth="1"/>
    <col min="7198" max="7199" width="8.6640625" customWidth="1"/>
    <col min="7200" max="7200" width="4.77734375" customWidth="1"/>
    <col min="7202" max="7202" width="9" customWidth="1"/>
    <col min="7446" max="7446" width="5.21875" customWidth="1"/>
    <col min="7447" max="7447" width="23.6640625" customWidth="1"/>
    <col min="7448" max="7448" width="5.44140625" customWidth="1"/>
    <col min="7449" max="7449" width="6.77734375" customWidth="1"/>
    <col min="7450" max="7453" width="7.6640625" customWidth="1"/>
    <col min="7454" max="7455" width="8.6640625" customWidth="1"/>
    <col min="7456" max="7456" width="4.77734375" customWidth="1"/>
    <col min="7458" max="7458" width="9" customWidth="1"/>
    <col min="7702" max="7702" width="5.21875" customWidth="1"/>
    <col min="7703" max="7703" width="23.6640625" customWidth="1"/>
    <col min="7704" max="7704" width="5.44140625" customWidth="1"/>
    <col min="7705" max="7705" width="6.77734375" customWidth="1"/>
    <col min="7706" max="7709" width="7.6640625" customWidth="1"/>
    <col min="7710" max="7711" width="8.6640625" customWidth="1"/>
    <col min="7712" max="7712" width="4.77734375" customWidth="1"/>
    <col min="7714" max="7714" width="9" customWidth="1"/>
    <col min="7958" max="7958" width="5.21875" customWidth="1"/>
    <col min="7959" max="7959" width="23.6640625" customWidth="1"/>
    <col min="7960" max="7960" width="5.44140625" customWidth="1"/>
    <col min="7961" max="7961" width="6.77734375" customWidth="1"/>
    <col min="7962" max="7965" width="7.6640625" customWidth="1"/>
    <col min="7966" max="7967" width="8.6640625" customWidth="1"/>
    <col min="7968" max="7968" width="4.77734375" customWidth="1"/>
    <col min="7970" max="7970" width="9" customWidth="1"/>
    <col min="8214" max="8214" width="5.21875" customWidth="1"/>
    <col min="8215" max="8215" width="23.6640625" customWidth="1"/>
    <col min="8216" max="8216" width="5.44140625" customWidth="1"/>
    <col min="8217" max="8217" width="6.77734375" customWidth="1"/>
    <col min="8218" max="8221" width="7.6640625" customWidth="1"/>
    <col min="8222" max="8223" width="8.6640625" customWidth="1"/>
    <col min="8224" max="8224" width="4.77734375" customWidth="1"/>
    <col min="8226" max="8226" width="9" customWidth="1"/>
    <col min="8470" max="8470" width="5.21875" customWidth="1"/>
    <col min="8471" max="8471" width="23.6640625" customWidth="1"/>
    <col min="8472" max="8472" width="5.44140625" customWidth="1"/>
    <col min="8473" max="8473" width="6.77734375" customWidth="1"/>
    <col min="8474" max="8477" width="7.6640625" customWidth="1"/>
    <col min="8478" max="8479" width="8.6640625" customWidth="1"/>
    <col min="8480" max="8480" width="4.77734375" customWidth="1"/>
    <col min="8482" max="8482" width="9" customWidth="1"/>
    <col min="8726" max="8726" width="5.21875" customWidth="1"/>
    <col min="8727" max="8727" width="23.6640625" customWidth="1"/>
    <col min="8728" max="8728" width="5.44140625" customWidth="1"/>
    <col min="8729" max="8729" width="6.77734375" customWidth="1"/>
    <col min="8730" max="8733" width="7.6640625" customWidth="1"/>
    <col min="8734" max="8735" width="8.6640625" customWidth="1"/>
    <col min="8736" max="8736" width="4.77734375" customWidth="1"/>
    <col min="8738" max="8738" width="9" customWidth="1"/>
    <col min="8982" max="8982" width="5.21875" customWidth="1"/>
    <col min="8983" max="8983" width="23.6640625" customWidth="1"/>
    <col min="8984" max="8984" width="5.44140625" customWidth="1"/>
    <col min="8985" max="8985" width="6.77734375" customWidth="1"/>
    <col min="8986" max="8989" width="7.6640625" customWidth="1"/>
    <col min="8990" max="8991" width="8.6640625" customWidth="1"/>
    <col min="8992" max="8992" width="4.77734375" customWidth="1"/>
    <col min="8994" max="8994" width="9" customWidth="1"/>
    <col min="9238" max="9238" width="5.21875" customWidth="1"/>
    <col min="9239" max="9239" width="23.6640625" customWidth="1"/>
    <col min="9240" max="9240" width="5.44140625" customWidth="1"/>
    <col min="9241" max="9241" width="6.77734375" customWidth="1"/>
    <col min="9242" max="9245" width="7.6640625" customWidth="1"/>
    <col min="9246" max="9247" width="8.6640625" customWidth="1"/>
    <col min="9248" max="9248" width="4.77734375" customWidth="1"/>
    <col min="9250" max="9250" width="9" customWidth="1"/>
    <col min="9494" max="9494" width="5.21875" customWidth="1"/>
    <col min="9495" max="9495" width="23.6640625" customWidth="1"/>
    <col min="9496" max="9496" width="5.44140625" customWidth="1"/>
    <col min="9497" max="9497" width="6.77734375" customWidth="1"/>
    <col min="9498" max="9501" width="7.6640625" customWidth="1"/>
    <col min="9502" max="9503" width="8.6640625" customWidth="1"/>
    <col min="9504" max="9504" width="4.77734375" customWidth="1"/>
    <col min="9506" max="9506" width="9" customWidth="1"/>
    <col min="9750" max="9750" width="5.21875" customWidth="1"/>
    <col min="9751" max="9751" width="23.6640625" customWidth="1"/>
    <col min="9752" max="9752" width="5.44140625" customWidth="1"/>
    <col min="9753" max="9753" width="6.77734375" customWidth="1"/>
    <col min="9754" max="9757" width="7.6640625" customWidth="1"/>
    <col min="9758" max="9759" width="8.6640625" customWidth="1"/>
    <col min="9760" max="9760" width="4.77734375" customWidth="1"/>
    <col min="9762" max="9762" width="9" customWidth="1"/>
    <col min="10006" max="10006" width="5.21875" customWidth="1"/>
    <col min="10007" max="10007" width="23.6640625" customWidth="1"/>
    <col min="10008" max="10008" width="5.44140625" customWidth="1"/>
    <col min="10009" max="10009" width="6.77734375" customWidth="1"/>
    <col min="10010" max="10013" width="7.6640625" customWidth="1"/>
    <col min="10014" max="10015" width="8.6640625" customWidth="1"/>
    <col min="10016" max="10016" width="4.77734375" customWidth="1"/>
    <col min="10018" max="10018" width="9" customWidth="1"/>
    <col min="10262" max="10262" width="5.21875" customWidth="1"/>
    <col min="10263" max="10263" width="23.6640625" customWidth="1"/>
    <col min="10264" max="10264" width="5.44140625" customWidth="1"/>
    <col min="10265" max="10265" width="6.77734375" customWidth="1"/>
    <col min="10266" max="10269" width="7.6640625" customWidth="1"/>
    <col min="10270" max="10271" width="8.6640625" customWidth="1"/>
    <col min="10272" max="10272" width="4.77734375" customWidth="1"/>
    <col min="10274" max="10274" width="9" customWidth="1"/>
    <col min="10518" max="10518" width="5.21875" customWidth="1"/>
    <col min="10519" max="10519" width="23.6640625" customWidth="1"/>
    <col min="10520" max="10520" width="5.44140625" customWidth="1"/>
    <col min="10521" max="10521" width="6.77734375" customWidth="1"/>
    <col min="10522" max="10525" width="7.6640625" customWidth="1"/>
    <col min="10526" max="10527" width="8.6640625" customWidth="1"/>
    <col min="10528" max="10528" width="4.77734375" customWidth="1"/>
    <col min="10530" max="10530" width="9" customWidth="1"/>
    <col min="10774" max="10774" width="5.21875" customWidth="1"/>
    <col min="10775" max="10775" width="23.6640625" customWidth="1"/>
    <col min="10776" max="10776" width="5.44140625" customWidth="1"/>
    <col min="10777" max="10777" width="6.77734375" customWidth="1"/>
    <col min="10778" max="10781" width="7.6640625" customWidth="1"/>
    <col min="10782" max="10783" width="8.6640625" customWidth="1"/>
    <col min="10784" max="10784" width="4.77734375" customWidth="1"/>
    <col min="10786" max="10786" width="9" customWidth="1"/>
    <col min="11030" max="11030" width="5.21875" customWidth="1"/>
    <col min="11031" max="11031" width="23.6640625" customWidth="1"/>
    <col min="11032" max="11032" width="5.44140625" customWidth="1"/>
    <col min="11033" max="11033" width="6.77734375" customWidth="1"/>
    <col min="11034" max="11037" width="7.6640625" customWidth="1"/>
    <col min="11038" max="11039" width="8.6640625" customWidth="1"/>
    <col min="11040" max="11040" width="4.77734375" customWidth="1"/>
    <col min="11042" max="11042" width="9" customWidth="1"/>
    <col min="11286" max="11286" width="5.21875" customWidth="1"/>
    <col min="11287" max="11287" width="23.6640625" customWidth="1"/>
    <col min="11288" max="11288" width="5.44140625" customWidth="1"/>
    <col min="11289" max="11289" width="6.77734375" customWidth="1"/>
    <col min="11290" max="11293" width="7.6640625" customWidth="1"/>
    <col min="11294" max="11295" width="8.6640625" customWidth="1"/>
    <col min="11296" max="11296" width="4.77734375" customWidth="1"/>
    <col min="11298" max="11298" width="9" customWidth="1"/>
    <col min="11542" max="11542" width="5.21875" customWidth="1"/>
    <col min="11543" max="11543" width="23.6640625" customWidth="1"/>
    <col min="11544" max="11544" width="5.44140625" customWidth="1"/>
    <col min="11545" max="11545" width="6.77734375" customWidth="1"/>
    <col min="11546" max="11549" width="7.6640625" customWidth="1"/>
    <col min="11550" max="11551" width="8.6640625" customWidth="1"/>
    <col min="11552" max="11552" width="4.77734375" customWidth="1"/>
    <col min="11554" max="11554" width="9" customWidth="1"/>
    <col min="11798" max="11798" width="5.21875" customWidth="1"/>
    <col min="11799" max="11799" width="23.6640625" customWidth="1"/>
    <col min="11800" max="11800" width="5.44140625" customWidth="1"/>
    <col min="11801" max="11801" width="6.77734375" customWidth="1"/>
    <col min="11802" max="11805" width="7.6640625" customWidth="1"/>
    <col min="11806" max="11807" width="8.6640625" customWidth="1"/>
    <col min="11808" max="11808" width="4.77734375" customWidth="1"/>
    <col min="11810" max="11810" width="9" customWidth="1"/>
    <col min="12054" max="12054" width="5.21875" customWidth="1"/>
    <col min="12055" max="12055" width="23.6640625" customWidth="1"/>
    <col min="12056" max="12056" width="5.44140625" customWidth="1"/>
    <col min="12057" max="12057" width="6.77734375" customWidth="1"/>
    <col min="12058" max="12061" width="7.6640625" customWidth="1"/>
    <col min="12062" max="12063" width="8.6640625" customWidth="1"/>
    <col min="12064" max="12064" width="4.77734375" customWidth="1"/>
    <col min="12066" max="12066" width="9" customWidth="1"/>
    <col min="12310" max="12310" width="5.21875" customWidth="1"/>
    <col min="12311" max="12311" width="23.6640625" customWidth="1"/>
    <col min="12312" max="12312" width="5.44140625" customWidth="1"/>
    <col min="12313" max="12313" width="6.77734375" customWidth="1"/>
    <col min="12314" max="12317" width="7.6640625" customWidth="1"/>
    <col min="12318" max="12319" width="8.6640625" customWidth="1"/>
    <col min="12320" max="12320" width="4.77734375" customWidth="1"/>
    <col min="12322" max="12322" width="9" customWidth="1"/>
    <col min="12566" max="12566" width="5.21875" customWidth="1"/>
    <col min="12567" max="12567" width="23.6640625" customWidth="1"/>
    <col min="12568" max="12568" width="5.44140625" customWidth="1"/>
    <col min="12569" max="12569" width="6.77734375" customWidth="1"/>
    <col min="12570" max="12573" width="7.6640625" customWidth="1"/>
    <col min="12574" max="12575" width="8.6640625" customWidth="1"/>
    <col min="12576" max="12576" width="4.77734375" customWidth="1"/>
    <col min="12578" max="12578" width="9" customWidth="1"/>
    <col min="12822" max="12822" width="5.21875" customWidth="1"/>
    <col min="12823" max="12823" width="23.6640625" customWidth="1"/>
    <col min="12824" max="12824" width="5.44140625" customWidth="1"/>
    <col min="12825" max="12825" width="6.77734375" customWidth="1"/>
    <col min="12826" max="12829" width="7.6640625" customWidth="1"/>
    <col min="12830" max="12831" width="8.6640625" customWidth="1"/>
    <col min="12832" max="12832" width="4.77734375" customWidth="1"/>
    <col min="12834" max="12834" width="9" customWidth="1"/>
    <col min="13078" max="13078" width="5.21875" customWidth="1"/>
    <col min="13079" max="13079" width="23.6640625" customWidth="1"/>
    <col min="13080" max="13080" width="5.44140625" customWidth="1"/>
    <col min="13081" max="13081" width="6.77734375" customWidth="1"/>
    <col min="13082" max="13085" width="7.6640625" customWidth="1"/>
    <col min="13086" max="13087" width="8.6640625" customWidth="1"/>
    <col min="13088" max="13088" width="4.77734375" customWidth="1"/>
    <col min="13090" max="13090" width="9" customWidth="1"/>
    <col min="13334" max="13334" width="5.21875" customWidth="1"/>
    <col min="13335" max="13335" width="23.6640625" customWidth="1"/>
    <col min="13336" max="13336" width="5.44140625" customWidth="1"/>
    <col min="13337" max="13337" width="6.77734375" customWidth="1"/>
    <col min="13338" max="13341" width="7.6640625" customWidth="1"/>
    <col min="13342" max="13343" width="8.6640625" customWidth="1"/>
    <col min="13344" max="13344" width="4.77734375" customWidth="1"/>
    <col min="13346" max="13346" width="9" customWidth="1"/>
    <col min="13590" max="13590" width="5.21875" customWidth="1"/>
    <col min="13591" max="13591" width="23.6640625" customWidth="1"/>
    <col min="13592" max="13592" width="5.44140625" customWidth="1"/>
    <col min="13593" max="13593" width="6.77734375" customWidth="1"/>
    <col min="13594" max="13597" width="7.6640625" customWidth="1"/>
    <col min="13598" max="13599" width="8.6640625" customWidth="1"/>
    <col min="13600" max="13600" width="4.77734375" customWidth="1"/>
    <col min="13602" max="13602" width="9" customWidth="1"/>
    <col min="13846" max="13846" width="5.21875" customWidth="1"/>
    <col min="13847" max="13847" width="23.6640625" customWidth="1"/>
    <col min="13848" max="13848" width="5.44140625" customWidth="1"/>
    <col min="13849" max="13849" width="6.77734375" customWidth="1"/>
    <col min="13850" max="13853" width="7.6640625" customWidth="1"/>
    <col min="13854" max="13855" width="8.6640625" customWidth="1"/>
    <col min="13856" max="13856" width="4.77734375" customWidth="1"/>
    <col min="13858" max="13858" width="9" customWidth="1"/>
    <col min="14102" max="14102" width="5.21875" customWidth="1"/>
    <col min="14103" max="14103" width="23.6640625" customWidth="1"/>
    <col min="14104" max="14104" width="5.44140625" customWidth="1"/>
    <col min="14105" max="14105" width="6.77734375" customWidth="1"/>
    <col min="14106" max="14109" width="7.6640625" customWidth="1"/>
    <col min="14110" max="14111" width="8.6640625" customWidth="1"/>
    <col min="14112" max="14112" width="4.77734375" customWidth="1"/>
    <col min="14114" max="14114" width="9" customWidth="1"/>
    <col min="14358" max="14358" width="5.21875" customWidth="1"/>
    <col min="14359" max="14359" width="23.6640625" customWidth="1"/>
    <col min="14360" max="14360" width="5.44140625" customWidth="1"/>
    <col min="14361" max="14361" width="6.77734375" customWidth="1"/>
    <col min="14362" max="14365" width="7.6640625" customWidth="1"/>
    <col min="14366" max="14367" width="8.6640625" customWidth="1"/>
    <col min="14368" max="14368" width="4.77734375" customWidth="1"/>
    <col min="14370" max="14370" width="9" customWidth="1"/>
    <col min="14614" max="14614" width="5.21875" customWidth="1"/>
    <col min="14615" max="14615" width="23.6640625" customWidth="1"/>
    <col min="14616" max="14616" width="5.44140625" customWidth="1"/>
    <col min="14617" max="14617" width="6.77734375" customWidth="1"/>
    <col min="14618" max="14621" width="7.6640625" customWidth="1"/>
    <col min="14622" max="14623" width="8.6640625" customWidth="1"/>
    <col min="14624" max="14624" width="4.77734375" customWidth="1"/>
    <col min="14626" max="14626" width="9" customWidth="1"/>
    <col min="14870" max="14870" width="5.21875" customWidth="1"/>
    <col min="14871" max="14871" width="23.6640625" customWidth="1"/>
    <col min="14872" max="14872" width="5.44140625" customWidth="1"/>
    <col min="14873" max="14873" width="6.77734375" customWidth="1"/>
    <col min="14874" max="14877" width="7.6640625" customWidth="1"/>
    <col min="14878" max="14879" width="8.6640625" customWidth="1"/>
    <col min="14880" max="14880" width="4.77734375" customWidth="1"/>
    <col min="14882" max="14882" width="9" customWidth="1"/>
    <col min="15126" max="15126" width="5.21875" customWidth="1"/>
    <col min="15127" max="15127" width="23.6640625" customWidth="1"/>
    <col min="15128" max="15128" width="5.44140625" customWidth="1"/>
    <col min="15129" max="15129" width="6.77734375" customWidth="1"/>
    <col min="15130" max="15133" width="7.6640625" customWidth="1"/>
    <col min="15134" max="15135" width="8.6640625" customWidth="1"/>
    <col min="15136" max="15136" width="4.77734375" customWidth="1"/>
    <col min="15138" max="15138" width="9" customWidth="1"/>
    <col min="15382" max="15382" width="5.21875" customWidth="1"/>
    <col min="15383" max="15383" width="23.6640625" customWidth="1"/>
    <col min="15384" max="15384" width="5.44140625" customWidth="1"/>
    <col min="15385" max="15385" width="6.77734375" customWidth="1"/>
    <col min="15386" max="15389" width="7.6640625" customWidth="1"/>
    <col min="15390" max="15391" width="8.6640625" customWidth="1"/>
    <col min="15392" max="15392" width="4.77734375" customWidth="1"/>
    <col min="15394" max="15394" width="9" customWidth="1"/>
    <col min="15638" max="15638" width="5.21875" customWidth="1"/>
    <col min="15639" max="15639" width="23.6640625" customWidth="1"/>
    <col min="15640" max="15640" width="5.44140625" customWidth="1"/>
    <col min="15641" max="15641" width="6.77734375" customWidth="1"/>
    <col min="15642" max="15645" width="7.6640625" customWidth="1"/>
    <col min="15646" max="15647" width="8.6640625" customWidth="1"/>
    <col min="15648" max="15648" width="4.77734375" customWidth="1"/>
    <col min="15650" max="15650" width="9" customWidth="1"/>
    <col min="15894" max="15894" width="5.21875" customWidth="1"/>
    <col min="15895" max="15895" width="23.6640625" customWidth="1"/>
    <col min="15896" max="15896" width="5.44140625" customWidth="1"/>
    <col min="15897" max="15897" width="6.77734375" customWidth="1"/>
    <col min="15898" max="15901" width="7.6640625" customWidth="1"/>
    <col min="15902" max="15903" width="8.6640625" customWidth="1"/>
    <col min="15904" max="15904" width="4.77734375" customWidth="1"/>
    <col min="15906" max="15906" width="9" customWidth="1"/>
    <col min="16150" max="16150" width="5.21875" customWidth="1"/>
    <col min="16151" max="16151" width="23.6640625" customWidth="1"/>
    <col min="16152" max="16152" width="5.44140625" customWidth="1"/>
    <col min="16153" max="16153" width="6.77734375" customWidth="1"/>
    <col min="16154" max="16157" width="7.6640625" customWidth="1"/>
    <col min="16158" max="16159" width="8.6640625" customWidth="1"/>
    <col min="16160" max="16160" width="4.77734375" customWidth="1"/>
    <col min="16162" max="16162" width="9" customWidth="1"/>
  </cols>
  <sheetData>
    <row r="1" spans="1:604" s="11" customFormat="1" ht="17.25" customHeight="1" x14ac:dyDescent="0.3">
      <c r="A1" s="35" t="s">
        <v>10</v>
      </c>
      <c r="B1" s="23" t="s">
        <v>33</v>
      </c>
      <c r="C1" s="23" t="s">
        <v>12</v>
      </c>
      <c r="D1" s="36" t="s">
        <v>4</v>
      </c>
      <c r="E1" s="36" t="s">
        <v>31</v>
      </c>
      <c r="F1" s="36" t="s">
        <v>32</v>
      </c>
      <c r="G1" s="23" t="s">
        <v>38</v>
      </c>
      <c r="H1" s="23" t="s">
        <v>39</v>
      </c>
      <c r="I1" s="36" t="s">
        <v>34</v>
      </c>
      <c r="J1" s="24">
        <f>工程基本資料!B8</f>
        <v>0</v>
      </c>
      <c r="K1" s="24">
        <f>J1+1</f>
        <v>1</v>
      </c>
      <c r="L1" s="24">
        <f t="shared" ref="L1:BR1" si="0">K1+1</f>
        <v>2</v>
      </c>
      <c r="M1" s="24">
        <f t="shared" si="0"/>
        <v>3</v>
      </c>
      <c r="N1" s="24">
        <f t="shared" si="0"/>
        <v>4</v>
      </c>
      <c r="O1" s="24">
        <f t="shared" si="0"/>
        <v>5</v>
      </c>
      <c r="P1" s="24">
        <f t="shared" si="0"/>
        <v>6</v>
      </c>
      <c r="Q1" s="24">
        <f t="shared" si="0"/>
        <v>7</v>
      </c>
      <c r="R1" s="24">
        <f t="shared" si="0"/>
        <v>8</v>
      </c>
      <c r="S1" s="24">
        <f t="shared" si="0"/>
        <v>9</v>
      </c>
      <c r="T1" s="24">
        <f t="shared" si="0"/>
        <v>10</v>
      </c>
      <c r="U1" s="24">
        <f t="shared" si="0"/>
        <v>11</v>
      </c>
      <c r="V1" s="24">
        <f t="shared" si="0"/>
        <v>12</v>
      </c>
      <c r="W1" s="24">
        <f t="shared" si="0"/>
        <v>13</v>
      </c>
      <c r="X1" s="24">
        <f t="shared" si="0"/>
        <v>14</v>
      </c>
      <c r="Y1" s="24">
        <f t="shared" si="0"/>
        <v>15</v>
      </c>
      <c r="Z1" s="24">
        <f t="shared" si="0"/>
        <v>16</v>
      </c>
      <c r="AA1" s="24">
        <f t="shared" si="0"/>
        <v>17</v>
      </c>
      <c r="AB1" s="24">
        <f t="shared" si="0"/>
        <v>18</v>
      </c>
      <c r="AC1" s="24">
        <f t="shared" si="0"/>
        <v>19</v>
      </c>
      <c r="AD1" s="24">
        <f t="shared" si="0"/>
        <v>20</v>
      </c>
      <c r="AE1" s="24">
        <f t="shared" si="0"/>
        <v>21</v>
      </c>
      <c r="AF1" s="24">
        <f t="shared" si="0"/>
        <v>22</v>
      </c>
      <c r="AG1" s="24">
        <f t="shared" si="0"/>
        <v>23</v>
      </c>
      <c r="AH1" s="24">
        <f t="shared" si="0"/>
        <v>24</v>
      </c>
      <c r="AI1" s="24">
        <f t="shared" si="0"/>
        <v>25</v>
      </c>
      <c r="AJ1" s="24">
        <f t="shared" si="0"/>
        <v>26</v>
      </c>
      <c r="AK1" s="24">
        <f t="shared" si="0"/>
        <v>27</v>
      </c>
      <c r="AL1" s="24">
        <f t="shared" si="0"/>
        <v>28</v>
      </c>
      <c r="AM1" s="24">
        <f t="shared" si="0"/>
        <v>29</v>
      </c>
      <c r="AN1" s="24">
        <f t="shared" si="0"/>
        <v>30</v>
      </c>
      <c r="AO1" s="24">
        <f t="shared" si="0"/>
        <v>31</v>
      </c>
      <c r="AP1" s="24">
        <f t="shared" si="0"/>
        <v>32</v>
      </c>
      <c r="AQ1" s="24">
        <f t="shared" si="0"/>
        <v>33</v>
      </c>
      <c r="AR1" s="24">
        <f t="shared" si="0"/>
        <v>34</v>
      </c>
      <c r="AS1" s="24">
        <f t="shared" si="0"/>
        <v>35</v>
      </c>
      <c r="AT1" s="24">
        <f t="shared" si="0"/>
        <v>36</v>
      </c>
      <c r="AU1" s="24">
        <f t="shared" si="0"/>
        <v>37</v>
      </c>
      <c r="AV1" s="24">
        <f t="shared" si="0"/>
        <v>38</v>
      </c>
      <c r="AW1" s="24">
        <f t="shared" si="0"/>
        <v>39</v>
      </c>
      <c r="AX1" s="24">
        <f t="shared" si="0"/>
        <v>40</v>
      </c>
      <c r="AY1" s="24">
        <f t="shared" si="0"/>
        <v>41</v>
      </c>
      <c r="AZ1" s="24">
        <f t="shared" si="0"/>
        <v>42</v>
      </c>
      <c r="BA1" s="24">
        <f t="shared" si="0"/>
        <v>43</v>
      </c>
      <c r="BB1" s="24">
        <f t="shared" si="0"/>
        <v>44</v>
      </c>
      <c r="BC1" s="24">
        <f t="shared" si="0"/>
        <v>45</v>
      </c>
      <c r="BD1" s="24">
        <f t="shared" si="0"/>
        <v>46</v>
      </c>
      <c r="BE1" s="24">
        <f t="shared" si="0"/>
        <v>47</v>
      </c>
      <c r="BF1" s="24">
        <f t="shared" si="0"/>
        <v>48</v>
      </c>
      <c r="BG1" s="24">
        <f t="shared" si="0"/>
        <v>49</v>
      </c>
      <c r="BH1" s="24">
        <f t="shared" si="0"/>
        <v>50</v>
      </c>
      <c r="BI1" s="24">
        <f t="shared" si="0"/>
        <v>51</v>
      </c>
      <c r="BJ1" s="24">
        <f t="shared" si="0"/>
        <v>52</v>
      </c>
      <c r="BK1" s="24">
        <f t="shared" si="0"/>
        <v>53</v>
      </c>
      <c r="BL1" s="24">
        <f t="shared" si="0"/>
        <v>54</v>
      </c>
      <c r="BM1" s="24">
        <f t="shared" si="0"/>
        <v>55</v>
      </c>
      <c r="BN1" s="24">
        <f t="shared" si="0"/>
        <v>56</v>
      </c>
      <c r="BO1" s="24">
        <f t="shared" si="0"/>
        <v>57</v>
      </c>
      <c r="BP1" s="24">
        <f t="shared" si="0"/>
        <v>58</v>
      </c>
      <c r="BQ1" s="24">
        <f t="shared" si="0"/>
        <v>59</v>
      </c>
      <c r="BR1" s="24">
        <f t="shared" si="0"/>
        <v>60</v>
      </c>
      <c r="BS1" s="24">
        <f t="shared" ref="BS1" si="1">BR1+1</f>
        <v>61</v>
      </c>
      <c r="BT1" s="24">
        <f t="shared" ref="BT1" si="2">BS1+1</f>
        <v>62</v>
      </c>
      <c r="BU1" s="24">
        <f t="shared" ref="BU1" si="3">BT1+1</f>
        <v>63</v>
      </c>
      <c r="BV1" s="24">
        <f t="shared" ref="BV1" si="4">BU1+1</f>
        <v>64</v>
      </c>
      <c r="BW1" s="24">
        <f t="shared" ref="BW1" si="5">BV1+1</f>
        <v>65</v>
      </c>
      <c r="BX1" s="24">
        <f t="shared" ref="BX1" si="6">BW1+1</f>
        <v>66</v>
      </c>
      <c r="BY1" s="24">
        <f t="shared" ref="BY1" si="7">BX1+1</f>
        <v>67</v>
      </c>
      <c r="BZ1" s="24">
        <f t="shared" ref="BZ1" si="8">BY1+1</f>
        <v>68</v>
      </c>
      <c r="CA1" s="24">
        <f t="shared" ref="CA1" si="9">BZ1+1</f>
        <v>69</v>
      </c>
      <c r="CB1" s="24">
        <f t="shared" ref="CB1" si="10">CA1+1</f>
        <v>70</v>
      </c>
      <c r="CC1" s="24">
        <f t="shared" ref="CC1" si="11">CB1+1</f>
        <v>71</v>
      </c>
      <c r="CD1" s="24">
        <f t="shared" ref="CD1" si="12">CC1+1</f>
        <v>72</v>
      </c>
      <c r="CE1" s="24">
        <f t="shared" ref="CE1" si="13">CD1+1</f>
        <v>73</v>
      </c>
      <c r="CF1" s="24">
        <f t="shared" ref="CF1" si="14">CE1+1</f>
        <v>74</v>
      </c>
      <c r="CG1" s="24">
        <f t="shared" ref="CG1" si="15">CF1+1</f>
        <v>75</v>
      </c>
      <c r="CH1" s="24">
        <f t="shared" ref="CH1" si="16">CG1+1</f>
        <v>76</v>
      </c>
      <c r="CI1" s="24">
        <f t="shared" ref="CI1" si="17">CH1+1</f>
        <v>77</v>
      </c>
      <c r="CJ1" s="24">
        <f t="shared" ref="CJ1" si="18">CI1+1</f>
        <v>78</v>
      </c>
      <c r="CK1" s="24">
        <f t="shared" ref="CK1" si="19">CJ1+1</f>
        <v>79</v>
      </c>
      <c r="CL1" s="24">
        <f t="shared" ref="CL1" si="20">CK1+1</f>
        <v>80</v>
      </c>
      <c r="CM1" s="24">
        <f t="shared" ref="CM1" si="21">CL1+1</f>
        <v>81</v>
      </c>
      <c r="CN1" s="24">
        <f t="shared" ref="CN1" si="22">CM1+1</f>
        <v>82</v>
      </c>
      <c r="CO1" s="24">
        <f t="shared" ref="CO1" si="23">CN1+1</f>
        <v>83</v>
      </c>
      <c r="CP1" s="24">
        <f t="shared" ref="CP1" si="24">CO1+1</f>
        <v>84</v>
      </c>
      <c r="CQ1" s="24">
        <f t="shared" ref="CQ1" si="25">CP1+1</f>
        <v>85</v>
      </c>
      <c r="CR1" s="24">
        <f t="shared" ref="CR1" si="26">CQ1+1</f>
        <v>86</v>
      </c>
      <c r="CS1" s="24">
        <f t="shared" ref="CS1" si="27">CR1+1</f>
        <v>87</v>
      </c>
      <c r="CT1" s="24">
        <f t="shared" ref="CT1" si="28">CS1+1</f>
        <v>88</v>
      </c>
      <c r="CU1" s="24">
        <f t="shared" ref="CU1" si="29">CT1+1</f>
        <v>89</v>
      </c>
      <c r="CV1" s="24">
        <f t="shared" ref="CV1" si="30">CU1+1</f>
        <v>90</v>
      </c>
      <c r="CW1" s="24">
        <f t="shared" ref="CW1" si="31">CV1+1</f>
        <v>91</v>
      </c>
      <c r="CX1" s="24">
        <f t="shared" ref="CX1" si="32">CW1+1</f>
        <v>92</v>
      </c>
      <c r="CY1" s="24">
        <f t="shared" ref="CY1" si="33">CX1+1</f>
        <v>93</v>
      </c>
      <c r="CZ1" s="24">
        <f t="shared" ref="CZ1" si="34">CY1+1</f>
        <v>94</v>
      </c>
      <c r="DA1" s="24">
        <f t="shared" ref="DA1" si="35">CZ1+1</f>
        <v>95</v>
      </c>
      <c r="DB1" s="24">
        <f t="shared" ref="DB1" si="36">DA1+1</f>
        <v>96</v>
      </c>
      <c r="DC1" s="24">
        <f t="shared" ref="DC1" si="37">DB1+1</f>
        <v>97</v>
      </c>
      <c r="DD1" s="24">
        <f t="shared" ref="DD1" si="38">DC1+1</f>
        <v>98</v>
      </c>
      <c r="DE1" s="24">
        <f t="shared" ref="DE1" si="39">DD1+1</f>
        <v>99</v>
      </c>
      <c r="DF1" s="24">
        <f t="shared" ref="DF1" si="40">DE1+1</f>
        <v>100</v>
      </c>
      <c r="DG1" s="24">
        <f t="shared" ref="DG1" si="41">DF1+1</f>
        <v>101</v>
      </c>
      <c r="DH1" s="24">
        <f t="shared" ref="DH1" si="42">DG1+1</f>
        <v>102</v>
      </c>
      <c r="DI1" s="24">
        <f t="shared" ref="DI1" si="43">DH1+1</f>
        <v>103</v>
      </c>
      <c r="DJ1" s="24">
        <f t="shared" ref="DJ1" si="44">DI1+1</f>
        <v>104</v>
      </c>
      <c r="DK1" s="24">
        <f t="shared" ref="DK1" si="45">DJ1+1</f>
        <v>105</v>
      </c>
      <c r="DL1" s="24">
        <f t="shared" ref="DL1" si="46">DK1+1</f>
        <v>106</v>
      </c>
      <c r="DM1" s="24">
        <f t="shared" ref="DM1" si="47">DL1+1</f>
        <v>107</v>
      </c>
      <c r="DN1" s="24">
        <f t="shared" ref="DN1" si="48">DM1+1</f>
        <v>108</v>
      </c>
      <c r="DO1" s="24">
        <f t="shared" ref="DO1" si="49">DN1+1</f>
        <v>109</v>
      </c>
      <c r="DP1" s="24">
        <f t="shared" ref="DP1" si="50">DO1+1</f>
        <v>110</v>
      </c>
      <c r="DQ1" s="24">
        <f t="shared" ref="DQ1" si="51">DP1+1</f>
        <v>111</v>
      </c>
      <c r="DR1" s="24">
        <f t="shared" ref="DR1" si="52">DQ1+1</f>
        <v>112</v>
      </c>
      <c r="DS1" s="24">
        <f t="shared" ref="DS1" si="53">DR1+1</f>
        <v>113</v>
      </c>
      <c r="DT1" s="24">
        <f t="shared" ref="DT1" si="54">DS1+1</f>
        <v>114</v>
      </c>
      <c r="DU1" s="24">
        <f t="shared" ref="DU1" si="55">DT1+1</f>
        <v>115</v>
      </c>
      <c r="DV1" s="24">
        <f t="shared" ref="DV1" si="56">DU1+1</f>
        <v>116</v>
      </c>
      <c r="DW1" s="24">
        <f t="shared" ref="DW1" si="57">DV1+1</f>
        <v>117</v>
      </c>
      <c r="DX1" s="24">
        <f t="shared" ref="DX1" si="58">DW1+1</f>
        <v>118</v>
      </c>
      <c r="DY1" s="24">
        <f t="shared" ref="DY1" si="59">DX1+1</f>
        <v>119</v>
      </c>
      <c r="DZ1" s="24">
        <f t="shared" ref="DZ1" si="60">DY1+1</f>
        <v>120</v>
      </c>
      <c r="EA1" s="24">
        <f t="shared" ref="EA1" si="61">DZ1+1</f>
        <v>121</v>
      </c>
      <c r="EB1" s="24">
        <f t="shared" ref="EB1" si="62">EA1+1</f>
        <v>122</v>
      </c>
      <c r="EC1" s="24">
        <f t="shared" ref="EC1" si="63">EB1+1</f>
        <v>123</v>
      </c>
      <c r="ED1" s="24">
        <f t="shared" ref="ED1" si="64">EC1+1</f>
        <v>124</v>
      </c>
      <c r="EE1" s="24">
        <f t="shared" ref="EE1" si="65">ED1+1</f>
        <v>125</v>
      </c>
      <c r="EF1" s="24">
        <f t="shared" ref="EF1" si="66">EE1+1</f>
        <v>126</v>
      </c>
      <c r="EG1" s="24">
        <f t="shared" ref="EG1" si="67">EF1+1</f>
        <v>127</v>
      </c>
      <c r="EH1" s="24">
        <f t="shared" ref="EH1" si="68">EG1+1</f>
        <v>128</v>
      </c>
      <c r="EI1" s="24">
        <f t="shared" ref="EI1" si="69">EH1+1</f>
        <v>129</v>
      </c>
      <c r="EJ1" s="24">
        <f t="shared" ref="EJ1" si="70">EI1+1</f>
        <v>130</v>
      </c>
      <c r="EK1" s="24">
        <f t="shared" ref="EK1" si="71">EJ1+1</f>
        <v>131</v>
      </c>
      <c r="EL1" s="24">
        <f t="shared" ref="EL1" si="72">EK1+1</f>
        <v>132</v>
      </c>
      <c r="EM1" s="24">
        <f t="shared" ref="EM1" si="73">EL1+1</f>
        <v>133</v>
      </c>
      <c r="EN1" s="24">
        <f t="shared" ref="EN1" si="74">EM1+1</f>
        <v>134</v>
      </c>
      <c r="EO1" s="24">
        <f t="shared" ref="EO1" si="75">EN1+1</f>
        <v>135</v>
      </c>
      <c r="EP1" s="24">
        <f t="shared" ref="EP1" si="76">EO1+1</f>
        <v>136</v>
      </c>
      <c r="EQ1" s="24">
        <f t="shared" ref="EQ1" si="77">EP1+1</f>
        <v>137</v>
      </c>
      <c r="ER1" s="24">
        <f t="shared" ref="ER1" si="78">EQ1+1</f>
        <v>138</v>
      </c>
      <c r="ES1" s="24">
        <f t="shared" ref="ES1" si="79">ER1+1</f>
        <v>139</v>
      </c>
      <c r="ET1" s="24">
        <f t="shared" ref="ET1" si="80">ES1+1</f>
        <v>140</v>
      </c>
      <c r="EU1" s="24">
        <f t="shared" ref="EU1" si="81">ET1+1</f>
        <v>141</v>
      </c>
      <c r="EV1" s="24">
        <f t="shared" ref="EV1" si="82">EU1+1</f>
        <v>142</v>
      </c>
      <c r="EW1" s="24">
        <f t="shared" ref="EW1" si="83">EV1+1</f>
        <v>143</v>
      </c>
      <c r="EX1" s="24">
        <f t="shared" ref="EX1" si="84">EW1+1</f>
        <v>144</v>
      </c>
      <c r="EY1" s="24">
        <f t="shared" ref="EY1" si="85">EX1+1</f>
        <v>145</v>
      </c>
      <c r="EZ1" s="24">
        <f t="shared" ref="EZ1" si="86">EY1+1</f>
        <v>146</v>
      </c>
      <c r="FA1" s="24">
        <f t="shared" ref="FA1" si="87">EZ1+1</f>
        <v>147</v>
      </c>
      <c r="FB1" s="24">
        <f t="shared" ref="FB1" si="88">FA1+1</f>
        <v>148</v>
      </c>
      <c r="FC1" s="24">
        <f t="shared" ref="FC1" si="89">FB1+1</f>
        <v>149</v>
      </c>
      <c r="FD1" s="24">
        <f t="shared" ref="FD1" si="90">FC1+1</f>
        <v>150</v>
      </c>
      <c r="FE1" s="24">
        <f t="shared" ref="FE1" si="91">FD1+1</f>
        <v>151</v>
      </c>
      <c r="FF1" s="24">
        <f t="shared" ref="FF1" si="92">FE1+1</f>
        <v>152</v>
      </c>
      <c r="FG1" s="24">
        <f t="shared" ref="FG1" si="93">FF1+1</f>
        <v>153</v>
      </c>
      <c r="FH1" s="24">
        <f t="shared" ref="FH1" si="94">FG1+1</f>
        <v>154</v>
      </c>
      <c r="FI1" s="24">
        <f t="shared" ref="FI1" si="95">FH1+1</f>
        <v>155</v>
      </c>
      <c r="FJ1" s="24">
        <f t="shared" ref="FJ1" si="96">FI1+1</f>
        <v>156</v>
      </c>
      <c r="FK1" s="24">
        <f t="shared" ref="FK1" si="97">FJ1+1</f>
        <v>157</v>
      </c>
      <c r="FL1" s="24">
        <f t="shared" ref="FL1" si="98">FK1+1</f>
        <v>158</v>
      </c>
      <c r="FM1" s="24">
        <f t="shared" ref="FM1" si="99">FL1+1</f>
        <v>159</v>
      </c>
      <c r="FN1" s="24">
        <f t="shared" ref="FN1" si="100">FM1+1</f>
        <v>160</v>
      </c>
      <c r="FO1" s="24">
        <f t="shared" ref="FO1" si="101">FN1+1</f>
        <v>161</v>
      </c>
      <c r="FP1" s="24">
        <f t="shared" ref="FP1" si="102">FO1+1</f>
        <v>162</v>
      </c>
      <c r="FQ1" s="24">
        <f t="shared" ref="FQ1" si="103">FP1+1</f>
        <v>163</v>
      </c>
      <c r="FR1" s="24">
        <f t="shared" ref="FR1" si="104">FQ1+1</f>
        <v>164</v>
      </c>
      <c r="FS1" s="24">
        <f t="shared" ref="FS1" si="105">FR1+1</f>
        <v>165</v>
      </c>
      <c r="FT1" s="24">
        <f t="shared" ref="FT1" si="106">FS1+1</f>
        <v>166</v>
      </c>
      <c r="FU1" s="24">
        <f t="shared" ref="FU1" si="107">FT1+1</f>
        <v>167</v>
      </c>
      <c r="FV1" s="24">
        <f t="shared" ref="FV1" si="108">FU1+1</f>
        <v>168</v>
      </c>
      <c r="FW1" s="24">
        <f t="shared" ref="FW1" si="109">FV1+1</f>
        <v>169</v>
      </c>
      <c r="FX1" s="24">
        <f t="shared" ref="FX1" si="110">FW1+1</f>
        <v>170</v>
      </c>
      <c r="FY1" s="24">
        <f t="shared" ref="FY1" si="111">FX1+1</f>
        <v>171</v>
      </c>
      <c r="FZ1" s="24">
        <f t="shared" ref="FZ1" si="112">FY1+1</f>
        <v>172</v>
      </c>
      <c r="GA1" s="24">
        <f t="shared" ref="GA1" si="113">FZ1+1</f>
        <v>173</v>
      </c>
      <c r="GB1" s="24">
        <f t="shared" ref="GB1" si="114">GA1+1</f>
        <v>174</v>
      </c>
      <c r="GC1" s="24">
        <f t="shared" ref="GC1" si="115">GB1+1</f>
        <v>175</v>
      </c>
      <c r="GD1" s="24">
        <f t="shared" ref="GD1" si="116">GC1+1</f>
        <v>176</v>
      </c>
      <c r="GE1" s="24">
        <f t="shared" ref="GE1" si="117">GD1+1</f>
        <v>177</v>
      </c>
      <c r="GF1" s="24">
        <f t="shared" ref="GF1" si="118">GE1+1</f>
        <v>178</v>
      </c>
      <c r="GG1" s="24">
        <f t="shared" ref="GG1" si="119">GF1+1</f>
        <v>179</v>
      </c>
      <c r="GH1" s="24">
        <f t="shared" ref="GH1" si="120">GG1+1</f>
        <v>180</v>
      </c>
      <c r="GI1" s="24">
        <f t="shared" ref="GI1" si="121">GH1+1</f>
        <v>181</v>
      </c>
      <c r="GJ1" s="24">
        <f t="shared" ref="GJ1" si="122">GI1+1</f>
        <v>182</v>
      </c>
      <c r="GK1" s="24">
        <f t="shared" ref="GK1" si="123">GJ1+1</f>
        <v>183</v>
      </c>
      <c r="GL1" s="24">
        <f t="shared" ref="GL1" si="124">GK1+1</f>
        <v>184</v>
      </c>
      <c r="GM1" s="24">
        <f t="shared" ref="GM1" si="125">GL1+1</f>
        <v>185</v>
      </c>
      <c r="GN1" s="24">
        <f t="shared" ref="GN1" si="126">GM1+1</f>
        <v>186</v>
      </c>
      <c r="GO1" s="24">
        <f t="shared" ref="GO1" si="127">GN1+1</f>
        <v>187</v>
      </c>
      <c r="GP1" s="24">
        <f t="shared" ref="GP1" si="128">GO1+1</f>
        <v>188</v>
      </c>
      <c r="GQ1" s="24">
        <f t="shared" ref="GQ1" si="129">GP1+1</f>
        <v>189</v>
      </c>
      <c r="GR1" s="24">
        <f t="shared" ref="GR1" si="130">GQ1+1</f>
        <v>190</v>
      </c>
      <c r="GS1" s="24">
        <f t="shared" ref="GS1" si="131">GR1+1</f>
        <v>191</v>
      </c>
      <c r="GT1" s="24">
        <f t="shared" ref="GT1" si="132">GS1+1</f>
        <v>192</v>
      </c>
      <c r="GU1" s="24">
        <f t="shared" ref="GU1" si="133">GT1+1</f>
        <v>193</v>
      </c>
      <c r="GV1" s="24">
        <f t="shared" ref="GV1" si="134">GU1+1</f>
        <v>194</v>
      </c>
      <c r="GW1" s="24">
        <f t="shared" ref="GW1" si="135">GV1+1</f>
        <v>195</v>
      </c>
      <c r="GX1" s="24">
        <f t="shared" ref="GX1" si="136">GW1+1</f>
        <v>196</v>
      </c>
      <c r="GY1" s="24">
        <f t="shared" ref="GY1" si="137">GX1+1</f>
        <v>197</v>
      </c>
      <c r="GZ1" s="24">
        <f t="shared" ref="GZ1" si="138">GY1+1</f>
        <v>198</v>
      </c>
      <c r="HA1" s="24">
        <f t="shared" ref="HA1" si="139">GZ1+1</f>
        <v>199</v>
      </c>
      <c r="HB1" s="24">
        <f t="shared" ref="HB1" si="140">HA1+1</f>
        <v>200</v>
      </c>
      <c r="HC1" s="24">
        <f t="shared" ref="HC1" si="141">HB1+1</f>
        <v>201</v>
      </c>
      <c r="HD1" s="24">
        <f t="shared" ref="HD1" si="142">HC1+1</f>
        <v>202</v>
      </c>
      <c r="HE1" s="24">
        <f t="shared" ref="HE1" si="143">HD1+1</f>
        <v>203</v>
      </c>
      <c r="HF1" s="24">
        <f t="shared" ref="HF1" si="144">HE1+1</f>
        <v>204</v>
      </c>
      <c r="HG1" s="24">
        <f t="shared" ref="HG1" si="145">HF1+1</f>
        <v>205</v>
      </c>
      <c r="HH1" s="24">
        <f t="shared" ref="HH1" si="146">HG1+1</f>
        <v>206</v>
      </c>
      <c r="HI1" s="24">
        <f t="shared" ref="HI1" si="147">HH1+1</f>
        <v>207</v>
      </c>
      <c r="HJ1" s="24">
        <f t="shared" ref="HJ1" si="148">HI1+1</f>
        <v>208</v>
      </c>
      <c r="HK1" s="24">
        <f t="shared" ref="HK1" si="149">HJ1+1</f>
        <v>209</v>
      </c>
      <c r="HL1" s="24">
        <f t="shared" ref="HL1" si="150">HK1+1</f>
        <v>210</v>
      </c>
      <c r="HM1" s="24">
        <f t="shared" ref="HM1" si="151">HL1+1</f>
        <v>211</v>
      </c>
      <c r="HN1" s="24">
        <f t="shared" ref="HN1" si="152">HM1+1</f>
        <v>212</v>
      </c>
      <c r="HO1" s="24">
        <f t="shared" ref="HO1" si="153">HN1+1</f>
        <v>213</v>
      </c>
      <c r="HP1" s="24">
        <f t="shared" ref="HP1" si="154">HO1+1</f>
        <v>214</v>
      </c>
      <c r="HQ1" s="24">
        <f t="shared" ref="HQ1" si="155">HP1+1</f>
        <v>215</v>
      </c>
      <c r="HR1" s="24">
        <f t="shared" ref="HR1" si="156">HQ1+1</f>
        <v>216</v>
      </c>
      <c r="HS1" s="24">
        <f t="shared" ref="HS1" si="157">HR1+1</f>
        <v>217</v>
      </c>
      <c r="HT1" s="24">
        <f t="shared" ref="HT1" si="158">HS1+1</f>
        <v>218</v>
      </c>
      <c r="HU1" s="24">
        <f t="shared" ref="HU1" si="159">HT1+1</f>
        <v>219</v>
      </c>
      <c r="HV1" s="24">
        <f t="shared" ref="HV1" si="160">HU1+1</f>
        <v>220</v>
      </c>
      <c r="HW1" s="24">
        <f t="shared" ref="HW1" si="161">HV1+1</f>
        <v>221</v>
      </c>
      <c r="HX1" s="24">
        <f t="shared" ref="HX1" si="162">HW1+1</f>
        <v>222</v>
      </c>
      <c r="HY1" s="24">
        <f t="shared" ref="HY1" si="163">HX1+1</f>
        <v>223</v>
      </c>
      <c r="HZ1" s="24">
        <f t="shared" ref="HZ1" si="164">HY1+1</f>
        <v>224</v>
      </c>
      <c r="IA1" s="24">
        <f t="shared" ref="IA1" si="165">HZ1+1</f>
        <v>225</v>
      </c>
      <c r="IB1" s="24">
        <f t="shared" ref="IB1" si="166">IA1+1</f>
        <v>226</v>
      </c>
      <c r="IC1" s="24">
        <f t="shared" ref="IC1" si="167">IB1+1</f>
        <v>227</v>
      </c>
      <c r="ID1" s="24">
        <f t="shared" ref="ID1" si="168">IC1+1</f>
        <v>228</v>
      </c>
      <c r="IE1" s="24">
        <f t="shared" ref="IE1" si="169">ID1+1</f>
        <v>229</v>
      </c>
      <c r="IF1" s="24">
        <f t="shared" ref="IF1" si="170">IE1+1</f>
        <v>230</v>
      </c>
      <c r="IG1" s="24">
        <f t="shared" ref="IG1" si="171">IF1+1</f>
        <v>231</v>
      </c>
      <c r="IH1" s="24">
        <f t="shared" ref="IH1" si="172">IG1+1</f>
        <v>232</v>
      </c>
      <c r="II1" s="24">
        <f t="shared" ref="II1" si="173">IH1+1</f>
        <v>233</v>
      </c>
      <c r="IJ1" s="24">
        <f t="shared" ref="IJ1" si="174">II1+1</f>
        <v>234</v>
      </c>
      <c r="IK1" s="24">
        <f t="shared" ref="IK1" si="175">IJ1+1</f>
        <v>235</v>
      </c>
      <c r="IL1" s="24">
        <f t="shared" ref="IL1" si="176">IK1+1</f>
        <v>236</v>
      </c>
      <c r="IM1" s="24">
        <f t="shared" ref="IM1" si="177">IL1+1</f>
        <v>237</v>
      </c>
      <c r="IN1" s="24">
        <f t="shared" ref="IN1" si="178">IM1+1</f>
        <v>238</v>
      </c>
      <c r="IO1" s="24">
        <f t="shared" ref="IO1" si="179">IN1+1</f>
        <v>239</v>
      </c>
      <c r="IP1" s="24">
        <f t="shared" ref="IP1" si="180">IO1+1</f>
        <v>240</v>
      </c>
      <c r="IQ1" s="24">
        <f t="shared" ref="IQ1" si="181">IP1+1</f>
        <v>241</v>
      </c>
      <c r="IR1" s="24">
        <f t="shared" ref="IR1" si="182">IQ1+1</f>
        <v>242</v>
      </c>
      <c r="IS1" s="24">
        <f t="shared" ref="IS1" si="183">IR1+1</f>
        <v>243</v>
      </c>
      <c r="IT1" s="24">
        <f t="shared" ref="IT1" si="184">IS1+1</f>
        <v>244</v>
      </c>
      <c r="IU1" s="24">
        <f t="shared" ref="IU1" si="185">IT1+1</f>
        <v>245</v>
      </c>
      <c r="IV1" s="24">
        <f t="shared" ref="IV1" si="186">IU1+1</f>
        <v>246</v>
      </c>
      <c r="IW1" s="24">
        <f t="shared" ref="IW1" si="187">IV1+1</f>
        <v>247</v>
      </c>
      <c r="IX1" s="24">
        <f t="shared" ref="IX1" si="188">IW1+1</f>
        <v>248</v>
      </c>
      <c r="IY1" s="24">
        <f t="shared" ref="IY1" si="189">IX1+1</f>
        <v>249</v>
      </c>
      <c r="IZ1" s="24">
        <f t="shared" ref="IZ1" si="190">IY1+1</f>
        <v>250</v>
      </c>
      <c r="JA1" s="24">
        <f t="shared" ref="JA1" si="191">IZ1+1</f>
        <v>251</v>
      </c>
      <c r="JB1" s="24">
        <f t="shared" ref="JB1" si="192">JA1+1</f>
        <v>252</v>
      </c>
      <c r="JC1" s="24">
        <f t="shared" ref="JC1" si="193">JB1+1</f>
        <v>253</v>
      </c>
      <c r="JD1" s="24">
        <f t="shared" ref="JD1" si="194">JC1+1</f>
        <v>254</v>
      </c>
      <c r="JE1" s="24">
        <f t="shared" ref="JE1" si="195">JD1+1</f>
        <v>255</v>
      </c>
      <c r="JF1" s="24">
        <f t="shared" ref="JF1" si="196">JE1+1</f>
        <v>256</v>
      </c>
      <c r="JG1" s="24">
        <f t="shared" ref="JG1" si="197">JF1+1</f>
        <v>257</v>
      </c>
      <c r="JH1" s="24">
        <f t="shared" ref="JH1" si="198">JG1+1</f>
        <v>258</v>
      </c>
      <c r="JI1" s="24">
        <f t="shared" ref="JI1" si="199">JH1+1</f>
        <v>259</v>
      </c>
      <c r="JJ1" s="24">
        <f t="shared" ref="JJ1" si="200">JI1+1</f>
        <v>260</v>
      </c>
      <c r="JK1" s="24">
        <f t="shared" ref="JK1" si="201">JJ1+1</f>
        <v>261</v>
      </c>
      <c r="JL1" s="24">
        <f t="shared" ref="JL1" si="202">JK1+1</f>
        <v>262</v>
      </c>
      <c r="JM1" s="24">
        <f t="shared" ref="JM1" si="203">JL1+1</f>
        <v>263</v>
      </c>
      <c r="JN1" s="24">
        <f t="shared" ref="JN1" si="204">JM1+1</f>
        <v>264</v>
      </c>
      <c r="JO1" s="24">
        <f t="shared" ref="JO1" si="205">JN1+1</f>
        <v>265</v>
      </c>
      <c r="JP1" s="24">
        <f t="shared" ref="JP1" si="206">JO1+1</f>
        <v>266</v>
      </c>
      <c r="JQ1" s="24">
        <f t="shared" ref="JQ1" si="207">JP1+1</f>
        <v>267</v>
      </c>
      <c r="JR1" s="24">
        <f t="shared" ref="JR1" si="208">JQ1+1</f>
        <v>268</v>
      </c>
      <c r="JS1" s="24">
        <f t="shared" ref="JS1" si="209">JR1+1</f>
        <v>269</v>
      </c>
      <c r="JT1" s="24">
        <f t="shared" ref="JT1" si="210">JS1+1</f>
        <v>270</v>
      </c>
      <c r="JU1" s="24">
        <f t="shared" ref="JU1" si="211">JT1+1</f>
        <v>271</v>
      </c>
      <c r="JV1" s="24">
        <f t="shared" ref="JV1" si="212">JU1+1</f>
        <v>272</v>
      </c>
      <c r="JW1" s="24">
        <f t="shared" ref="JW1" si="213">JV1+1</f>
        <v>273</v>
      </c>
      <c r="JX1" s="24">
        <f t="shared" ref="JX1" si="214">JW1+1</f>
        <v>274</v>
      </c>
      <c r="JY1" s="24">
        <f t="shared" ref="JY1" si="215">JX1+1</f>
        <v>275</v>
      </c>
      <c r="JZ1" s="24">
        <f t="shared" ref="JZ1" si="216">JY1+1</f>
        <v>276</v>
      </c>
      <c r="KA1" s="24">
        <f t="shared" ref="KA1" si="217">JZ1+1</f>
        <v>277</v>
      </c>
      <c r="KB1" s="24">
        <f t="shared" ref="KB1" si="218">KA1+1</f>
        <v>278</v>
      </c>
      <c r="KC1" s="24">
        <f t="shared" ref="KC1" si="219">KB1+1</f>
        <v>279</v>
      </c>
      <c r="KD1" s="24">
        <f t="shared" ref="KD1" si="220">KC1+1</f>
        <v>280</v>
      </c>
      <c r="KE1" s="24">
        <f t="shared" ref="KE1" si="221">KD1+1</f>
        <v>281</v>
      </c>
      <c r="KF1" s="24">
        <f t="shared" ref="KF1" si="222">KE1+1</f>
        <v>282</v>
      </c>
      <c r="KG1" s="24">
        <f t="shared" ref="KG1" si="223">KF1+1</f>
        <v>283</v>
      </c>
      <c r="KH1" s="24">
        <f t="shared" ref="KH1" si="224">KG1+1</f>
        <v>284</v>
      </c>
      <c r="KI1" s="24">
        <f t="shared" ref="KI1" si="225">KH1+1</f>
        <v>285</v>
      </c>
      <c r="KJ1" s="24">
        <f t="shared" ref="KJ1" si="226">KI1+1</f>
        <v>286</v>
      </c>
      <c r="KK1" s="24">
        <f t="shared" ref="KK1" si="227">KJ1+1</f>
        <v>287</v>
      </c>
      <c r="KL1" s="24">
        <f t="shared" ref="KL1" si="228">KK1+1</f>
        <v>288</v>
      </c>
      <c r="KM1" s="24">
        <f t="shared" ref="KM1" si="229">KL1+1</f>
        <v>289</v>
      </c>
      <c r="KN1" s="24">
        <f t="shared" ref="KN1" si="230">KM1+1</f>
        <v>290</v>
      </c>
      <c r="KO1" s="24">
        <f t="shared" ref="KO1" si="231">KN1+1</f>
        <v>291</v>
      </c>
      <c r="KP1" s="24">
        <f t="shared" ref="KP1" si="232">KO1+1</f>
        <v>292</v>
      </c>
      <c r="KQ1" s="24">
        <f t="shared" ref="KQ1" si="233">KP1+1</f>
        <v>293</v>
      </c>
      <c r="KR1" s="24">
        <f t="shared" ref="KR1" si="234">KQ1+1</f>
        <v>294</v>
      </c>
      <c r="KS1" s="24">
        <f t="shared" ref="KS1" si="235">KR1+1</f>
        <v>295</v>
      </c>
      <c r="KT1" s="24">
        <f t="shared" ref="KT1" si="236">KS1+1</f>
        <v>296</v>
      </c>
      <c r="KU1" s="24">
        <f t="shared" ref="KU1" si="237">KT1+1</f>
        <v>297</v>
      </c>
      <c r="KV1" s="24">
        <f t="shared" ref="KV1" si="238">KU1+1</f>
        <v>298</v>
      </c>
      <c r="KW1" s="24">
        <f t="shared" ref="KW1" si="239">KV1+1</f>
        <v>299</v>
      </c>
      <c r="KX1" s="24">
        <f t="shared" ref="KX1" si="240">KW1+1</f>
        <v>300</v>
      </c>
      <c r="KY1" s="24">
        <f t="shared" ref="KY1" si="241">KX1+1</f>
        <v>301</v>
      </c>
      <c r="KZ1" s="24">
        <f t="shared" ref="KZ1" si="242">KY1+1</f>
        <v>302</v>
      </c>
      <c r="LA1" s="24">
        <f t="shared" ref="LA1" si="243">KZ1+1</f>
        <v>303</v>
      </c>
      <c r="LB1" s="24">
        <f t="shared" ref="LB1" si="244">LA1+1</f>
        <v>304</v>
      </c>
      <c r="LC1" s="24">
        <f t="shared" ref="LC1" si="245">LB1+1</f>
        <v>305</v>
      </c>
      <c r="LD1" s="24">
        <f t="shared" ref="LD1" si="246">LC1+1</f>
        <v>306</v>
      </c>
      <c r="LE1" s="24">
        <f t="shared" ref="LE1" si="247">LD1+1</f>
        <v>307</v>
      </c>
      <c r="LF1" s="24">
        <f t="shared" ref="LF1" si="248">LE1+1</f>
        <v>308</v>
      </c>
      <c r="LG1" s="24">
        <f t="shared" ref="LG1" si="249">LF1+1</f>
        <v>309</v>
      </c>
      <c r="LH1" s="24">
        <f t="shared" ref="LH1" si="250">LG1+1</f>
        <v>310</v>
      </c>
      <c r="LI1" s="24">
        <f t="shared" ref="LI1" si="251">LH1+1</f>
        <v>311</v>
      </c>
      <c r="LJ1" s="24">
        <f t="shared" ref="LJ1" si="252">LI1+1</f>
        <v>312</v>
      </c>
      <c r="LK1" s="24">
        <f t="shared" ref="LK1" si="253">LJ1+1</f>
        <v>313</v>
      </c>
      <c r="LL1" s="24">
        <f t="shared" ref="LL1" si="254">LK1+1</f>
        <v>314</v>
      </c>
      <c r="LM1" s="24">
        <f t="shared" ref="LM1" si="255">LL1+1</f>
        <v>315</v>
      </c>
      <c r="LN1" s="24">
        <f t="shared" ref="LN1" si="256">LM1+1</f>
        <v>316</v>
      </c>
      <c r="LO1" s="24">
        <f t="shared" ref="LO1" si="257">LN1+1</f>
        <v>317</v>
      </c>
      <c r="LP1" s="24">
        <f t="shared" ref="LP1" si="258">LO1+1</f>
        <v>318</v>
      </c>
      <c r="LQ1" s="24">
        <f t="shared" ref="LQ1" si="259">LP1+1</f>
        <v>319</v>
      </c>
      <c r="LR1" s="24">
        <f t="shared" ref="LR1" si="260">LQ1+1</f>
        <v>320</v>
      </c>
      <c r="LS1" s="24">
        <f t="shared" ref="LS1" si="261">LR1+1</f>
        <v>321</v>
      </c>
      <c r="LT1" s="24">
        <f t="shared" ref="LT1" si="262">LS1+1</f>
        <v>322</v>
      </c>
      <c r="LU1" s="24">
        <f t="shared" ref="LU1" si="263">LT1+1</f>
        <v>323</v>
      </c>
      <c r="LV1" s="24">
        <f t="shared" ref="LV1" si="264">LU1+1</f>
        <v>324</v>
      </c>
      <c r="LW1" s="24">
        <f t="shared" ref="LW1" si="265">LV1+1</f>
        <v>325</v>
      </c>
      <c r="LX1" s="24">
        <f t="shared" ref="LX1" si="266">LW1+1</f>
        <v>326</v>
      </c>
      <c r="LY1" s="24">
        <f t="shared" ref="LY1" si="267">LX1+1</f>
        <v>327</v>
      </c>
      <c r="LZ1" s="24">
        <f t="shared" ref="LZ1" si="268">LY1+1</f>
        <v>328</v>
      </c>
      <c r="MA1" s="24">
        <f t="shared" ref="MA1" si="269">LZ1+1</f>
        <v>329</v>
      </c>
      <c r="MB1" s="24">
        <f t="shared" ref="MB1" si="270">MA1+1</f>
        <v>330</v>
      </c>
      <c r="MC1" s="24">
        <f t="shared" ref="MC1" si="271">MB1+1</f>
        <v>331</v>
      </c>
      <c r="MD1" s="24">
        <f t="shared" ref="MD1" si="272">MC1+1</f>
        <v>332</v>
      </c>
      <c r="ME1" s="24">
        <f t="shared" ref="ME1" si="273">MD1+1</f>
        <v>333</v>
      </c>
      <c r="MF1" s="24">
        <f t="shared" ref="MF1" si="274">ME1+1</f>
        <v>334</v>
      </c>
      <c r="MG1" s="24">
        <f t="shared" ref="MG1" si="275">MF1+1</f>
        <v>335</v>
      </c>
      <c r="MH1" s="24">
        <f t="shared" ref="MH1" si="276">MG1+1</f>
        <v>336</v>
      </c>
      <c r="MI1" s="24">
        <f t="shared" ref="MI1" si="277">MH1+1</f>
        <v>337</v>
      </c>
      <c r="MJ1" s="24">
        <f t="shared" ref="MJ1" si="278">MI1+1</f>
        <v>338</v>
      </c>
      <c r="MK1" s="24">
        <f t="shared" ref="MK1" si="279">MJ1+1</f>
        <v>339</v>
      </c>
      <c r="ML1" s="24">
        <f t="shared" ref="ML1" si="280">MK1+1</f>
        <v>340</v>
      </c>
      <c r="MM1" s="24">
        <f t="shared" ref="MM1" si="281">ML1+1</f>
        <v>341</v>
      </c>
      <c r="MN1" s="24">
        <f t="shared" ref="MN1" si="282">MM1+1</f>
        <v>342</v>
      </c>
      <c r="MO1" s="24">
        <f t="shared" ref="MO1" si="283">MN1+1</f>
        <v>343</v>
      </c>
      <c r="MP1" s="24">
        <f t="shared" ref="MP1" si="284">MO1+1</f>
        <v>344</v>
      </c>
      <c r="MQ1" s="24">
        <f t="shared" ref="MQ1" si="285">MP1+1</f>
        <v>345</v>
      </c>
      <c r="MR1" s="24">
        <f t="shared" ref="MR1" si="286">MQ1+1</f>
        <v>346</v>
      </c>
      <c r="MS1" s="24">
        <f t="shared" ref="MS1" si="287">MR1+1</f>
        <v>347</v>
      </c>
      <c r="MT1" s="24">
        <f t="shared" ref="MT1" si="288">MS1+1</f>
        <v>348</v>
      </c>
      <c r="MU1" s="24">
        <f t="shared" ref="MU1" si="289">MT1+1</f>
        <v>349</v>
      </c>
      <c r="MV1" s="24">
        <f t="shared" ref="MV1" si="290">MU1+1</f>
        <v>350</v>
      </c>
      <c r="MW1" s="24">
        <f t="shared" ref="MW1" si="291">MV1+1</f>
        <v>351</v>
      </c>
      <c r="MX1" s="24">
        <f t="shared" ref="MX1" si="292">MW1+1</f>
        <v>352</v>
      </c>
      <c r="MY1" s="24">
        <f t="shared" ref="MY1" si="293">MX1+1</f>
        <v>353</v>
      </c>
      <c r="MZ1" s="24">
        <f t="shared" ref="MZ1" si="294">MY1+1</f>
        <v>354</v>
      </c>
      <c r="NA1" s="24">
        <f t="shared" ref="NA1" si="295">MZ1+1</f>
        <v>355</v>
      </c>
      <c r="NB1" s="24">
        <f t="shared" ref="NB1" si="296">NA1+1</f>
        <v>356</v>
      </c>
      <c r="NC1" s="24">
        <f t="shared" ref="NC1" si="297">NB1+1</f>
        <v>357</v>
      </c>
      <c r="ND1" s="24">
        <f t="shared" ref="ND1" si="298">NC1+1</f>
        <v>358</v>
      </c>
      <c r="NE1" s="24">
        <f t="shared" ref="NE1" si="299">ND1+1</f>
        <v>359</v>
      </c>
      <c r="NF1" s="24">
        <f t="shared" ref="NF1" si="300">NE1+1</f>
        <v>360</v>
      </c>
      <c r="NG1" s="24">
        <f t="shared" ref="NG1" si="301">NF1+1</f>
        <v>361</v>
      </c>
      <c r="NH1" s="24">
        <f t="shared" ref="NH1" si="302">NG1+1</f>
        <v>362</v>
      </c>
      <c r="NI1" s="24">
        <f t="shared" ref="NI1" si="303">NH1+1</f>
        <v>363</v>
      </c>
      <c r="NJ1" s="24">
        <f t="shared" ref="NJ1" si="304">NI1+1</f>
        <v>364</v>
      </c>
      <c r="NK1" s="24">
        <f t="shared" ref="NK1" si="305">NJ1+1</f>
        <v>365</v>
      </c>
      <c r="NL1" s="24">
        <f t="shared" ref="NL1" si="306">NK1+1</f>
        <v>366</v>
      </c>
      <c r="NM1" s="24">
        <f t="shared" ref="NM1" si="307">NL1+1</f>
        <v>367</v>
      </c>
      <c r="NN1" s="24">
        <f t="shared" ref="NN1" si="308">NM1+1</f>
        <v>368</v>
      </c>
      <c r="NO1" s="24">
        <f t="shared" ref="NO1" si="309">NN1+1</f>
        <v>369</v>
      </c>
      <c r="NP1" s="24">
        <f t="shared" ref="NP1" si="310">NO1+1</f>
        <v>370</v>
      </c>
      <c r="NQ1" s="24">
        <f t="shared" ref="NQ1" si="311">NP1+1</f>
        <v>371</v>
      </c>
      <c r="NR1" s="24">
        <f t="shared" ref="NR1" si="312">NQ1+1</f>
        <v>372</v>
      </c>
      <c r="NS1" s="24">
        <f t="shared" ref="NS1" si="313">NR1+1</f>
        <v>373</v>
      </c>
      <c r="NT1" s="24">
        <f t="shared" ref="NT1" si="314">NS1+1</f>
        <v>374</v>
      </c>
      <c r="NU1" s="24">
        <f t="shared" ref="NU1" si="315">NT1+1</f>
        <v>375</v>
      </c>
      <c r="NV1" s="24">
        <f t="shared" ref="NV1" si="316">NU1+1</f>
        <v>376</v>
      </c>
      <c r="NW1" s="24">
        <f t="shared" ref="NW1" si="317">NV1+1</f>
        <v>377</v>
      </c>
      <c r="NX1" s="24">
        <f t="shared" ref="NX1" si="318">NW1+1</f>
        <v>378</v>
      </c>
      <c r="NY1" s="24">
        <f t="shared" ref="NY1" si="319">NX1+1</f>
        <v>379</v>
      </c>
      <c r="NZ1" s="24">
        <f t="shared" ref="NZ1" si="320">NY1+1</f>
        <v>380</v>
      </c>
      <c r="OA1" s="24">
        <f t="shared" ref="OA1" si="321">NZ1+1</f>
        <v>381</v>
      </c>
      <c r="OB1" s="24">
        <f t="shared" ref="OB1" si="322">OA1+1</f>
        <v>382</v>
      </c>
      <c r="OC1" s="24">
        <f t="shared" ref="OC1" si="323">OB1+1</f>
        <v>383</v>
      </c>
      <c r="OD1" s="24">
        <f t="shared" ref="OD1" si="324">OC1+1</f>
        <v>384</v>
      </c>
      <c r="OE1" s="24">
        <f t="shared" ref="OE1" si="325">OD1+1</f>
        <v>385</v>
      </c>
      <c r="OF1" s="24">
        <f t="shared" ref="OF1" si="326">OE1+1</f>
        <v>386</v>
      </c>
      <c r="OG1" s="24">
        <f t="shared" ref="OG1" si="327">OF1+1</f>
        <v>387</v>
      </c>
      <c r="OH1" s="24">
        <f t="shared" ref="OH1" si="328">OG1+1</f>
        <v>388</v>
      </c>
      <c r="OI1" s="24">
        <f t="shared" ref="OI1" si="329">OH1+1</f>
        <v>389</v>
      </c>
      <c r="OJ1" s="24">
        <f t="shared" ref="OJ1" si="330">OI1+1</f>
        <v>390</v>
      </c>
      <c r="OK1" s="24">
        <f t="shared" ref="OK1" si="331">OJ1+1</f>
        <v>391</v>
      </c>
      <c r="OL1" s="24">
        <f t="shared" ref="OL1" si="332">OK1+1</f>
        <v>392</v>
      </c>
      <c r="OM1" s="24">
        <f t="shared" ref="OM1" si="333">OL1+1</f>
        <v>393</v>
      </c>
      <c r="ON1" s="24">
        <f t="shared" ref="ON1" si="334">OM1+1</f>
        <v>394</v>
      </c>
      <c r="OO1" s="24">
        <f t="shared" ref="OO1" si="335">ON1+1</f>
        <v>395</v>
      </c>
      <c r="OP1" s="24">
        <f t="shared" ref="OP1" si="336">OO1+1</f>
        <v>396</v>
      </c>
      <c r="OQ1" s="24">
        <f t="shared" ref="OQ1" si="337">OP1+1</f>
        <v>397</v>
      </c>
      <c r="OR1" s="24">
        <f t="shared" ref="OR1" si="338">OQ1+1</f>
        <v>398</v>
      </c>
      <c r="OS1" s="24">
        <f t="shared" ref="OS1" si="339">OR1+1</f>
        <v>399</v>
      </c>
      <c r="OT1" s="24">
        <f t="shared" ref="OT1" si="340">OS1+1</f>
        <v>400</v>
      </c>
      <c r="OU1" s="24">
        <f t="shared" ref="OU1" si="341">OT1+1</f>
        <v>401</v>
      </c>
      <c r="OV1" s="24">
        <f t="shared" ref="OV1" si="342">OU1+1</f>
        <v>402</v>
      </c>
      <c r="OW1" s="24">
        <f t="shared" ref="OW1" si="343">OV1+1</f>
        <v>403</v>
      </c>
      <c r="OX1" s="24">
        <f t="shared" ref="OX1" si="344">OW1+1</f>
        <v>404</v>
      </c>
      <c r="OY1" s="24">
        <f t="shared" ref="OY1" si="345">OX1+1</f>
        <v>405</v>
      </c>
      <c r="OZ1" s="24">
        <f t="shared" ref="OZ1" si="346">OY1+1</f>
        <v>406</v>
      </c>
      <c r="PA1" s="24">
        <f t="shared" ref="PA1" si="347">OZ1+1</f>
        <v>407</v>
      </c>
      <c r="PB1" s="24">
        <f t="shared" ref="PB1" si="348">PA1+1</f>
        <v>408</v>
      </c>
      <c r="PC1" s="24">
        <f t="shared" ref="PC1" si="349">PB1+1</f>
        <v>409</v>
      </c>
      <c r="PD1" s="24">
        <f t="shared" ref="PD1" si="350">PC1+1</f>
        <v>410</v>
      </c>
      <c r="PE1" s="24">
        <f t="shared" ref="PE1" si="351">PD1+1</f>
        <v>411</v>
      </c>
      <c r="PF1" s="24">
        <f t="shared" ref="PF1" si="352">PE1+1</f>
        <v>412</v>
      </c>
      <c r="PG1" s="24">
        <f t="shared" ref="PG1" si="353">PF1+1</f>
        <v>413</v>
      </c>
      <c r="PH1" s="24">
        <f t="shared" ref="PH1" si="354">PG1+1</f>
        <v>414</v>
      </c>
      <c r="PI1" s="24">
        <f t="shared" ref="PI1" si="355">PH1+1</f>
        <v>415</v>
      </c>
      <c r="PJ1" s="24">
        <f t="shared" ref="PJ1" si="356">PI1+1</f>
        <v>416</v>
      </c>
      <c r="PK1" s="24">
        <f t="shared" ref="PK1" si="357">PJ1+1</f>
        <v>417</v>
      </c>
      <c r="PL1" s="24">
        <f t="shared" ref="PL1" si="358">PK1+1</f>
        <v>418</v>
      </c>
      <c r="PM1" s="24">
        <f t="shared" ref="PM1" si="359">PL1+1</f>
        <v>419</v>
      </c>
      <c r="PN1" s="24">
        <f t="shared" ref="PN1" si="360">PM1+1</f>
        <v>420</v>
      </c>
      <c r="PO1" s="24">
        <f t="shared" ref="PO1" si="361">PN1+1</f>
        <v>421</v>
      </c>
      <c r="PP1" s="24">
        <f t="shared" ref="PP1" si="362">PO1+1</f>
        <v>422</v>
      </c>
      <c r="PQ1" s="24">
        <f t="shared" ref="PQ1" si="363">PP1+1</f>
        <v>423</v>
      </c>
      <c r="PR1" s="24">
        <f t="shared" ref="PR1" si="364">PQ1+1</f>
        <v>424</v>
      </c>
      <c r="PS1" s="24">
        <f t="shared" ref="PS1" si="365">PR1+1</f>
        <v>425</v>
      </c>
      <c r="PT1" s="24">
        <f t="shared" ref="PT1" si="366">PS1+1</f>
        <v>426</v>
      </c>
      <c r="PU1" s="24">
        <f t="shared" ref="PU1" si="367">PT1+1</f>
        <v>427</v>
      </c>
      <c r="PV1" s="24">
        <f t="shared" ref="PV1" si="368">PU1+1</f>
        <v>428</v>
      </c>
      <c r="PW1" s="24">
        <f t="shared" ref="PW1" si="369">PV1+1</f>
        <v>429</v>
      </c>
      <c r="PX1" s="24">
        <f t="shared" ref="PX1" si="370">PW1+1</f>
        <v>430</v>
      </c>
      <c r="PY1" s="24">
        <f t="shared" ref="PY1" si="371">PX1+1</f>
        <v>431</v>
      </c>
      <c r="PZ1" s="24">
        <f t="shared" ref="PZ1" si="372">PY1+1</f>
        <v>432</v>
      </c>
      <c r="QA1" s="24">
        <f t="shared" ref="QA1" si="373">PZ1+1</f>
        <v>433</v>
      </c>
      <c r="QB1" s="24">
        <f t="shared" ref="QB1" si="374">QA1+1</f>
        <v>434</v>
      </c>
      <c r="QC1" s="24">
        <f t="shared" ref="QC1" si="375">QB1+1</f>
        <v>435</v>
      </c>
      <c r="QD1" s="24">
        <f t="shared" ref="QD1" si="376">QC1+1</f>
        <v>436</v>
      </c>
      <c r="QE1" s="24">
        <f t="shared" ref="QE1" si="377">QD1+1</f>
        <v>437</v>
      </c>
      <c r="QF1" s="24">
        <f t="shared" ref="QF1" si="378">QE1+1</f>
        <v>438</v>
      </c>
      <c r="QG1" s="24">
        <f t="shared" ref="QG1" si="379">QF1+1</f>
        <v>439</v>
      </c>
      <c r="QH1" s="24">
        <f t="shared" ref="QH1" si="380">QG1+1</f>
        <v>440</v>
      </c>
      <c r="QI1" s="24">
        <f t="shared" ref="QI1" si="381">QH1+1</f>
        <v>441</v>
      </c>
      <c r="QJ1" s="24">
        <f t="shared" ref="QJ1" si="382">QI1+1</f>
        <v>442</v>
      </c>
      <c r="QK1" s="24">
        <f t="shared" ref="QK1" si="383">QJ1+1</f>
        <v>443</v>
      </c>
      <c r="QL1" s="24">
        <f t="shared" ref="QL1" si="384">QK1+1</f>
        <v>444</v>
      </c>
      <c r="QM1" s="24">
        <f t="shared" ref="QM1" si="385">QL1+1</f>
        <v>445</v>
      </c>
      <c r="QN1" s="24">
        <f t="shared" ref="QN1" si="386">QM1+1</f>
        <v>446</v>
      </c>
      <c r="QO1" s="24">
        <f t="shared" ref="QO1" si="387">QN1+1</f>
        <v>447</v>
      </c>
      <c r="QP1" s="24">
        <f t="shared" ref="QP1" si="388">QO1+1</f>
        <v>448</v>
      </c>
      <c r="QQ1" s="24">
        <f t="shared" ref="QQ1" si="389">QP1+1</f>
        <v>449</v>
      </c>
      <c r="QR1" s="24">
        <f t="shared" ref="QR1" si="390">QQ1+1</f>
        <v>450</v>
      </c>
      <c r="QS1" s="24">
        <f t="shared" ref="QS1" si="391">QR1+1</f>
        <v>451</v>
      </c>
      <c r="QT1" s="24">
        <f t="shared" ref="QT1" si="392">QS1+1</f>
        <v>452</v>
      </c>
      <c r="QU1" s="24">
        <f t="shared" ref="QU1" si="393">QT1+1</f>
        <v>453</v>
      </c>
      <c r="QV1" s="24">
        <f t="shared" ref="QV1" si="394">QU1+1</f>
        <v>454</v>
      </c>
      <c r="QW1" s="24">
        <f t="shared" ref="QW1" si="395">QV1+1</f>
        <v>455</v>
      </c>
      <c r="QX1" s="24">
        <f t="shared" ref="QX1" si="396">QW1+1</f>
        <v>456</v>
      </c>
      <c r="QY1" s="24">
        <f t="shared" ref="QY1" si="397">QX1+1</f>
        <v>457</v>
      </c>
      <c r="QZ1" s="24">
        <f t="shared" ref="QZ1" si="398">QY1+1</f>
        <v>458</v>
      </c>
      <c r="RA1" s="24">
        <f t="shared" ref="RA1" si="399">QZ1+1</f>
        <v>459</v>
      </c>
      <c r="RB1" s="24">
        <f t="shared" ref="RB1" si="400">RA1+1</f>
        <v>460</v>
      </c>
      <c r="RC1" s="24">
        <f t="shared" ref="RC1" si="401">RB1+1</f>
        <v>461</v>
      </c>
      <c r="RD1" s="24">
        <f t="shared" ref="RD1" si="402">RC1+1</f>
        <v>462</v>
      </c>
      <c r="RE1" s="24">
        <f t="shared" ref="RE1" si="403">RD1+1</f>
        <v>463</v>
      </c>
      <c r="RF1" s="24">
        <f t="shared" ref="RF1" si="404">RE1+1</f>
        <v>464</v>
      </c>
      <c r="RG1" s="24">
        <f t="shared" ref="RG1" si="405">RF1+1</f>
        <v>465</v>
      </c>
      <c r="RH1" s="24">
        <f t="shared" ref="RH1" si="406">RG1+1</f>
        <v>466</v>
      </c>
      <c r="RI1" s="24">
        <f t="shared" ref="RI1" si="407">RH1+1</f>
        <v>467</v>
      </c>
      <c r="RJ1" s="24">
        <f t="shared" ref="RJ1" si="408">RI1+1</f>
        <v>468</v>
      </c>
      <c r="RK1" s="24">
        <f t="shared" ref="RK1" si="409">RJ1+1</f>
        <v>469</v>
      </c>
      <c r="RL1" s="24">
        <f t="shared" ref="RL1" si="410">RK1+1</f>
        <v>470</v>
      </c>
      <c r="RM1" s="24">
        <f t="shared" ref="RM1" si="411">RL1+1</f>
        <v>471</v>
      </c>
      <c r="RN1" s="24">
        <f t="shared" ref="RN1" si="412">RM1+1</f>
        <v>472</v>
      </c>
      <c r="RO1" s="24">
        <f t="shared" ref="RO1" si="413">RN1+1</f>
        <v>473</v>
      </c>
      <c r="RP1" s="24">
        <f t="shared" ref="RP1" si="414">RO1+1</f>
        <v>474</v>
      </c>
      <c r="RQ1" s="24">
        <f t="shared" ref="RQ1" si="415">RP1+1</f>
        <v>475</v>
      </c>
      <c r="RR1" s="24">
        <f t="shared" ref="RR1" si="416">RQ1+1</f>
        <v>476</v>
      </c>
      <c r="RS1" s="24">
        <f t="shared" ref="RS1" si="417">RR1+1</f>
        <v>477</v>
      </c>
      <c r="RT1" s="24">
        <f t="shared" ref="RT1" si="418">RS1+1</f>
        <v>478</v>
      </c>
      <c r="RU1" s="24">
        <f t="shared" ref="RU1" si="419">RT1+1</f>
        <v>479</v>
      </c>
      <c r="RV1" s="24">
        <f t="shared" ref="RV1" si="420">RU1+1</f>
        <v>480</v>
      </c>
      <c r="RW1" s="24">
        <f t="shared" ref="RW1" si="421">RV1+1</f>
        <v>481</v>
      </c>
      <c r="RX1" s="24">
        <f t="shared" ref="RX1" si="422">RW1+1</f>
        <v>482</v>
      </c>
      <c r="RY1" s="24">
        <f t="shared" ref="RY1" si="423">RX1+1</f>
        <v>483</v>
      </c>
      <c r="RZ1" s="24">
        <f t="shared" ref="RZ1" si="424">RY1+1</f>
        <v>484</v>
      </c>
      <c r="SA1" s="24">
        <f t="shared" ref="SA1" si="425">RZ1+1</f>
        <v>485</v>
      </c>
      <c r="SB1" s="24">
        <f t="shared" ref="SB1" si="426">SA1+1</f>
        <v>486</v>
      </c>
      <c r="SC1" s="24">
        <f t="shared" ref="SC1" si="427">SB1+1</f>
        <v>487</v>
      </c>
      <c r="SD1" s="24">
        <f t="shared" ref="SD1" si="428">SC1+1</f>
        <v>488</v>
      </c>
      <c r="SE1" s="24">
        <f t="shared" ref="SE1" si="429">SD1+1</f>
        <v>489</v>
      </c>
      <c r="SF1" s="24">
        <f t="shared" ref="SF1" si="430">SE1+1</f>
        <v>490</v>
      </c>
      <c r="SG1" s="24">
        <f t="shared" ref="SG1" si="431">SF1+1</f>
        <v>491</v>
      </c>
      <c r="SH1" s="24">
        <f t="shared" ref="SH1" si="432">SG1+1</f>
        <v>492</v>
      </c>
      <c r="SI1" s="24">
        <f t="shared" ref="SI1" si="433">SH1+1</f>
        <v>493</v>
      </c>
      <c r="SJ1" s="24">
        <f t="shared" ref="SJ1" si="434">SI1+1</f>
        <v>494</v>
      </c>
      <c r="SK1" s="24">
        <f t="shared" ref="SK1" si="435">SJ1+1</f>
        <v>495</v>
      </c>
      <c r="SL1" s="24">
        <f t="shared" ref="SL1" si="436">SK1+1</f>
        <v>496</v>
      </c>
      <c r="SM1" s="24">
        <f t="shared" ref="SM1" si="437">SL1+1</f>
        <v>497</v>
      </c>
      <c r="SN1" s="24">
        <f t="shared" ref="SN1" si="438">SM1+1</f>
        <v>498</v>
      </c>
      <c r="SO1" s="24">
        <f t="shared" ref="SO1" si="439">SN1+1</f>
        <v>499</v>
      </c>
      <c r="SP1" s="24">
        <f t="shared" ref="SP1" si="440">SO1+1</f>
        <v>500</v>
      </c>
      <c r="SQ1" s="24">
        <f t="shared" ref="SQ1" si="441">SP1+1</f>
        <v>501</v>
      </c>
      <c r="SR1" s="24">
        <f t="shared" ref="SR1" si="442">SQ1+1</f>
        <v>502</v>
      </c>
      <c r="SS1" s="24">
        <f t="shared" ref="SS1" si="443">SR1+1</f>
        <v>503</v>
      </c>
      <c r="ST1" s="24">
        <f t="shared" ref="ST1" si="444">SS1+1</f>
        <v>504</v>
      </c>
      <c r="SU1" s="24">
        <f t="shared" ref="SU1" si="445">ST1+1</f>
        <v>505</v>
      </c>
      <c r="SV1" s="24">
        <f t="shared" ref="SV1" si="446">SU1+1</f>
        <v>506</v>
      </c>
      <c r="SW1" s="24">
        <f t="shared" ref="SW1" si="447">SV1+1</f>
        <v>507</v>
      </c>
      <c r="SX1" s="24">
        <f t="shared" ref="SX1" si="448">SW1+1</f>
        <v>508</v>
      </c>
      <c r="SY1" s="24">
        <f t="shared" ref="SY1" si="449">SX1+1</f>
        <v>509</v>
      </c>
      <c r="SZ1" s="24">
        <f t="shared" ref="SZ1" si="450">SY1+1</f>
        <v>510</v>
      </c>
      <c r="TA1" s="24">
        <f t="shared" ref="TA1" si="451">SZ1+1</f>
        <v>511</v>
      </c>
      <c r="TB1" s="24">
        <f t="shared" ref="TB1" si="452">TA1+1</f>
        <v>512</v>
      </c>
      <c r="TC1" s="24">
        <f t="shared" ref="TC1" si="453">TB1+1</f>
        <v>513</v>
      </c>
      <c r="TD1" s="24">
        <f t="shared" ref="TD1" si="454">TC1+1</f>
        <v>514</v>
      </c>
      <c r="TE1" s="24">
        <f t="shared" ref="TE1" si="455">TD1+1</f>
        <v>515</v>
      </c>
      <c r="TF1" s="24">
        <f t="shared" ref="TF1" si="456">TE1+1</f>
        <v>516</v>
      </c>
      <c r="TG1" s="24">
        <f t="shared" ref="TG1" si="457">TF1+1</f>
        <v>517</v>
      </c>
      <c r="TH1" s="24">
        <f t="shared" ref="TH1" si="458">TG1+1</f>
        <v>518</v>
      </c>
      <c r="TI1" s="24">
        <f t="shared" ref="TI1" si="459">TH1+1</f>
        <v>519</v>
      </c>
      <c r="TJ1" s="24">
        <f t="shared" ref="TJ1" si="460">TI1+1</f>
        <v>520</v>
      </c>
      <c r="TK1" s="24">
        <f t="shared" ref="TK1" si="461">TJ1+1</f>
        <v>521</v>
      </c>
      <c r="TL1" s="24">
        <f t="shared" ref="TL1" si="462">TK1+1</f>
        <v>522</v>
      </c>
      <c r="TM1" s="24">
        <f t="shared" ref="TM1" si="463">TL1+1</f>
        <v>523</v>
      </c>
      <c r="TN1" s="24">
        <f t="shared" ref="TN1" si="464">TM1+1</f>
        <v>524</v>
      </c>
      <c r="TO1" s="24">
        <f t="shared" ref="TO1" si="465">TN1+1</f>
        <v>525</v>
      </c>
      <c r="TP1" s="24">
        <f t="shared" ref="TP1" si="466">TO1+1</f>
        <v>526</v>
      </c>
      <c r="TQ1" s="24">
        <f t="shared" ref="TQ1" si="467">TP1+1</f>
        <v>527</v>
      </c>
      <c r="TR1" s="24">
        <f t="shared" ref="TR1" si="468">TQ1+1</f>
        <v>528</v>
      </c>
      <c r="TS1" s="24">
        <f t="shared" ref="TS1" si="469">TR1+1</f>
        <v>529</v>
      </c>
      <c r="TT1" s="24">
        <f t="shared" ref="TT1" si="470">TS1+1</f>
        <v>530</v>
      </c>
      <c r="TU1" s="24">
        <f t="shared" ref="TU1" si="471">TT1+1</f>
        <v>531</v>
      </c>
      <c r="TV1" s="24">
        <f t="shared" ref="TV1" si="472">TU1+1</f>
        <v>532</v>
      </c>
      <c r="TW1" s="24">
        <f t="shared" ref="TW1" si="473">TV1+1</f>
        <v>533</v>
      </c>
      <c r="TX1" s="24">
        <f t="shared" ref="TX1" si="474">TW1+1</f>
        <v>534</v>
      </c>
      <c r="TY1" s="24">
        <f t="shared" ref="TY1" si="475">TX1+1</f>
        <v>535</v>
      </c>
      <c r="TZ1" s="24">
        <f t="shared" ref="TZ1" si="476">TY1+1</f>
        <v>536</v>
      </c>
      <c r="UA1" s="24">
        <f t="shared" ref="UA1" si="477">TZ1+1</f>
        <v>537</v>
      </c>
      <c r="UB1" s="24">
        <f t="shared" ref="UB1" si="478">UA1+1</f>
        <v>538</v>
      </c>
      <c r="UC1" s="24">
        <f t="shared" ref="UC1" si="479">UB1+1</f>
        <v>539</v>
      </c>
      <c r="UD1" s="24">
        <f t="shared" ref="UD1" si="480">UC1+1</f>
        <v>540</v>
      </c>
      <c r="UE1" s="24">
        <f t="shared" ref="UE1" si="481">UD1+1</f>
        <v>541</v>
      </c>
      <c r="UF1" s="24">
        <f t="shared" ref="UF1" si="482">UE1+1</f>
        <v>542</v>
      </c>
      <c r="UG1" s="24">
        <f t="shared" ref="UG1" si="483">UF1+1</f>
        <v>543</v>
      </c>
      <c r="UH1" s="24">
        <f t="shared" ref="UH1" si="484">UG1+1</f>
        <v>544</v>
      </c>
      <c r="UI1" s="24">
        <f t="shared" ref="UI1" si="485">UH1+1</f>
        <v>545</v>
      </c>
      <c r="UJ1" s="24">
        <f t="shared" ref="UJ1" si="486">UI1+1</f>
        <v>546</v>
      </c>
      <c r="UK1" s="24">
        <f t="shared" ref="UK1" si="487">UJ1+1</f>
        <v>547</v>
      </c>
      <c r="UL1" s="24">
        <f t="shared" ref="UL1" si="488">UK1+1</f>
        <v>548</v>
      </c>
      <c r="UM1" s="24">
        <f t="shared" ref="UM1" si="489">UL1+1</f>
        <v>549</v>
      </c>
      <c r="UN1" s="24">
        <f t="shared" ref="UN1" si="490">UM1+1</f>
        <v>550</v>
      </c>
      <c r="UO1" s="24">
        <f t="shared" ref="UO1" si="491">UN1+1</f>
        <v>551</v>
      </c>
      <c r="UP1" s="24">
        <f t="shared" ref="UP1" si="492">UO1+1</f>
        <v>552</v>
      </c>
      <c r="UQ1" s="24">
        <f t="shared" ref="UQ1" si="493">UP1+1</f>
        <v>553</v>
      </c>
      <c r="UR1" s="24">
        <f t="shared" ref="UR1" si="494">UQ1+1</f>
        <v>554</v>
      </c>
      <c r="US1" s="24">
        <f t="shared" ref="US1" si="495">UR1+1</f>
        <v>555</v>
      </c>
      <c r="UT1" s="24">
        <f t="shared" ref="UT1" si="496">US1+1</f>
        <v>556</v>
      </c>
      <c r="UU1" s="24">
        <f t="shared" ref="UU1" si="497">UT1+1</f>
        <v>557</v>
      </c>
      <c r="UV1" s="24">
        <f t="shared" ref="UV1" si="498">UU1+1</f>
        <v>558</v>
      </c>
      <c r="UW1" s="24">
        <f t="shared" ref="UW1" si="499">UV1+1</f>
        <v>559</v>
      </c>
      <c r="UX1" s="24">
        <f t="shared" ref="UX1" si="500">UW1+1</f>
        <v>560</v>
      </c>
      <c r="UY1" s="24">
        <f t="shared" ref="UY1" si="501">UX1+1</f>
        <v>561</v>
      </c>
      <c r="UZ1" s="24">
        <f t="shared" ref="UZ1" si="502">UY1+1</f>
        <v>562</v>
      </c>
      <c r="VA1" s="24">
        <f t="shared" ref="VA1" si="503">UZ1+1</f>
        <v>563</v>
      </c>
      <c r="VB1" s="24">
        <f t="shared" ref="VB1" si="504">VA1+1</f>
        <v>564</v>
      </c>
      <c r="VC1" s="24">
        <f t="shared" ref="VC1" si="505">VB1+1</f>
        <v>565</v>
      </c>
      <c r="VD1" s="24">
        <f t="shared" ref="VD1" si="506">VC1+1</f>
        <v>566</v>
      </c>
      <c r="VE1" s="24">
        <f t="shared" ref="VE1" si="507">VD1+1</f>
        <v>567</v>
      </c>
      <c r="VF1" s="24">
        <f t="shared" ref="VF1" si="508">VE1+1</f>
        <v>568</v>
      </c>
      <c r="VG1" s="24">
        <f t="shared" ref="VG1" si="509">VF1+1</f>
        <v>569</v>
      </c>
      <c r="VH1" s="24">
        <f t="shared" ref="VH1" si="510">VG1+1</f>
        <v>570</v>
      </c>
      <c r="VI1" s="24">
        <f t="shared" ref="VI1" si="511">VH1+1</f>
        <v>571</v>
      </c>
      <c r="VJ1" s="24">
        <f t="shared" ref="VJ1" si="512">VI1+1</f>
        <v>572</v>
      </c>
      <c r="VK1" s="24">
        <f t="shared" ref="VK1" si="513">VJ1+1</f>
        <v>573</v>
      </c>
      <c r="VL1" s="24">
        <f t="shared" ref="VL1" si="514">VK1+1</f>
        <v>574</v>
      </c>
      <c r="VM1" s="24">
        <f t="shared" ref="VM1" si="515">VL1+1</f>
        <v>575</v>
      </c>
      <c r="VN1" s="24">
        <f t="shared" ref="VN1" si="516">VM1+1</f>
        <v>576</v>
      </c>
      <c r="VO1" s="24">
        <f t="shared" ref="VO1" si="517">VN1+1</f>
        <v>577</v>
      </c>
      <c r="VP1" s="24">
        <f t="shared" ref="VP1" si="518">VO1+1</f>
        <v>578</v>
      </c>
      <c r="VQ1" s="24">
        <f t="shared" ref="VQ1" si="519">VP1+1</f>
        <v>579</v>
      </c>
      <c r="VR1" s="24">
        <f t="shared" ref="VR1" si="520">VQ1+1</f>
        <v>580</v>
      </c>
      <c r="VS1" s="24">
        <f t="shared" ref="VS1" si="521">VR1+1</f>
        <v>581</v>
      </c>
      <c r="VT1" s="24">
        <f t="shared" ref="VT1" si="522">VS1+1</f>
        <v>582</v>
      </c>
      <c r="VU1" s="24">
        <f t="shared" ref="VU1" si="523">VT1+1</f>
        <v>583</v>
      </c>
      <c r="VV1" s="24">
        <f t="shared" ref="VV1" si="524">VU1+1</f>
        <v>584</v>
      </c>
      <c r="VW1" s="24">
        <f t="shared" ref="VW1" si="525">VV1+1</f>
        <v>585</v>
      </c>
      <c r="VX1" s="24">
        <f t="shared" ref="VX1" si="526">VW1+1</f>
        <v>586</v>
      </c>
      <c r="VY1" s="24">
        <f t="shared" ref="VY1" si="527">VX1+1</f>
        <v>587</v>
      </c>
      <c r="VZ1" s="24">
        <f t="shared" ref="VZ1" si="528">VY1+1</f>
        <v>588</v>
      </c>
      <c r="WA1" s="24">
        <f t="shared" ref="WA1" si="529">VZ1+1</f>
        <v>589</v>
      </c>
      <c r="WB1" s="24">
        <f t="shared" ref="WB1" si="530">WA1+1</f>
        <v>590</v>
      </c>
      <c r="WC1" s="24">
        <f t="shared" ref="WC1" si="531">WB1+1</f>
        <v>591</v>
      </c>
      <c r="WD1" s="24">
        <f t="shared" ref="WD1" si="532">WC1+1</f>
        <v>592</v>
      </c>
      <c r="WE1" s="24">
        <f t="shared" ref="WE1" si="533">WD1+1</f>
        <v>593</v>
      </c>
      <c r="WF1" s="24">
        <f t="shared" ref="WF1" si="534">WE1+1</f>
        <v>594</v>
      </c>
    </row>
    <row r="2" spans="1:604" ht="17.25" customHeight="1" x14ac:dyDescent="0.3">
      <c r="A2" s="25" t="e">
        <f>IF(契約詳細價目表!A2="",NA(),契約詳細價目表!A2)</f>
        <v>#N/A</v>
      </c>
      <c r="B2" s="26" t="e">
        <f>IF(契約詳細價目表!B2="",NA(),契約詳細價目表!B2)</f>
        <v>#N/A</v>
      </c>
      <c r="C2" s="25" t="e">
        <f>IF(契約詳細價目表!C2="",NA(),契約詳細價目表!C2)</f>
        <v>#N/A</v>
      </c>
      <c r="D2" s="27" t="e">
        <f>IF(契約詳細價目表!D2="",NA(),契約詳細價目表!D2)</f>
        <v>#N/A</v>
      </c>
      <c r="E2" s="28" t="e">
        <f>IF(契約詳細價目表!E2="",NA(),契約詳細價目表!E2)</f>
        <v>#N/A</v>
      </c>
      <c r="F2" s="28">
        <f>IF(契約詳細價目表!F2="",NA(),契約詳細價目表!F2)</f>
        <v>0</v>
      </c>
      <c r="G2" s="27">
        <f>SUM($J2:$ACH2)</f>
        <v>0</v>
      </c>
      <c r="H2" s="28" t="e">
        <f>ROUND($G2*$E2,0)</f>
        <v>#N/A</v>
      </c>
      <c r="I2" s="47" t="e">
        <f t="shared" ref="I2:I37" si="535">ROUND($H2/$F2,5)</f>
        <v>#N/A</v>
      </c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85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85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85"/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3"/>
      <c r="FV2" s="83"/>
      <c r="FW2" s="83"/>
      <c r="FX2" s="83"/>
      <c r="FY2" s="83"/>
      <c r="FZ2" s="83"/>
      <c r="GA2" s="83"/>
      <c r="GB2" s="83"/>
      <c r="GC2" s="83"/>
      <c r="GD2" s="83"/>
      <c r="GE2" s="83"/>
      <c r="GF2" s="83"/>
      <c r="GG2" s="83"/>
      <c r="GH2" s="83"/>
      <c r="GI2" s="83"/>
      <c r="GJ2" s="83"/>
      <c r="GK2" s="83"/>
      <c r="GL2" s="83"/>
      <c r="GM2" s="83"/>
      <c r="GN2" s="83"/>
      <c r="GO2" s="83"/>
      <c r="GP2" s="83"/>
      <c r="GQ2" s="83"/>
      <c r="GR2" s="83"/>
      <c r="GS2" s="83"/>
      <c r="GT2" s="83"/>
      <c r="GU2" s="83"/>
      <c r="GV2" s="83"/>
      <c r="GW2" s="83"/>
      <c r="GX2" s="83"/>
      <c r="GY2" s="83"/>
      <c r="GZ2" s="83"/>
      <c r="HA2" s="83"/>
      <c r="HB2" s="83"/>
      <c r="HC2" s="83"/>
      <c r="HD2" s="83"/>
      <c r="HE2" s="83"/>
      <c r="HF2" s="83"/>
      <c r="HG2" s="83"/>
      <c r="HH2" s="83"/>
      <c r="HI2" s="83"/>
      <c r="HJ2" s="83"/>
      <c r="HK2" s="83"/>
      <c r="HL2" s="83"/>
      <c r="HM2" s="83"/>
      <c r="HN2" s="83"/>
      <c r="HO2" s="83"/>
      <c r="HP2" s="83"/>
      <c r="HQ2" s="83"/>
      <c r="HR2" s="83"/>
      <c r="HS2" s="83"/>
      <c r="HT2" s="83"/>
      <c r="HU2" s="83"/>
      <c r="HV2" s="83"/>
      <c r="HW2" s="83"/>
      <c r="HX2" s="83"/>
      <c r="HY2" s="83"/>
      <c r="HZ2" s="83"/>
      <c r="IA2" s="83"/>
      <c r="IB2" s="83"/>
      <c r="IC2" s="83"/>
      <c r="ID2" s="83"/>
      <c r="IE2" s="83"/>
      <c r="IF2" s="83"/>
      <c r="IG2" s="83"/>
      <c r="IH2" s="83"/>
      <c r="II2" s="83"/>
      <c r="IJ2" s="83"/>
      <c r="IK2" s="83"/>
      <c r="IL2" s="83"/>
      <c r="IM2" s="83"/>
      <c r="IN2" s="83"/>
      <c r="IO2" s="83"/>
      <c r="IP2" s="83"/>
      <c r="IQ2" s="83"/>
      <c r="IR2" s="83"/>
      <c r="IS2" s="83"/>
      <c r="IT2" s="83"/>
      <c r="IU2" s="83"/>
      <c r="IV2" s="83"/>
      <c r="IW2" s="83"/>
      <c r="IX2" s="83"/>
      <c r="IY2" s="83"/>
      <c r="IZ2" s="83"/>
      <c r="JA2" s="83"/>
      <c r="JB2" s="83"/>
      <c r="JC2" s="83"/>
      <c r="JD2" s="83"/>
      <c r="JE2" s="83"/>
      <c r="JF2" s="83"/>
      <c r="JG2" s="83"/>
      <c r="JH2" s="83"/>
      <c r="JI2" s="83"/>
      <c r="JJ2" s="83"/>
      <c r="JK2" s="83"/>
      <c r="JL2" s="83"/>
      <c r="JM2" s="83"/>
      <c r="JN2" s="83"/>
      <c r="JO2" s="83"/>
      <c r="JP2" s="83"/>
      <c r="JQ2" s="83"/>
      <c r="JR2" s="83"/>
      <c r="JS2" s="83"/>
      <c r="JT2" s="83"/>
      <c r="JU2" s="83"/>
      <c r="JV2" s="83"/>
      <c r="JW2" s="83"/>
      <c r="JX2" s="83"/>
      <c r="JY2" s="83"/>
      <c r="JZ2" s="83"/>
      <c r="KA2" s="83"/>
      <c r="KB2" s="83"/>
      <c r="KC2" s="83"/>
      <c r="KD2" s="83"/>
      <c r="KE2" s="83"/>
      <c r="KF2" s="83"/>
      <c r="KG2" s="83"/>
      <c r="KH2" s="83"/>
      <c r="KI2" s="83"/>
      <c r="KJ2" s="83"/>
      <c r="KK2" s="83"/>
      <c r="KL2" s="83"/>
      <c r="KM2" s="83"/>
      <c r="KN2" s="83"/>
      <c r="KO2" s="83"/>
      <c r="KP2" s="83"/>
      <c r="KQ2" s="83"/>
      <c r="KR2" s="83"/>
      <c r="KS2" s="83"/>
      <c r="KT2" s="83"/>
      <c r="KU2" s="83"/>
      <c r="KV2" s="83"/>
      <c r="KW2" s="83"/>
      <c r="KX2" s="83"/>
      <c r="KY2" s="83"/>
      <c r="KZ2" s="83"/>
      <c r="LA2" s="83"/>
      <c r="LB2" s="83"/>
      <c r="LC2" s="83"/>
      <c r="LD2" s="83"/>
      <c r="LE2" s="83"/>
      <c r="LF2" s="83"/>
      <c r="LG2" s="83"/>
      <c r="LH2" s="83"/>
      <c r="LI2" s="83"/>
      <c r="LJ2" s="83"/>
      <c r="LK2" s="83"/>
      <c r="LL2" s="83"/>
      <c r="LM2" s="83"/>
      <c r="LN2" s="83"/>
      <c r="LO2" s="83"/>
      <c r="LP2" s="83"/>
      <c r="LQ2" s="83"/>
      <c r="LR2" s="83"/>
      <c r="LS2" s="83"/>
      <c r="LT2" s="83"/>
      <c r="LU2" s="83"/>
      <c r="LV2" s="83"/>
      <c r="LW2" s="83"/>
      <c r="LX2" s="83"/>
      <c r="LY2" s="83"/>
      <c r="LZ2" s="83"/>
      <c r="MA2" s="83"/>
      <c r="MB2" s="83"/>
      <c r="MC2" s="83"/>
      <c r="MD2" s="83"/>
      <c r="ME2" s="83"/>
      <c r="MF2" s="83"/>
      <c r="MG2" s="83"/>
      <c r="MH2" s="83"/>
      <c r="MI2" s="83"/>
      <c r="MJ2" s="83"/>
      <c r="MK2" s="83"/>
      <c r="ML2" s="83"/>
      <c r="MM2" s="83"/>
      <c r="MN2" s="83"/>
      <c r="MO2" s="83"/>
      <c r="MP2" s="83"/>
      <c r="MQ2" s="83"/>
      <c r="MR2" s="83"/>
      <c r="MS2" s="83"/>
      <c r="MT2" s="83"/>
      <c r="MU2" s="83"/>
      <c r="MV2" s="83"/>
      <c r="MW2" s="83"/>
      <c r="MX2" s="83"/>
      <c r="MY2" s="83"/>
      <c r="MZ2" s="83"/>
      <c r="NA2" s="83"/>
      <c r="NB2" s="83"/>
      <c r="NC2" s="83"/>
      <c r="ND2" s="83"/>
      <c r="NE2" s="83"/>
      <c r="NF2" s="83"/>
      <c r="NG2" s="83"/>
      <c r="NH2" s="83"/>
      <c r="NI2" s="83"/>
      <c r="NJ2" s="83"/>
      <c r="NK2" s="83"/>
      <c r="NL2" s="83"/>
      <c r="NM2" s="83"/>
      <c r="NN2" s="83"/>
      <c r="NO2" s="83"/>
      <c r="NP2" s="83"/>
      <c r="NQ2" s="83"/>
      <c r="NR2" s="83"/>
      <c r="NS2" s="83"/>
      <c r="NT2" s="83"/>
      <c r="NU2" s="83"/>
      <c r="NV2" s="83"/>
      <c r="NW2" s="83"/>
      <c r="NX2" s="83"/>
      <c r="NY2" s="83"/>
      <c r="NZ2" s="83"/>
      <c r="OA2" s="83"/>
      <c r="OB2" s="83"/>
      <c r="OC2" s="83"/>
      <c r="OD2" s="83"/>
      <c r="OE2" s="83"/>
      <c r="OF2" s="83"/>
      <c r="OG2" s="83"/>
      <c r="OH2" s="83"/>
      <c r="OI2" s="83"/>
      <c r="OJ2" s="83"/>
      <c r="OK2" s="83"/>
      <c r="OL2" s="83"/>
      <c r="OM2" s="83"/>
      <c r="ON2" s="83"/>
      <c r="OO2" s="83"/>
      <c r="OP2" s="83"/>
      <c r="OQ2" s="83"/>
      <c r="OR2" s="83"/>
      <c r="OS2" s="83"/>
      <c r="OT2" s="83"/>
      <c r="OU2" s="83"/>
      <c r="OV2" s="83"/>
      <c r="OW2" s="83"/>
      <c r="OX2" s="83"/>
      <c r="OY2" s="83"/>
      <c r="OZ2" s="83"/>
      <c r="PA2" s="83"/>
      <c r="PB2" s="83"/>
      <c r="PC2" s="83"/>
      <c r="PD2" s="83"/>
      <c r="PE2" s="83"/>
      <c r="PF2" s="83"/>
      <c r="PG2" s="83"/>
      <c r="PH2" s="83"/>
      <c r="PI2" s="83"/>
      <c r="PJ2" s="83"/>
      <c r="PK2" s="83"/>
      <c r="PL2" s="83"/>
      <c r="PM2" s="83"/>
      <c r="PN2" s="83"/>
      <c r="PO2" s="83"/>
      <c r="PP2" s="83"/>
      <c r="PQ2" s="83"/>
      <c r="PR2" s="83"/>
      <c r="PS2" s="83"/>
      <c r="PT2" s="83"/>
      <c r="PU2" s="83"/>
      <c r="PV2" s="83"/>
      <c r="PW2" s="83"/>
      <c r="PX2" s="83"/>
      <c r="PY2" s="83"/>
      <c r="PZ2" s="83"/>
      <c r="QA2" s="83"/>
      <c r="QB2" s="83"/>
      <c r="QC2" s="83"/>
      <c r="QD2" s="83"/>
      <c r="QE2" s="83"/>
      <c r="QF2" s="83"/>
      <c r="QG2" s="83"/>
      <c r="QH2" s="83"/>
      <c r="QI2" s="83"/>
      <c r="QJ2" s="83"/>
      <c r="QK2" s="83"/>
      <c r="QL2" s="83"/>
      <c r="QM2" s="83"/>
      <c r="QN2" s="83"/>
      <c r="QO2" s="83"/>
      <c r="QP2" s="83"/>
      <c r="QQ2" s="83"/>
      <c r="QR2" s="83"/>
      <c r="QS2" s="83"/>
      <c r="QT2" s="83"/>
      <c r="QU2" s="83"/>
      <c r="QV2" s="83"/>
      <c r="QW2" s="83"/>
      <c r="QX2" s="83"/>
      <c r="QY2" s="83"/>
      <c r="QZ2" s="83"/>
      <c r="RA2" s="83"/>
      <c r="RB2" s="83"/>
      <c r="RC2" s="83"/>
      <c r="RD2" s="83"/>
      <c r="RE2" s="83"/>
      <c r="RF2" s="83"/>
      <c r="RG2" s="83"/>
      <c r="RH2" s="83"/>
      <c r="RI2" s="83"/>
      <c r="RJ2" s="83"/>
      <c r="RK2" s="83"/>
      <c r="RL2" s="83"/>
      <c r="RM2" s="83"/>
      <c r="RN2" s="83"/>
      <c r="RO2" s="83"/>
      <c r="RP2" s="83"/>
      <c r="RQ2" s="83"/>
      <c r="RR2" s="83"/>
      <c r="RS2" s="83"/>
      <c r="RT2" s="83"/>
      <c r="RU2" s="83"/>
      <c r="RV2" s="83"/>
      <c r="RW2" s="83"/>
      <c r="RX2" s="83"/>
      <c r="RY2" s="83"/>
      <c r="RZ2" s="83"/>
      <c r="SA2" s="83"/>
      <c r="SB2" s="83"/>
      <c r="SC2" s="83"/>
      <c r="SD2" s="83"/>
      <c r="SE2" s="83"/>
      <c r="SF2" s="83"/>
      <c r="SG2" s="83"/>
      <c r="SH2" s="83"/>
      <c r="SI2" s="83"/>
      <c r="SJ2" s="83"/>
      <c r="SK2" s="83"/>
      <c r="SL2" s="83"/>
      <c r="SM2" s="83"/>
      <c r="SN2" s="83"/>
      <c r="SO2" s="83"/>
      <c r="SP2" s="83"/>
      <c r="SQ2" s="83"/>
      <c r="SR2" s="83"/>
      <c r="SS2" s="83"/>
      <c r="ST2" s="83"/>
      <c r="SU2" s="83"/>
      <c r="SV2" s="83"/>
      <c r="SW2" s="83"/>
      <c r="SX2" s="83"/>
      <c r="SY2" s="83"/>
      <c r="SZ2" s="83"/>
      <c r="TA2" s="83"/>
      <c r="TB2" s="83"/>
      <c r="TC2" s="83"/>
      <c r="TD2" s="83"/>
      <c r="TE2" s="83"/>
      <c r="TF2" s="83"/>
      <c r="TG2" s="83"/>
      <c r="TH2" s="83"/>
      <c r="TI2" s="83"/>
      <c r="TJ2" s="83"/>
      <c r="TK2" s="83"/>
      <c r="TL2" s="83"/>
      <c r="TM2" s="83"/>
      <c r="TN2" s="83"/>
      <c r="TO2" s="83"/>
      <c r="TP2" s="83"/>
      <c r="TQ2" s="83"/>
      <c r="TR2" s="83"/>
      <c r="TS2" s="83"/>
      <c r="TT2" s="83"/>
      <c r="TU2" s="83"/>
      <c r="TV2" s="83"/>
      <c r="TW2" s="83"/>
      <c r="TX2" s="83"/>
      <c r="TY2" s="83"/>
      <c r="TZ2" s="83"/>
      <c r="UA2" s="83"/>
      <c r="UB2" s="83"/>
      <c r="UC2" s="83"/>
      <c r="UD2" s="83"/>
      <c r="UE2" s="83"/>
      <c r="UF2" s="83"/>
      <c r="UG2" s="83"/>
      <c r="UH2" s="83"/>
      <c r="UI2" s="83"/>
      <c r="UJ2" s="83"/>
      <c r="UK2" s="83"/>
      <c r="UL2" s="83"/>
      <c r="UM2" s="83"/>
      <c r="UN2" s="83"/>
      <c r="UO2" s="83"/>
      <c r="UP2" s="83"/>
      <c r="UQ2" s="83"/>
      <c r="UR2" s="83"/>
      <c r="US2" s="83"/>
      <c r="UT2" s="83"/>
      <c r="UU2" s="83"/>
      <c r="UV2" s="83"/>
      <c r="UW2" s="83"/>
      <c r="UX2" s="83"/>
      <c r="UY2" s="83"/>
      <c r="UZ2" s="83"/>
      <c r="VA2" s="83"/>
      <c r="VB2" s="83"/>
      <c r="VC2" s="83"/>
      <c r="VD2" s="83"/>
      <c r="VE2" s="83"/>
      <c r="VF2" s="83"/>
      <c r="VG2" s="83"/>
      <c r="VH2" s="83"/>
      <c r="VI2" s="83"/>
      <c r="VJ2" s="83"/>
      <c r="VK2" s="83"/>
      <c r="VL2" s="83"/>
      <c r="VM2" s="83"/>
      <c r="VN2" s="83"/>
      <c r="VO2" s="83"/>
      <c r="VP2" s="83"/>
      <c r="VQ2" s="83"/>
      <c r="VR2" s="83"/>
      <c r="VS2" s="83"/>
      <c r="VT2" s="83"/>
      <c r="VU2" s="83"/>
      <c r="VV2" s="83"/>
      <c r="VW2" s="83"/>
      <c r="VX2" s="83"/>
      <c r="VY2" s="83"/>
      <c r="VZ2" s="83"/>
      <c r="WA2" s="83"/>
      <c r="WB2" s="83"/>
      <c r="WC2" s="83"/>
      <c r="WD2" s="83"/>
      <c r="WE2" s="83"/>
      <c r="WF2" s="83"/>
    </row>
    <row r="3" spans="1:604" ht="17.25" customHeight="1" x14ac:dyDescent="0.3">
      <c r="A3" s="25" t="e">
        <f>IF(契約詳細價目表!A3="",NA(),契約詳細價目表!A3)</f>
        <v>#N/A</v>
      </c>
      <c r="B3" s="26" t="e">
        <f>IF(契約詳細價目表!B3="",NA(),契約詳細價目表!B3)</f>
        <v>#N/A</v>
      </c>
      <c r="C3" s="25" t="e">
        <f>IF(契約詳細價目表!C3="",NA(),契約詳細價目表!C3)</f>
        <v>#N/A</v>
      </c>
      <c r="D3" s="27" t="e">
        <f>IF(契約詳細價目表!D3="",NA(),契約詳細價目表!D3)</f>
        <v>#N/A</v>
      </c>
      <c r="E3" s="28" t="e">
        <f>IF(契約詳細價目表!E3="",NA(),契約詳細價目表!E3)</f>
        <v>#N/A</v>
      </c>
      <c r="F3" s="28">
        <f>IF(契約詳細價目表!F3="",NA(),契約詳細價目表!F3)</f>
        <v>0</v>
      </c>
      <c r="G3" s="27">
        <f t="shared" ref="G3:G37" si="536">SUM($J3:$ACH3)</f>
        <v>0</v>
      </c>
      <c r="H3" s="28" t="e">
        <f t="shared" ref="H3:H32" si="537">ROUND($G3*$E3,0)</f>
        <v>#N/A</v>
      </c>
      <c r="I3" s="47" t="e">
        <f t="shared" si="535"/>
        <v>#N/A</v>
      </c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  <c r="DF3" s="85"/>
      <c r="DG3" s="85"/>
      <c r="DH3" s="85"/>
      <c r="DI3" s="85"/>
      <c r="DJ3" s="85"/>
      <c r="DK3" s="85"/>
      <c r="DL3" s="85"/>
      <c r="DM3" s="85"/>
      <c r="DN3" s="85"/>
      <c r="DO3" s="85"/>
      <c r="DP3" s="85"/>
      <c r="DQ3" s="85"/>
      <c r="DR3" s="85"/>
      <c r="DS3" s="85"/>
      <c r="DT3" s="85"/>
      <c r="DU3" s="85"/>
      <c r="DV3" s="85"/>
      <c r="DW3" s="85"/>
      <c r="DX3" s="85"/>
      <c r="DY3" s="85"/>
      <c r="DZ3" s="85"/>
      <c r="EA3" s="85"/>
      <c r="EB3" s="85"/>
      <c r="EC3" s="85"/>
      <c r="ED3" s="85"/>
      <c r="EE3" s="85"/>
      <c r="EF3" s="85"/>
      <c r="EG3" s="85"/>
      <c r="EH3" s="85"/>
      <c r="EI3" s="85"/>
      <c r="EJ3" s="85"/>
      <c r="EK3" s="85"/>
      <c r="EL3" s="85"/>
      <c r="EM3" s="85"/>
      <c r="EN3" s="85"/>
      <c r="EO3" s="85"/>
      <c r="EP3" s="85"/>
      <c r="EQ3" s="85"/>
      <c r="ER3" s="85"/>
      <c r="ES3" s="85"/>
      <c r="ET3" s="85"/>
      <c r="EU3" s="85"/>
      <c r="EV3" s="85"/>
      <c r="EW3" s="85"/>
      <c r="EX3" s="85"/>
      <c r="EY3" s="85"/>
      <c r="EZ3" s="85"/>
      <c r="FA3" s="85"/>
      <c r="FB3" s="85"/>
      <c r="FC3" s="85"/>
      <c r="FD3" s="85"/>
      <c r="FE3" s="85"/>
      <c r="FF3" s="85"/>
      <c r="FG3" s="85"/>
      <c r="FH3" s="85"/>
      <c r="FI3" s="85"/>
      <c r="FJ3" s="85"/>
      <c r="FK3" s="85"/>
      <c r="FL3" s="85"/>
      <c r="FM3" s="85"/>
      <c r="FN3" s="85"/>
      <c r="FO3" s="85"/>
      <c r="FP3" s="85"/>
      <c r="FQ3" s="85"/>
      <c r="FR3" s="85"/>
      <c r="FS3" s="85"/>
      <c r="FT3" s="85"/>
      <c r="FU3" s="83"/>
      <c r="FV3" s="83"/>
      <c r="FW3" s="83"/>
      <c r="FX3" s="83"/>
      <c r="FY3" s="83"/>
      <c r="FZ3" s="83"/>
      <c r="GA3" s="83"/>
      <c r="GB3" s="83"/>
      <c r="GC3" s="83"/>
      <c r="GD3" s="83"/>
      <c r="GE3" s="83"/>
      <c r="GF3" s="83"/>
      <c r="GG3" s="83"/>
      <c r="GH3" s="83"/>
      <c r="GI3" s="83"/>
      <c r="GJ3" s="83"/>
      <c r="GK3" s="83"/>
      <c r="GL3" s="83"/>
      <c r="GM3" s="83"/>
      <c r="GN3" s="83"/>
      <c r="GO3" s="83"/>
      <c r="GP3" s="83"/>
      <c r="GQ3" s="83"/>
      <c r="GR3" s="83"/>
      <c r="GS3" s="83"/>
      <c r="GT3" s="83"/>
      <c r="GU3" s="83"/>
      <c r="GV3" s="83"/>
      <c r="GW3" s="83"/>
      <c r="GX3" s="83"/>
      <c r="GY3" s="83"/>
      <c r="GZ3" s="83"/>
      <c r="HA3" s="83"/>
      <c r="HB3" s="83"/>
      <c r="HC3" s="83"/>
      <c r="HD3" s="83"/>
      <c r="HE3" s="83"/>
      <c r="HF3" s="83"/>
      <c r="HG3" s="83"/>
      <c r="HH3" s="83"/>
      <c r="HI3" s="83"/>
      <c r="HJ3" s="83"/>
      <c r="HK3" s="83"/>
      <c r="HL3" s="83"/>
      <c r="HM3" s="83"/>
      <c r="HN3" s="83"/>
      <c r="HO3" s="83"/>
      <c r="HP3" s="83"/>
      <c r="HQ3" s="83"/>
      <c r="HR3" s="83"/>
      <c r="HS3" s="83"/>
      <c r="HT3" s="83"/>
      <c r="HU3" s="83"/>
      <c r="HV3" s="83"/>
      <c r="HW3" s="83"/>
      <c r="HX3" s="83"/>
      <c r="HY3" s="83"/>
      <c r="HZ3" s="83"/>
      <c r="IA3" s="83"/>
      <c r="IB3" s="83"/>
      <c r="IC3" s="83"/>
      <c r="ID3" s="83"/>
      <c r="IE3" s="83"/>
      <c r="IF3" s="83"/>
      <c r="IG3" s="83"/>
      <c r="IH3" s="83"/>
      <c r="II3" s="83"/>
      <c r="IJ3" s="83"/>
      <c r="IK3" s="83"/>
      <c r="IL3" s="83"/>
      <c r="IM3" s="83"/>
      <c r="IN3" s="83"/>
      <c r="IO3" s="83"/>
      <c r="IP3" s="83"/>
      <c r="IQ3" s="83"/>
      <c r="IR3" s="83"/>
      <c r="IS3" s="83"/>
      <c r="IT3" s="83"/>
      <c r="IU3" s="83"/>
      <c r="IV3" s="83"/>
      <c r="IW3" s="83"/>
      <c r="IX3" s="83"/>
      <c r="IY3" s="83"/>
      <c r="IZ3" s="83"/>
      <c r="JA3" s="83"/>
      <c r="JB3" s="83"/>
      <c r="JC3" s="83"/>
      <c r="JD3" s="83"/>
      <c r="JE3" s="83"/>
      <c r="JF3" s="83"/>
      <c r="JG3" s="83"/>
      <c r="JH3" s="83"/>
      <c r="JI3" s="83"/>
      <c r="JJ3" s="83"/>
      <c r="JK3" s="83"/>
      <c r="JL3" s="83"/>
      <c r="JM3" s="83"/>
      <c r="JN3" s="83"/>
      <c r="JO3" s="83"/>
      <c r="JP3" s="83"/>
      <c r="JQ3" s="83"/>
      <c r="JR3" s="83"/>
      <c r="JS3" s="83"/>
      <c r="JT3" s="83"/>
      <c r="JU3" s="83"/>
      <c r="JV3" s="83"/>
      <c r="JW3" s="83"/>
      <c r="JX3" s="83"/>
      <c r="JY3" s="83"/>
      <c r="JZ3" s="83"/>
      <c r="KA3" s="83"/>
      <c r="KB3" s="83"/>
      <c r="KC3" s="83"/>
      <c r="KD3" s="83"/>
      <c r="KE3" s="83"/>
      <c r="KF3" s="83"/>
      <c r="KG3" s="83"/>
      <c r="KH3" s="83"/>
      <c r="KI3" s="83"/>
      <c r="KJ3" s="83"/>
      <c r="KK3" s="83"/>
      <c r="KL3" s="83"/>
      <c r="KM3" s="83"/>
      <c r="KN3" s="83"/>
      <c r="KO3" s="83"/>
      <c r="KP3" s="83"/>
      <c r="KQ3" s="83"/>
      <c r="KR3" s="83"/>
      <c r="KS3" s="83"/>
      <c r="KT3" s="83"/>
      <c r="KU3" s="83"/>
      <c r="KV3" s="83"/>
      <c r="KW3" s="83"/>
      <c r="KX3" s="83"/>
      <c r="KY3" s="83"/>
      <c r="KZ3" s="83"/>
      <c r="LA3" s="83"/>
      <c r="LB3" s="83"/>
      <c r="LC3" s="83"/>
      <c r="LD3" s="83"/>
      <c r="LE3" s="83"/>
      <c r="LF3" s="83"/>
      <c r="LG3" s="83"/>
      <c r="LH3" s="83"/>
      <c r="LI3" s="83"/>
      <c r="LJ3" s="83"/>
      <c r="LK3" s="83"/>
      <c r="LL3" s="83"/>
      <c r="LM3" s="83"/>
      <c r="LN3" s="83"/>
      <c r="LO3" s="83"/>
      <c r="LP3" s="83"/>
      <c r="LQ3" s="83"/>
      <c r="LR3" s="83"/>
      <c r="LS3" s="83"/>
      <c r="LT3" s="83"/>
      <c r="LU3" s="83"/>
      <c r="LV3" s="83"/>
      <c r="LW3" s="83"/>
      <c r="LX3" s="83"/>
      <c r="LY3" s="83"/>
      <c r="LZ3" s="83"/>
      <c r="MA3" s="83"/>
      <c r="MB3" s="83"/>
      <c r="MC3" s="83"/>
      <c r="MD3" s="83"/>
      <c r="ME3" s="83"/>
      <c r="MF3" s="83"/>
      <c r="MG3" s="83"/>
      <c r="MH3" s="83"/>
      <c r="MI3" s="83"/>
      <c r="MJ3" s="83"/>
      <c r="MK3" s="83"/>
      <c r="ML3" s="83"/>
      <c r="MM3" s="83"/>
      <c r="MN3" s="83"/>
      <c r="MO3" s="83"/>
      <c r="MP3" s="83"/>
      <c r="MQ3" s="83"/>
      <c r="MR3" s="83"/>
      <c r="MS3" s="83"/>
      <c r="MT3" s="83"/>
      <c r="MU3" s="83"/>
      <c r="MV3" s="83"/>
      <c r="MW3" s="83"/>
      <c r="MX3" s="83"/>
      <c r="MY3" s="83"/>
      <c r="MZ3" s="83"/>
      <c r="NA3" s="83"/>
      <c r="NB3" s="83"/>
      <c r="NC3" s="83"/>
      <c r="ND3" s="83"/>
      <c r="NE3" s="83"/>
      <c r="NF3" s="83"/>
      <c r="NG3" s="83"/>
      <c r="NH3" s="83"/>
      <c r="NI3" s="83"/>
      <c r="NJ3" s="83"/>
      <c r="NK3" s="83"/>
      <c r="NL3" s="83"/>
      <c r="NM3" s="83"/>
      <c r="NN3" s="83"/>
      <c r="NO3" s="83"/>
      <c r="NP3" s="83"/>
      <c r="NQ3" s="83"/>
      <c r="NR3" s="83"/>
      <c r="NS3" s="83"/>
      <c r="NT3" s="83"/>
      <c r="NU3" s="83"/>
      <c r="NV3" s="83"/>
      <c r="NW3" s="83"/>
      <c r="NX3" s="83"/>
      <c r="NY3" s="83"/>
      <c r="NZ3" s="83"/>
      <c r="OA3" s="83"/>
      <c r="OB3" s="83"/>
      <c r="OC3" s="83"/>
      <c r="OD3" s="83"/>
      <c r="OE3" s="83"/>
      <c r="OF3" s="83"/>
      <c r="OG3" s="83"/>
      <c r="OH3" s="83"/>
      <c r="OI3" s="83"/>
      <c r="OJ3" s="83"/>
      <c r="OK3" s="83"/>
      <c r="OL3" s="83"/>
      <c r="OM3" s="83"/>
      <c r="ON3" s="83"/>
      <c r="OO3" s="83"/>
      <c r="OP3" s="83"/>
      <c r="OQ3" s="83"/>
      <c r="OR3" s="83"/>
      <c r="OS3" s="83"/>
      <c r="OT3" s="83"/>
      <c r="OU3" s="83"/>
      <c r="OV3" s="83"/>
      <c r="OW3" s="83"/>
      <c r="OX3" s="83"/>
      <c r="OY3" s="83"/>
      <c r="OZ3" s="83"/>
      <c r="PA3" s="83"/>
      <c r="PB3" s="83"/>
      <c r="PC3" s="83"/>
      <c r="PD3" s="83"/>
      <c r="PE3" s="83"/>
      <c r="PF3" s="83"/>
      <c r="PG3" s="83"/>
      <c r="PH3" s="83"/>
      <c r="PI3" s="83"/>
      <c r="PJ3" s="83"/>
      <c r="PK3" s="83"/>
      <c r="PL3" s="83"/>
      <c r="PM3" s="83"/>
      <c r="PN3" s="83"/>
      <c r="PO3" s="83"/>
      <c r="PP3" s="83"/>
      <c r="PQ3" s="83"/>
      <c r="PR3" s="83"/>
      <c r="PS3" s="83"/>
      <c r="PT3" s="83"/>
      <c r="PU3" s="83"/>
      <c r="PV3" s="83"/>
      <c r="PW3" s="83"/>
      <c r="PX3" s="83"/>
      <c r="PY3" s="83"/>
      <c r="PZ3" s="83"/>
      <c r="QA3" s="83"/>
      <c r="QB3" s="83"/>
      <c r="QC3" s="83"/>
      <c r="QD3" s="83"/>
      <c r="QE3" s="83"/>
      <c r="QF3" s="83"/>
      <c r="QG3" s="83"/>
      <c r="QH3" s="83"/>
      <c r="QI3" s="83"/>
      <c r="QJ3" s="83"/>
      <c r="QK3" s="83"/>
      <c r="QL3" s="83"/>
      <c r="QM3" s="83"/>
      <c r="QN3" s="83"/>
      <c r="QO3" s="83"/>
      <c r="QP3" s="83"/>
      <c r="QQ3" s="83"/>
      <c r="QR3" s="83"/>
      <c r="QS3" s="83"/>
      <c r="QT3" s="83"/>
      <c r="QU3" s="83"/>
      <c r="QV3" s="83"/>
      <c r="QW3" s="83"/>
      <c r="QX3" s="83"/>
      <c r="QY3" s="83"/>
      <c r="QZ3" s="83"/>
      <c r="RA3" s="83"/>
      <c r="RB3" s="83"/>
      <c r="RC3" s="83"/>
      <c r="RD3" s="83"/>
      <c r="RE3" s="83"/>
      <c r="RF3" s="83"/>
      <c r="RG3" s="83"/>
      <c r="RH3" s="83"/>
      <c r="RI3" s="83"/>
      <c r="RJ3" s="83"/>
      <c r="RK3" s="83"/>
      <c r="RL3" s="83"/>
      <c r="RM3" s="83"/>
      <c r="RN3" s="83"/>
      <c r="RO3" s="83"/>
      <c r="RP3" s="83"/>
      <c r="RQ3" s="83"/>
      <c r="RR3" s="83"/>
      <c r="RS3" s="83"/>
      <c r="RT3" s="83"/>
      <c r="RU3" s="83"/>
      <c r="RV3" s="83"/>
      <c r="RW3" s="83"/>
      <c r="RX3" s="83"/>
      <c r="RY3" s="83"/>
      <c r="RZ3" s="83"/>
      <c r="SA3" s="83"/>
      <c r="SB3" s="83"/>
      <c r="SC3" s="83"/>
      <c r="SD3" s="83"/>
      <c r="SE3" s="83"/>
      <c r="SF3" s="83"/>
      <c r="SG3" s="83"/>
      <c r="SH3" s="83"/>
      <c r="SI3" s="83"/>
      <c r="SJ3" s="83"/>
      <c r="SK3" s="83"/>
      <c r="SL3" s="83"/>
      <c r="SM3" s="83"/>
      <c r="SN3" s="83"/>
      <c r="SO3" s="83"/>
      <c r="SP3" s="83"/>
      <c r="SQ3" s="83"/>
      <c r="SR3" s="83"/>
      <c r="SS3" s="83"/>
      <c r="ST3" s="83"/>
      <c r="SU3" s="83"/>
      <c r="SV3" s="83"/>
      <c r="SW3" s="83"/>
      <c r="SX3" s="83"/>
      <c r="SY3" s="83"/>
      <c r="SZ3" s="83"/>
      <c r="TA3" s="83"/>
      <c r="TB3" s="83"/>
      <c r="TC3" s="83"/>
      <c r="TD3" s="83"/>
      <c r="TE3" s="83"/>
      <c r="TF3" s="83"/>
      <c r="TG3" s="83"/>
      <c r="TH3" s="83"/>
      <c r="TI3" s="83"/>
      <c r="TJ3" s="83"/>
      <c r="TK3" s="83"/>
      <c r="TL3" s="83"/>
      <c r="TM3" s="83"/>
      <c r="TN3" s="83"/>
      <c r="TO3" s="83"/>
      <c r="TP3" s="83"/>
      <c r="TQ3" s="83"/>
      <c r="TR3" s="83"/>
      <c r="TS3" s="83"/>
      <c r="TT3" s="83"/>
      <c r="TU3" s="83"/>
      <c r="TV3" s="83"/>
      <c r="TW3" s="83"/>
      <c r="TX3" s="83"/>
      <c r="TY3" s="83"/>
      <c r="TZ3" s="83"/>
      <c r="UA3" s="83"/>
      <c r="UB3" s="83"/>
      <c r="UC3" s="83"/>
      <c r="UD3" s="83"/>
      <c r="UE3" s="83"/>
      <c r="UF3" s="83"/>
      <c r="UG3" s="83"/>
      <c r="UH3" s="83"/>
      <c r="UI3" s="83"/>
      <c r="UJ3" s="83"/>
      <c r="UK3" s="83"/>
      <c r="UL3" s="83"/>
      <c r="UM3" s="83"/>
      <c r="UN3" s="83"/>
      <c r="UO3" s="83"/>
      <c r="UP3" s="83"/>
      <c r="UQ3" s="83"/>
      <c r="UR3" s="83"/>
      <c r="US3" s="83"/>
      <c r="UT3" s="83"/>
      <c r="UU3" s="83"/>
      <c r="UV3" s="83"/>
      <c r="UW3" s="83"/>
      <c r="UX3" s="83"/>
      <c r="UY3" s="83"/>
      <c r="UZ3" s="83"/>
      <c r="VA3" s="83"/>
      <c r="VB3" s="83"/>
      <c r="VC3" s="83"/>
      <c r="VD3" s="83"/>
      <c r="VE3" s="83"/>
      <c r="VF3" s="83"/>
      <c r="VG3" s="83"/>
      <c r="VH3" s="83"/>
      <c r="VI3" s="83"/>
      <c r="VJ3" s="83"/>
      <c r="VK3" s="83"/>
      <c r="VL3" s="83"/>
      <c r="VM3" s="83"/>
      <c r="VN3" s="83"/>
      <c r="VO3" s="83"/>
      <c r="VP3" s="83"/>
      <c r="VQ3" s="83"/>
      <c r="VR3" s="83"/>
      <c r="VS3" s="83"/>
      <c r="VT3" s="83"/>
      <c r="VU3" s="83"/>
      <c r="VV3" s="83"/>
      <c r="VW3" s="83"/>
      <c r="VX3" s="83"/>
      <c r="VY3" s="83"/>
      <c r="VZ3" s="83"/>
      <c r="WA3" s="83"/>
      <c r="WB3" s="83"/>
      <c r="WC3" s="83"/>
      <c r="WD3" s="83"/>
      <c r="WE3" s="83"/>
      <c r="WF3" s="83"/>
    </row>
    <row r="4" spans="1:604" ht="17.25" customHeight="1" x14ac:dyDescent="0.3">
      <c r="A4" s="25" t="e">
        <f>IF(契約詳細價目表!A4="",NA(),契約詳細價目表!A4)</f>
        <v>#N/A</v>
      </c>
      <c r="B4" s="26" t="e">
        <f>IF(契約詳細價目表!B4="",NA(),契約詳細價目表!B4)</f>
        <v>#N/A</v>
      </c>
      <c r="C4" s="25" t="e">
        <f>IF(契約詳細價目表!C4="",NA(),契約詳細價目表!C4)</f>
        <v>#N/A</v>
      </c>
      <c r="D4" s="27" t="e">
        <f>IF(契約詳細價目表!D4="",NA(),契約詳細價目表!D4)</f>
        <v>#N/A</v>
      </c>
      <c r="E4" s="28" t="e">
        <f>IF(契約詳細價目表!E4="",NA(),契約詳細價目表!E4)</f>
        <v>#N/A</v>
      </c>
      <c r="F4" s="28">
        <f>IF(契約詳細價目表!F4="",NA(),契約詳細價目表!F4)</f>
        <v>0</v>
      </c>
      <c r="G4" s="27">
        <f t="shared" si="536"/>
        <v>0</v>
      </c>
      <c r="H4" s="28" t="e">
        <f t="shared" si="537"/>
        <v>#N/A</v>
      </c>
      <c r="I4" s="47" t="e">
        <f t="shared" si="535"/>
        <v>#N/A</v>
      </c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  <c r="DF4" s="85"/>
      <c r="DG4" s="85"/>
      <c r="DH4" s="85"/>
      <c r="DI4" s="85"/>
      <c r="DJ4" s="85"/>
      <c r="DK4" s="85"/>
      <c r="DL4" s="85"/>
      <c r="DM4" s="85"/>
      <c r="DN4" s="85"/>
      <c r="DO4" s="85"/>
      <c r="DP4" s="85"/>
      <c r="DQ4" s="85"/>
      <c r="DR4" s="85"/>
      <c r="DS4" s="85"/>
      <c r="DT4" s="85"/>
      <c r="DU4" s="85"/>
      <c r="DV4" s="85"/>
      <c r="DW4" s="85"/>
      <c r="DX4" s="85"/>
      <c r="DY4" s="85"/>
      <c r="DZ4" s="85"/>
      <c r="EA4" s="85"/>
      <c r="EB4" s="85"/>
      <c r="EC4" s="85"/>
      <c r="ED4" s="85"/>
      <c r="EE4" s="85"/>
      <c r="EF4" s="85"/>
      <c r="EG4" s="85"/>
      <c r="EH4" s="85"/>
      <c r="EI4" s="85"/>
      <c r="EJ4" s="85"/>
      <c r="EK4" s="85"/>
      <c r="EL4" s="85"/>
      <c r="EM4" s="85"/>
      <c r="EN4" s="85"/>
      <c r="EO4" s="85"/>
      <c r="EP4" s="85"/>
      <c r="EQ4" s="85"/>
      <c r="ER4" s="85"/>
      <c r="ES4" s="85"/>
      <c r="ET4" s="85"/>
      <c r="EU4" s="85"/>
      <c r="EV4" s="85"/>
      <c r="EW4" s="85"/>
      <c r="EX4" s="85"/>
      <c r="EY4" s="85"/>
      <c r="EZ4" s="85"/>
      <c r="FA4" s="85"/>
      <c r="FB4" s="85"/>
      <c r="FC4" s="85"/>
      <c r="FD4" s="85"/>
      <c r="FE4" s="85"/>
      <c r="FF4" s="85"/>
      <c r="FG4" s="85"/>
      <c r="FH4" s="85"/>
      <c r="FI4" s="85"/>
      <c r="FJ4" s="85"/>
      <c r="FK4" s="85"/>
      <c r="FL4" s="85"/>
      <c r="FM4" s="85"/>
      <c r="FN4" s="85"/>
      <c r="FO4" s="85"/>
      <c r="FP4" s="85"/>
      <c r="FQ4" s="85"/>
      <c r="FR4" s="85"/>
      <c r="FS4" s="85"/>
      <c r="FT4" s="85"/>
      <c r="FU4" s="83"/>
      <c r="FV4" s="83"/>
      <c r="FW4" s="83"/>
      <c r="FX4" s="83"/>
      <c r="FY4" s="83"/>
      <c r="FZ4" s="83"/>
      <c r="GA4" s="83"/>
      <c r="GB4" s="83"/>
      <c r="GC4" s="83"/>
      <c r="GD4" s="83"/>
      <c r="GE4" s="83"/>
      <c r="GF4" s="83"/>
      <c r="GG4" s="83"/>
      <c r="GH4" s="83"/>
      <c r="GI4" s="83"/>
      <c r="GJ4" s="83"/>
      <c r="GK4" s="83"/>
      <c r="GL4" s="83"/>
      <c r="GM4" s="83"/>
      <c r="GN4" s="83"/>
      <c r="GO4" s="83"/>
      <c r="GP4" s="83"/>
      <c r="GQ4" s="83"/>
      <c r="GR4" s="83"/>
      <c r="GS4" s="83"/>
      <c r="GT4" s="83"/>
      <c r="GU4" s="83"/>
      <c r="GV4" s="83"/>
      <c r="GW4" s="83"/>
      <c r="GX4" s="83"/>
      <c r="GY4" s="83"/>
      <c r="GZ4" s="83"/>
      <c r="HA4" s="83"/>
      <c r="HB4" s="83"/>
      <c r="HC4" s="83"/>
      <c r="HD4" s="83"/>
      <c r="HE4" s="83"/>
      <c r="HF4" s="83"/>
      <c r="HG4" s="83"/>
      <c r="HH4" s="83"/>
      <c r="HI4" s="83"/>
      <c r="HJ4" s="83"/>
      <c r="HK4" s="83"/>
      <c r="HL4" s="83"/>
      <c r="HM4" s="83"/>
      <c r="HN4" s="83"/>
      <c r="HO4" s="83"/>
      <c r="HP4" s="83"/>
      <c r="HQ4" s="83"/>
      <c r="HR4" s="83"/>
      <c r="HS4" s="83"/>
      <c r="HT4" s="83"/>
      <c r="HU4" s="83"/>
      <c r="HV4" s="83"/>
      <c r="HW4" s="83"/>
      <c r="HX4" s="83"/>
      <c r="HY4" s="83"/>
      <c r="HZ4" s="83"/>
      <c r="IA4" s="83"/>
      <c r="IB4" s="83"/>
      <c r="IC4" s="83"/>
      <c r="ID4" s="83"/>
      <c r="IE4" s="83"/>
      <c r="IF4" s="83"/>
      <c r="IG4" s="83"/>
      <c r="IH4" s="83"/>
      <c r="II4" s="83"/>
      <c r="IJ4" s="83"/>
      <c r="IK4" s="83"/>
      <c r="IL4" s="83"/>
      <c r="IM4" s="83"/>
      <c r="IN4" s="83"/>
      <c r="IO4" s="83"/>
      <c r="IP4" s="83"/>
      <c r="IQ4" s="83"/>
      <c r="IR4" s="83"/>
      <c r="IS4" s="83"/>
      <c r="IT4" s="83"/>
      <c r="IU4" s="83"/>
      <c r="IV4" s="83"/>
      <c r="IW4" s="83"/>
      <c r="IX4" s="83"/>
      <c r="IY4" s="83"/>
      <c r="IZ4" s="83"/>
      <c r="JA4" s="83"/>
      <c r="JB4" s="83"/>
      <c r="JC4" s="83"/>
      <c r="JD4" s="83"/>
      <c r="JE4" s="83"/>
      <c r="JF4" s="83"/>
      <c r="JG4" s="83"/>
      <c r="JH4" s="83"/>
      <c r="JI4" s="83"/>
      <c r="JJ4" s="83"/>
      <c r="JK4" s="83"/>
      <c r="JL4" s="83"/>
      <c r="JM4" s="83"/>
      <c r="JN4" s="83"/>
      <c r="JO4" s="83"/>
      <c r="JP4" s="83"/>
      <c r="JQ4" s="83"/>
      <c r="JR4" s="83"/>
      <c r="JS4" s="83"/>
      <c r="JT4" s="83"/>
      <c r="JU4" s="83"/>
      <c r="JV4" s="83"/>
      <c r="JW4" s="83"/>
      <c r="JX4" s="83"/>
      <c r="JY4" s="83"/>
      <c r="JZ4" s="83"/>
      <c r="KA4" s="83"/>
      <c r="KB4" s="83"/>
      <c r="KC4" s="83"/>
      <c r="KD4" s="83"/>
      <c r="KE4" s="83"/>
      <c r="KF4" s="83"/>
      <c r="KG4" s="83"/>
      <c r="KH4" s="83"/>
      <c r="KI4" s="83"/>
      <c r="KJ4" s="83"/>
      <c r="KK4" s="83"/>
      <c r="KL4" s="83"/>
      <c r="KM4" s="83"/>
      <c r="KN4" s="83"/>
      <c r="KO4" s="83"/>
      <c r="KP4" s="83"/>
      <c r="KQ4" s="83"/>
      <c r="KR4" s="83"/>
      <c r="KS4" s="83"/>
      <c r="KT4" s="83"/>
      <c r="KU4" s="83"/>
      <c r="KV4" s="83"/>
      <c r="KW4" s="83"/>
      <c r="KX4" s="83"/>
      <c r="KY4" s="83"/>
      <c r="KZ4" s="83"/>
      <c r="LA4" s="83"/>
      <c r="LB4" s="83"/>
      <c r="LC4" s="83"/>
      <c r="LD4" s="83"/>
      <c r="LE4" s="83"/>
      <c r="LF4" s="83"/>
      <c r="LG4" s="83"/>
      <c r="LH4" s="83"/>
      <c r="LI4" s="83"/>
      <c r="LJ4" s="83"/>
      <c r="LK4" s="83"/>
      <c r="LL4" s="83"/>
      <c r="LM4" s="83"/>
      <c r="LN4" s="83"/>
      <c r="LO4" s="83"/>
      <c r="LP4" s="83"/>
      <c r="LQ4" s="83"/>
      <c r="LR4" s="83"/>
      <c r="LS4" s="83"/>
      <c r="LT4" s="83"/>
      <c r="LU4" s="83"/>
      <c r="LV4" s="83"/>
      <c r="LW4" s="83"/>
      <c r="LX4" s="83"/>
      <c r="LY4" s="83"/>
      <c r="LZ4" s="83"/>
      <c r="MA4" s="83"/>
      <c r="MB4" s="83"/>
      <c r="MC4" s="83"/>
      <c r="MD4" s="83"/>
      <c r="ME4" s="83"/>
      <c r="MF4" s="83"/>
      <c r="MG4" s="83"/>
      <c r="MH4" s="83"/>
      <c r="MI4" s="83"/>
      <c r="MJ4" s="83"/>
      <c r="MK4" s="83"/>
      <c r="ML4" s="83"/>
      <c r="MM4" s="83"/>
      <c r="MN4" s="83"/>
      <c r="MO4" s="83"/>
      <c r="MP4" s="83"/>
      <c r="MQ4" s="83"/>
      <c r="MR4" s="83"/>
      <c r="MS4" s="83"/>
      <c r="MT4" s="83"/>
      <c r="MU4" s="83"/>
      <c r="MV4" s="83"/>
      <c r="MW4" s="83"/>
      <c r="MX4" s="83"/>
      <c r="MY4" s="83"/>
      <c r="MZ4" s="83"/>
      <c r="NA4" s="83"/>
      <c r="NB4" s="83"/>
      <c r="NC4" s="83"/>
      <c r="ND4" s="83"/>
      <c r="NE4" s="83"/>
      <c r="NF4" s="83"/>
      <c r="NG4" s="83"/>
      <c r="NH4" s="83"/>
      <c r="NI4" s="83"/>
      <c r="NJ4" s="83"/>
      <c r="NK4" s="83"/>
      <c r="NL4" s="83"/>
      <c r="NM4" s="83"/>
      <c r="NN4" s="83"/>
      <c r="NO4" s="83"/>
      <c r="NP4" s="83"/>
      <c r="NQ4" s="83"/>
      <c r="NR4" s="83"/>
      <c r="NS4" s="83"/>
      <c r="NT4" s="83"/>
      <c r="NU4" s="83"/>
      <c r="NV4" s="83"/>
      <c r="NW4" s="83"/>
      <c r="NX4" s="83"/>
      <c r="NY4" s="83"/>
      <c r="NZ4" s="83"/>
      <c r="OA4" s="83"/>
      <c r="OB4" s="83"/>
      <c r="OC4" s="83"/>
      <c r="OD4" s="83"/>
      <c r="OE4" s="83"/>
      <c r="OF4" s="83"/>
      <c r="OG4" s="83"/>
      <c r="OH4" s="83"/>
      <c r="OI4" s="83"/>
      <c r="OJ4" s="83"/>
      <c r="OK4" s="83"/>
      <c r="OL4" s="83"/>
      <c r="OM4" s="83"/>
      <c r="ON4" s="83"/>
      <c r="OO4" s="83"/>
      <c r="OP4" s="83"/>
      <c r="OQ4" s="83"/>
      <c r="OR4" s="83"/>
      <c r="OS4" s="83"/>
      <c r="OT4" s="83"/>
      <c r="OU4" s="83"/>
      <c r="OV4" s="83"/>
      <c r="OW4" s="83"/>
      <c r="OX4" s="83"/>
      <c r="OY4" s="83"/>
      <c r="OZ4" s="83"/>
      <c r="PA4" s="83"/>
      <c r="PB4" s="83"/>
      <c r="PC4" s="83"/>
      <c r="PD4" s="83"/>
      <c r="PE4" s="83"/>
      <c r="PF4" s="83"/>
      <c r="PG4" s="83"/>
      <c r="PH4" s="83"/>
      <c r="PI4" s="83"/>
      <c r="PJ4" s="83"/>
      <c r="PK4" s="83"/>
      <c r="PL4" s="83"/>
      <c r="PM4" s="83"/>
      <c r="PN4" s="83"/>
      <c r="PO4" s="83"/>
      <c r="PP4" s="83"/>
      <c r="PQ4" s="83"/>
      <c r="PR4" s="83"/>
      <c r="PS4" s="83"/>
      <c r="PT4" s="83"/>
      <c r="PU4" s="83"/>
      <c r="PV4" s="83"/>
      <c r="PW4" s="83"/>
      <c r="PX4" s="83"/>
      <c r="PY4" s="83"/>
      <c r="PZ4" s="83"/>
      <c r="QA4" s="83"/>
      <c r="QB4" s="83"/>
      <c r="QC4" s="83"/>
      <c r="QD4" s="83"/>
      <c r="QE4" s="83"/>
      <c r="QF4" s="83"/>
      <c r="QG4" s="83"/>
      <c r="QH4" s="83"/>
      <c r="QI4" s="83"/>
      <c r="QJ4" s="83"/>
      <c r="QK4" s="83"/>
      <c r="QL4" s="83"/>
      <c r="QM4" s="83"/>
      <c r="QN4" s="83"/>
      <c r="QO4" s="83"/>
      <c r="QP4" s="83"/>
      <c r="QQ4" s="83"/>
      <c r="QR4" s="83"/>
      <c r="QS4" s="83"/>
      <c r="QT4" s="83"/>
      <c r="QU4" s="83"/>
      <c r="QV4" s="83"/>
      <c r="QW4" s="83"/>
      <c r="QX4" s="83"/>
      <c r="QY4" s="83"/>
      <c r="QZ4" s="83"/>
      <c r="RA4" s="83"/>
      <c r="RB4" s="83"/>
      <c r="RC4" s="83"/>
      <c r="RD4" s="83"/>
      <c r="RE4" s="83"/>
      <c r="RF4" s="83"/>
      <c r="RG4" s="83"/>
      <c r="RH4" s="83"/>
      <c r="RI4" s="83"/>
      <c r="RJ4" s="83"/>
      <c r="RK4" s="83"/>
      <c r="RL4" s="83"/>
      <c r="RM4" s="83"/>
      <c r="RN4" s="83"/>
      <c r="RO4" s="83"/>
      <c r="RP4" s="83"/>
      <c r="RQ4" s="83"/>
      <c r="RR4" s="83"/>
      <c r="RS4" s="83"/>
      <c r="RT4" s="83"/>
      <c r="RU4" s="83"/>
      <c r="RV4" s="83"/>
      <c r="RW4" s="83"/>
      <c r="RX4" s="83"/>
      <c r="RY4" s="83"/>
      <c r="RZ4" s="83"/>
      <c r="SA4" s="83"/>
      <c r="SB4" s="83"/>
      <c r="SC4" s="83"/>
      <c r="SD4" s="83"/>
      <c r="SE4" s="83"/>
      <c r="SF4" s="83"/>
      <c r="SG4" s="83"/>
      <c r="SH4" s="83"/>
      <c r="SI4" s="83"/>
      <c r="SJ4" s="83"/>
      <c r="SK4" s="83"/>
      <c r="SL4" s="83"/>
      <c r="SM4" s="83"/>
      <c r="SN4" s="83"/>
      <c r="SO4" s="83"/>
      <c r="SP4" s="83"/>
      <c r="SQ4" s="83"/>
      <c r="SR4" s="83"/>
      <c r="SS4" s="83"/>
      <c r="ST4" s="83"/>
      <c r="SU4" s="83"/>
      <c r="SV4" s="83"/>
      <c r="SW4" s="83"/>
      <c r="SX4" s="83"/>
      <c r="SY4" s="83"/>
      <c r="SZ4" s="83"/>
      <c r="TA4" s="83"/>
      <c r="TB4" s="83"/>
      <c r="TC4" s="83"/>
      <c r="TD4" s="83"/>
      <c r="TE4" s="83"/>
      <c r="TF4" s="83"/>
      <c r="TG4" s="83"/>
      <c r="TH4" s="83"/>
      <c r="TI4" s="83"/>
      <c r="TJ4" s="83"/>
      <c r="TK4" s="83"/>
      <c r="TL4" s="83"/>
      <c r="TM4" s="83"/>
      <c r="TN4" s="83"/>
      <c r="TO4" s="83"/>
      <c r="TP4" s="83"/>
      <c r="TQ4" s="83"/>
      <c r="TR4" s="83"/>
      <c r="TS4" s="83"/>
      <c r="TT4" s="83"/>
      <c r="TU4" s="83"/>
      <c r="TV4" s="83"/>
      <c r="TW4" s="83"/>
      <c r="TX4" s="83"/>
      <c r="TY4" s="83"/>
      <c r="TZ4" s="83"/>
      <c r="UA4" s="83"/>
      <c r="UB4" s="83"/>
      <c r="UC4" s="83"/>
      <c r="UD4" s="83"/>
      <c r="UE4" s="83"/>
      <c r="UF4" s="83"/>
      <c r="UG4" s="83"/>
      <c r="UH4" s="83"/>
      <c r="UI4" s="83"/>
      <c r="UJ4" s="83"/>
      <c r="UK4" s="83"/>
      <c r="UL4" s="83"/>
      <c r="UM4" s="83"/>
      <c r="UN4" s="83"/>
      <c r="UO4" s="83"/>
      <c r="UP4" s="83"/>
      <c r="UQ4" s="83"/>
      <c r="UR4" s="83"/>
      <c r="US4" s="83"/>
      <c r="UT4" s="83"/>
      <c r="UU4" s="83"/>
      <c r="UV4" s="83"/>
      <c r="UW4" s="83"/>
      <c r="UX4" s="83"/>
      <c r="UY4" s="83"/>
      <c r="UZ4" s="83"/>
      <c r="VA4" s="83"/>
      <c r="VB4" s="83"/>
      <c r="VC4" s="83"/>
      <c r="VD4" s="83"/>
      <c r="VE4" s="83"/>
      <c r="VF4" s="83"/>
      <c r="VG4" s="83"/>
      <c r="VH4" s="83"/>
      <c r="VI4" s="83"/>
      <c r="VJ4" s="83"/>
      <c r="VK4" s="83"/>
      <c r="VL4" s="83"/>
      <c r="VM4" s="83"/>
      <c r="VN4" s="83"/>
      <c r="VO4" s="83"/>
      <c r="VP4" s="83"/>
      <c r="VQ4" s="83"/>
      <c r="VR4" s="83"/>
      <c r="VS4" s="83"/>
      <c r="VT4" s="83"/>
      <c r="VU4" s="83"/>
      <c r="VV4" s="83"/>
      <c r="VW4" s="83"/>
      <c r="VX4" s="83"/>
      <c r="VY4" s="83"/>
      <c r="VZ4" s="83"/>
      <c r="WA4" s="83"/>
      <c r="WB4" s="83"/>
      <c r="WC4" s="83"/>
      <c r="WD4" s="83"/>
      <c r="WE4" s="83"/>
      <c r="WF4" s="83"/>
    </row>
    <row r="5" spans="1:604" ht="24" customHeight="1" x14ac:dyDescent="0.3">
      <c r="A5" s="25" t="e">
        <f>IF(契約詳細價目表!A5="",NA(),契約詳細價目表!A5)</f>
        <v>#N/A</v>
      </c>
      <c r="B5" s="26" t="e">
        <f>IF(契約詳細價目表!B5="",NA(),契約詳細價目表!B5)</f>
        <v>#N/A</v>
      </c>
      <c r="C5" s="25" t="e">
        <f>IF(契約詳細價目表!C5="",NA(),契約詳細價目表!C5)</f>
        <v>#N/A</v>
      </c>
      <c r="D5" s="27" t="e">
        <f>IF(契約詳細價目表!D5="",NA(),契約詳細價目表!D5)</f>
        <v>#N/A</v>
      </c>
      <c r="E5" s="28" t="e">
        <f>IF(契約詳細價目表!E5="",NA(),契約詳細價目表!E5)</f>
        <v>#N/A</v>
      </c>
      <c r="F5" s="28">
        <f>IF(契約詳細價目表!F5="",NA(),契約詳細價目表!F5)</f>
        <v>0</v>
      </c>
      <c r="G5" s="27">
        <f t="shared" si="536"/>
        <v>0</v>
      </c>
      <c r="H5" s="28" t="e">
        <f t="shared" si="537"/>
        <v>#N/A</v>
      </c>
      <c r="I5" s="47" t="e">
        <f t="shared" si="535"/>
        <v>#N/A</v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  <c r="FB5" s="85"/>
      <c r="FC5" s="85"/>
      <c r="FD5" s="85"/>
      <c r="FE5" s="85"/>
      <c r="FF5" s="85"/>
      <c r="FG5" s="85"/>
      <c r="FH5" s="85"/>
      <c r="FI5" s="85"/>
      <c r="FJ5" s="85"/>
      <c r="FK5" s="85"/>
      <c r="FL5" s="85"/>
      <c r="FM5" s="85"/>
      <c r="FN5" s="85"/>
      <c r="FO5" s="85"/>
      <c r="FP5" s="85"/>
      <c r="FQ5" s="85"/>
      <c r="FR5" s="85"/>
      <c r="FS5" s="85"/>
      <c r="FT5" s="85"/>
      <c r="FU5" s="83"/>
      <c r="FV5" s="83"/>
      <c r="FW5" s="83"/>
      <c r="FX5" s="83"/>
      <c r="FY5" s="83"/>
      <c r="FZ5" s="83"/>
      <c r="GA5" s="83"/>
      <c r="GB5" s="83"/>
      <c r="GC5" s="83"/>
      <c r="GD5" s="83"/>
      <c r="GE5" s="83"/>
      <c r="GF5" s="83"/>
      <c r="GG5" s="83"/>
      <c r="GH5" s="83"/>
      <c r="GI5" s="83"/>
      <c r="GJ5" s="83"/>
      <c r="GK5" s="83"/>
      <c r="GL5" s="83"/>
      <c r="GM5" s="83"/>
      <c r="GN5" s="83"/>
      <c r="GO5" s="83"/>
      <c r="GP5" s="83"/>
      <c r="GQ5" s="83"/>
      <c r="GR5" s="83"/>
      <c r="GS5" s="83"/>
      <c r="GT5" s="83"/>
      <c r="GU5" s="83"/>
      <c r="GV5" s="83"/>
      <c r="GW5" s="83"/>
      <c r="GX5" s="83"/>
      <c r="GY5" s="83"/>
      <c r="GZ5" s="83"/>
      <c r="HA5" s="83"/>
      <c r="HB5" s="83"/>
      <c r="HC5" s="83"/>
      <c r="HD5" s="83"/>
      <c r="HE5" s="83"/>
      <c r="HF5" s="83"/>
      <c r="HG5" s="83"/>
      <c r="HH5" s="83"/>
      <c r="HI5" s="83"/>
      <c r="HJ5" s="83"/>
      <c r="HK5" s="83"/>
      <c r="HL5" s="83"/>
      <c r="HM5" s="83"/>
      <c r="HN5" s="83"/>
      <c r="HO5" s="83"/>
      <c r="HP5" s="83"/>
      <c r="HQ5" s="83"/>
      <c r="HR5" s="83"/>
      <c r="HS5" s="83"/>
      <c r="HT5" s="83"/>
      <c r="HU5" s="83"/>
      <c r="HV5" s="83"/>
      <c r="HW5" s="83"/>
      <c r="HX5" s="83"/>
      <c r="HY5" s="83"/>
      <c r="HZ5" s="83"/>
      <c r="IA5" s="83"/>
      <c r="IB5" s="83"/>
      <c r="IC5" s="83"/>
      <c r="ID5" s="83"/>
      <c r="IE5" s="83"/>
      <c r="IF5" s="83"/>
      <c r="IG5" s="83"/>
      <c r="IH5" s="83"/>
      <c r="II5" s="83"/>
      <c r="IJ5" s="83"/>
      <c r="IK5" s="83"/>
      <c r="IL5" s="83"/>
      <c r="IM5" s="83"/>
      <c r="IN5" s="83"/>
      <c r="IO5" s="83"/>
      <c r="IP5" s="83"/>
      <c r="IQ5" s="83"/>
      <c r="IR5" s="83"/>
      <c r="IS5" s="83"/>
      <c r="IT5" s="83"/>
      <c r="IU5" s="83"/>
      <c r="IV5" s="83"/>
      <c r="IW5" s="83"/>
      <c r="IX5" s="83"/>
      <c r="IY5" s="83"/>
      <c r="IZ5" s="83"/>
      <c r="JA5" s="83"/>
      <c r="JB5" s="83"/>
      <c r="JC5" s="83"/>
      <c r="JD5" s="83"/>
      <c r="JE5" s="83"/>
      <c r="JF5" s="83"/>
      <c r="JG5" s="83"/>
      <c r="JH5" s="83"/>
      <c r="JI5" s="83"/>
      <c r="JJ5" s="83"/>
      <c r="JK5" s="83"/>
      <c r="JL5" s="83"/>
      <c r="JM5" s="83"/>
      <c r="JN5" s="83"/>
      <c r="JO5" s="83"/>
      <c r="JP5" s="83"/>
      <c r="JQ5" s="83"/>
      <c r="JR5" s="83"/>
      <c r="JS5" s="83"/>
      <c r="JT5" s="83"/>
      <c r="JU5" s="83"/>
      <c r="JV5" s="83"/>
      <c r="JW5" s="83"/>
      <c r="JX5" s="83"/>
      <c r="JY5" s="83"/>
      <c r="JZ5" s="83"/>
      <c r="KA5" s="83"/>
      <c r="KB5" s="83"/>
      <c r="KC5" s="83"/>
      <c r="KD5" s="83"/>
      <c r="KE5" s="83"/>
      <c r="KF5" s="83"/>
      <c r="KG5" s="83"/>
      <c r="KH5" s="83"/>
      <c r="KI5" s="83"/>
      <c r="KJ5" s="83"/>
      <c r="KK5" s="83"/>
      <c r="KL5" s="83"/>
      <c r="KM5" s="83"/>
      <c r="KN5" s="83"/>
      <c r="KO5" s="83"/>
      <c r="KP5" s="83"/>
      <c r="KQ5" s="83"/>
      <c r="KR5" s="83"/>
      <c r="KS5" s="83"/>
      <c r="KT5" s="83"/>
      <c r="KU5" s="83"/>
      <c r="KV5" s="83"/>
      <c r="KW5" s="83"/>
      <c r="KX5" s="83"/>
      <c r="KY5" s="83"/>
      <c r="KZ5" s="83"/>
      <c r="LA5" s="83"/>
      <c r="LB5" s="83"/>
      <c r="LC5" s="83"/>
      <c r="LD5" s="83"/>
      <c r="LE5" s="83"/>
      <c r="LF5" s="83"/>
      <c r="LG5" s="83"/>
      <c r="LH5" s="83"/>
      <c r="LI5" s="83"/>
      <c r="LJ5" s="83"/>
      <c r="LK5" s="83"/>
      <c r="LL5" s="83"/>
      <c r="LM5" s="83"/>
      <c r="LN5" s="83"/>
      <c r="LO5" s="83"/>
      <c r="LP5" s="83"/>
      <c r="LQ5" s="83"/>
      <c r="LR5" s="83"/>
      <c r="LS5" s="83"/>
      <c r="LT5" s="83"/>
      <c r="LU5" s="83"/>
      <c r="LV5" s="83"/>
      <c r="LW5" s="83"/>
      <c r="LX5" s="83"/>
      <c r="LY5" s="83"/>
      <c r="LZ5" s="83"/>
      <c r="MA5" s="83"/>
      <c r="MB5" s="83"/>
      <c r="MC5" s="83"/>
      <c r="MD5" s="83"/>
      <c r="ME5" s="83"/>
      <c r="MF5" s="83"/>
      <c r="MG5" s="83"/>
      <c r="MH5" s="83"/>
      <c r="MI5" s="83"/>
      <c r="MJ5" s="83"/>
      <c r="MK5" s="83"/>
      <c r="ML5" s="83"/>
      <c r="MM5" s="83"/>
      <c r="MN5" s="83"/>
      <c r="MO5" s="83"/>
      <c r="MP5" s="83"/>
      <c r="MQ5" s="83"/>
      <c r="MR5" s="83"/>
      <c r="MS5" s="83"/>
      <c r="MT5" s="83"/>
      <c r="MU5" s="83"/>
      <c r="MV5" s="83"/>
      <c r="MW5" s="83"/>
      <c r="MX5" s="83"/>
      <c r="MY5" s="83"/>
      <c r="MZ5" s="83"/>
      <c r="NA5" s="83"/>
      <c r="NB5" s="83"/>
      <c r="NC5" s="83"/>
      <c r="ND5" s="83"/>
      <c r="NE5" s="83"/>
      <c r="NF5" s="83"/>
      <c r="NG5" s="83"/>
      <c r="NH5" s="83"/>
      <c r="NI5" s="83"/>
      <c r="NJ5" s="83"/>
      <c r="NK5" s="83"/>
      <c r="NL5" s="83"/>
      <c r="NM5" s="83"/>
      <c r="NN5" s="83"/>
      <c r="NO5" s="83"/>
      <c r="NP5" s="83"/>
      <c r="NQ5" s="83"/>
      <c r="NR5" s="83"/>
      <c r="NS5" s="83"/>
      <c r="NT5" s="83"/>
      <c r="NU5" s="83"/>
      <c r="NV5" s="83"/>
      <c r="NW5" s="83"/>
      <c r="NX5" s="83"/>
      <c r="NY5" s="83"/>
      <c r="NZ5" s="83"/>
      <c r="OA5" s="83"/>
      <c r="OB5" s="83"/>
      <c r="OC5" s="83"/>
      <c r="OD5" s="83"/>
      <c r="OE5" s="83"/>
      <c r="OF5" s="83"/>
      <c r="OG5" s="83"/>
      <c r="OH5" s="83"/>
      <c r="OI5" s="83"/>
      <c r="OJ5" s="83"/>
      <c r="OK5" s="83"/>
      <c r="OL5" s="83"/>
      <c r="OM5" s="83"/>
      <c r="ON5" s="83"/>
      <c r="OO5" s="83"/>
      <c r="OP5" s="83"/>
      <c r="OQ5" s="83"/>
      <c r="OR5" s="83"/>
      <c r="OS5" s="83"/>
      <c r="OT5" s="83"/>
      <c r="OU5" s="83"/>
      <c r="OV5" s="83"/>
      <c r="OW5" s="83"/>
      <c r="OX5" s="83"/>
      <c r="OY5" s="83"/>
      <c r="OZ5" s="83"/>
      <c r="PA5" s="83"/>
      <c r="PB5" s="83"/>
      <c r="PC5" s="83"/>
      <c r="PD5" s="83"/>
      <c r="PE5" s="83"/>
      <c r="PF5" s="83"/>
      <c r="PG5" s="83"/>
      <c r="PH5" s="83"/>
      <c r="PI5" s="83"/>
      <c r="PJ5" s="83"/>
      <c r="PK5" s="83"/>
      <c r="PL5" s="83"/>
      <c r="PM5" s="83"/>
      <c r="PN5" s="83"/>
      <c r="PO5" s="83"/>
      <c r="PP5" s="83"/>
      <c r="PQ5" s="83"/>
      <c r="PR5" s="83"/>
      <c r="PS5" s="83"/>
      <c r="PT5" s="83"/>
      <c r="PU5" s="83"/>
      <c r="PV5" s="83"/>
      <c r="PW5" s="83"/>
      <c r="PX5" s="83"/>
      <c r="PY5" s="83"/>
      <c r="PZ5" s="83"/>
      <c r="QA5" s="83"/>
      <c r="QB5" s="83"/>
      <c r="QC5" s="83"/>
      <c r="QD5" s="83"/>
      <c r="QE5" s="83"/>
      <c r="QF5" s="83"/>
      <c r="QG5" s="83"/>
      <c r="QH5" s="83"/>
      <c r="QI5" s="83"/>
      <c r="QJ5" s="83"/>
      <c r="QK5" s="83"/>
      <c r="QL5" s="83"/>
      <c r="QM5" s="83"/>
      <c r="QN5" s="83"/>
      <c r="QO5" s="83"/>
      <c r="QP5" s="83"/>
      <c r="QQ5" s="83"/>
      <c r="QR5" s="83"/>
      <c r="QS5" s="83"/>
      <c r="QT5" s="83"/>
      <c r="QU5" s="83"/>
      <c r="QV5" s="83"/>
      <c r="QW5" s="83"/>
      <c r="QX5" s="83"/>
      <c r="QY5" s="83"/>
      <c r="QZ5" s="83"/>
      <c r="RA5" s="83"/>
      <c r="RB5" s="83"/>
      <c r="RC5" s="83"/>
      <c r="RD5" s="83"/>
      <c r="RE5" s="83"/>
      <c r="RF5" s="83"/>
      <c r="RG5" s="83"/>
      <c r="RH5" s="83"/>
      <c r="RI5" s="83"/>
      <c r="RJ5" s="83"/>
      <c r="RK5" s="83"/>
      <c r="RL5" s="83"/>
      <c r="RM5" s="83"/>
      <c r="RN5" s="83"/>
      <c r="RO5" s="83"/>
      <c r="RP5" s="83"/>
      <c r="RQ5" s="83"/>
      <c r="RR5" s="83"/>
      <c r="RS5" s="83"/>
      <c r="RT5" s="83"/>
      <c r="RU5" s="83"/>
      <c r="RV5" s="83"/>
      <c r="RW5" s="83"/>
      <c r="RX5" s="83"/>
      <c r="RY5" s="83"/>
      <c r="RZ5" s="83"/>
      <c r="SA5" s="83"/>
      <c r="SB5" s="83"/>
      <c r="SC5" s="83"/>
      <c r="SD5" s="83"/>
      <c r="SE5" s="83"/>
      <c r="SF5" s="83"/>
      <c r="SG5" s="83"/>
      <c r="SH5" s="83"/>
      <c r="SI5" s="83"/>
      <c r="SJ5" s="83"/>
      <c r="SK5" s="83"/>
      <c r="SL5" s="83"/>
      <c r="SM5" s="83"/>
      <c r="SN5" s="83"/>
      <c r="SO5" s="83"/>
      <c r="SP5" s="83"/>
      <c r="SQ5" s="83"/>
      <c r="SR5" s="83"/>
      <c r="SS5" s="83"/>
      <c r="ST5" s="83"/>
      <c r="SU5" s="83"/>
      <c r="SV5" s="83"/>
      <c r="SW5" s="83"/>
      <c r="SX5" s="83"/>
      <c r="SY5" s="83"/>
      <c r="SZ5" s="83"/>
      <c r="TA5" s="83"/>
      <c r="TB5" s="83"/>
      <c r="TC5" s="83"/>
      <c r="TD5" s="83"/>
      <c r="TE5" s="83"/>
      <c r="TF5" s="83"/>
      <c r="TG5" s="83"/>
      <c r="TH5" s="83"/>
      <c r="TI5" s="83"/>
      <c r="TJ5" s="83"/>
      <c r="TK5" s="83"/>
      <c r="TL5" s="83"/>
      <c r="TM5" s="83"/>
      <c r="TN5" s="83"/>
      <c r="TO5" s="83"/>
      <c r="TP5" s="83"/>
      <c r="TQ5" s="83"/>
      <c r="TR5" s="83"/>
      <c r="TS5" s="83"/>
      <c r="TT5" s="83"/>
      <c r="TU5" s="83"/>
      <c r="TV5" s="83"/>
      <c r="TW5" s="83"/>
      <c r="TX5" s="83"/>
      <c r="TY5" s="83"/>
      <c r="TZ5" s="83"/>
      <c r="UA5" s="83"/>
      <c r="UB5" s="83"/>
      <c r="UC5" s="83"/>
      <c r="UD5" s="83"/>
      <c r="UE5" s="83"/>
      <c r="UF5" s="83"/>
      <c r="UG5" s="83"/>
      <c r="UH5" s="83"/>
      <c r="UI5" s="83"/>
      <c r="UJ5" s="83"/>
      <c r="UK5" s="83"/>
      <c r="UL5" s="83"/>
      <c r="UM5" s="83"/>
      <c r="UN5" s="83"/>
      <c r="UO5" s="83"/>
      <c r="UP5" s="83"/>
      <c r="UQ5" s="83"/>
      <c r="UR5" s="83"/>
      <c r="US5" s="83"/>
      <c r="UT5" s="83"/>
      <c r="UU5" s="83"/>
      <c r="UV5" s="83"/>
      <c r="UW5" s="83"/>
      <c r="UX5" s="83"/>
      <c r="UY5" s="83"/>
      <c r="UZ5" s="83"/>
      <c r="VA5" s="83"/>
      <c r="VB5" s="83"/>
      <c r="VC5" s="83"/>
      <c r="VD5" s="83"/>
      <c r="VE5" s="83"/>
      <c r="VF5" s="83"/>
      <c r="VG5" s="83"/>
      <c r="VH5" s="83"/>
      <c r="VI5" s="83"/>
      <c r="VJ5" s="83"/>
      <c r="VK5" s="83"/>
      <c r="VL5" s="83"/>
      <c r="VM5" s="83"/>
      <c r="VN5" s="83"/>
      <c r="VO5" s="83"/>
      <c r="VP5" s="83"/>
      <c r="VQ5" s="83"/>
      <c r="VR5" s="83"/>
      <c r="VS5" s="83"/>
      <c r="VT5" s="83"/>
      <c r="VU5" s="83"/>
      <c r="VV5" s="83"/>
      <c r="VW5" s="83"/>
      <c r="VX5" s="83"/>
      <c r="VY5" s="83"/>
      <c r="VZ5" s="83"/>
      <c r="WA5" s="83"/>
      <c r="WB5" s="83"/>
      <c r="WC5" s="83"/>
      <c r="WD5" s="83"/>
      <c r="WE5" s="83"/>
      <c r="WF5" s="83"/>
    </row>
    <row r="6" spans="1:604" ht="17.25" customHeight="1" x14ac:dyDescent="0.3">
      <c r="A6" s="25" t="e">
        <f>IF(契約詳細價目表!A6="",NA(),契約詳細價目表!A6)</f>
        <v>#N/A</v>
      </c>
      <c r="B6" s="26" t="e">
        <f>IF(契約詳細價目表!B6="",NA(),契約詳細價目表!B6)</f>
        <v>#N/A</v>
      </c>
      <c r="C6" s="25" t="e">
        <f>IF(契約詳細價目表!C6="",NA(),契約詳細價目表!C6)</f>
        <v>#N/A</v>
      </c>
      <c r="D6" s="27" t="e">
        <f>IF(契約詳細價目表!D6="",NA(),契約詳細價目表!D6)</f>
        <v>#N/A</v>
      </c>
      <c r="E6" s="28" t="e">
        <f>IF(契約詳細價目表!E6="",NA(),契約詳細價目表!E6)</f>
        <v>#N/A</v>
      </c>
      <c r="F6" s="28">
        <f>IF(契約詳細價目表!F6="",NA(),契約詳細價目表!F6)</f>
        <v>0</v>
      </c>
      <c r="G6" s="27">
        <f t="shared" si="536"/>
        <v>0</v>
      </c>
      <c r="H6" s="28" t="e">
        <f t="shared" si="537"/>
        <v>#N/A</v>
      </c>
      <c r="I6" s="47" t="e">
        <f t="shared" si="535"/>
        <v>#N/A</v>
      </c>
      <c r="J6" s="86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85"/>
      <c r="DW6" s="85"/>
      <c r="DX6" s="85"/>
      <c r="DY6" s="85"/>
      <c r="DZ6" s="85"/>
      <c r="EA6" s="85"/>
      <c r="EB6" s="85"/>
      <c r="EC6" s="85"/>
      <c r="ED6" s="85"/>
      <c r="EE6" s="85"/>
      <c r="EF6" s="85"/>
      <c r="EG6" s="85"/>
      <c r="EH6" s="85"/>
      <c r="EI6" s="85"/>
      <c r="EJ6" s="85"/>
      <c r="EK6" s="85"/>
      <c r="EL6" s="85"/>
      <c r="EM6" s="85"/>
      <c r="EN6" s="85"/>
      <c r="EO6" s="85"/>
      <c r="EP6" s="85"/>
      <c r="EQ6" s="85"/>
      <c r="ER6" s="85"/>
      <c r="ES6" s="85"/>
      <c r="ET6" s="85"/>
      <c r="EU6" s="85"/>
      <c r="EV6" s="85"/>
      <c r="EW6" s="85"/>
      <c r="EX6" s="85"/>
      <c r="EY6" s="85"/>
      <c r="EZ6" s="85"/>
      <c r="FA6" s="85"/>
      <c r="FB6" s="85"/>
      <c r="FC6" s="85"/>
      <c r="FD6" s="85"/>
      <c r="FE6" s="85"/>
      <c r="FF6" s="85"/>
      <c r="FG6" s="85"/>
      <c r="FH6" s="85"/>
      <c r="FI6" s="85"/>
      <c r="FJ6" s="85"/>
      <c r="FK6" s="85"/>
      <c r="FL6" s="85"/>
      <c r="FM6" s="85"/>
      <c r="FN6" s="85"/>
      <c r="FO6" s="85"/>
      <c r="FP6" s="85"/>
      <c r="FQ6" s="85"/>
      <c r="FR6" s="85"/>
      <c r="FS6" s="85"/>
      <c r="FT6" s="85"/>
      <c r="FU6" s="83"/>
      <c r="FV6" s="83"/>
      <c r="FW6" s="83"/>
      <c r="FX6" s="83"/>
      <c r="FY6" s="83"/>
      <c r="FZ6" s="83"/>
      <c r="GA6" s="83"/>
      <c r="GB6" s="83"/>
      <c r="GC6" s="83"/>
      <c r="GD6" s="83"/>
      <c r="GE6" s="83"/>
      <c r="GF6" s="83"/>
      <c r="GG6" s="83"/>
      <c r="GH6" s="83"/>
      <c r="GI6" s="83"/>
      <c r="GJ6" s="83"/>
      <c r="GK6" s="83"/>
      <c r="GL6" s="83"/>
      <c r="GM6" s="83"/>
      <c r="GN6" s="83"/>
      <c r="GO6" s="83"/>
      <c r="GP6" s="83"/>
      <c r="GQ6" s="83"/>
      <c r="GR6" s="83"/>
      <c r="GS6" s="83"/>
      <c r="GT6" s="83"/>
      <c r="GU6" s="83"/>
      <c r="GV6" s="83"/>
      <c r="GW6" s="83"/>
      <c r="GX6" s="83"/>
      <c r="GY6" s="83"/>
      <c r="GZ6" s="83"/>
      <c r="HA6" s="83"/>
      <c r="HB6" s="83"/>
      <c r="HC6" s="83"/>
      <c r="HD6" s="83"/>
      <c r="HE6" s="83"/>
      <c r="HF6" s="83"/>
      <c r="HG6" s="83"/>
      <c r="HH6" s="83"/>
      <c r="HI6" s="83"/>
      <c r="HJ6" s="83"/>
      <c r="HK6" s="83"/>
      <c r="HL6" s="83"/>
      <c r="HM6" s="83"/>
      <c r="HN6" s="83"/>
      <c r="HO6" s="83"/>
      <c r="HP6" s="83"/>
      <c r="HQ6" s="83"/>
      <c r="HR6" s="83"/>
      <c r="HS6" s="83"/>
      <c r="HT6" s="83"/>
      <c r="HU6" s="83"/>
      <c r="HV6" s="83"/>
      <c r="HW6" s="83"/>
      <c r="HX6" s="83"/>
      <c r="HY6" s="83"/>
      <c r="HZ6" s="83"/>
      <c r="IA6" s="83"/>
      <c r="IB6" s="83"/>
      <c r="IC6" s="83"/>
      <c r="ID6" s="83"/>
      <c r="IE6" s="83"/>
      <c r="IF6" s="83"/>
      <c r="IG6" s="83"/>
      <c r="IH6" s="83"/>
      <c r="II6" s="83"/>
      <c r="IJ6" s="83"/>
      <c r="IK6" s="83"/>
      <c r="IL6" s="83"/>
      <c r="IM6" s="83"/>
      <c r="IN6" s="83"/>
      <c r="IO6" s="83"/>
      <c r="IP6" s="83"/>
      <c r="IQ6" s="83"/>
      <c r="IR6" s="83"/>
      <c r="IS6" s="83"/>
      <c r="IT6" s="83"/>
      <c r="IU6" s="83"/>
      <c r="IV6" s="83"/>
      <c r="IW6" s="83"/>
      <c r="IX6" s="83"/>
      <c r="IY6" s="83"/>
      <c r="IZ6" s="83"/>
      <c r="JA6" s="83"/>
      <c r="JB6" s="83"/>
      <c r="JC6" s="83"/>
      <c r="JD6" s="83"/>
      <c r="JE6" s="83"/>
      <c r="JF6" s="83"/>
      <c r="JG6" s="83"/>
      <c r="JH6" s="83"/>
      <c r="JI6" s="83"/>
      <c r="JJ6" s="83"/>
      <c r="JK6" s="83"/>
      <c r="JL6" s="83"/>
      <c r="JM6" s="83"/>
      <c r="JN6" s="83"/>
      <c r="JO6" s="83"/>
      <c r="JP6" s="83"/>
      <c r="JQ6" s="83"/>
      <c r="JR6" s="83"/>
      <c r="JS6" s="83"/>
      <c r="JT6" s="83"/>
      <c r="JU6" s="83"/>
      <c r="JV6" s="83"/>
      <c r="JW6" s="83"/>
      <c r="JX6" s="83"/>
      <c r="JY6" s="83"/>
      <c r="JZ6" s="83"/>
      <c r="KA6" s="83"/>
      <c r="KB6" s="83"/>
      <c r="KC6" s="83"/>
      <c r="KD6" s="83"/>
      <c r="KE6" s="83"/>
      <c r="KF6" s="83"/>
      <c r="KG6" s="83"/>
      <c r="KH6" s="83"/>
      <c r="KI6" s="83"/>
      <c r="KJ6" s="83"/>
      <c r="KK6" s="83"/>
      <c r="KL6" s="83"/>
      <c r="KM6" s="83"/>
      <c r="KN6" s="83"/>
      <c r="KO6" s="83"/>
      <c r="KP6" s="83"/>
      <c r="KQ6" s="83"/>
      <c r="KR6" s="83"/>
      <c r="KS6" s="83"/>
      <c r="KT6" s="83"/>
      <c r="KU6" s="83"/>
      <c r="KV6" s="83"/>
      <c r="KW6" s="83"/>
      <c r="KX6" s="83"/>
      <c r="KY6" s="83"/>
      <c r="KZ6" s="83"/>
      <c r="LA6" s="83"/>
      <c r="LB6" s="83"/>
      <c r="LC6" s="83"/>
      <c r="LD6" s="83"/>
      <c r="LE6" s="83"/>
      <c r="LF6" s="83"/>
      <c r="LG6" s="83"/>
      <c r="LH6" s="83"/>
      <c r="LI6" s="83"/>
      <c r="LJ6" s="83"/>
      <c r="LK6" s="83"/>
      <c r="LL6" s="83"/>
      <c r="LM6" s="83"/>
      <c r="LN6" s="83"/>
      <c r="LO6" s="83"/>
      <c r="LP6" s="83"/>
      <c r="LQ6" s="83"/>
      <c r="LR6" s="83"/>
      <c r="LS6" s="83"/>
      <c r="LT6" s="83"/>
      <c r="LU6" s="83"/>
      <c r="LV6" s="83"/>
      <c r="LW6" s="83"/>
      <c r="LX6" s="83"/>
      <c r="LY6" s="83"/>
      <c r="LZ6" s="83"/>
      <c r="MA6" s="83"/>
      <c r="MB6" s="83"/>
      <c r="MC6" s="83"/>
      <c r="MD6" s="83"/>
      <c r="ME6" s="83"/>
      <c r="MF6" s="83"/>
      <c r="MG6" s="83"/>
      <c r="MH6" s="83"/>
      <c r="MI6" s="83"/>
      <c r="MJ6" s="83"/>
      <c r="MK6" s="83"/>
      <c r="ML6" s="83"/>
      <c r="MM6" s="83"/>
      <c r="MN6" s="83"/>
      <c r="MO6" s="83"/>
      <c r="MP6" s="83"/>
      <c r="MQ6" s="83"/>
      <c r="MR6" s="83"/>
      <c r="MS6" s="83"/>
      <c r="MT6" s="83"/>
      <c r="MU6" s="83"/>
      <c r="MV6" s="83"/>
      <c r="MW6" s="83"/>
      <c r="MX6" s="83"/>
      <c r="MY6" s="83"/>
      <c r="MZ6" s="83"/>
      <c r="NA6" s="83"/>
      <c r="NB6" s="83"/>
      <c r="NC6" s="83"/>
      <c r="ND6" s="83"/>
      <c r="NE6" s="83"/>
      <c r="NF6" s="83"/>
      <c r="NG6" s="83"/>
      <c r="NH6" s="83"/>
      <c r="NI6" s="83"/>
      <c r="NJ6" s="83"/>
      <c r="NK6" s="83"/>
      <c r="NL6" s="83"/>
      <c r="NM6" s="83"/>
      <c r="NN6" s="83"/>
      <c r="NO6" s="83"/>
      <c r="NP6" s="83"/>
      <c r="NQ6" s="83"/>
      <c r="NR6" s="83"/>
      <c r="NS6" s="83"/>
      <c r="NT6" s="83"/>
      <c r="NU6" s="83"/>
      <c r="NV6" s="83"/>
      <c r="NW6" s="83"/>
      <c r="NX6" s="83"/>
      <c r="NY6" s="83"/>
      <c r="NZ6" s="83"/>
      <c r="OA6" s="83"/>
      <c r="OB6" s="83"/>
      <c r="OC6" s="83"/>
      <c r="OD6" s="83"/>
      <c r="OE6" s="83"/>
      <c r="OF6" s="83"/>
      <c r="OG6" s="83"/>
      <c r="OH6" s="83"/>
      <c r="OI6" s="83"/>
      <c r="OJ6" s="83"/>
      <c r="OK6" s="83"/>
      <c r="OL6" s="83"/>
      <c r="OM6" s="83"/>
      <c r="ON6" s="83"/>
      <c r="OO6" s="83"/>
      <c r="OP6" s="83"/>
      <c r="OQ6" s="83"/>
      <c r="OR6" s="83"/>
      <c r="OS6" s="83"/>
      <c r="OT6" s="83"/>
      <c r="OU6" s="83"/>
      <c r="OV6" s="83"/>
      <c r="OW6" s="83"/>
      <c r="OX6" s="83"/>
      <c r="OY6" s="83"/>
      <c r="OZ6" s="83"/>
      <c r="PA6" s="83"/>
      <c r="PB6" s="83"/>
      <c r="PC6" s="83"/>
      <c r="PD6" s="83"/>
      <c r="PE6" s="83"/>
      <c r="PF6" s="83"/>
      <c r="PG6" s="83"/>
      <c r="PH6" s="83"/>
      <c r="PI6" s="83"/>
      <c r="PJ6" s="83"/>
      <c r="PK6" s="83"/>
      <c r="PL6" s="83"/>
      <c r="PM6" s="83"/>
      <c r="PN6" s="83"/>
      <c r="PO6" s="83"/>
      <c r="PP6" s="83"/>
      <c r="PQ6" s="83"/>
      <c r="PR6" s="83"/>
      <c r="PS6" s="83"/>
      <c r="PT6" s="83"/>
      <c r="PU6" s="83"/>
      <c r="PV6" s="83"/>
      <c r="PW6" s="83"/>
      <c r="PX6" s="83"/>
      <c r="PY6" s="83"/>
      <c r="PZ6" s="83"/>
      <c r="QA6" s="83"/>
      <c r="QB6" s="83"/>
      <c r="QC6" s="83"/>
      <c r="QD6" s="83"/>
      <c r="QE6" s="83"/>
      <c r="QF6" s="83"/>
      <c r="QG6" s="83"/>
      <c r="QH6" s="83"/>
      <c r="QI6" s="83"/>
      <c r="QJ6" s="83"/>
      <c r="QK6" s="83"/>
      <c r="QL6" s="83"/>
      <c r="QM6" s="83"/>
      <c r="QN6" s="83"/>
      <c r="QO6" s="83"/>
      <c r="QP6" s="83"/>
      <c r="QQ6" s="83"/>
      <c r="QR6" s="83"/>
      <c r="QS6" s="83"/>
      <c r="QT6" s="83"/>
      <c r="QU6" s="83"/>
      <c r="QV6" s="83"/>
      <c r="QW6" s="83"/>
      <c r="QX6" s="83"/>
      <c r="QY6" s="83"/>
      <c r="QZ6" s="83"/>
      <c r="RA6" s="83"/>
      <c r="RB6" s="83"/>
      <c r="RC6" s="83"/>
      <c r="RD6" s="83"/>
      <c r="RE6" s="83"/>
      <c r="RF6" s="83"/>
      <c r="RG6" s="83"/>
      <c r="RH6" s="83"/>
      <c r="RI6" s="83"/>
      <c r="RJ6" s="83"/>
      <c r="RK6" s="83"/>
      <c r="RL6" s="83"/>
      <c r="RM6" s="83"/>
      <c r="RN6" s="83"/>
      <c r="RO6" s="83"/>
      <c r="RP6" s="83"/>
      <c r="RQ6" s="83"/>
      <c r="RR6" s="83"/>
      <c r="RS6" s="83"/>
      <c r="RT6" s="83"/>
      <c r="RU6" s="83"/>
      <c r="RV6" s="83"/>
      <c r="RW6" s="83"/>
      <c r="RX6" s="83"/>
      <c r="RY6" s="83"/>
      <c r="RZ6" s="83"/>
      <c r="SA6" s="83"/>
      <c r="SB6" s="83"/>
      <c r="SC6" s="83"/>
      <c r="SD6" s="83"/>
      <c r="SE6" s="83"/>
      <c r="SF6" s="83"/>
      <c r="SG6" s="83"/>
      <c r="SH6" s="83"/>
      <c r="SI6" s="83"/>
      <c r="SJ6" s="83"/>
      <c r="SK6" s="83"/>
      <c r="SL6" s="83"/>
      <c r="SM6" s="83"/>
      <c r="SN6" s="83"/>
      <c r="SO6" s="83"/>
      <c r="SP6" s="83"/>
      <c r="SQ6" s="83"/>
      <c r="SR6" s="83"/>
      <c r="SS6" s="83"/>
      <c r="ST6" s="83"/>
      <c r="SU6" s="83"/>
      <c r="SV6" s="83"/>
      <c r="SW6" s="83"/>
      <c r="SX6" s="83"/>
      <c r="SY6" s="83"/>
      <c r="SZ6" s="83"/>
      <c r="TA6" s="83"/>
      <c r="TB6" s="83"/>
      <c r="TC6" s="83"/>
      <c r="TD6" s="83"/>
      <c r="TE6" s="83"/>
      <c r="TF6" s="83"/>
      <c r="TG6" s="83"/>
      <c r="TH6" s="83"/>
      <c r="TI6" s="83"/>
      <c r="TJ6" s="83"/>
      <c r="TK6" s="83"/>
      <c r="TL6" s="83"/>
      <c r="TM6" s="83"/>
      <c r="TN6" s="83"/>
      <c r="TO6" s="83"/>
      <c r="TP6" s="83"/>
      <c r="TQ6" s="83"/>
      <c r="TR6" s="83"/>
      <c r="TS6" s="83"/>
      <c r="TT6" s="83"/>
      <c r="TU6" s="83"/>
      <c r="TV6" s="83"/>
      <c r="TW6" s="83"/>
      <c r="TX6" s="83"/>
      <c r="TY6" s="83"/>
      <c r="TZ6" s="83"/>
      <c r="UA6" s="83"/>
      <c r="UB6" s="83"/>
      <c r="UC6" s="83"/>
      <c r="UD6" s="83"/>
      <c r="UE6" s="83"/>
      <c r="UF6" s="83"/>
      <c r="UG6" s="83"/>
      <c r="UH6" s="83"/>
      <c r="UI6" s="83"/>
      <c r="UJ6" s="83"/>
      <c r="UK6" s="83"/>
      <c r="UL6" s="83"/>
      <c r="UM6" s="83"/>
      <c r="UN6" s="83"/>
      <c r="UO6" s="83"/>
      <c r="UP6" s="83"/>
      <c r="UQ6" s="83"/>
      <c r="UR6" s="83"/>
      <c r="US6" s="83"/>
      <c r="UT6" s="83"/>
      <c r="UU6" s="83"/>
      <c r="UV6" s="83"/>
      <c r="UW6" s="83"/>
      <c r="UX6" s="83"/>
      <c r="UY6" s="83"/>
      <c r="UZ6" s="83"/>
      <c r="VA6" s="83"/>
      <c r="VB6" s="83"/>
      <c r="VC6" s="83"/>
      <c r="VD6" s="83"/>
      <c r="VE6" s="83"/>
      <c r="VF6" s="83"/>
      <c r="VG6" s="83"/>
      <c r="VH6" s="83"/>
      <c r="VI6" s="83"/>
      <c r="VJ6" s="83"/>
      <c r="VK6" s="83"/>
      <c r="VL6" s="83"/>
      <c r="VM6" s="83"/>
      <c r="VN6" s="83"/>
      <c r="VO6" s="83"/>
      <c r="VP6" s="83"/>
      <c r="VQ6" s="83"/>
      <c r="VR6" s="83"/>
      <c r="VS6" s="83"/>
      <c r="VT6" s="83"/>
      <c r="VU6" s="83"/>
      <c r="VV6" s="83"/>
      <c r="VW6" s="83"/>
      <c r="VX6" s="83"/>
      <c r="VY6" s="83"/>
      <c r="VZ6" s="83"/>
      <c r="WA6" s="83"/>
      <c r="WB6" s="83"/>
      <c r="WC6" s="83"/>
      <c r="WD6" s="83"/>
      <c r="WE6" s="83"/>
      <c r="WF6" s="83"/>
    </row>
    <row r="7" spans="1:604" ht="17.25" customHeight="1" x14ac:dyDescent="0.3">
      <c r="A7" s="25" t="e">
        <f>IF(契約詳細價目表!A7="",NA(),契約詳細價目表!A7)</f>
        <v>#N/A</v>
      </c>
      <c r="B7" s="26" t="e">
        <f>IF(契約詳細價目表!B7="",NA(),契約詳細價目表!B7)</f>
        <v>#N/A</v>
      </c>
      <c r="C7" s="25" t="e">
        <f>IF(契約詳細價目表!C7="",NA(),契約詳細價目表!C7)</f>
        <v>#N/A</v>
      </c>
      <c r="D7" s="27" t="e">
        <f>IF(契約詳細價目表!D7="",NA(),契約詳細價目表!D7)</f>
        <v>#N/A</v>
      </c>
      <c r="E7" s="28" t="e">
        <f>IF(契約詳細價目表!E7="",NA(),契約詳細價目表!E7)</f>
        <v>#N/A</v>
      </c>
      <c r="F7" s="28">
        <f>IF(契約詳細價目表!F7="",NA(),契約詳細價目表!F7)</f>
        <v>0</v>
      </c>
      <c r="G7" s="27">
        <f t="shared" si="536"/>
        <v>0</v>
      </c>
      <c r="H7" s="28" t="e">
        <f t="shared" si="537"/>
        <v>#N/A</v>
      </c>
      <c r="I7" s="47" t="e">
        <f t="shared" si="535"/>
        <v>#N/A</v>
      </c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  <c r="DF7" s="85"/>
      <c r="DG7" s="85"/>
      <c r="DH7" s="85"/>
      <c r="DI7" s="85"/>
      <c r="DJ7" s="85"/>
      <c r="DK7" s="85"/>
      <c r="DL7" s="85"/>
      <c r="DM7" s="85"/>
      <c r="DN7" s="85"/>
      <c r="DO7" s="85"/>
      <c r="DP7" s="85"/>
      <c r="DQ7" s="85"/>
      <c r="DR7" s="85"/>
      <c r="DS7" s="85"/>
      <c r="DT7" s="85"/>
      <c r="DU7" s="85"/>
      <c r="DV7" s="85"/>
      <c r="DW7" s="85"/>
      <c r="DX7" s="85"/>
      <c r="DY7" s="85"/>
      <c r="DZ7" s="85"/>
      <c r="EA7" s="85"/>
      <c r="EB7" s="85"/>
      <c r="EC7" s="85"/>
      <c r="ED7" s="85"/>
      <c r="EE7" s="85"/>
      <c r="EF7" s="85"/>
      <c r="EG7" s="85"/>
      <c r="EH7" s="85"/>
      <c r="EI7" s="85"/>
      <c r="EJ7" s="85"/>
      <c r="EK7" s="85"/>
      <c r="EL7" s="85"/>
      <c r="EM7" s="85"/>
      <c r="EN7" s="85"/>
      <c r="EO7" s="85"/>
      <c r="EP7" s="85"/>
      <c r="EQ7" s="85"/>
      <c r="ER7" s="85"/>
      <c r="ES7" s="85"/>
      <c r="ET7" s="85"/>
      <c r="EU7" s="85"/>
      <c r="EV7" s="85"/>
      <c r="EW7" s="85"/>
      <c r="EX7" s="85"/>
      <c r="EY7" s="85"/>
      <c r="EZ7" s="85"/>
      <c r="FA7" s="85"/>
      <c r="FB7" s="85"/>
      <c r="FC7" s="85"/>
      <c r="FD7" s="85"/>
      <c r="FE7" s="85"/>
      <c r="FF7" s="85"/>
      <c r="FG7" s="85"/>
      <c r="FH7" s="85"/>
      <c r="FI7" s="85"/>
      <c r="FJ7" s="85"/>
      <c r="FK7" s="85"/>
      <c r="FL7" s="85"/>
      <c r="FM7" s="85"/>
      <c r="FN7" s="85"/>
      <c r="FO7" s="85"/>
      <c r="FP7" s="85"/>
      <c r="FQ7" s="85"/>
      <c r="FR7" s="85"/>
      <c r="FS7" s="85"/>
      <c r="FT7" s="85"/>
      <c r="FU7" s="83"/>
      <c r="FV7" s="83"/>
      <c r="FW7" s="83"/>
      <c r="FX7" s="83"/>
      <c r="FY7" s="83"/>
      <c r="FZ7" s="83"/>
      <c r="GA7" s="83"/>
      <c r="GB7" s="83"/>
      <c r="GC7" s="83"/>
      <c r="GD7" s="83"/>
      <c r="GE7" s="83"/>
      <c r="GF7" s="83"/>
      <c r="GG7" s="83"/>
      <c r="GH7" s="83"/>
      <c r="GI7" s="83"/>
      <c r="GJ7" s="83"/>
      <c r="GK7" s="83"/>
      <c r="GL7" s="83"/>
      <c r="GM7" s="83"/>
      <c r="GN7" s="83"/>
      <c r="GO7" s="83"/>
      <c r="GP7" s="83"/>
      <c r="GQ7" s="83"/>
      <c r="GR7" s="83"/>
      <c r="GS7" s="83"/>
      <c r="GT7" s="83"/>
      <c r="GU7" s="83"/>
      <c r="GV7" s="83"/>
      <c r="GW7" s="83"/>
      <c r="GX7" s="83"/>
      <c r="GY7" s="83"/>
      <c r="GZ7" s="83"/>
      <c r="HA7" s="83"/>
      <c r="HB7" s="83"/>
      <c r="HC7" s="83"/>
      <c r="HD7" s="83"/>
      <c r="HE7" s="83"/>
      <c r="HF7" s="83"/>
      <c r="HG7" s="83"/>
      <c r="HH7" s="83"/>
      <c r="HI7" s="83"/>
      <c r="HJ7" s="83"/>
      <c r="HK7" s="83"/>
      <c r="HL7" s="83"/>
      <c r="HM7" s="83"/>
      <c r="HN7" s="83"/>
      <c r="HO7" s="83"/>
      <c r="HP7" s="83"/>
      <c r="HQ7" s="83"/>
      <c r="HR7" s="83"/>
      <c r="HS7" s="83"/>
      <c r="HT7" s="83"/>
      <c r="HU7" s="83"/>
      <c r="HV7" s="83"/>
      <c r="HW7" s="83"/>
      <c r="HX7" s="83"/>
      <c r="HY7" s="83"/>
      <c r="HZ7" s="83"/>
      <c r="IA7" s="83"/>
      <c r="IB7" s="83"/>
      <c r="IC7" s="83"/>
      <c r="ID7" s="83"/>
      <c r="IE7" s="83"/>
      <c r="IF7" s="83"/>
      <c r="IG7" s="83"/>
      <c r="IH7" s="83"/>
      <c r="II7" s="83"/>
      <c r="IJ7" s="83"/>
      <c r="IK7" s="83"/>
      <c r="IL7" s="83"/>
      <c r="IM7" s="83"/>
      <c r="IN7" s="83"/>
      <c r="IO7" s="83"/>
      <c r="IP7" s="83"/>
      <c r="IQ7" s="83"/>
      <c r="IR7" s="83"/>
      <c r="IS7" s="83"/>
      <c r="IT7" s="83"/>
      <c r="IU7" s="83"/>
      <c r="IV7" s="83"/>
      <c r="IW7" s="83"/>
      <c r="IX7" s="83"/>
      <c r="IY7" s="83"/>
      <c r="IZ7" s="83"/>
      <c r="JA7" s="83"/>
      <c r="JB7" s="83"/>
      <c r="JC7" s="83"/>
      <c r="JD7" s="83"/>
      <c r="JE7" s="83"/>
      <c r="JF7" s="83"/>
      <c r="JG7" s="83"/>
      <c r="JH7" s="83"/>
      <c r="JI7" s="83"/>
      <c r="JJ7" s="83"/>
      <c r="JK7" s="83"/>
      <c r="JL7" s="83"/>
      <c r="JM7" s="83"/>
      <c r="JN7" s="83"/>
      <c r="JO7" s="83"/>
      <c r="JP7" s="83"/>
      <c r="JQ7" s="83"/>
      <c r="JR7" s="83"/>
      <c r="JS7" s="83"/>
      <c r="JT7" s="83"/>
      <c r="JU7" s="83"/>
      <c r="JV7" s="83"/>
      <c r="JW7" s="83"/>
      <c r="JX7" s="83"/>
      <c r="JY7" s="83"/>
      <c r="JZ7" s="83"/>
      <c r="KA7" s="83"/>
      <c r="KB7" s="83"/>
      <c r="KC7" s="83"/>
      <c r="KD7" s="83"/>
      <c r="KE7" s="83"/>
      <c r="KF7" s="83"/>
      <c r="KG7" s="83"/>
      <c r="KH7" s="83"/>
      <c r="KI7" s="83"/>
      <c r="KJ7" s="83"/>
      <c r="KK7" s="83"/>
      <c r="KL7" s="83"/>
      <c r="KM7" s="83"/>
      <c r="KN7" s="83"/>
      <c r="KO7" s="83"/>
      <c r="KP7" s="83"/>
      <c r="KQ7" s="83"/>
      <c r="KR7" s="83"/>
      <c r="KS7" s="83"/>
      <c r="KT7" s="83"/>
      <c r="KU7" s="83"/>
      <c r="KV7" s="83"/>
      <c r="KW7" s="83"/>
      <c r="KX7" s="83"/>
      <c r="KY7" s="83"/>
      <c r="KZ7" s="83"/>
      <c r="LA7" s="83"/>
      <c r="LB7" s="83"/>
      <c r="LC7" s="83"/>
      <c r="LD7" s="83"/>
      <c r="LE7" s="83"/>
      <c r="LF7" s="83"/>
      <c r="LG7" s="83"/>
      <c r="LH7" s="83"/>
      <c r="LI7" s="83"/>
      <c r="LJ7" s="83"/>
      <c r="LK7" s="83"/>
      <c r="LL7" s="83"/>
      <c r="LM7" s="83"/>
      <c r="LN7" s="83"/>
      <c r="LO7" s="83"/>
      <c r="LP7" s="83"/>
      <c r="LQ7" s="83"/>
      <c r="LR7" s="83"/>
      <c r="LS7" s="83"/>
      <c r="LT7" s="83"/>
      <c r="LU7" s="83"/>
      <c r="LV7" s="83"/>
      <c r="LW7" s="83"/>
      <c r="LX7" s="83"/>
      <c r="LY7" s="83"/>
      <c r="LZ7" s="83"/>
      <c r="MA7" s="83"/>
      <c r="MB7" s="83"/>
      <c r="MC7" s="83"/>
      <c r="MD7" s="83"/>
      <c r="ME7" s="83"/>
      <c r="MF7" s="83"/>
      <c r="MG7" s="83"/>
      <c r="MH7" s="83"/>
      <c r="MI7" s="83"/>
      <c r="MJ7" s="83"/>
      <c r="MK7" s="83"/>
      <c r="ML7" s="83"/>
      <c r="MM7" s="83"/>
      <c r="MN7" s="83"/>
      <c r="MO7" s="83"/>
      <c r="MP7" s="83"/>
      <c r="MQ7" s="83"/>
      <c r="MR7" s="83"/>
      <c r="MS7" s="83"/>
      <c r="MT7" s="83"/>
      <c r="MU7" s="83"/>
      <c r="MV7" s="83"/>
      <c r="MW7" s="83"/>
      <c r="MX7" s="83"/>
      <c r="MY7" s="83"/>
      <c r="MZ7" s="83"/>
      <c r="NA7" s="83"/>
      <c r="NB7" s="83"/>
      <c r="NC7" s="83"/>
      <c r="ND7" s="83"/>
      <c r="NE7" s="83"/>
      <c r="NF7" s="83"/>
      <c r="NG7" s="83"/>
      <c r="NH7" s="83"/>
      <c r="NI7" s="83"/>
      <c r="NJ7" s="83"/>
      <c r="NK7" s="83"/>
      <c r="NL7" s="83"/>
      <c r="NM7" s="83"/>
      <c r="NN7" s="83"/>
      <c r="NO7" s="83"/>
      <c r="NP7" s="83"/>
      <c r="NQ7" s="83"/>
      <c r="NR7" s="83"/>
      <c r="NS7" s="83"/>
      <c r="NT7" s="83"/>
      <c r="NU7" s="83"/>
      <c r="NV7" s="83"/>
      <c r="NW7" s="83"/>
      <c r="NX7" s="83"/>
      <c r="NY7" s="83"/>
      <c r="NZ7" s="83"/>
      <c r="OA7" s="83"/>
      <c r="OB7" s="83"/>
      <c r="OC7" s="83"/>
      <c r="OD7" s="83"/>
      <c r="OE7" s="83"/>
      <c r="OF7" s="83"/>
      <c r="OG7" s="83"/>
      <c r="OH7" s="83"/>
      <c r="OI7" s="83"/>
      <c r="OJ7" s="83"/>
      <c r="OK7" s="83"/>
      <c r="OL7" s="83"/>
      <c r="OM7" s="83"/>
      <c r="ON7" s="83"/>
      <c r="OO7" s="83"/>
      <c r="OP7" s="83"/>
      <c r="OQ7" s="83"/>
      <c r="OR7" s="83"/>
      <c r="OS7" s="83"/>
      <c r="OT7" s="83"/>
      <c r="OU7" s="83"/>
      <c r="OV7" s="83"/>
      <c r="OW7" s="83"/>
      <c r="OX7" s="83"/>
      <c r="OY7" s="83"/>
      <c r="OZ7" s="83"/>
      <c r="PA7" s="83"/>
      <c r="PB7" s="83"/>
      <c r="PC7" s="83"/>
      <c r="PD7" s="83"/>
      <c r="PE7" s="83"/>
      <c r="PF7" s="83"/>
      <c r="PG7" s="83"/>
      <c r="PH7" s="83"/>
      <c r="PI7" s="83"/>
      <c r="PJ7" s="83"/>
      <c r="PK7" s="83"/>
      <c r="PL7" s="83"/>
      <c r="PM7" s="83"/>
      <c r="PN7" s="83"/>
      <c r="PO7" s="83"/>
      <c r="PP7" s="83"/>
      <c r="PQ7" s="83"/>
      <c r="PR7" s="83"/>
      <c r="PS7" s="83"/>
      <c r="PT7" s="83"/>
      <c r="PU7" s="83"/>
      <c r="PV7" s="83"/>
      <c r="PW7" s="83"/>
      <c r="PX7" s="83"/>
      <c r="PY7" s="83"/>
      <c r="PZ7" s="83"/>
      <c r="QA7" s="83"/>
      <c r="QB7" s="83"/>
      <c r="QC7" s="83"/>
      <c r="QD7" s="83"/>
      <c r="QE7" s="83"/>
      <c r="QF7" s="83"/>
      <c r="QG7" s="83"/>
      <c r="QH7" s="83"/>
      <c r="QI7" s="83"/>
      <c r="QJ7" s="83"/>
      <c r="QK7" s="83"/>
      <c r="QL7" s="83"/>
      <c r="QM7" s="83"/>
      <c r="QN7" s="83"/>
      <c r="QO7" s="83"/>
      <c r="QP7" s="83"/>
      <c r="QQ7" s="83"/>
      <c r="QR7" s="83"/>
      <c r="QS7" s="83"/>
      <c r="QT7" s="83"/>
      <c r="QU7" s="83"/>
      <c r="QV7" s="83"/>
      <c r="QW7" s="83"/>
      <c r="QX7" s="83"/>
      <c r="QY7" s="83"/>
      <c r="QZ7" s="83"/>
      <c r="RA7" s="83"/>
      <c r="RB7" s="83"/>
      <c r="RC7" s="83"/>
      <c r="RD7" s="83"/>
      <c r="RE7" s="83"/>
      <c r="RF7" s="83"/>
      <c r="RG7" s="83"/>
      <c r="RH7" s="83"/>
      <c r="RI7" s="83"/>
      <c r="RJ7" s="83"/>
      <c r="RK7" s="83"/>
      <c r="RL7" s="83"/>
      <c r="RM7" s="83"/>
      <c r="RN7" s="83"/>
      <c r="RO7" s="83"/>
      <c r="RP7" s="83"/>
      <c r="RQ7" s="83"/>
      <c r="RR7" s="83"/>
      <c r="RS7" s="83"/>
      <c r="RT7" s="83"/>
      <c r="RU7" s="83"/>
      <c r="RV7" s="83"/>
      <c r="RW7" s="83"/>
      <c r="RX7" s="83"/>
      <c r="RY7" s="83"/>
      <c r="RZ7" s="83"/>
      <c r="SA7" s="83"/>
      <c r="SB7" s="83"/>
      <c r="SC7" s="83"/>
      <c r="SD7" s="83"/>
      <c r="SE7" s="83"/>
      <c r="SF7" s="83"/>
      <c r="SG7" s="83"/>
      <c r="SH7" s="83"/>
      <c r="SI7" s="83"/>
      <c r="SJ7" s="83"/>
      <c r="SK7" s="83"/>
      <c r="SL7" s="83"/>
      <c r="SM7" s="83"/>
      <c r="SN7" s="83"/>
      <c r="SO7" s="83"/>
      <c r="SP7" s="83"/>
      <c r="SQ7" s="83"/>
      <c r="SR7" s="83"/>
      <c r="SS7" s="83"/>
      <c r="ST7" s="83"/>
      <c r="SU7" s="83"/>
      <c r="SV7" s="83"/>
      <c r="SW7" s="83"/>
      <c r="SX7" s="83"/>
      <c r="SY7" s="83"/>
      <c r="SZ7" s="83"/>
      <c r="TA7" s="83"/>
      <c r="TB7" s="83"/>
      <c r="TC7" s="83"/>
      <c r="TD7" s="83"/>
      <c r="TE7" s="83"/>
      <c r="TF7" s="83"/>
      <c r="TG7" s="83"/>
      <c r="TH7" s="83"/>
      <c r="TI7" s="83"/>
      <c r="TJ7" s="83"/>
      <c r="TK7" s="83"/>
      <c r="TL7" s="83"/>
      <c r="TM7" s="83"/>
      <c r="TN7" s="83"/>
      <c r="TO7" s="83"/>
      <c r="TP7" s="83"/>
      <c r="TQ7" s="83"/>
      <c r="TR7" s="83"/>
      <c r="TS7" s="83"/>
      <c r="TT7" s="83"/>
      <c r="TU7" s="83"/>
      <c r="TV7" s="83"/>
      <c r="TW7" s="83"/>
      <c r="TX7" s="83"/>
      <c r="TY7" s="83"/>
      <c r="TZ7" s="83"/>
      <c r="UA7" s="83"/>
      <c r="UB7" s="83"/>
      <c r="UC7" s="83"/>
      <c r="UD7" s="83"/>
      <c r="UE7" s="83"/>
      <c r="UF7" s="83"/>
      <c r="UG7" s="83"/>
      <c r="UH7" s="83"/>
      <c r="UI7" s="83"/>
      <c r="UJ7" s="83"/>
      <c r="UK7" s="83"/>
      <c r="UL7" s="83"/>
      <c r="UM7" s="83"/>
      <c r="UN7" s="83"/>
      <c r="UO7" s="83"/>
      <c r="UP7" s="83"/>
      <c r="UQ7" s="83"/>
      <c r="UR7" s="83"/>
      <c r="US7" s="83"/>
      <c r="UT7" s="83"/>
      <c r="UU7" s="83"/>
      <c r="UV7" s="83"/>
      <c r="UW7" s="83"/>
      <c r="UX7" s="83"/>
      <c r="UY7" s="83"/>
      <c r="UZ7" s="83"/>
      <c r="VA7" s="83"/>
      <c r="VB7" s="83"/>
      <c r="VC7" s="83"/>
      <c r="VD7" s="83"/>
      <c r="VE7" s="83"/>
      <c r="VF7" s="83"/>
      <c r="VG7" s="83"/>
      <c r="VH7" s="83"/>
      <c r="VI7" s="83"/>
      <c r="VJ7" s="83"/>
      <c r="VK7" s="83"/>
      <c r="VL7" s="83"/>
      <c r="VM7" s="83"/>
      <c r="VN7" s="83"/>
      <c r="VO7" s="83"/>
      <c r="VP7" s="83"/>
      <c r="VQ7" s="83"/>
      <c r="VR7" s="83"/>
      <c r="VS7" s="83"/>
      <c r="VT7" s="83"/>
      <c r="VU7" s="83"/>
      <c r="VV7" s="83"/>
      <c r="VW7" s="83"/>
      <c r="VX7" s="83"/>
      <c r="VY7" s="83"/>
      <c r="VZ7" s="83"/>
      <c r="WA7" s="83"/>
      <c r="WB7" s="83"/>
      <c r="WC7" s="83"/>
      <c r="WD7" s="83"/>
      <c r="WE7" s="83"/>
      <c r="WF7" s="83"/>
    </row>
    <row r="8" spans="1:604" ht="17.25" customHeight="1" x14ac:dyDescent="0.3">
      <c r="A8" s="25" t="e">
        <f>IF(契約詳細價目表!A8="",NA(),契約詳細價目表!A8)</f>
        <v>#N/A</v>
      </c>
      <c r="B8" s="26" t="e">
        <f>IF(契約詳細價目表!B8="",NA(),契約詳細價目表!B8)</f>
        <v>#N/A</v>
      </c>
      <c r="C8" s="25" t="e">
        <f>IF(契約詳細價目表!C8="",NA(),契約詳細價目表!C8)</f>
        <v>#N/A</v>
      </c>
      <c r="D8" s="27" t="e">
        <f>IF(契約詳細價目表!D8="",NA(),契約詳細價目表!D8)</f>
        <v>#N/A</v>
      </c>
      <c r="E8" s="28" t="e">
        <f>IF(契約詳細價目表!E8="",NA(),契約詳細價目表!E8)</f>
        <v>#N/A</v>
      </c>
      <c r="F8" s="28">
        <f>IF(契約詳細價目表!F8="",NA(),契約詳細價目表!F8)</f>
        <v>0</v>
      </c>
      <c r="G8" s="27">
        <f t="shared" si="536"/>
        <v>0</v>
      </c>
      <c r="H8" s="28" t="e">
        <f t="shared" si="537"/>
        <v>#N/A</v>
      </c>
      <c r="I8" s="47" t="e">
        <f t="shared" si="535"/>
        <v>#N/A</v>
      </c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3"/>
      <c r="FV8" s="83"/>
      <c r="FW8" s="83"/>
      <c r="FX8" s="83"/>
      <c r="FY8" s="83"/>
      <c r="FZ8" s="83"/>
      <c r="GA8" s="83"/>
      <c r="GB8" s="83"/>
      <c r="GC8" s="83"/>
      <c r="GD8" s="83"/>
      <c r="GE8" s="83"/>
      <c r="GF8" s="83"/>
      <c r="GG8" s="83"/>
      <c r="GH8" s="83"/>
      <c r="GI8" s="83"/>
      <c r="GJ8" s="83"/>
      <c r="GK8" s="83"/>
      <c r="GL8" s="83"/>
      <c r="GM8" s="83"/>
      <c r="GN8" s="83"/>
      <c r="GO8" s="83"/>
      <c r="GP8" s="83"/>
      <c r="GQ8" s="83"/>
      <c r="GR8" s="83"/>
      <c r="GS8" s="83"/>
      <c r="GT8" s="83"/>
      <c r="GU8" s="83"/>
      <c r="GV8" s="83"/>
      <c r="GW8" s="83"/>
      <c r="GX8" s="83"/>
      <c r="GY8" s="83"/>
      <c r="GZ8" s="83"/>
      <c r="HA8" s="83"/>
      <c r="HB8" s="83"/>
      <c r="HC8" s="83"/>
      <c r="HD8" s="83"/>
      <c r="HE8" s="83"/>
      <c r="HF8" s="83"/>
      <c r="HG8" s="83"/>
      <c r="HH8" s="83"/>
      <c r="HI8" s="83"/>
      <c r="HJ8" s="83"/>
      <c r="HK8" s="83"/>
      <c r="HL8" s="83"/>
      <c r="HM8" s="83"/>
      <c r="HN8" s="83"/>
      <c r="HO8" s="83"/>
      <c r="HP8" s="83"/>
      <c r="HQ8" s="83"/>
      <c r="HR8" s="83"/>
      <c r="HS8" s="83"/>
      <c r="HT8" s="83"/>
      <c r="HU8" s="83"/>
      <c r="HV8" s="83"/>
      <c r="HW8" s="83"/>
      <c r="HX8" s="83"/>
      <c r="HY8" s="83"/>
      <c r="HZ8" s="83"/>
      <c r="IA8" s="83"/>
      <c r="IB8" s="83"/>
      <c r="IC8" s="83"/>
      <c r="ID8" s="83"/>
      <c r="IE8" s="83"/>
      <c r="IF8" s="83"/>
      <c r="IG8" s="83"/>
      <c r="IH8" s="83"/>
      <c r="II8" s="83"/>
      <c r="IJ8" s="83"/>
      <c r="IK8" s="83"/>
      <c r="IL8" s="83"/>
      <c r="IM8" s="83"/>
      <c r="IN8" s="83"/>
      <c r="IO8" s="83"/>
      <c r="IP8" s="83"/>
      <c r="IQ8" s="83"/>
      <c r="IR8" s="83"/>
      <c r="IS8" s="83"/>
      <c r="IT8" s="83"/>
      <c r="IU8" s="83"/>
      <c r="IV8" s="83"/>
      <c r="IW8" s="83"/>
      <c r="IX8" s="83"/>
      <c r="IY8" s="83"/>
      <c r="IZ8" s="83"/>
      <c r="JA8" s="83"/>
      <c r="JB8" s="83"/>
      <c r="JC8" s="83"/>
      <c r="JD8" s="83"/>
      <c r="JE8" s="83"/>
      <c r="JF8" s="83"/>
      <c r="JG8" s="83"/>
      <c r="JH8" s="83"/>
      <c r="JI8" s="83"/>
      <c r="JJ8" s="83"/>
      <c r="JK8" s="83"/>
      <c r="JL8" s="83"/>
      <c r="JM8" s="83"/>
      <c r="JN8" s="83"/>
      <c r="JO8" s="83"/>
      <c r="JP8" s="83"/>
      <c r="JQ8" s="83"/>
      <c r="JR8" s="83"/>
      <c r="JS8" s="83"/>
      <c r="JT8" s="83"/>
      <c r="JU8" s="83"/>
      <c r="JV8" s="83"/>
      <c r="JW8" s="83"/>
      <c r="JX8" s="83"/>
      <c r="JY8" s="83"/>
      <c r="JZ8" s="83"/>
      <c r="KA8" s="83"/>
      <c r="KB8" s="83"/>
      <c r="KC8" s="83"/>
      <c r="KD8" s="83"/>
      <c r="KE8" s="83"/>
      <c r="KF8" s="83"/>
      <c r="KG8" s="83"/>
      <c r="KH8" s="83"/>
      <c r="KI8" s="83"/>
      <c r="KJ8" s="83"/>
      <c r="KK8" s="83"/>
      <c r="KL8" s="83"/>
      <c r="KM8" s="83"/>
      <c r="KN8" s="83"/>
      <c r="KO8" s="83"/>
      <c r="KP8" s="83"/>
      <c r="KQ8" s="83"/>
      <c r="KR8" s="83"/>
      <c r="KS8" s="83"/>
      <c r="KT8" s="83"/>
      <c r="KU8" s="83"/>
      <c r="KV8" s="83"/>
      <c r="KW8" s="83"/>
      <c r="KX8" s="83"/>
      <c r="KY8" s="83"/>
      <c r="KZ8" s="83"/>
      <c r="LA8" s="83"/>
      <c r="LB8" s="83"/>
      <c r="LC8" s="83"/>
      <c r="LD8" s="83"/>
      <c r="LE8" s="83"/>
      <c r="LF8" s="83"/>
      <c r="LG8" s="83"/>
      <c r="LH8" s="83"/>
      <c r="LI8" s="83"/>
      <c r="LJ8" s="83"/>
      <c r="LK8" s="83"/>
      <c r="LL8" s="83"/>
      <c r="LM8" s="83"/>
      <c r="LN8" s="83"/>
      <c r="LO8" s="83"/>
      <c r="LP8" s="83"/>
      <c r="LQ8" s="83"/>
      <c r="LR8" s="83"/>
      <c r="LS8" s="83"/>
      <c r="LT8" s="83"/>
      <c r="LU8" s="83"/>
      <c r="LV8" s="83"/>
      <c r="LW8" s="83"/>
      <c r="LX8" s="83"/>
      <c r="LY8" s="83"/>
      <c r="LZ8" s="83"/>
      <c r="MA8" s="83"/>
      <c r="MB8" s="83"/>
      <c r="MC8" s="83"/>
      <c r="MD8" s="83"/>
      <c r="ME8" s="83"/>
      <c r="MF8" s="83"/>
      <c r="MG8" s="83"/>
      <c r="MH8" s="83"/>
      <c r="MI8" s="83"/>
      <c r="MJ8" s="83"/>
      <c r="MK8" s="83"/>
      <c r="ML8" s="83"/>
      <c r="MM8" s="83"/>
      <c r="MN8" s="83"/>
      <c r="MO8" s="83"/>
      <c r="MP8" s="83"/>
      <c r="MQ8" s="83"/>
      <c r="MR8" s="83"/>
      <c r="MS8" s="83"/>
      <c r="MT8" s="83"/>
      <c r="MU8" s="83"/>
      <c r="MV8" s="83"/>
      <c r="MW8" s="83"/>
      <c r="MX8" s="83"/>
      <c r="MY8" s="83"/>
      <c r="MZ8" s="83"/>
      <c r="NA8" s="83"/>
      <c r="NB8" s="83"/>
      <c r="NC8" s="83"/>
      <c r="ND8" s="83"/>
      <c r="NE8" s="83"/>
      <c r="NF8" s="83"/>
      <c r="NG8" s="83"/>
      <c r="NH8" s="83"/>
      <c r="NI8" s="83"/>
      <c r="NJ8" s="83"/>
      <c r="NK8" s="83"/>
      <c r="NL8" s="83"/>
      <c r="NM8" s="83"/>
      <c r="NN8" s="83"/>
      <c r="NO8" s="83"/>
      <c r="NP8" s="83"/>
      <c r="NQ8" s="83"/>
      <c r="NR8" s="83"/>
      <c r="NS8" s="83"/>
      <c r="NT8" s="83"/>
      <c r="NU8" s="83"/>
      <c r="NV8" s="83"/>
      <c r="NW8" s="83"/>
      <c r="NX8" s="83"/>
      <c r="NY8" s="83"/>
      <c r="NZ8" s="83"/>
      <c r="OA8" s="83"/>
      <c r="OB8" s="83"/>
      <c r="OC8" s="83"/>
      <c r="OD8" s="83"/>
      <c r="OE8" s="83"/>
      <c r="OF8" s="83"/>
      <c r="OG8" s="83"/>
      <c r="OH8" s="83"/>
      <c r="OI8" s="83"/>
      <c r="OJ8" s="83"/>
      <c r="OK8" s="83"/>
      <c r="OL8" s="83"/>
      <c r="OM8" s="83"/>
      <c r="ON8" s="83"/>
      <c r="OO8" s="83"/>
      <c r="OP8" s="83"/>
      <c r="OQ8" s="83"/>
      <c r="OR8" s="83"/>
      <c r="OS8" s="83"/>
      <c r="OT8" s="83"/>
      <c r="OU8" s="83"/>
      <c r="OV8" s="83"/>
      <c r="OW8" s="83"/>
      <c r="OX8" s="83"/>
      <c r="OY8" s="83"/>
      <c r="OZ8" s="83"/>
      <c r="PA8" s="83"/>
      <c r="PB8" s="83"/>
      <c r="PC8" s="83"/>
      <c r="PD8" s="83"/>
      <c r="PE8" s="83"/>
      <c r="PF8" s="83"/>
      <c r="PG8" s="83"/>
      <c r="PH8" s="83"/>
      <c r="PI8" s="83"/>
      <c r="PJ8" s="83"/>
      <c r="PK8" s="83"/>
      <c r="PL8" s="83"/>
      <c r="PM8" s="83"/>
      <c r="PN8" s="83"/>
      <c r="PO8" s="83"/>
      <c r="PP8" s="83"/>
      <c r="PQ8" s="83"/>
      <c r="PR8" s="83"/>
      <c r="PS8" s="83"/>
      <c r="PT8" s="83"/>
      <c r="PU8" s="83"/>
      <c r="PV8" s="83"/>
      <c r="PW8" s="83"/>
      <c r="PX8" s="83"/>
      <c r="PY8" s="83"/>
      <c r="PZ8" s="83"/>
      <c r="QA8" s="83"/>
      <c r="QB8" s="83"/>
      <c r="QC8" s="83"/>
      <c r="QD8" s="83"/>
      <c r="QE8" s="83"/>
      <c r="QF8" s="83"/>
      <c r="QG8" s="83"/>
      <c r="QH8" s="83"/>
      <c r="QI8" s="83"/>
      <c r="QJ8" s="83"/>
      <c r="QK8" s="83"/>
      <c r="QL8" s="83"/>
      <c r="QM8" s="83"/>
      <c r="QN8" s="83"/>
      <c r="QO8" s="83"/>
      <c r="QP8" s="83"/>
      <c r="QQ8" s="83"/>
      <c r="QR8" s="83"/>
      <c r="QS8" s="83"/>
      <c r="QT8" s="83"/>
      <c r="QU8" s="83"/>
      <c r="QV8" s="83"/>
      <c r="QW8" s="83"/>
      <c r="QX8" s="83"/>
      <c r="QY8" s="83"/>
      <c r="QZ8" s="83"/>
      <c r="RA8" s="83"/>
      <c r="RB8" s="83"/>
      <c r="RC8" s="83"/>
      <c r="RD8" s="83"/>
      <c r="RE8" s="83"/>
      <c r="RF8" s="83"/>
      <c r="RG8" s="83"/>
      <c r="RH8" s="83"/>
      <c r="RI8" s="83"/>
      <c r="RJ8" s="83"/>
      <c r="RK8" s="83"/>
      <c r="RL8" s="83"/>
      <c r="RM8" s="83"/>
      <c r="RN8" s="83"/>
      <c r="RO8" s="83"/>
      <c r="RP8" s="83"/>
      <c r="RQ8" s="83"/>
      <c r="RR8" s="83"/>
      <c r="RS8" s="83"/>
      <c r="RT8" s="83"/>
      <c r="RU8" s="83"/>
      <c r="RV8" s="83"/>
      <c r="RW8" s="83"/>
      <c r="RX8" s="83"/>
      <c r="RY8" s="83"/>
      <c r="RZ8" s="83"/>
      <c r="SA8" s="83"/>
      <c r="SB8" s="83"/>
      <c r="SC8" s="83"/>
      <c r="SD8" s="83"/>
      <c r="SE8" s="83"/>
      <c r="SF8" s="83"/>
      <c r="SG8" s="83"/>
      <c r="SH8" s="83"/>
      <c r="SI8" s="83"/>
      <c r="SJ8" s="83"/>
      <c r="SK8" s="83"/>
      <c r="SL8" s="83"/>
      <c r="SM8" s="83"/>
      <c r="SN8" s="83"/>
      <c r="SO8" s="83"/>
      <c r="SP8" s="83"/>
      <c r="SQ8" s="83"/>
      <c r="SR8" s="83"/>
      <c r="SS8" s="83"/>
      <c r="ST8" s="83"/>
      <c r="SU8" s="83"/>
      <c r="SV8" s="83"/>
      <c r="SW8" s="83"/>
      <c r="SX8" s="83"/>
      <c r="SY8" s="83"/>
      <c r="SZ8" s="83"/>
      <c r="TA8" s="83"/>
      <c r="TB8" s="83"/>
      <c r="TC8" s="83"/>
      <c r="TD8" s="83"/>
      <c r="TE8" s="83"/>
      <c r="TF8" s="83"/>
      <c r="TG8" s="83"/>
      <c r="TH8" s="83"/>
      <c r="TI8" s="83"/>
      <c r="TJ8" s="83"/>
      <c r="TK8" s="83"/>
      <c r="TL8" s="83"/>
      <c r="TM8" s="83"/>
      <c r="TN8" s="83"/>
      <c r="TO8" s="83"/>
      <c r="TP8" s="83"/>
      <c r="TQ8" s="83"/>
      <c r="TR8" s="83"/>
      <c r="TS8" s="83"/>
      <c r="TT8" s="83"/>
      <c r="TU8" s="83"/>
      <c r="TV8" s="83"/>
      <c r="TW8" s="83"/>
      <c r="TX8" s="83"/>
      <c r="TY8" s="83"/>
      <c r="TZ8" s="83"/>
      <c r="UA8" s="83"/>
      <c r="UB8" s="83"/>
      <c r="UC8" s="83"/>
      <c r="UD8" s="83"/>
      <c r="UE8" s="83"/>
      <c r="UF8" s="83"/>
      <c r="UG8" s="83"/>
      <c r="UH8" s="83"/>
      <c r="UI8" s="83"/>
      <c r="UJ8" s="83"/>
      <c r="UK8" s="83"/>
      <c r="UL8" s="83"/>
      <c r="UM8" s="83"/>
      <c r="UN8" s="83"/>
      <c r="UO8" s="83"/>
      <c r="UP8" s="83"/>
      <c r="UQ8" s="83"/>
      <c r="UR8" s="83"/>
      <c r="US8" s="83"/>
      <c r="UT8" s="83"/>
      <c r="UU8" s="83"/>
      <c r="UV8" s="83"/>
      <c r="UW8" s="83"/>
      <c r="UX8" s="83"/>
      <c r="UY8" s="83"/>
      <c r="UZ8" s="83"/>
      <c r="VA8" s="83"/>
      <c r="VB8" s="83"/>
      <c r="VC8" s="83"/>
      <c r="VD8" s="83"/>
      <c r="VE8" s="83"/>
      <c r="VF8" s="83"/>
      <c r="VG8" s="83"/>
      <c r="VH8" s="83"/>
      <c r="VI8" s="83"/>
      <c r="VJ8" s="83"/>
      <c r="VK8" s="83"/>
      <c r="VL8" s="83"/>
      <c r="VM8" s="83"/>
      <c r="VN8" s="83"/>
      <c r="VO8" s="83"/>
      <c r="VP8" s="83"/>
      <c r="VQ8" s="83"/>
      <c r="VR8" s="83"/>
      <c r="VS8" s="83"/>
      <c r="VT8" s="83"/>
      <c r="VU8" s="83"/>
      <c r="VV8" s="83"/>
      <c r="VW8" s="83"/>
      <c r="VX8" s="83"/>
      <c r="VY8" s="83"/>
      <c r="VZ8" s="83"/>
      <c r="WA8" s="83"/>
      <c r="WB8" s="83"/>
      <c r="WC8" s="83"/>
      <c r="WD8" s="83"/>
      <c r="WE8" s="83"/>
      <c r="WF8" s="83"/>
    </row>
    <row r="9" spans="1:604" ht="24" customHeight="1" x14ac:dyDescent="0.3">
      <c r="A9" s="25" t="e">
        <f>IF(契約詳細價目表!A9="",NA(),契約詳細價目表!A9)</f>
        <v>#N/A</v>
      </c>
      <c r="B9" s="26" t="e">
        <f>IF(契約詳細價目表!B9="",NA(),契約詳細價目表!B9)</f>
        <v>#N/A</v>
      </c>
      <c r="C9" s="25" t="e">
        <f>IF(契約詳細價目表!C9="",NA(),契約詳細價目表!C9)</f>
        <v>#N/A</v>
      </c>
      <c r="D9" s="27" t="e">
        <f>IF(契約詳細價目表!D9="",NA(),契約詳細價目表!D9)</f>
        <v>#N/A</v>
      </c>
      <c r="E9" s="28" t="e">
        <f>IF(契約詳細價目表!E9="",NA(),契約詳細價目表!E9)</f>
        <v>#N/A</v>
      </c>
      <c r="F9" s="28">
        <f>IF(契約詳細價目表!F9="",NA(),契約詳細價目表!F9)</f>
        <v>0</v>
      </c>
      <c r="G9" s="27">
        <f t="shared" si="536"/>
        <v>0</v>
      </c>
      <c r="H9" s="28" t="e">
        <f t="shared" si="537"/>
        <v>#N/A</v>
      </c>
      <c r="I9" s="47" t="e">
        <f t="shared" si="535"/>
        <v>#N/A</v>
      </c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85"/>
      <c r="CK9" s="85"/>
      <c r="CL9" s="85"/>
      <c r="CM9" s="85"/>
      <c r="CN9" s="85"/>
      <c r="CO9" s="85"/>
      <c r="CP9" s="85"/>
      <c r="CQ9" s="85"/>
      <c r="CR9" s="85"/>
      <c r="CS9" s="85"/>
      <c r="CT9" s="85"/>
      <c r="CU9" s="85"/>
      <c r="CV9" s="85"/>
      <c r="CW9" s="85"/>
      <c r="CX9" s="85"/>
      <c r="CY9" s="85"/>
      <c r="CZ9" s="85"/>
      <c r="DA9" s="85"/>
      <c r="DB9" s="85"/>
      <c r="DC9" s="85"/>
      <c r="DD9" s="85"/>
      <c r="DE9" s="85"/>
      <c r="DF9" s="85"/>
      <c r="DG9" s="85"/>
      <c r="DH9" s="85"/>
      <c r="DI9" s="85"/>
      <c r="DJ9" s="85"/>
      <c r="DK9" s="85"/>
      <c r="DL9" s="85"/>
      <c r="DM9" s="85"/>
      <c r="DN9" s="85"/>
      <c r="DO9" s="85"/>
      <c r="DP9" s="85"/>
      <c r="DQ9" s="85"/>
      <c r="DR9" s="85"/>
      <c r="DS9" s="85"/>
      <c r="DT9" s="85"/>
      <c r="DU9" s="85"/>
      <c r="DV9" s="85"/>
      <c r="DW9" s="85"/>
      <c r="DX9" s="85"/>
      <c r="DY9" s="85"/>
      <c r="DZ9" s="85"/>
      <c r="EA9" s="85"/>
      <c r="EB9" s="85"/>
      <c r="EC9" s="85"/>
      <c r="ED9" s="85"/>
      <c r="EE9" s="85"/>
      <c r="EF9" s="85"/>
      <c r="EG9" s="85"/>
      <c r="EH9" s="85"/>
      <c r="EI9" s="85"/>
      <c r="EJ9" s="85"/>
      <c r="EK9" s="85"/>
      <c r="EL9" s="85"/>
      <c r="EM9" s="85"/>
      <c r="EN9" s="85"/>
      <c r="EO9" s="85"/>
      <c r="EP9" s="85"/>
      <c r="EQ9" s="85"/>
      <c r="ER9" s="85"/>
      <c r="ES9" s="85"/>
      <c r="ET9" s="85"/>
      <c r="EU9" s="85"/>
      <c r="EV9" s="85"/>
      <c r="EW9" s="85"/>
      <c r="EX9" s="85"/>
      <c r="EY9" s="85"/>
      <c r="EZ9" s="85"/>
      <c r="FA9" s="85"/>
      <c r="FB9" s="85"/>
      <c r="FC9" s="85"/>
      <c r="FD9" s="85"/>
      <c r="FE9" s="85"/>
      <c r="FF9" s="85"/>
      <c r="FG9" s="85"/>
      <c r="FH9" s="85"/>
      <c r="FI9" s="85"/>
      <c r="FJ9" s="85"/>
      <c r="FK9" s="85"/>
      <c r="FL9" s="85"/>
      <c r="FM9" s="85"/>
      <c r="FN9" s="85"/>
      <c r="FO9" s="85"/>
      <c r="FP9" s="85"/>
      <c r="FQ9" s="85"/>
      <c r="FR9" s="85"/>
      <c r="FS9" s="85"/>
      <c r="FT9" s="85"/>
      <c r="FU9" s="83"/>
      <c r="FV9" s="83"/>
      <c r="FW9" s="83"/>
      <c r="FX9" s="83"/>
      <c r="FY9" s="83"/>
      <c r="FZ9" s="83"/>
      <c r="GA9" s="83"/>
      <c r="GB9" s="83"/>
      <c r="GC9" s="83"/>
      <c r="GD9" s="83"/>
      <c r="GE9" s="83"/>
      <c r="GF9" s="83"/>
      <c r="GG9" s="83"/>
      <c r="GH9" s="83"/>
      <c r="GI9" s="83"/>
      <c r="GJ9" s="83"/>
      <c r="GK9" s="83"/>
      <c r="GL9" s="83"/>
      <c r="GM9" s="83"/>
      <c r="GN9" s="83"/>
      <c r="GO9" s="83"/>
      <c r="GP9" s="83"/>
      <c r="GQ9" s="83"/>
      <c r="GR9" s="83"/>
      <c r="GS9" s="83"/>
      <c r="GT9" s="83"/>
      <c r="GU9" s="83"/>
      <c r="GV9" s="83"/>
      <c r="GW9" s="83"/>
      <c r="GX9" s="83"/>
      <c r="GY9" s="83"/>
      <c r="GZ9" s="83"/>
      <c r="HA9" s="83"/>
      <c r="HB9" s="83"/>
      <c r="HC9" s="83"/>
      <c r="HD9" s="83"/>
      <c r="HE9" s="83"/>
      <c r="HF9" s="83"/>
      <c r="HG9" s="83"/>
      <c r="HH9" s="83"/>
      <c r="HI9" s="83"/>
      <c r="HJ9" s="83"/>
      <c r="HK9" s="83"/>
      <c r="HL9" s="83"/>
      <c r="HM9" s="83"/>
      <c r="HN9" s="83"/>
      <c r="HO9" s="83"/>
      <c r="HP9" s="83"/>
      <c r="HQ9" s="83"/>
      <c r="HR9" s="83"/>
      <c r="HS9" s="83"/>
      <c r="HT9" s="83"/>
      <c r="HU9" s="83"/>
      <c r="HV9" s="83"/>
      <c r="HW9" s="83"/>
      <c r="HX9" s="83"/>
      <c r="HY9" s="83"/>
      <c r="HZ9" s="83"/>
      <c r="IA9" s="83"/>
      <c r="IB9" s="83"/>
      <c r="IC9" s="83"/>
      <c r="ID9" s="83"/>
      <c r="IE9" s="83"/>
      <c r="IF9" s="83"/>
      <c r="IG9" s="83"/>
      <c r="IH9" s="83"/>
      <c r="II9" s="83"/>
      <c r="IJ9" s="83"/>
      <c r="IK9" s="83"/>
      <c r="IL9" s="83"/>
      <c r="IM9" s="83"/>
      <c r="IN9" s="83"/>
      <c r="IO9" s="83"/>
      <c r="IP9" s="83"/>
      <c r="IQ9" s="83"/>
      <c r="IR9" s="83"/>
      <c r="IS9" s="83"/>
      <c r="IT9" s="83"/>
      <c r="IU9" s="83"/>
      <c r="IV9" s="83"/>
      <c r="IW9" s="83"/>
      <c r="IX9" s="83"/>
      <c r="IY9" s="83"/>
      <c r="IZ9" s="83"/>
      <c r="JA9" s="83"/>
      <c r="JB9" s="83"/>
      <c r="JC9" s="83"/>
      <c r="JD9" s="83"/>
      <c r="JE9" s="83"/>
      <c r="JF9" s="83"/>
      <c r="JG9" s="83"/>
      <c r="JH9" s="83"/>
      <c r="JI9" s="83"/>
      <c r="JJ9" s="83"/>
      <c r="JK9" s="83"/>
      <c r="JL9" s="83"/>
      <c r="JM9" s="83"/>
      <c r="JN9" s="83"/>
      <c r="JO9" s="83"/>
      <c r="JP9" s="83"/>
      <c r="JQ9" s="83"/>
      <c r="JR9" s="83"/>
      <c r="JS9" s="83"/>
      <c r="JT9" s="83"/>
      <c r="JU9" s="83"/>
      <c r="JV9" s="83"/>
      <c r="JW9" s="83"/>
      <c r="JX9" s="83"/>
      <c r="JY9" s="83"/>
      <c r="JZ9" s="83"/>
      <c r="KA9" s="83"/>
      <c r="KB9" s="83"/>
      <c r="KC9" s="83"/>
      <c r="KD9" s="83"/>
      <c r="KE9" s="83"/>
      <c r="KF9" s="83"/>
      <c r="KG9" s="83"/>
      <c r="KH9" s="83"/>
      <c r="KI9" s="83"/>
      <c r="KJ9" s="83"/>
      <c r="KK9" s="83"/>
      <c r="KL9" s="83"/>
      <c r="KM9" s="83"/>
      <c r="KN9" s="83"/>
      <c r="KO9" s="83"/>
      <c r="KP9" s="83"/>
      <c r="KQ9" s="83"/>
      <c r="KR9" s="83"/>
      <c r="KS9" s="83"/>
      <c r="KT9" s="83"/>
      <c r="KU9" s="83"/>
      <c r="KV9" s="83"/>
      <c r="KW9" s="83"/>
      <c r="KX9" s="83"/>
      <c r="KY9" s="83"/>
      <c r="KZ9" s="83"/>
      <c r="LA9" s="83"/>
      <c r="LB9" s="83"/>
      <c r="LC9" s="83"/>
      <c r="LD9" s="83"/>
      <c r="LE9" s="83"/>
      <c r="LF9" s="83"/>
      <c r="LG9" s="83"/>
      <c r="LH9" s="83"/>
      <c r="LI9" s="83"/>
      <c r="LJ9" s="83"/>
      <c r="LK9" s="83"/>
      <c r="LL9" s="83"/>
      <c r="LM9" s="83"/>
      <c r="LN9" s="83"/>
      <c r="LO9" s="83"/>
      <c r="LP9" s="83"/>
      <c r="LQ9" s="83"/>
      <c r="LR9" s="83"/>
      <c r="LS9" s="83"/>
      <c r="LT9" s="83"/>
      <c r="LU9" s="83"/>
      <c r="LV9" s="83"/>
      <c r="LW9" s="83"/>
      <c r="LX9" s="83"/>
      <c r="LY9" s="83"/>
      <c r="LZ9" s="83"/>
      <c r="MA9" s="83"/>
      <c r="MB9" s="83"/>
      <c r="MC9" s="83"/>
      <c r="MD9" s="83"/>
      <c r="ME9" s="83"/>
      <c r="MF9" s="83"/>
      <c r="MG9" s="83"/>
      <c r="MH9" s="83"/>
      <c r="MI9" s="83"/>
      <c r="MJ9" s="83"/>
      <c r="MK9" s="83"/>
      <c r="ML9" s="83"/>
      <c r="MM9" s="83"/>
      <c r="MN9" s="83"/>
      <c r="MO9" s="83"/>
      <c r="MP9" s="83"/>
      <c r="MQ9" s="83"/>
      <c r="MR9" s="83"/>
      <c r="MS9" s="83"/>
      <c r="MT9" s="83"/>
      <c r="MU9" s="83"/>
      <c r="MV9" s="83"/>
      <c r="MW9" s="83"/>
      <c r="MX9" s="83"/>
      <c r="MY9" s="83"/>
      <c r="MZ9" s="83"/>
      <c r="NA9" s="83"/>
      <c r="NB9" s="83"/>
      <c r="NC9" s="83"/>
      <c r="ND9" s="83"/>
      <c r="NE9" s="83"/>
      <c r="NF9" s="83"/>
      <c r="NG9" s="83"/>
      <c r="NH9" s="83"/>
      <c r="NI9" s="83"/>
      <c r="NJ9" s="83"/>
      <c r="NK9" s="83"/>
      <c r="NL9" s="83"/>
      <c r="NM9" s="83"/>
      <c r="NN9" s="83"/>
      <c r="NO9" s="83"/>
      <c r="NP9" s="83"/>
      <c r="NQ9" s="83"/>
      <c r="NR9" s="83"/>
      <c r="NS9" s="83"/>
      <c r="NT9" s="83"/>
      <c r="NU9" s="83"/>
      <c r="NV9" s="83"/>
      <c r="NW9" s="83"/>
      <c r="NX9" s="83"/>
      <c r="NY9" s="83"/>
      <c r="NZ9" s="83"/>
      <c r="OA9" s="83"/>
      <c r="OB9" s="83"/>
      <c r="OC9" s="83"/>
      <c r="OD9" s="83"/>
      <c r="OE9" s="83"/>
      <c r="OF9" s="83"/>
      <c r="OG9" s="83"/>
      <c r="OH9" s="83"/>
      <c r="OI9" s="83"/>
      <c r="OJ9" s="83"/>
      <c r="OK9" s="83"/>
      <c r="OL9" s="83"/>
      <c r="OM9" s="83"/>
      <c r="ON9" s="83"/>
      <c r="OO9" s="83"/>
      <c r="OP9" s="83"/>
      <c r="OQ9" s="83"/>
      <c r="OR9" s="83"/>
      <c r="OS9" s="83"/>
      <c r="OT9" s="83"/>
      <c r="OU9" s="83"/>
      <c r="OV9" s="83"/>
      <c r="OW9" s="83"/>
      <c r="OX9" s="83"/>
      <c r="OY9" s="83"/>
      <c r="OZ9" s="83"/>
      <c r="PA9" s="83"/>
      <c r="PB9" s="83"/>
      <c r="PC9" s="83"/>
      <c r="PD9" s="83"/>
      <c r="PE9" s="83"/>
      <c r="PF9" s="83"/>
      <c r="PG9" s="83"/>
      <c r="PH9" s="83"/>
      <c r="PI9" s="83"/>
      <c r="PJ9" s="83"/>
      <c r="PK9" s="83"/>
      <c r="PL9" s="83"/>
      <c r="PM9" s="83"/>
      <c r="PN9" s="83"/>
      <c r="PO9" s="83"/>
      <c r="PP9" s="83"/>
      <c r="PQ9" s="83"/>
      <c r="PR9" s="83"/>
      <c r="PS9" s="83"/>
      <c r="PT9" s="83"/>
      <c r="PU9" s="83"/>
      <c r="PV9" s="83"/>
      <c r="PW9" s="83"/>
      <c r="PX9" s="83"/>
      <c r="PY9" s="83"/>
      <c r="PZ9" s="83"/>
      <c r="QA9" s="83"/>
      <c r="QB9" s="83"/>
      <c r="QC9" s="83"/>
      <c r="QD9" s="83"/>
      <c r="QE9" s="83"/>
      <c r="QF9" s="83"/>
      <c r="QG9" s="83"/>
      <c r="QH9" s="83"/>
      <c r="QI9" s="83"/>
      <c r="QJ9" s="83"/>
      <c r="QK9" s="83"/>
      <c r="QL9" s="83"/>
      <c r="QM9" s="83"/>
      <c r="QN9" s="83"/>
      <c r="QO9" s="83"/>
      <c r="QP9" s="83"/>
      <c r="QQ9" s="83"/>
      <c r="QR9" s="83"/>
      <c r="QS9" s="83"/>
      <c r="QT9" s="83"/>
      <c r="QU9" s="83"/>
      <c r="QV9" s="83"/>
      <c r="QW9" s="83"/>
      <c r="QX9" s="83"/>
      <c r="QY9" s="83"/>
      <c r="QZ9" s="83"/>
      <c r="RA9" s="83"/>
      <c r="RB9" s="83"/>
      <c r="RC9" s="83"/>
      <c r="RD9" s="83"/>
      <c r="RE9" s="83"/>
      <c r="RF9" s="83"/>
      <c r="RG9" s="83"/>
      <c r="RH9" s="83"/>
      <c r="RI9" s="83"/>
      <c r="RJ9" s="83"/>
      <c r="RK9" s="83"/>
      <c r="RL9" s="83"/>
      <c r="RM9" s="83"/>
      <c r="RN9" s="83"/>
      <c r="RO9" s="83"/>
      <c r="RP9" s="83"/>
      <c r="RQ9" s="83"/>
      <c r="RR9" s="83"/>
      <c r="RS9" s="83"/>
      <c r="RT9" s="83"/>
      <c r="RU9" s="83"/>
      <c r="RV9" s="83"/>
      <c r="RW9" s="83"/>
      <c r="RX9" s="83"/>
      <c r="RY9" s="83"/>
      <c r="RZ9" s="83"/>
      <c r="SA9" s="83"/>
      <c r="SB9" s="83"/>
      <c r="SC9" s="83"/>
      <c r="SD9" s="83"/>
      <c r="SE9" s="83"/>
      <c r="SF9" s="83"/>
      <c r="SG9" s="83"/>
      <c r="SH9" s="83"/>
      <c r="SI9" s="83"/>
      <c r="SJ9" s="83"/>
      <c r="SK9" s="83"/>
      <c r="SL9" s="83"/>
      <c r="SM9" s="83"/>
      <c r="SN9" s="83"/>
      <c r="SO9" s="83"/>
      <c r="SP9" s="83"/>
      <c r="SQ9" s="83"/>
      <c r="SR9" s="83"/>
      <c r="SS9" s="83"/>
      <c r="ST9" s="83"/>
      <c r="SU9" s="83"/>
      <c r="SV9" s="83"/>
      <c r="SW9" s="83"/>
      <c r="SX9" s="83"/>
      <c r="SY9" s="83"/>
      <c r="SZ9" s="83"/>
      <c r="TA9" s="83"/>
      <c r="TB9" s="83"/>
      <c r="TC9" s="83"/>
      <c r="TD9" s="83"/>
      <c r="TE9" s="83"/>
      <c r="TF9" s="83"/>
      <c r="TG9" s="83"/>
      <c r="TH9" s="83"/>
      <c r="TI9" s="83"/>
      <c r="TJ9" s="83"/>
      <c r="TK9" s="83"/>
      <c r="TL9" s="83"/>
      <c r="TM9" s="83"/>
      <c r="TN9" s="83"/>
      <c r="TO9" s="83"/>
      <c r="TP9" s="83"/>
      <c r="TQ9" s="83"/>
      <c r="TR9" s="83"/>
      <c r="TS9" s="83"/>
      <c r="TT9" s="83"/>
      <c r="TU9" s="83"/>
      <c r="TV9" s="83"/>
      <c r="TW9" s="83"/>
      <c r="TX9" s="83"/>
      <c r="TY9" s="83"/>
      <c r="TZ9" s="83"/>
      <c r="UA9" s="83"/>
      <c r="UB9" s="83"/>
      <c r="UC9" s="83"/>
      <c r="UD9" s="83"/>
      <c r="UE9" s="83"/>
      <c r="UF9" s="83"/>
      <c r="UG9" s="83"/>
      <c r="UH9" s="83"/>
      <c r="UI9" s="83"/>
      <c r="UJ9" s="83"/>
      <c r="UK9" s="83"/>
      <c r="UL9" s="83"/>
      <c r="UM9" s="83"/>
      <c r="UN9" s="83"/>
      <c r="UO9" s="83"/>
      <c r="UP9" s="83"/>
      <c r="UQ9" s="83"/>
      <c r="UR9" s="83"/>
      <c r="US9" s="83"/>
      <c r="UT9" s="83"/>
      <c r="UU9" s="83"/>
      <c r="UV9" s="83"/>
      <c r="UW9" s="83"/>
      <c r="UX9" s="83"/>
      <c r="UY9" s="83"/>
      <c r="UZ9" s="83"/>
      <c r="VA9" s="83"/>
      <c r="VB9" s="83"/>
      <c r="VC9" s="83"/>
      <c r="VD9" s="83"/>
      <c r="VE9" s="83"/>
      <c r="VF9" s="83"/>
      <c r="VG9" s="83"/>
      <c r="VH9" s="83"/>
      <c r="VI9" s="83"/>
      <c r="VJ9" s="83"/>
      <c r="VK9" s="83"/>
      <c r="VL9" s="83"/>
      <c r="VM9" s="83"/>
      <c r="VN9" s="83"/>
      <c r="VO9" s="83"/>
      <c r="VP9" s="83"/>
      <c r="VQ9" s="83"/>
      <c r="VR9" s="83"/>
      <c r="VS9" s="83"/>
      <c r="VT9" s="83"/>
      <c r="VU9" s="83"/>
      <c r="VV9" s="83"/>
      <c r="VW9" s="83"/>
      <c r="VX9" s="83"/>
      <c r="VY9" s="83"/>
      <c r="VZ9" s="83"/>
      <c r="WA9" s="83"/>
      <c r="WB9" s="83"/>
      <c r="WC9" s="83"/>
      <c r="WD9" s="83"/>
      <c r="WE9" s="83"/>
      <c r="WF9" s="83"/>
    </row>
    <row r="10" spans="1:604" ht="17.25" customHeight="1" x14ac:dyDescent="0.3">
      <c r="A10" s="25" t="e">
        <f>IF(契約詳細價目表!A10="",NA(),契約詳細價目表!A10)</f>
        <v>#N/A</v>
      </c>
      <c r="B10" s="26" t="e">
        <f>IF(契約詳細價目表!B10="",NA(),契約詳細價目表!B10)</f>
        <v>#N/A</v>
      </c>
      <c r="C10" s="25" t="e">
        <f>IF(契約詳細價目表!C10="",NA(),契約詳細價目表!C10)</f>
        <v>#N/A</v>
      </c>
      <c r="D10" s="27" t="e">
        <f>IF(契約詳細價目表!D10="",NA(),契約詳細價目表!D10)</f>
        <v>#N/A</v>
      </c>
      <c r="E10" s="28" t="e">
        <f>IF(契約詳細價目表!E10="",NA(),契約詳細價目表!E10)</f>
        <v>#N/A</v>
      </c>
      <c r="F10" s="28">
        <f>IF(契約詳細價目表!F10="",NA(),契約詳細價目表!F10)</f>
        <v>0</v>
      </c>
      <c r="G10" s="27">
        <f t="shared" si="536"/>
        <v>0</v>
      </c>
      <c r="H10" s="28" t="e">
        <f t="shared" si="537"/>
        <v>#N/A</v>
      </c>
      <c r="I10" s="47" t="e">
        <f t="shared" si="535"/>
        <v>#N/A</v>
      </c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5"/>
      <c r="DM10" s="85"/>
      <c r="DN10" s="85"/>
      <c r="DO10" s="85"/>
      <c r="DP10" s="85"/>
      <c r="DQ10" s="85"/>
      <c r="DR10" s="85"/>
      <c r="DS10" s="85"/>
      <c r="DT10" s="85"/>
      <c r="DU10" s="85"/>
      <c r="DV10" s="85"/>
      <c r="DW10" s="85"/>
      <c r="DX10" s="85"/>
      <c r="DY10" s="85"/>
      <c r="DZ10" s="85"/>
      <c r="EA10" s="85"/>
      <c r="EB10" s="85"/>
      <c r="EC10" s="85"/>
      <c r="ED10" s="85"/>
      <c r="EE10" s="85"/>
      <c r="EF10" s="85"/>
      <c r="EG10" s="85"/>
      <c r="EH10" s="85"/>
      <c r="EI10" s="85"/>
      <c r="EJ10" s="85"/>
      <c r="EK10" s="85"/>
      <c r="EL10" s="85"/>
      <c r="EM10" s="85"/>
      <c r="EN10" s="85"/>
      <c r="EO10" s="85"/>
      <c r="EP10" s="85"/>
      <c r="EQ10" s="85"/>
      <c r="ER10" s="85"/>
      <c r="ES10" s="85"/>
      <c r="ET10" s="85"/>
      <c r="EU10" s="85"/>
      <c r="EV10" s="85"/>
      <c r="EW10" s="85"/>
      <c r="EX10" s="85"/>
      <c r="EY10" s="85"/>
      <c r="EZ10" s="85"/>
      <c r="FA10" s="85"/>
      <c r="FB10" s="85"/>
      <c r="FC10" s="85"/>
      <c r="FD10" s="85"/>
      <c r="FE10" s="85"/>
      <c r="FF10" s="85"/>
      <c r="FG10" s="85"/>
      <c r="FH10" s="85"/>
      <c r="FI10" s="85"/>
      <c r="FJ10" s="85"/>
      <c r="FK10" s="85"/>
      <c r="FL10" s="85"/>
      <c r="FM10" s="85"/>
      <c r="FN10" s="85"/>
      <c r="FO10" s="85"/>
      <c r="FP10" s="85"/>
      <c r="FQ10" s="85"/>
      <c r="FR10" s="85"/>
      <c r="FS10" s="85"/>
      <c r="FT10" s="85"/>
      <c r="FU10" s="83"/>
      <c r="FV10" s="83"/>
      <c r="FW10" s="83"/>
      <c r="FX10" s="83"/>
      <c r="FY10" s="83"/>
      <c r="FZ10" s="83"/>
      <c r="GA10" s="83"/>
      <c r="GB10" s="83"/>
      <c r="GC10" s="83"/>
      <c r="GD10" s="83"/>
      <c r="GE10" s="83"/>
      <c r="GF10" s="83"/>
      <c r="GG10" s="83"/>
      <c r="GH10" s="83"/>
      <c r="GI10" s="83"/>
      <c r="GJ10" s="83"/>
      <c r="GK10" s="83"/>
      <c r="GL10" s="83"/>
      <c r="GM10" s="83"/>
      <c r="GN10" s="83"/>
      <c r="GO10" s="83"/>
      <c r="GP10" s="83"/>
      <c r="GQ10" s="83"/>
      <c r="GR10" s="83"/>
      <c r="GS10" s="83"/>
      <c r="GT10" s="83"/>
      <c r="GU10" s="83"/>
      <c r="GV10" s="83"/>
      <c r="GW10" s="83"/>
      <c r="GX10" s="83"/>
      <c r="GY10" s="83"/>
      <c r="GZ10" s="83"/>
      <c r="HA10" s="83"/>
      <c r="HB10" s="83"/>
      <c r="HC10" s="83"/>
      <c r="HD10" s="83"/>
      <c r="HE10" s="83"/>
      <c r="HF10" s="83"/>
      <c r="HG10" s="83"/>
      <c r="HH10" s="83"/>
      <c r="HI10" s="83"/>
      <c r="HJ10" s="83"/>
      <c r="HK10" s="83"/>
      <c r="HL10" s="83"/>
      <c r="HM10" s="83"/>
      <c r="HN10" s="83"/>
      <c r="HO10" s="83"/>
      <c r="HP10" s="83"/>
      <c r="HQ10" s="83"/>
      <c r="HR10" s="83"/>
      <c r="HS10" s="83"/>
      <c r="HT10" s="83"/>
      <c r="HU10" s="83"/>
      <c r="HV10" s="83"/>
      <c r="HW10" s="83"/>
      <c r="HX10" s="83"/>
      <c r="HY10" s="83"/>
      <c r="HZ10" s="83"/>
      <c r="IA10" s="83"/>
      <c r="IB10" s="83"/>
      <c r="IC10" s="83"/>
      <c r="ID10" s="83"/>
      <c r="IE10" s="83"/>
      <c r="IF10" s="83"/>
      <c r="IG10" s="83"/>
      <c r="IH10" s="83"/>
      <c r="II10" s="83"/>
      <c r="IJ10" s="83"/>
      <c r="IK10" s="83"/>
      <c r="IL10" s="83"/>
      <c r="IM10" s="83"/>
      <c r="IN10" s="83"/>
      <c r="IO10" s="83"/>
      <c r="IP10" s="83"/>
      <c r="IQ10" s="83"/>
      <c r="IR10" s="83"/>
      <c r="IS10" s="83"/>
      <c r="IT10" s="83"/>
      <c r="IU10" s="83"/>
      <c r="IV10" s="83"/>
      <c r="IW10" s="83"/>
      <c r="IX10" s="83"/>
      <c r="IY10" s="83"/>
      <c r="IZ10" s="83"/>
      <c r="JA10" s="83"/>
      <c r="JB10" s="83"/>
      <c r="JC10" s="83"/>
      <c r="JD10" s="83"/>
      <c r="JE10" s="83"/>
      <c r="JF10" s="83"/>
      <c r="JG10" s="83"/>
      <c r="JH10" s="83"/>
      <c r="JI10" s="83"/>
      <c r="JJ10" s="83"/>
      <c r="JK10" s="83"/>
      <c r="JL10" s="83"/>
      <c r="JM10" s="83"/>
      <c r="JN10" s="83"/>
      <c r="JO10" s="83"/>
      <c r="JP10" s="83"/>
      <c r="JQ10" s="83"/>
      <c r="JR10" s="83"/>
      <c r="JS10" s="83"/>
      <c r="JT10" s="83"/>
      <c r="JU10" s="83"/>
      <c r="JV10" s="83"/>
      <c r="JW10" s="83"/>
      <c r="JX10" s="83"/>
      <c r="JY10" s="83"/>
      <c r="JZ10" s="83"/>
      <c r="KA10" s="83"/>
      <c r="KB10" s="83"/>
      <c r="KC10" s="83"/>
      <c r="KD10" s="83"/>
      <c r="KE10" s="83"/>
      <c r="KF10" s="83"/>
      <c r="KG10" s="83"/>
      <c r="KH10" s="83"/>
      <c r="KI10" s="83"/>
      <c r="KJ10" s="83"/>
      <c r="KK10" s="83"/>
      <c r="KL10" s="83"/>
      <c r="KM10" s="83"/>
      <c r="KN10" s="83"/>
      <c r="KO10" s="83"/>
      <c r="KP10" s="83"/>
      <c r="KQ10" s="83"/>
      <c r="KR10" s="83"/>
      <c r="KS10" s="83"/>
      <c r="KT10" s="83"/>
      <c r="KU10" s="83"/>
      <c r="KV10" s="83"/>
      <c r="KW10" s="83"/>
      <c r="KX10" s="83"/>
      <c r="KY10" s="83"/>
      <c r="KZ10" s="83"/>
      <c r="LA10" s="83"/>
      <c r="LB10" s="83"/>
      <c r="LC10" s="83"/>
      <c r="LD10" s="83"/>
      <c r="LE10" s="83"/>
      <c r="LF10" s="83"/>
      <c r="LG10" s="83"/>
      <c r="LH10" s="83"/>
      <c r="LI10" s="83"/>
      <c r="LJ10" s="83"/>
      <c r="LK10" s="83"/>
      <c r="LL10" s="83"/>
      <c r="LM10" s="83"/>
      <c r="LN10" s="83"/>
      <c r="LO10" s="83"/>
      <c r="LP10" s="83"/>
      <c r="LQ10" s="83"/>
      <c r="LR10" s="83"/>
      <c r="LS10" s="83"/>
      <c r="LT10" s="83"/>
      <c r="LU10" s="83"/>
      <c r="LV10" s="83"/>
      <c r="LW10" s="83"/>
      <c r="LX10" s="83"/>
      <c r="LY10" s="83"/>
      <c r="LZ10" s="83"/>
      <c r="MA10" s="83"/>
      <c r="MB10" s="83"/>
      <c r="MC10" s="83"/>
      <c r="MD10" s="83"/>
      <c r="ME10" s="83"/>
      <c r="MF10" s="83"/>
      <c r="MG10" s="83"/>
      <c r="MH10" s="83"/>
      <c r="MI10" s="83"/>
      <c r="MJ10" s="83"/>
      <c r="MK10" s="83"/>
      <c r="ML10" s="83"/>
      <c r="MM10" s="83"/>
      <c r="MN10" s="83"/>
      <c r="MO10" s="83"/>
      <c r="MP10" s="83"/>
      <c r="MQ10" s="83"/>
      <c r="MR10" s="83"/>
      <c r="MS10" s="83"/>
      <c r="MT10" s="83"/>
      <c r="MU10" s="83"/>
      <c r="MV10" s="83"/>
      <c r="MW10" s="83"/>
      <c r="MX10" s="83"/>
      <c r="MY10" s="83"/>
      <c r="MZ10" s="83"/>
      <c r="NA10" s="83"/>
      <c r="NB10" s="83"/>
      <c r="NC10" s="83"/>
      <c r="ND10" s="83"/>
      <c r="NE10" s="83"/>
      <c r="NF10" s="83"/>
      <c r="NG10" s="83"/>
      <c r="NH10" s="83"/>
      <c r="NI10" s="83"/>
      <c r="NJ10" s="83"/>
      <c r="NK10" s="83"/>
      <c r="NL10" s="83"/>
      <c r="NM10" s="83"/>
      <c r="NN10" s="83"/>
      <c r="NO10" s="83"/>
      <c r="NP10" s="83"/>
      <c r="NQ10" s="83"/>
      <c r="NR10" s="83"/>
      <c r="NS10" s="83"/>
      <c r="NT10" s="83"/>
      <c r="NU10" s="83"/>
      <c r="NV10" s="83"/>
      <c r="NW10" s="83"/>
      <c r="NX10" s="83"/>
      <c r="NY10" s="83"/>
      <c r="NZ10" s="83"/>
      <c r="OA10" s="83"/>
      <c r="OB10" s="83"/>
      <c r="OC10" s="83"/>
      <c r="OD10" s="83"/>
      <c r="OE10" s="83"/>
      <c r="OF10" s="83"/>
      <c r="OG10" s="83"/>
      <c r="OH10" s="83"/>
      <c r="OI10" s="83"/>
      <c r="OJ10" s="83"/>
      <c r="OK10" s="83"/>
      <c r="OL10" s="83"/>
      <c r="OM10" s="83"/>
      <c r="ON10" s="83"/>
      <c r="OO10" s="83"/>
      <c r="OP10" s="83"/>
      <c r="OQ10" s="83"/>
      <c r="OR10" s="83"/>
      <c r="OS10" s="83"/>
      <c r="OT10" s="83"/>
      <c r="OU10" s="83"/>
      <c r="OV10" s="83"/>
      <c r="OW10" s="83"/>
      <c r="OX10" s="83"/>
      <c r="OY10" s="83"/>
      <c r="OZ10" s="83"/>
      <c r="PA10" s="83"/>
      <c r="PB10" s="83"/>
      <c r="PC10" s="83"/>
      <c r="PD10" s="83"/>
      <c r="PE10" s="83"/>
      <c r="PF10" s="83"/>
      <c r="PG10" s="83"/>
      <c r="PH10" s="83"/>
      <c r="PI10" s="83"/>
      <c r="PJ10" s="83"/>
      <c r="PK10" s="83"/>
      <c r="PL10" s="83"/>
      <c r="PM10" s="83"/>
      <c r="PN10" s="83"/>
      <c r="PO10" s="83"/>
      <c r="PP10" s="83"/>
      <c r="PQ10" s="83"/>
      <c r="PR10" s="83"/>
      <c r="PS10" s="83"/>
      <c r="PT10" s="83"/>
      <c r="PU10" s="83"/>
      <c r="PV10" s="83"/>
      <c r="PW10" s="83"/>
      <c r="PX10" s="83"/>
      <c r="PY10" s="83"/>
      <c r="PZ10" s="83"/>
      <c r="QA10" s="83"/>
      <c r="QB10" s="83"/>
      <c r="QC10" s="83"/>
      <c r="QD10" s="83"/>
      <c r="QE10" s="83"/>
      <c r="QF10" s="83"/>
      <c r="QG10" s="83"/>
      <c r="QH10" s="83"/>
      <c r="QI10" s="83"/>
      <c r="QJ10" s="83"/>
      <c r="QK10" s="83"/>
      <c r="QL10" s="83"/>
      <c r="QM10" s="83"/>
      <c r="QN10" s="83"/>
      <c r="QO10" s="83"/>
      <c r="QP10" s="83"/>
      <c r="QQ10" s="83"/>
      <c r="QR10" s="83"/>
      <c r="QS10" s="83"/>
      <c r="QT10" s="83"/>
      <c r="QU10" s="83"/>
      <c r="QV10" s="83"/>
      <c r="QW10" s="83"/>
      <c r="QX10" s="83"/>
      <c r="QY10" s="83"/>
      <c r="QZ10" s="83"/>
      <c r="RA10" s="83"/>
      <c r="RB10" s="83"/>
      <c r="RC10" s="83"/>
      <c r="RD10" s="83"/>
      <c r="RE10" s="83"/>
      <c r="RF10" s="83"/>
      <c r="RG10" s="83"/>
      <c r="RH10" s="83"/>
      <c r="RI10" s="83"/>
      <c r="RJ10" s="83"/>
      <c r="RK10" s="83"/>
      <c r="RL10" s="83"/>
      <c r="RM10" s="83"/>
      <c r="RN10" s="83"/>
      <c r="RO10" s="83"/>
      <c r="RP10" s="83"/>
      <c r="RQ10" s="83"/>
      <c r="RR10" s="83"/>
      <c r="RS10" s="83"/>
      <c r="RT10" s="83"/>
      <c r="RU10" s="83"/>
      <c r="RV10" s="83"/>
      <c r="RW10" s="83"/>
      <c r="RX10" s="83"/>
      <c r="RY10" s="83"/>
      <c r="RZ10" s="83"/>
      <c r="SA10" s="83"/>
      <c r="SB10" s="83"/>
      <c r="SC10" s="83"/>
      <c r="SD10" s="83"/>
      <c r="SE10" s="83"/>
      <c r="SF10" s="83"/>
      <c r="SG10" s="83"/>
      <c r="SH10" s="83"/>
      <c r="SI10" s="83"/>
      <c r="SJ10" s="83"/>
      <c r="SK10" s="83"/>
      <c r="SL10" s="83"/>
      <c r="SM10" s="83"/>
      <c r="SN10" s="83"/>
      <c r="SO10" s="83"/>
      <c r="SP10" s="83"/>
      <c r="SQ10" s="83"/>
      <c r="SR10" s="83"/>
      <c r="SS10" s="83"/>
      <c r="ST10" s="83"/>
      <c r="SU10" s="83"/>
      <c r="SV10" s="83"/>
      <c r="SW10" s="83"/>
      <c r="SX10" s="83"/>
      <c r="SY10" s="83"/>
      <c r="SZ10" s="83"/>
      <c r="TA10" s="83"/>
      <c r="TB10" s="83"/>
      <c r="TC10" s="83"/>
      <c r="TD10" s="83"/>
      <c r="TE10" s="83"/>
      <c r="TF10" s="83"/>
      <c r="TG10" s="83"/>
      <c r="TH10" s="83"/>
      <c r="TI10" s="83"/>
      <c r="TJ10" s="83"/>
      <c r="TK10" s="83"/>
      <c r="TL10" s="83"/>
      <c r="TM10" s="83"/>
      <c r="TN10" s="83"/>
      <c r="TO10" s="83"/>
      <c r="TP10" s="83"/>
      <c r="TQ10" s="83"/>
      <c r="TR10" s="83"/>
      <c r="TS10" s="83"/>
      <c r="TT10" s="83"/>
      <c r="TU10" s="83"/>
      <c r="TV10" s="83"/>
      <c r="TW10" s="83"/>
      <c r="TX10" s="83"/>
      <c r="TY10" s="83"/>
      <c r="TZ10" s="83"/>
      <c r="UA10" s="83"/>
      <c r="UB10" s="83"/>
      <c r="UC10" s="83"/>
      <c r="UD10" s="83"/>
      <c r="UE10" s="83"/>
      <c r="UF10" s="83"/>
      <c r="UG10" s="83"/>
      <c r="UH10" s="83"/>
      <c r="UI10" s="83"/>
      <c r="UJ10" s="83"/>
      <c r="UK10" s="83"/>
      <c r="UL10" s="83"/>
      <c r="UM10" s="83"/>
      <c r="UN10" s="83"/>
      <c r="UO10" s="83"/>
      <c r="UP10" s="83"/>
      <c r="UQ10" s="83"/>
      <c r="UR10" s="83"/>
      <c r="US10" s="83"/>
      <c r="UT10" s="83"/>
      <c r="UU10" s="83"/>
      <c r="UV10" s="83"/>
      <c r="UW10" s="83"/>
      <c r="UX10" s="83"/>
      <c r="UY10" s="83"/>
      <c r="UZ10" s="83"/>
      <c r="VA10" s="83"/>
      <c r="VB10" s="83"/>
      <c r="VC10" s="83"/>
      <c r="VD10" s="83"/>
      <c r="VE10" s="83"/>
      <c r="VF10" s="83"/>
      <c r="VG10" s="83"/>
      <c r="VH10" s="83"/>
      <c r="VI10" s="83"/>
      <c r="VJ10" s="83"/>
      <c r="VK10" s="83"/>
      <c r="VL10" s="83"/>
      <c r="VM10" s="83"/>
      <c r="VN10" s="83"/>
      <c r="VO10" s="83"/>
      <c r="VP10" s="83"/>
      <c r="VQ10" s="83"/>
      <c r="VR10" s="83"/>
      <c r="VS10" s="83"/>
      <c r="VT10" s="83"/>
      <c r="VU10" s="83"/>
      <c r="VV10" s="83"/>
      <c r="VW10" s="83"/>
      <c r="VX10" s="83"/>
      <c r="VY10" s="83"/>
      <c r="VZ10" s="83"/>
      <c r="WA10" s="83"/>
      <c r="WB10" s="83"/>
      <c r="WC10" s="83"/>
      <c r="WD10" s="83"/>
      <c r="WE10" s="83"/>
      <c r="WF10" s="83"/>
    </row>
    <row r="11" spans="1:604" ht="17.25" customHeight="1" x14ac:dyDescent="0.3">
      <c r="A11" s="25" t="e">
        <f>IF(契約詳細價目表!A11="",NA(),契約詳細價目表!A11)</f>
        <v>#N/A</v>
      </c>
      <c r="B11" s="26" t="e">
        <f>IF(契約詳細價目表!B11="",NA(),契約詳細價目表!B11)</f>
        <v>#N/A</v>
      </c>
      <c r="C11" s="25" t="e">
        <f>IF(契約詳細價目表!C11="",NA(),契約詳細價目表!C11)</f>
        <v>#N/A</v>
      </c>
      <c r="D11" s="27" t="e">
        <f>IF(契約詳細價目表!D11="",NA(),契約詳細價目表!D11)</f>
        <v>#N/A</v>
      </c>
      <c r="E11" s="28" t="e">
        <f>IF(契約詳細價目表!E11="",NA(),契約詳細價目表!E11)</f>
        <v>#N/A</v>
      </c>
      <c r="F11" s="28">
        <f>IF(契約詳細價目表!F11="",NA(),契約詳細價目表!F11)</f>
        <v>0</v>
      </c>
      <c r="G11" s="27">
        <f t="shared" si="536"/>
        <v>0</v>
      </c>
      <c r="H11" s="28" t="e">
        <f t="shared" si="537"/>
        <v>#N/A</v>
      </c>
      <c r="I11" s="47" t="e">
        <f t="shared" si="535"/>
        <v>#N/A</v>
      </c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5"/>
      <c r="DE11" s="85"/>
      <c r="DF11" s="85"/>
      <c r="DG11" s="85"/>
      <c r="DH11" s="85"/>
      <c r="DI11" s="85"/>
      <c r="DJ11" s="85"/>
      <c r="DK11" s="85"/>
      <c r="DL11" s="85"/>
      <c r="DM11" s="85"/>
      <c r="DN11" s="85"/>
      <c r="DO11" s="85"/>
      <c r="DP11" s="85"/>
      <c r="DQ11" s="85"/>
      <c r="DR11" s="85"/>
      <c r="DS11" s="85"/>
      <c r="DT11" s="85"/>
      <c r="DU11" s="85"/>
      <c r="DV11" s="85"/>
      <c r="DW11" s="85"/>
      <c r="DX11" s="85"/>
      <c r="DY11" s="85"/>
      <c r="DZ11" s="85"/>
      <c r="EA11" s="85"/>
      <c r="EB11" s="85"/>
      <c r="EC11" s="85"/>
      <c r="ED11" s="85"/>
      <c r="EE11" s="85"/>
      <c r="EF11" s="85"/>
      <c r="EG11" s="85"/>
      <c r="EH11" s="85"/>
      <c r="EI11" s="85"/>
      <c r="EJ11" s="85"/>
      <c r="EK11" s="85"/>
      <c r="EL11" s="85"/>
      <c r="EM11" s="85"/>
      <c r="EN11" s="85"/>
      <c r="EO11" s="85"/>
      <c r="EP11" s="85"/>
      <c r="EQ11" s="85"/>
      <c r="ER11" s="85"/>
      <c r="ES11" s="85"/>
      <c r="ET11" s="85"/>
      <c r="EU11" s="85"/>
      <c r="EV11" s="85"/>
      <c r="EW11" s="85"/>
      <c r="EX11" s="85"/>
      <c r="EY11" s="85"/>
      <c r="EZ11" s="85"/>
      <c r="FA11" s="85"/>
      <c r="FB11" s="85"/>
      <c r="FC11" s="85"/>
      <c r="FD11" s="85"/>
      <c r="FE11" s="85"/>
      <c r="FF11" s="85"/>
      <c r="FG11" s="85"/>
      <c r="FH11" s="85"/>
      <c r="FI11" s="85"/>
      <c r="FJ11" s="85"/>
      <c r="FK11" s="85"/>
      <c r="FL11" s="85"/>
      <c r="FM11" s="85"/>
      <c r="FN11" s="85"/>
      <c r="FO11" s="85"/>
      <c r="FP11" s="85"/>
      <c r="FQ11" s="85"/>
      <c r="FR11" s="85"/>
      <c r="FS11" s="85"/>
      <c r="FT11" s="85"/>
      <c r="FU11" s="83"/>
      <c r="FV11" s="83"/>
      <c r="FW11" s="83"/>
      <c r="FX11" s="83"/>
      <c r="FY11" s="83"/>
      <c r="FZ11" s="83"/>
      <c r="GA11" s="83"/>
      <c r="GB11" s="83"/>
      <c r="GC11" s="83"/>
      <c r="GD11" s="83"/>
      <c r="GE11" s="83"/>
      <c r="GF11" s="83"/>
      <c r="GG11" s="83"/>
      <c r="GH11" s="83"/>
      <c r="GI11" s="83"/>
      <c r="GJ11" s="83"/>
      <c r="GK11" s="83"/>
      <c r="GL11" s="83"/>
      <c r="GM11" s="83"/>
      <c r="GN11" s="83"/>
      <c r="GO11" s="83"/>
      <c r="GP11" s="83"/>
      <c r="GQ11" s="83"/>
      <c r="GR11" s="83"/>
      <c r="GS11" s="83"/>
      <c r="GT11" s="83"/>
      <c r="GU11" s="83"/>
      <c r="GV11" s="83"/>
      <c r="GW11" s="83"/>
      <c r="GX11" s="83"/>
      <c r="GY11" s="83"/>
      <c r="GZ11" s="83"/>
      <c r="HA11" s="83"/>
      <c r="HB11" s="83"/>
      <c r="HC11" s="83"/>
      <c r="HD11" s="83"/>
      <c r="HE11" s="83"/>
      <c r="HF11" s="83"/>
      <c r="HG11" s="83"/>
      <c r="HH11" s="83"/>
      <c r="HI11" s="83"/>
      <c r="HJ11" s="83"/>
      <c r="HK11" s="83"/>
      <c r="HL11" s="83"/>
      <c r="HM11" s="83"/>
      <c r="HN11" s="83"/>
      <c r="HO11" s="83"/>
      <c r="HP11" s="83"/>
      <c r="HQ11" s="83"/>
      <c r="HR11" s="83"/>
      <c r="HS11" s="83"/>
      <c r="HT11" s="83"/>
      <c r="HU11" s="83"/>
      <c r="HV11" s="83"/>
      <c r="HW11" s="83"/>
      <c r="HX11" s="83"/>
      <c r="HY11" s="83"/>
      <c r="HZ11" s="83"/>
      <c r="IA11" s="83"/>
      <c r="IB11" s="83"/>
      <c r="IC11" s="83"/>
      <c r="ID11" s="83"/>
      <c r="IE11" s="83"/>
      <c r="IF11" s="83"/>
      <c r="IG11" s="83"/>
      <c r="IH11" s="83"/>
      <c r="II11" s="83"/>
      <c r="IJ11" s="83"/>
      <c r="IK11" s="83"/>
      <c r="IL11" s="83"/>
      <c r="IM11" s="83"/>
      <c r="IN11" s="83"/>
      <c r="IO11" s="83"/>
      <c r="IP11" s="83"/>
      <c r="IQ11" s="83"/>
      <c r="IR11" s="83"/>
      <c r="IS11" s="83"/>
      <c r="IT11" s="83"/>
      <c r="IU11" s="83"/>
      <c r="IV11" s="83"/>
      <c r="IW11" s="83"/>
      <c r="IX11" s="83"/>
      <c r="IY11" s="83"/>
      <c r="IZ11" s="83"/>
      <c r="JA11" s="83"/>
      <c r="JB11" s="83"/>
      <c r="JC11" s="83"/>
      <c r="JD11" s="83"/>
      <c r="JE11" s="83"/>
      <c r="JF11" s="83"/>
      <c r="JG11" s="83"/>
      <c r="JH11" s="83"/>
      <c r="JI11" s="83"/>
      <c r="JJ11" s="83"/>
      <c r="JK11" s="83"/>
      <c r="JL11" s="83"/>
      <c r="JM11" s="83"/>
      <c r="JN11" s="83"/>
      <c r="JO11" s="83"/>
      <c r="JP11" s="83"/>
      <c r="JQ11" s="83"/>
      <c r="JR11" s="83"/>
      <c r="JS11" s="83"/>
      <c r="JT11" s="83"/>
      <c r="JU11" s="83"/>
      <c r="JV11" s="83"/>
      <c r="JW11" s="83"/>
      <c r="JX11" s="83"/>
      <c r="JY11" s="83"/>
      <c r="JZ11" s="83"/>
      <c r="KA11" s="83"/>
      <c r="KB11" s="83"/>
      <c r="KC11" s="83"/>
      <c r="KD11" s="83"/>
      <c r="KE11" s="83"/>
      <c r="KF11" s="83"/>
      <c r="KG11" s="83"/>
      <c r="KH11" s="83"/>
      <c r="KI11" s="83"/>
      <c r="KJ11" s="83"/>
      <c r="KK11" s="83"/>
      <c r="KL11" s="83"/>
      <c r="KM11" s="83"/>
      <c r="KN11" s="83"/>
      <c r="KO11" s="83"/>
      <c r="KP11" s="83"/>
      <c r="KQ11" s="83"/>
      <c r="KR11" s="83"/>
      <c r="KS11" s="83"/>
      <c r="KT11" s="83"/>
      <c r="KU11" s="83"/>
      <c r="KV11" s="83"/>
      <c r="KW11" s="83"/>
      <c r="KX11" s="83"/>
      <c r="KY11" s="83"/>
      <c r="KZ11" s="83"/>
      <c r="LA11" s="83"/>
      <c r="LB11" s="83"/>
      <c r="LC11" s="83"/>
      <c r="LD11" s="83"/>
      <c r="LE11" s="83"/>
      <c r="LF11" s="83"/>
      <c r="LG11" s="83"/>
      <c r="LH11" s="83"/>
      <c r="LI11" s="83"/>
      <c r="LJ11" s="83"/>
      <c r="LK11" s="83"/>
      <c r="LL11" s="83"/>
      <c r="LM11" s="83"/>
      <c r="LN11" s="83"/>
      <c r="LO11" s="83"/>
      <c r="LP11" s="83"/>
      <c r="LQ11" s="83"/>
      <c r="LR11" s="83"/>
      <c r="LS11" s="83"/>
      <c r="LT11" s="83"/>
      <c r="LU11" s="83"/>
      <c r="LV11" s="83"/>
      <c r="LW11" s="83"/>
      <c r="LX11" s="83"/>
      <c r="LY11" s="83"/>
      <c r="LZ11" s="83"/>
      <c r="MA11" s="83"/>
      <c r="MB11" s="83"/>
      <c r="MC11" s="83"/>
      <c r="MD11" s="83"/>
      <c r="ME11" s="83"/>
      <c r="MF11" s="83"/>
      <c r="MG11" s="83"/>
      <c r="MH11" s="83"/>
      <c r="MI11" s="83"/>
      <c r="MJ11" s="83"/>
      <c r="MK11" s="83"/>
      <c r="ML11" s="83"/>
      <c r="MM11" s="83"/>
      <c r="MN11" s="83"/>
      <c r="MO11" s="83"/>
      <c r="MP11" s="83"/>
      <c r="MQ11" s="83"/>
      <c r="MR11" s="83"/>
      <c r="MS11" s="83"/>
      <c r="MT11" s="83"/>
      <c r="MU11" s="83"/>
      <c r="MV11" s="83"/>
      <c r="MW11" s="83"/>
      <c r="MX11" s="83"/>
      <c r="MY11" s="83"/>
      <c r="MZ11" s="83"/>
      <c r="NA11" s="83"/>
      <c r="NB11" s="83"/>
      <c r="NC11" s="83"/>
      <c r="ND11" s="83"/>
      <c r="NE11" s="83"/>
      <c r="NF11" s="83"/>
      <c r="NG11" s="83"/>
      <c r="NH11" s="83"/>
      <c r="NI11" s="83"/>
      <c r="NJ11" s="83"/>
      <c r="NK11" s="83"/>
      <c r="NL11" s="83"/>
      <c r="NM11" s="83"/>
      <c r="NN11" s="83"/>
      <c r="NO11" s="83"/>
      <c r="NP11" s="83"/>
      <c r="NQ11" s="83"/>
      <c r="NR11" s="83"/>
      <c r="NS11" s="83"/>
      <c r="NT11" s="83"/>
      <c r="NU11" s="83"/>
      <c r="NV11" s="83"/>
      <c r="NW11" s="83"/>
      <c r="NX11" s="83"/>
      <c r="NY11" s="83"/>
      <c r="NZ11" s="83"/>
      <c r="OA11" s="83"/>
      <c r="OB11" s="83"/>
      <c r="OC11" s="83"/>
      <c r="OD11" s="83"/>
      <c r="OE11" s="83"/>
      <c r="OF11" s="83"/>
      <c r="OG11" s="83"/>
      <c r="OH11" s="83"/>
      <c r="OI11" s="83"/>
      <c r="OJ11" s="83"/>
      <c r="OK11" s="83"/>
      <c r="OL11" s="83"/>
      <c r="OM11" s="83"/>
      <c r="ON11" s="83"/>
      <c r="OO11" s="83"/>
      <c r="OP11" s="83"/>
      <c r="OQ11" s="83"/>
      <c r="OR11" s="83"/>
      <c r="OS11" s="83"/>
      <c r="OT11" s="83"/>
      <c r="OU11" s="83"/>
      <c r="OV11" s="83"/>
      <c r="OW11" s="83"/>
      <c r="OX11" s="83"/>
      <c r="OY11" s="83"/>
      <c r="OZ11" s="83"/>
      <c r="PA11" s="83"/>
      <c r="PB11" s="83"/>
      <c r="PC11" s="83"/>
      <c r="PD11" s="83"/>
      <c r="PE11" s="83"/>
      <c r="PF11" s="83"/>
      <c r="PG11" s="83"/>
      <c r="PH11" s="83"/>
      <c r="PI11" s="83"/>
      <c r="PJ11" s="83"/>
      <c r="PK11" s="83"/>
      <c r="PL11" s="83"/>
      <c r="PM11" s="83"/>
      <c r="PN11" s="83"/>
      <c r="PO11" s="83"/>
      <c r="PP11" s="83"/>
      <c r="PQ11" s="83"/>
      <c r="PR11" s="83"/>
      <c r="PS11" s="83"/>
      <c r="PT11" s="83"/>
      <c r="PU11" s="83"/>
      <c r="PV11" s="83"/>
      <c r="PW11" s="83"/>
      <c r="PX11" s="83"/>
      <c r="PY11" s="83"/>
      <c r="PZ11" s="83"/>
      <c r="QA11" s="83"/>
      <c r="QB11" s="83"/>
      <c r="QC11" s="83"/>
      <c r="QD11" s="83"/>
      <c r="QE11" s="83"/>
      <c r="QF11" s="83"/>
      <c r="QG11" s="83"/>
      <c r="QH11" s="83"/>
      <c r="QI11" s="83"/>
      <c r="QJ11" s="83"/>
      <c r="QK11" s="83"/>
      <c r="QL11" s="83"/>
      <c r="QM11" s="83"/>
      <c r="QN11" s="83"/>
      <c r="QO11" s="83"/>
      <c r="QP11" s="83"/>
      <c r="QQ11" s="83"/>
      <c r="QR11" s="83"/>
      <c r="QS11" s="83"/>
      <c r="QT11" s="83"/>
      <c r="QU11" s="83"/>
      <c r="QV11" s="83"/>
      <c r="QW11" s="83"/>
      <c r="QX11" s="83"/>
      <c r="QY11" s="83"/>
      <c r="QZ11" s="83"/>
      <c r="RA11" s="83"/>
      <c r="RB11" s="83"/>
      <c r="RC11" s="83"/>
      <c r="RD11" s="83"/>
      <c r="RE11" s="83"/>
      <c r="RF11" s="83"/>
      <c r="RG11" s="83"/>
      <c r="RH11" s="83"/>
      <c r="RI11" s="83"/>
      <c r="RJ11" s="83"/>
      <c r="RK11" s="83"/>
      <c r="RL11" s="83"/>
      <c r="RM11" s="83"/>
      <c r="RN11" s="83"/>
      <c r="RO11" s="83"/>
      <c r="RP11" s="83"/>
      <c r="RQ11" s="83"/>
      <c r="RR11" s="83"/>
      <c r="RS11" s="83"/>
      <c r="RT11" s="83"/>
      <c r="RU11" s="83"/>
      <c r="RV11" s="83"/>
      <c r="RW11" s="83"/>
      <c r="RX11" s="83"/>
      <c r="RY11" s="83"/>
      <c r="RZ11" s="83"/>
      <c r="SA11" s="83"/>
      <c r="SB11" s="83"/>
      <c r="SC11" s="83"/>
      <c r="SD11" s="83"/>
      <c r="SE11" s="83"/>
      <c r="SF11" s="83"/>
      <c r="SG11" s="83"/>
      <c r="SH11" s="83"/>
      <c r="SI11" s="83"/>
      <c r="SJ11" s="83"/>
      <c r="SK11" s="83"/>
      <c r="SL11" s="83"/>
      <c r="SM11" s="83"/>
      <c r="SN11" s="83"/>
      <c r="SO11" s="83"/>
      <c r="SP11" s="83"/>
      <c r="SQ11" s="83"/>
      <c r="SR11" s="83"/>
      <c r="SS11" s="83"/>
      <c r="ST11" s="83"/>
      <c r="SU11" s="83"/>
      <c r="SV11" s="83"/>
      <c r="SW11" s="83"/>
      <c r="SX11" s="83"/>
      <c r="SY11" s="83"/>
      <c r="SZ11" s="83"/>
      <c r="TA11" s="83"/>
      <c r="TB11" s="83"/>
      <c r="TC11" s="83"/>
      <c r="TD11" s="83"/>
      <c r="TE11" s="83"/>
      <c r="TF11" s="83"/>
      <c r="TG11" s="83"/>
      <c r="TH11" s="83"/>
      <c r="TI11" s="83"/>
      <c r="TJ11" s="83"/>
      <c r="TK11" s="83"/>
      <c r="TL11" s="83"/>
      <c r="TM11" s="83"/>
      <c r="TN11" s="83"/>
      <c r="TO11" s="83"/>
      <c r="TP11" s="83"/>
      <c r="TQ11" s="83"/>
      <c r="TR11" s="83"/>
      <c r="TS11" s="83"/>
      <c r="TT11" s="83"/>
      <c r="TU11" s="83"/>
      <c r="TV11" s="83"/>
      <c r="TW11" s="83"/>
      <c r="TX11" s="83"/>
      <c r="TY11" s="83"/>
      <c r="TZ11" s="83"/>
      <c r="UA11" s="83"/>
      <c r="UB11" s="83"/>
      <c r="UC11" s="83"/>
      <c r="UD11" s="83"/>
      <c r="UE11" s="83"/>
      <c r="UF11" s="83"/>
      <c r="UG11" s="83"/>
      <c r="UH11" s="83"/>
      <c r="UI11" s="83"/>
      <c r="UJ11" s="83"/>
      <c r="UK11" s="83"/>
      <c r="UL11" s="83"/>
      <c r="UM11" s="83"/>
      <c r="UN11" s="83"/>
      <c r="UO11" s="83"/>
      <c r="UP11" s="83"/>
      <c r="UQ11" s="83"/>
      <c r="UR11" s="83"/>
      <c r="US11" s="83"/>
      <c r="UT11" s="83"/>
      <c r="UU11" s="83"/>
      <c r="UV11" s="83"/>
      <c r="UW11" s="83"/>
      <c r="UX11" s="83"/>
      <c r="UY11" s="83"/>
      <c r="UZ11" s="83"/>
      <c r="VA11" s="83"/>
      <c r="VB11" s="83"/>
      <c r="VC11" s="83"/>
      <c r="VD11" s="83"/>
      <c r="VE11" s="83"/>
      <c r="VF11" s="83"/>
      <c r="VG11" s="83"/>
      <c r="VH11" s="83"/>
      <c r="VI11" s="83"/>
      <c r="VJ11" s="83"/>
      <c r="VK11" s="83"/>
      <c r="VL11" s="83"/>
      <c r="VM11" s="83"/>
      <c r="VN11" s="83"/>
      <c r="VO11" s="83"/>
      <c r="VP11" s="83"/>
      <c r="VQ11" s="83"/>
      <c r="VR11" s="83"/>
      <c r="VS11" s="83"/>
      <c r="VT11" s="83"/>
      <c r="VU11" s="83"/>
      <c r="VV11" s="83"/>
      <c r="VW11" s="83"/>
      <c r="VX11" s="83"/>
      <c r="VY11" s="83"/>
      <c r="VZ11" s="83"/>
      <c r="WA11" s="83"/>
      <c r="WB11" s="83"/>
      <c r="WC11" s="83"/>
      <c r="WD11" s="83"/>
      <c r="WE11" s="83"/>
      <c r="WF11" s="83"/>
    </row>
    <row r="12" spans="1:604" ht="17.25" customHeight="1" x14ac:dyDescent="0.3">
      <c r="A12" s="25" t="e">
        <f>IF(契約詳細價目表!A12="",NA(),契約詳細價目表!A12)</f>
        <v>#N/A</v>
      </c>
      <c r="B12" s="26" t="e">
        <f>IF(契約詳細價目表!B12="",NA(),契約詳細價目表!B12)</f>
        <v>#N/A</v>
      </c>
      <c r="C12" s="25" t="e">
        <f>IF(契約詳細價目表!C12="",NA(),契約詳細價目表!C12)</f>
        <v>#N/A</v>
      </c>
      <c r="D12" s="27" t="e">
        <f>IF(契約詳細價目表!D12="",NA(),契約詳細價目表!D12)</f>
        <v>#N/A</v>
      </c>
      <c r="E12" s="28" t="e">
        <f>IF(契約詳細價目表!E12="",NA(),契約詳細價目表!E12)</f>
        <v>#N/A</v>
      </c>
      <c r="F12" s="28">
        <f>IF(契約詳細價目表!F12="",NA(),契約詳細價目表!F12)</f>
        <v>0</v>
      </c>
      <c r="G12" s="27">
        <f t="shared" si="536"/>
        <v>0</v>
      </c>
      <c r="H12" s="28" t="e">
        <f t="shared" si="537"/>
        <v>#N/A</v>
      </c>
      <c r="I12" s="47" t="e">
        <f t="shared" si="535"/>
        <v>#N/A</v>
      </c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5"/>
      <c r="DM12" s="85"/>
      <c r="DN12" s="85"/>
      <c r="DO12" s="85"/>
      <c r="DP12" s="85"/>
      <c r="DQ12" s="85"/>
      <c r="DR12" s="85"/>
      <c r="DS12" s="85"/>
      <c r="DT12" s="85"/>
      <c r="DU12" s="85"/>
      <c r="DV12" s="85"/>
      <c r="DW12" s="85"/>
      <c r="DX12" s="85"/>
      <c r="DY12" s="85"/>
      <c r="DZ12" s="85"/>
      <c r="EA12" s="85"/>
      <c r="EB12" s="85"/>
      <c r="EC12" s="85"/>
      <c r="ED12" s="85"/>
      <c r="EE12" s="85"/>
      <c r="EF12" s="85"/>
      <c r="EG12" s="85"/>
      <c r="EH12" s="85"/>
      <c r="EI12" s="85"/>
      <c r="EJ12" s="85"/>
      <c r="EK12" s="85"/>
      <c r="EL12" s="85"/>
      <c r="EM12" s="85"/>
      <c r="EN12" s="85"/>
      <c r="EO12" s="85"/>
      <c r="EP12" s="85"/>
      <c r="EQ12" s="85"/>
      <c r="ER12" s="85"/>
      <c r="ES12" s="85"/>
      <c r="ET12" s="85"/>
      <c r="EU12" s="85"/>
      <c r="EV12" s="85"/>
      <c r="EW12" s="85"/>
      <c r="EX12" s="85"/>
      <c r="EY12" s="85"/>
      <c r="EZ12" s="85"/>
      <c r="FA12" s="85"/>
      <c r="FB12" s="85"/>
      <c r="FC12" s="85"/>
      <c r="FD12" s="85"/>
      <c r="FE12" s="85"/>
      <c r="FF12" s="85"/>
      <c r="FG12" s="85"/>
      <c r="FH12" s="85"/>
      <c r="FI12" s="85"/>
      <c r="FJ12" s="85"/>
      <c r="FK12" s="85"/>
      <c r="FL12" s="85"/>
      <c r="FM12" s="85"/>
      <c r="FN12" s="85"/>
      <c r="FO12" s="85"/>
      <c r="FP12" s="85"/>
      <c r="FQ12" s="85"/>
      <c r="FR12" s="85"/>
      <c r="FS12" s="85"/>
      <c r="FT12" s="85"/>
      <c r="FU12" s="83"/>
      <c r="FV12" s="83"/>
      <c r="FW12" s="83"/>
      <c r="FX12" s="83"/>
      <c r="FY12" s="83"/>
      <c r="FZ12" s="83"/>
      <c r="GA12" s="83"/>
      <c r="GB12" s="83"/>
      <c r="GC12" s="83"/>
      <c r="GD12" s="83"/>
      <c r="GE12" s="83"/>
      <c r="GF12" s="83"/>
      <c r="GG12" s="83"/>
      <c r="GH12" s="83"/>
      <c r="GI12" s="83"/>
      <c r="GJ12" s="83"/>
      <c r="GK12" s="83"/>
      <c r="GL12" s="83"/>
      <c r="GM12" s="83"/>
      <c r="GN12" s="83"/>
      <c r="GO12" s="83"/>
      <c r="GP12" s="83"/>
      <c r="GQ12" s="83"/>
      <c r="GR12" s="83"/>
      <c r="GS12" s="83"/>
      <c r="GT12" s="83"/>
      <c r="GU12" s="83"/>
      <c r="GV12" s="83"/>
      <c r="GW12" s="83"/>
      <c r="GX12" s="83"/>
      <c r="GY12" s="83"/>
      <c r="GZ12" s="83"/>
      <c r="HA12" s="83"/>
      <c r="HB12" s="83"/>
      <c r="HC12" s="83"/>
      <c r="HD12" s="83"/>
      <c r="HE12" s="83"/>
      <c r="HF12" s="83"/>
      <c r="HG12" s="83"/>
      <c r="HH12" s="83"/>
      <c r="HI12" s="83"/>
      <c r="HJ12" s="83"/>
      <c r="HK12" s="83"/>
      <c r="HL12" s="83"/>
      <c r="HM12" s="83"/>
      <c r="HN12" s="83"/>
      <c r="HO12" s="83"/>
      <c r="HP12" s="83"/>
      <c r="HQ12" s="83"/>
      <c r="HR12" s="83"/>
      <c r="HS12" s="83"/>
      <c r="HT12" s="83"/>
      <c r="HU12" s="83"/>
      <c r="HV12" s="83"/>
      <c r="HW12" s="83"/>
      <c r="HX12" s="83"/>
      <c r="HY12" s="83"/>
      <c r="HZ12" s="83"/>
      <c r="IA12" s="83"/>
      <c r="IB12" s="83"/>
      <c r="IC12" s="83"/>
      <c r="ID12" s="83"/>
      <c r="IE12" s="83"/>
      <c r="IF12" s="83"/>
      <c r="IG12" s="83"/>
      <c r="IH12" s="83"/>
      <c r="II12" s="83"/>
      <c r="IJ12" s="83"/>
      <c r="IK12" s="83"/>
      <c r="IL12" s="83"/>
      <c r="IM12" s="83"/>
      <c r="IN12" s="83"/>
      <c r="IO12" s="83"/>
      <c r="IP12" s="83"/>
      <c r="IQ12" s="83"/>
      <c r="IR12" s="83"/>
      <c r="IS12" s="83"/>
      <c r="IT12" s="83"/>
      <c r="IU12" s="83"/>
      <c r="IV12" s="83"/>
      <c r="IW12" s="83"/>
      <c r="IX12" s="83"/>
      <c r="IY12" s="83"/>
      <c r="IZ12" s="83"/>
      <c r="JA12" s="83"/>
      <c r="JB12" s="83"/>
      <c r="JC12" s="83"/>
      <c r="JD12" s="83"/>
      <c r="JE12" s="83"/>
      <c r="JF12" s="83"/>
      <c r="JG12" s="83"/>
      <c r="JH12" s="83"/>
      <c r="JI12" s="83"/>
      <c r="JJ12" s="83"/>
      <c r="JK12" s="83"/>
      <c r="JL12" s="83"/>
      <c r="JM12" s="83"/>
      <c r="JN12" s="83"/>
      <c r="JO12" s="83"/>
      <c r="JP12" s="83"/>
      <c r="JQ12" s="83"/>
      <c r="JR12" s="83"/>
      <c r="JS12" s="83"/>
      <c r="JT12" s="83"/>
      <c r="JU12" s="83"/>
      <c r="JV12" s="83"/>
      <c r="JW12" s="83"/>
      <c r="JX12" s="83"/>
      <c r="JY12" s="83"/>
      <c r="JZ12" s="83"/>
      <c r="KA12" s="83"/>
      <c r="KB12" s="83"/>
      <c r="KC12" s="83"/>
      <c r="KD12" s="83"/>
      <c r="KE12" s="83"/>
      <c r="KF12" s="83"/>
      <c r="KG12" s="83"/>
      <c r="KH12" s="83"/>
      <c r="KI12" s="83"/>
      <c r="KJ12" s="83"/>
      <c r="KK12" s="83"/>
      <c r="KL12" s="83"/>
      <c r="KM12" s="83"/>
      <c r="KN12" s="83"/>
      <c r="KO12" s="83"/>
      <c r="KP12" s="83"/>
      <c r="KQ12" s="83"/>
      <c r="KR12" s="83"/>
      <c r="KS12" s="83"/>
      <c r="KT12" s="83"/>
      <c r="KU12" s="83"/>
      <c r="KV12" s="83"/>
      <c r="KW12" s="83"/>
      <c r="KX12" s="83"/>
      <c r="KY12" s="83"/>
      <c r="KZ12" s="83"/>
      <c r="LA12" s="83"/>
      <c r="LB12" s="83"/>
      <c r="LC12" s="83"/>
      <c r="LD12" s="83"/>
      <c r="LE12" s="83"/>
      <c r="LF12" s="83"/>
      <c r="LG12" s="83"/>
      <c r="LH12" s="83"/>
      <c r="LI12" s="83"/>
      <c r="LJ12" s="83"/>
      <c r="LK12" s="83"/>
      <c r="LL12" s="83"/>
      <c r="LM12" s="83"/>
      <c r="LN12" s="83"/>
      <c r="LO12" s="83"/>
      <c r="LP12" s="83"/>
      <c r="LQ12" s="83"/>
      <c r="LR12" s="83"/>
      <c r="LS12" s="83"/>
      <c r="LT12" s="83"/>
      <c r="LU12" s="83"/>
      <c r="LV12" s="83"/>
      <c r="LW12" s="83"/>
      <c r="LX12" s="83"/>
      <c r="LY12" s="83"/>
      <c r="LZ12" s="83"/>
      <c r="MA12" s="83"/>
      <c r="MB12" s="83"/>
      <c r="MC12" s="83"/>
      <c r="MD12" s="83"/>
      <c r="ME12" s="83"/>
      <c r="MF12" s="83"/>
      <c r="MG12" s="83"/>
      <c r="MH12" s="83"/>
      <c r="MI12" s="83"/>
      <c r="MJ12" s="83"/>
      <c r="MK12" s="83"/>
      <c r="ML12" s="83"/>
      <c r="MM12" s="83"/>
      <c r="MN12" s="83"/>
      <c r="MO12" s="83"/>
      <c r="MP12" s="83"/>
      <c r="MQ12" s="83"/>
      <c r="MR12" s="83"/>
      <c r="MS12" s="83"/>
      <c r="MT12" s="83"/>
      <c r="MU12" s="83"/>
      <c r="MV12" s="83"/>
      <c r="MW12" s="83"/>
      <c r="MX12" s="83"/>
      <c r="MY12" s="83"/>
      <c r="MZ12" s="83"/>
      <c r="NA12" s="83"/>
      <c r="NB12" s="83"/>
      <c r="NC12" s="83"/>
      <c r="ND12" s="83"/>
      <c r="NE12" s="83"/>
      <c r="NF12" s="83"/>
      <c r="NG12" s="83"/>
      <c r="NH12" s="83"/>
      <c r="NI12" s="83"/>
      <c r="NJ12" s="83"/>
      <c r="NK12" s="83"/>
      <c r="NL12" s="83"/>
      <c r="NM12" s="83"/>
      <c r="NN12" s="83"/>
      <c r="NO12" s="83"/>
      <c r="NP12" s="83"/>
      <c r="NQ12" s="83"/>
      <c r="NR12" s="83"/>
      <c r="NS12" s="83"/>
      <c r="NT12" s="83"/>
      <c r="NU12" s="83"/>
      <c r="NV12" s="83"/>
      <c r="NW12" s="83"/>
      <c r="NX12" s="83"/>
      <c r="NY12" s="83"/>
      <c r="NZ12" s="83"/>
      <c r="OA12" s="83"/>
      <c r="OB12" s="83"/>
      <c r="OC12" s="83"/>
      <c r="OD12" s="83"/>
      <c r="OE12" s="83"/>
      <c r="OF12" s="83"/>
      <c r="OG12" s="83"/>
      <c r="OH12" s="83"/>
      <c r="OI12" s="83"/>
      <c r="OJ12" s="83"/>
      <c r="OK12" s="83"/>
      <c r="OL12" s="83"/>
      <c r="OM12" s="83"/>
      <c r="ON12" s="83"/>
      <c r="OO12" s="83"/>
      <c r="OP12" s="83"/>
      <c r="OQ12" s="83"/>
      <c r="OR12" s="83"/>
      <c r="OS12" s="83"/>
      <c r="OT12" s="83"/>
      <c r="OU12" s="83"/>
      <c r="OV12" s="83"/>
      <c r="OW12" s="83"/>
      <c r="OX12" s="83"/>
      <c r="OY12" s="83"/>
      <c r="OZ12" s="83"/>
      <c r="PA12" s="83"/>
      <c r="PB12" s="83"/>
      <c r="PC12" s="83"/>
      <c r="PD12" s="83"/>
      <c r="PE12" s="83"/>
      <c r="PF12" s="83"/>
      <c r="PG12" s="83"/>
      <c r="PH12" s="83"/>
      <c r="PI12" s="83"/>
      <c r="PJ12" s="83"/>
      <c r="PK12" s="83"/>
      <c r="PL12" s="83"/>
      <c r="PM12" s="83"/>
      <c r="PN12" s="83"/>
      <c r="PO12" s="83"/>
      <c r="PP12" s="83"/>
      <c r="PQ12" s="83"/>
      <c r="PR12" s="83"/>
      <c r="PS12" s="83"/>
      <c r="PT12" s="83"/>
      <c r="PU12" s="83"/>
      <c r="PV12" s="83"/>
      <c r="PW12" s="83"/>
      <c r="PX12" s="83"/>
      <c r="PY12" s="83"/>
      <c r="PZ12" s="83"/>
      <c r="QA12" s="83"/>
      <c r="QB12" s="83"/>
      <c r="QC12" s="83"/>
      <c r="QD12" s="83"/>
      <c r="QE12" s="83"/>
      <c r="QF12" s="83"/>
      <c r="QG12" s="83"/>
      <c r="QH12" s="83"/>
      <c r="QI12" s="83"/>
      <c r="QJ12" s="83"/>
      <c r="QK12" s="83"/>
      <c r="QL12" s="83"/>
      <c r="QM12" s="83"/>
      <c r="QN12" s="83"/>
      <c r="QO12" s="83"/>
      <c r="QP12" s="83"/>
      <c r="QQ12" s="83"/>
      <c r="QR12" s="83"/>
      <c r="QS12" s="83"/>
      <c r="QT12" s="83"/>
      <c r="QU12" s="83"/>
      <c r="QV12" s="83"/>
      <c r="QW12" s="83"/>
      <c r="QX12" s="83"/>
      <c r="QY12" s="83"/>
      <c r="QZ12" s="83"/>
      <c r="RA12" s="83"/>
      <c r="RB12" s="83"/>
      <c r="RC12" s="83"/>
      <c r="RD12" s="83"/>
      <c r="RE12" s="83"/>
      <c r="RF12" s="83"/>
      <c r="RG12" s="83"/>
      <c r="RH12" s="83"/>
      <c r="RI12" s="83"/>
      <c r="RJ12" s="83"/>
      <c r="RK12" s="83"/>
      <c r="RL12" s="83"/>
      <c r="RM12" s="83"/>
      <c r="RN12" s="83"/>
      <c r="RO12" s="83"/>
      <c r="RP12" s="83"/>
      <c r="RQ12" s="83"/>
      <c r="RR12" s="83"/>
      <c r="RS12" s="83"/>
      <c r="RT12" s="83"/>
      <c r="RU12" s="83"/>
      <c r="RV12" s="83"/>
      <c r="RW12" s="83"/>
      <c r="RX12" s="83"/>
      <c r="RY12" s="83"/>
      <c r="RZ12" s="83"/>
      <c r="SA12" s="83"/>
      <c r="SB12" s="83"/>
      <c r="SC12" s="83"/>
      <c r="SD12" s="83"/>
      <c r="SE12" s="83"/>
      <c r="SF12" s="83"/>
      <c r="SG12" s="83"/>
      <c r="SH12" s="83"/>
      <c r="SI12" s="83"/>
      <c r="SJ12" s="83"/>
      <c r="SK12" s="83"/>
      <c r="SL12" s="83"/>
      <c r="SM12" s="83"/>
      <c r="SN12" s="83"/>
      <c r="SO12" s="83"/>
      <c r="SP12" s="83"/>
      <c r="SQ12" s="83"/>
      <c r="SR12" s="83"/>
      <c r="SS12" s="83"/>
      <c r="ST12" s="83"/>
      <c r="SU12" s="83"/>
      <c r="SV12" s="83"/>
      <c r="SW12" s="83"/>
      <c r="SX12" s="83"/>
      <c r="SY12" s="83"/>
      <c r="SZ12" s="83"/>
      <c r="TA12" s="83"/>
      <c r="TB12" s="83"/>
      <c r="TC12" s="83"/>
      <c r="TD12" s="83"/>
      <c r="TE12" s="83"/>
      <c r="TF12" s="83"/>
      <c r="TG12" s="83"/>
      <c r="TH12" s="83"/>
      <c r="TI12" s="83"/>
      <c r="TJ12" s="83"/>
      <c r="TK12" s="83"/>
      <c r="TL12" s="83"/>
      <c r="TM12" s="83"/>
      <c r="TN12" s="83"/>
      <c r="TO12" s="83"/>
      <c r="TP12" s="83"/>
      <c r="TQ12" s="83"/>
      <c r="TR12" s="83"/>
      <c r="TS12" s="83"/>
      <c r="TT12" s="83"/>
      <c r="TU12" s="83"/>
      <c r="TV12" s="83"/>
      <c r="TW12" s="83"/>
      <c r="TX12" s="83"/>
      <c r="TY12" s="83"/>
      <c r="TZ12" s="83"/>
      <c r="UA12" s="83"/>
      <c r="UB12" s="83"/>
      <c r="UC12" s="83"/>
      <c r="UD12" s="83"/>
      <c r="UE12" s="83"/>
      <c r="UF12" s="83"/>
      <c r="UG12" s="83"/>
      <c r="UH12" s="83"/>
      <c r="UI12" s="83"/>
      <c r="UJ12" s="83"/>
      <c r="UK12" s="83"/>
      <c r="UL12" s="83"/>
      <c r="UM12" s="83"/>
      <c r="UN12" s="83"/>
      <c r="UO12" s="83"/>
      <c r="UP12" s="83"/>
      <c r="UQ12" s="83"/>
      <c r="UR12" s="83"/>
      <c r="US12" s="83"/>
      <c r="UT12" s="83"/>
      <c r="UU12" s="83"/>
      <c r="UV12" s="83"/>
      <c r="UW12" s="83"/>
      <c r="UX12" s="83"/>
      <c r="UY12" s="83"/>
      <c r="UZ12" s="83"/>
      <c r="VA12" s="83"/>
      <c r="VB12" s="83"/>
      <c r="VC12" s="83"/>
      <c r="VD12" s="83"/>
      <c r="VE12" s="83"/>
      <c r="VF12" s="83"/>
      <c r="VG12" s="83"/>
      <c r="VH12" s="83"/>
      <c r="VI12" s="83"/>
      <c r="VJ12" s="83"/>
      <c r="VK12" s="83"/>
      <c r="VL12" s="83"/>
      <c r="VM12" s="83"/>
      <c r="VN12" s="83"/>
      <c r="VO12" s="83"/>
      <c r="VP12" s="83"/>
      <c r="VQ12" s="83"/>
      <c r="VR12" s="83"/>
      <c r="VS12" s="83"/>
      <c r="VT12" s="83"/>
      <c r="VU12" s="83"/>
      <c r="VV12" s="83"/>
      <c r="VW12" s="83"/>
      <c r="VX12" s="83"/>
      <c r="VY12" s="83"/>
      <c r="VZ12" s="83"/>
      <c r="WA12" s="83"/>
      <c r="WB12" s="83"/>
      <c r="WC12" s="83"/>
      <c r="WD12" s="83"/>
      <c r="WE12" s="83"/>
      <c r="WF12" s="83"/>
    </row>
    <row r="13" spans="1:604" ht="17.25" customHeight="1" x14ac:dyDescent="0.3">
      <c r="A13" s="25" t="e">
        <f>IF(契約詳細價目表!A13="",NA(),契約詳細價目表!A13)</f>
        <v>#N/A</v>
      </c>
      <c r="B13" s="26" t="e">
        <f>IF(契約詳細價目表!B13="",NA(),契約詳細價目表!B13)</f>
        <v>#N/A</v>
      </c>
      <c r="C13" s="25" t="e">
        <f>IF(契約詳細價目表!C13="",NA(),契約詳細價目表!C13)</f>
        <v>#N/A</v>
      </c>
      <c r="D13" s="27" t="e">
        <f>IF(契約詳細價目表!D13="",NA(),契約詳細價目表!D13)</f>
        <v>#N/A</v>
      </c>
      <c r="E13" s="28" t="e">
        <f>IF(契約詳細價目表!E13="",NA(),契約詳細價目表!E13)</f>
        <v>#N/A</v>
      </c>
      <c r="F13" s="28">
        <f>IF(契約詳細價目表!F13="",NA(),契約詳細價目表!F13)</f>
        <v>0</v>
      </c>
      <c r="G13" s="27">
        <f t="shared" si="536"/>
        <v>0</v>
      </c>
      <c r="H13" s="28" t="e">
        <f t="shared" si="537"/>
        <v>#N/A</v>
      </c>
      <c r="I13" s="47" t="e">
        <f t="shared" si="535"/>
        <v>#N/A</v>
      </c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5"/>
      <c r="DM13" s="85"/>
      <c r="DN13" s="85"/>
      <c r="DO13" s="85"/>
      <c r="DP13" s="85"/>
      <c r="DQ13" s="85"/>
      <c r="DR13" s="85"/>
      <c r="DS13" s="85"/>
      <c r="DT13" s="85"/>
      <c r="DU13" s="85"/>
      <c r="DV13" s="85"/>
      <c r="DW13" s="85"/>
      <c r="DX13" s="85"/>
      <c r="DY13" s="85"/>
      <c r="DZ13" s="85"/>
      <c r="EA13" s="85"/>
      <c r="EB13" s="85"/>
      <c r="EC13" s="85"/>
      <c r="ED13" s="85"/>
      <c r="EE13" s="85"/>
      <c r="EF13" s="85"/>
      <c r="EG13" s="85"/>
      <c r="EH13" s="85"/>
      <c r="EI13" s="85"/>
      <c r="EJ13" s="85"/>
      <c r="EK13" s="85"/>
      <c r="EL13" s="85"/>
      <c r="EM13" s="85"/>
      <c r="EN13" s="85"/>
      <c r="EO13" s="85"/>
      <c r="EP13" s="85"/>
      <c r="EQ13" s="85"/>
      <c r="ER13" s="85"/>
      <c r="ES13" s="85"/>
      <c r="ET13" s="85"/>
      <c r="EU13" s="85"/>
      <c r="EV13" s="85"/>
      <c r="EW13" s="85"/>
      <c r="EX13" s="85"/>
      <c r="EY13" s="85"/>
      <c r="EZ13" s="85"/>
      <c r="FA13" s="85"/>
      <c r="FB13" s="85"/>
      <c r="FC13" s="85"/>
      <c r="FD13" s="85"/>
      <c r="FE13" s="85"/>
      <c r="FF13" s="85"/>
      <c r="FG13" s="85"/>
      <c r="FH13" s="85"/>
      <c r="FI13" s="85"/>
      <c r="FJ13" s="85"/>
      <c r="FK13" s="85"/>
      <c r="FL13" s="85"/>
      <c r="FM13" s="85"/>
      <c r="FN13" s="85"/>
      <c r="FO13" s="85"/>
      <c r="FP13" s="85"/>
      <c r="FQ13" s="85"/>
      <c r="FR13" s="85"/>
      <c r="FS13" s="85"/>
      <c r="FT13" s="85"/>
      <c r="FU13" s="83"/>
      <c r="FV13" s="83"/>
      <c r="FW13" s="83"/>
      <c r="FX13" s="83"/>
      <c r="FY13" s="83"/>
      <c r="FZ13" s="83"/>
      <c r="GA13" s="83"/>
      <c r="GB13" s="83"/>
      <c r="GC13" s="83"/>
      <c r="GD13" s="83"/>
      <c r="GE13" s="83"/>
      <c r="GF13" s="83"/>
      <c r="GG13" s="83"/>
      <c r="GH13" s="83"/>
      <c r="GI13" s="83"/>
      <c r="GJ13" s="83"/>
      <c r="GK13" s="83"/>
      <c r="GL13" s="83"/>
      <c r="GM13" s="83"/>
      <c r="GN13" s="83"/>
      <c r="GO13" s="83"/>
      <c r="GP13" s="83"/>
      <c r="GQ13" s="83"/>
      <c r="GR13" s="83"/>
      <c r="GS13" s="83"/>
      <c r="GT13" s="83"/>
      <c r="GU13" s="83"/>
      <c r="GV13" s="83"/>
      <c r="GW13" s="83"/>
      <c r="GX13" s="83"/>
      <c r="GY13" s="83"/>
      <c r="GZ13" s="83"/>
      <c r="HA13" s="83"/>
      <c r="HB13" s="83"/>
      <c r="HC13" s="83"/>
      <c r="HD13" s="83"/>
      <c r="HE13" s="83"/>
      <c r="HF13" s="83"/>
      <c r="HG13" s="83"/>
      <c r="HH13" s="83"/>
      <c r="HI13" s="83"/>
      <c r="HJ13" s="83"/>
      <c r="HK13" s="83"/>
      <c r="HL13" s="83"/>
      <c r="HM13" s="83"/>
      <c r="HN13" s="83"/>
      <c r="HO13" s="83"/>
      <c r="HP13" s="83"/>
      <c r="HQ13" s="83"/>
      <c r="HR13" s="83"/>
      <c r="HS13" s="83"/>
      <c r="HT13" s="83"/>
      <c r="HU13" s="83"/>
      <c r="HV13" s="83"/>
      <c r="HW13" s="83"/>
      <c r="HX13" s="83"/>
      <c r="HY13" s="83"/>
      <c r="HZ13" s="83"/>
      <c r="IA13" s="83"/>
      <c r="IB13" s="83"/>
      <c r="IC13" s="83"/>
      <c r="ID13" s="83"/>
      <c r="IE13" s="83"/>
      <c r="IF13" s="83"/>
      <c r="IG13" s="83"/>
      <c r="IH13" s="83"/>
      <c r="II13" s="83"/>
      <c r="IJ13" s="83"/>
      <c r="IK13" s="83"/>
      <c r="IL13" s="83"/>
      <c r="IM13" s="83"/>
      <c r="IN13" s="83"/>
      <c r="IO13" s="83"/>
      <c r="IP13" s="83"/>
      <c r="IQ13" s="83"/>
      <c r="IR13" s="83"/>
      <c r="IS13" s="83"/>
      <c r="IT13" s="83"/>
      <c r="IU13" s="83"/>
      <c r="IV13" s="83"/>
      <c r="IW13" s="83"/>
      <c r="IX13" s="83"/>
      <c r="IY13" s="83"/>
      <c r="IZ13" s="83"/>
      <c r="JA13" s="83"/>
      <c r="JB13" s="83"/>
      <c r="JC13" s="83"/>
      <c r="JD13" s="83"/>
      <c r="JE13" s="83"/>
      <c r="JF13" s="83"/>
      <c r="JG13" s="83"/>
      <c r="JH13" s="83"/>
      <c r="JI13" s="83"/>
      <c r="JJ13" s="83"/>
      <c r="JK13" s="83"/>
      <c r="JL13" s="83"/>
      <c r="JM13" s="83"/>
      <c r="JN13" s="83"/>
      <c r="JO13" s="83"/>
      <c r="JP13" s="83"/>
      <c r="JQ13" s="83"/>
      <c r="JR13" s="83"/>
      <c r="JS13" s="83"/>
      <c r="JT13" s="83"/>
      <c r="JU13" s="83"/>
      <c r="JV13" s="83"/>
      <c r="JW13" s="83"/>
      <c r="JX13" s="83"/>
      <c r="JY13" s="83"/>
      <c r="JZ13" s="83"/>
      <c r="KA13" s="83"/>
      <c r="KB13" s="83"/>
      <c r="KC13" s="83"/>
      <c r="KD13" s="83"/>
      <c r="KE13" s="83"/>
      <c r="KF13" s="83"/>
      <c r="KG13" s="83"/>
      <c r="KH13" s="83"/>
      <c r="KI13" s="83"/>
      <c r="KJ13" s="83"/>
      <c r="KK13" s="83"/>
      <c r="KL13" s="83"/>
      <c r="KM13" s="83"/>
      <c r="KN13" s="83"/>
      <c r="KO13" s="83"/>
      <c r="KP13" s="83"/>
      <c r="KQ13" s="83"/>
      <c r="KR13" s="83"/>
      <c r="KS13" s="83"/>
      <c r="KT13" s="83"/>
      <c r="KU13" s="83"/>
      <c r="KV13" s="83"/>
      <c r="KW13" s="83"/>
      <c r="KX13" s="83"/>
      <c r="KY13" s="83"/>
      <c r="KZ13" s="83"/>
      <c r="LA13" s="83"/>
      <c r="LB13" s="83"/>
      <c r="LC13" s="83"/>
      <c r="LD13" s="83"/>
      <c r="LE13" s="83"/>
      <c r="LF13" s="83"/>
      <c r="LG13" s="83"/>
      <c r="LH13" s="83"/>
      <c r="LI13" s="83"/>
      <c r="LJ13" s="83"/>
      <c r="LK13" s="83"/>
      <c r="LL13" s="83"/>
      <c r="LM13" s="83"/>
      <c r="LN13" s="83"/>
      <c r="LO13" s="83"/>
      <c r="LP13" s="83"/>
      <c r="LQ13" s="83"/>
      <c r="LR13" s="83"/>
      <c r="LS13" s="83"/>
      <c r="LT13" s="83"/>
      <c r="LU13" s="83"/>
      <c r="LV13" s="83"/>
      <c r="LW13" s="83"/>
      <c r="LX13" s="83"/>
      <c r="LY13" s="83"/>
      <c r="LZ13" s="83"/>
      <c r="MA13" s="83"/>
      <c r="MB13" s="83"/>
      <c r="MC13" s="83"/>
      <c r="MD13" s="83"/>
      <c r="ME13" s="83"/>
      <c r="MF13" s="83"/>
      <c r="MG13" s="83"/>
      <c r="MH13" s="83"/>
      <c r="MI13" s="83"/>
      <c r="MJ13" s="83"/>
      <c r="MK13" s="83"/>
      <c r="ML13" s="83"/>
      <c r="MM13" s="83"/>
      <c r="MN13" s="83"/>
      <c r="MO13" s="83"/>
      <c r="MP13" s="83"/>
      <c r="MQ13" s="83"/>
      <c r="MR13" s="83"/>
      <c r="MS13" s="83"/>
      <c r="MT13" s="83"/>
      <c r="MU13" s="83"/>
      <c r="MV13" s="83"/>
      <c r="MW13" s="83"/>
      <c r="MX13" s="83"/>
      <c r="MY13" s="83"/>
      <c r="MZ13" s="83"/>
      <c r="NA13" s="83"/>
      <c r="NB13" s="83"/>
      <c r="NC13" s="83"/>
      <c r="ND13" s="83"/>
      <c r="NE13" s="83"/>
      <c r="NF13" s="83"/>
      <c r="NG13" s="83"/>
      <c r="NH13" s="83"/>
      <c r="NI13" s="83"/>
      <c r="NJ13" s="83"/>
      <c r="NK13" s="83"/>
      <c r="NL13" s="83"/>
      <c r="NM13" s="83"/>
      <c r="NN13" s="83"/>
      <c r="NO13" s="83"/>
      <c r="NP13" s="83"/>
      <c r="NQ13" s="83"/>
      <c r="NR13" s="83"/>
      <c r="NS13" s="83"/>
      <c r="NT13" s="83"/>
      <c r="NU13" s="83"/>
      <c r="NV13" s="83"/>
      <c r="NW13" s="83"/>
      <c r="NX13" s="83"/>
      <c r="NY13" s="83"/>
      <c r="NZ13" s="83"/>
      <c r="OA13" s="83"/>
      <c r="OB13" s="83"/>
      <c r="OC13" s="83"/>
      <c r="OD13" s="83"/>
      <c r="OE13" s="83"/>
      <c r="OF13" s="83"/>
      <c r="OG13" s="83"/>
      <c r="OH13" s="83"/>
      <c r="OI13" s="83"/>
      <c r="OJ13" s="83"/>
      <c r="OK13" s="83"/>
      <c r="OL13" s="83"/>
      <c r="OM13" s="83"/>
      <c r="ON13" s="83"/>
      <c r="OO13" s="83"/>
      <c r="OP13" s="83"/>
      <c r="OQ13" s="83"/>
      <c r="OR13" s="83"/>
      <c r="OS13" s="83"/>
      <c r="OT13" s="83"/>
      <c r="OU13" s="83"/>
      <c r="OV13" s="83"/>
      <c r="OW13" s="83"/>
      <c r="OX13" s="83"/>
      <c r="OY13" s="83"/>
      <c r="OZ13" s="83"/>
      <c r="PA13" s="83"/>
      <c r="PB13" s="83"/>
      <c r="PC13" s="83"/>
      <c r="PD13" s="83"/>
      <c r="PE13" s="83"/>
      <c r="PF13" s="83"/>
      <c r="PG13" s="83"/>
      <c r="PH13" s="83"/>
      <c r="PI13" s="83"/>
      <c r="PJ13" s="83"/>
      <c r="PK13" s="83"/>
      <c r="PL13" s="83"/>
      <c r="PM13" s="83"/>
      <c r="PN13" s="83"/>
      <c r="PO13" s="83"/>
      <c r="PP13" s="83"/>
      <c r="PQ13" s="83"/>
      <c r="PR13" s="83"/>
      <c r="PS13" s="83"/>
      <c r="PT13" s="83"/>
      <c r="PU13" s="83"/>
      <c r="PV13" s="83"/>
      <c r="PW13" s="83"/>
      <c r="PX13" s="83"/>
      <c r="PY13" s="83"/>
      <c r="PZ13" s="83"/>
      <c r="QA13" s="83"/>
      <c r="QB13" s="83"/>
      <c r="QC13" s="83"/>
      <c r="QD13" s="83"/>
      <c r="QE13" s="83"/>
      <c r="QF13" s="83"/>
      <c r="QG13" s="83"/>
      <c r="QH13" s="83"/>
      <c r="QI13" s="83"/>
      <c r="QJ13" s="83"/>
      <c r="QK13" s="83"/>
      <c r="QL13" s="83"/>
      <c r="QM13" s="83"/>
      <c r="QN13" s="83"/>
      <c r="QO13" s="83"/>
      <c r="QP13" s="83"/>
      <c r="QQ13" s="83"/>
      <c r="QR13" s="83"/>
      <c r="QS13" s="83"/>
      <c r="QT13" s="83"/>
      <c r="QU13" s="83"/>
      <c r="QV13" s="83"/>
      <c r="QW13" s="83"/>
      <c r="QX13" s="83"/>
      <c r="QY13" s="83"/>
      <c r="QZ13" s="83"/>
      <c r="RA13" s="83"/>
      <c r="RB13" s="83"/>
      <c r="RC13" s="83"/>
      <c r="RD13" s="83"/>
      <c r="RE13" s="83"/>
      <c r="RF13" s="83"/>
      <c r="RG13" s="83"/>
      <c r="RH13" s="83"/>
      <c r="RI13" s="83"/>
      <c r="RJ13" s="83"/>
      <c r="RK13" s="83"/>
      <c r="RL13" s="83"/>
      <c r="RM13" s="83"/>
      <c r="RN13" s="83"/>
      <c r="RO13" s="83"/>
      <c r="RP13" s="83"/>
      <c r="RQ13" s="83"/>
      <c r="RR13" s="83"/>
      <c r="RS13" s="83"/>
      <c r="RT13" s="83"/>
      <c r="RU13" s="83"/>
      <c r="RV13" s="83"/>
      <c r="RW13" s="83"/>
      <c r="RX13" s="83"/>
      <c r="RY13" s="83"/>
      <c r="RZ13" s="83"/>
      <c r="SA13" s="83"/>
      <c r="SB13" s="83"/>
      <c r="SC13" s="83"/>
      <c r="SD13" s="83"/>
      <c r="SE13" s="83"/>
      <c r="SF13" s="83"/>
      <c r="SG13" s="83"/>
      <c r="SH13" s="83"/>
      <c r="SI13" s="83"/>
      <c r="SJ13" s="83"/>
      <c r="SK13" s="83"/>
      <c r="SL13" s="83"/>
      <c r="SM13" s="83"/>
      <c r="SN13" s="83"/>
      <c r="SO13" s="83"/>
      <c r="SP13" s="83"/>
      <c r="SQ13" s="83"/>
      <c r="SR13" s="83"/>
      <c r="SS13" s="83"/>
      <c r="ST13" s="83"/>
      <c r="SU13" s="83"/>
      <c r="SV13" s="83"/>
      <c r="SW13" s="83"/>
      <c r="SX13" s="83"/>
      <c r="SY13" s="83"/>
      <c r="SZ13" s="83"/>
      <c r="TA13" s="83"/>
      <c r="TB13" s="83"/>
      <c r="TC13" s="83"/>
      <c r="TD13" s="83"/>
      <c r="TE13" s="83"/>
      <c r="TF13" s="83"/>
      <c r="TG13" s="83"/>
      <c r="TH13" s="83"/>
      <c r="TI13" s="83"/>
      <c r="TJ13" s="83"/>
      <c r="TK13" s="83"/>
      <c r="TL13" s="83"/>
      <c r="TM13" s="83"/>
      <c r="TN13" s="83"/>
      <c r="TO13" s="83"/>
      <c r="TP13" s="83"/>
      <c r="TQ13" s="83"/>
      <c r="TR13" s="83"/>
      <c r="TS13" s="83"/>
      <c r="TT13" s="83"/>
      <c r="TU13" s="83"/>
      <c r="TV13" s="83"/>
      <c r="TW13" s="83"/>
      <c r="TX13" s="83"/>
      <c r="TY13" s="83"/>
      <c r="TZ13" s="83"/>
      <c r="UA13" s="83"/>
      <c r="UB13" s="83"/>
      <c r="UC13" s="83"/>
      <c r="UD13" s="83"/>
      <c r="UE13" s="83"/>
      <c r="UF13" s="83"/>
      <c r="UG13" s="83"/>
      <c r="UH13" s="83"/>
      <c r="UI13" s="83"/>
      <c r="UJ13" s="83"/>
      <c r="UK13" s="83"/>
      <c r="UL13" s="83"/>
      <c r="UM13" s="83"/>
      <c r="UN13" s="83"/>
      <c r="UO13" s="83"/>
      <c r="UP13" s="83"/>
      <c r="UQ13" s="83"/>
      <c r="UR13" s="83"/>
      <c r="US13" s="83"/>
      <c r="UT13" s="83"/>
      <c r="UU13" s="83"/>
      <c r="UV13" s="83"/>
      <c r="UW13" s="83"/>
      <c r="UX13" s="83"/>
      <c r="UY13" s="83"/>
      <c r="UZ13" s="83"/>
      <c r="VA13" s="83"/>
      <c r="VB13" s="83"/>
      <c r="VC13" s="83"/>
      <c r="VD13" s="83"/>
      <c r="VE13" s="83"/>
      <c r="VF13" s="83"/>
      <c r="VG13" s="83"/>
      <c r="VH13" s="83"/>
      <c r="VI13" s="83"/>
      <c r="VJ13" s="83"/>
      <c r="VK13" s="83"/>
      <c r="VL13" s="83"/>
      <c r="VM13" s="83"/>
      <c r="VN13" s="83"/>
      <c r="VO13" s="83"/>
      <c r="VP13" s="83"/>
      <c r="VQ13" s="83"/>
      <c r="VR13" s="83"/>
      <c r="VS13" s="83"/>
      <c r="VT13" s="83"/>
      <c r="VU13" s="83"/>
      <c r="VV13" s="83"/>
      <c r="VW13" s="83"/>
      <c r="VX13" s="83"/>
      <c r="VY13" s="83"/>
      <c r="VZ13" s="83"/>
      <c r="WA13" s="83"/>
      <c r="WB13" s="83"/>
      <c r="WC13" s="83"/>
      <c r="WD13" s="83"/>
      <c r="WE13" s="83"/>
      <c r="WF13" s="83"/>
    </row>
    <row r="14" spans="1:604" ht="17.25" customHeight="1" x14ac:dyDescent="0.3">
      <c r="A14" s="25" t="e">
        <f>IF(契約詳細價目表!A14="",NA(),契約詳細價目表!A14)</f>
        <v>#N/A</v>
      </c>
      <c r="B14" s="26" t="e">
        <f>IF(契約詳細價目表!B14="",NA(),契約詳細價目表!B14)</f>
        <v>#N/A</v>
      </c>
      <c r="C14" s="25" t="e">
        <f>IF(契約詳細價目表!C14="",NA(),契約詳細價目表!C14)</f>
        <v>#N/A</v>
      </c>
      <c r="D14" s="27" t="e">
        <f>IF(契約詳細價目表!D14="",NA(),契約詳細價目表!D14)</f>
        <v>#N/A</v>
      </c>
      <c r="E14" s="28" t="e">
        <f>IF(契約詳細價目表!E14="",NA(),契約詳細價目表!E14)</f>
        <v>#N/A</v>
      </c>
      <c r="F14" s="28">
        <f>IF(契約詳細價目表!F14="",NA(),契約詳細價目表!F14)</f>
        <v>0</v>
      </c>
      <c r="G14" s="27">
        <f t="shared" si="536"/>
        <v>0</v>
      </c>
      <c r="H14" s="28" t="e">
        <f t="shared" si="537"/>
        <v>#N/A</v>
      </c>
      <c r="I14" s="47" t="e">
        <f t="shared" si="535"/>
        <v>#N/A</v>
      </c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5"/>
      <c r="DM14" s="85"/>
      <c r="DN14" s="85"/>
      <c r="DO14" s="85"/>
      <c r="DP14" s="85"/>
      <c r="DQ14" s="85"/>
      <c r="DR14" s="85"/>
      <c r="DS14" s="85"/>
      <c r="DT14" s="85"/>
      <c r="DU14" s="85"/>
      <c r="DV14" s="85"/>
      <c r="DW14" s="85"/>
      <c r="DX14" s="85"/>
      <c r="DY14" s="85"/>
      <c r="DZ14" s="85"/>
      <c r="EA14" s="85"/>
      <c r="EB14" s="85"/>
      <c r="EC14" s="85"/>
      <c r="ED14" s="85"/>
      <c r="EE14" s="85"/>
      <c r="EF14" s="85"/>
      <c r="EG14" s="85"/>
      <c r="EH14" s="85"/>
      <c r="EI14" s="85"/>
      <c r="EJ14" s="85"/>
      <c r="EK14" s="85"/>
      <c r="EL14" s="85"/>
      <c r="EM14" s="85"/>
      <c r="EN14" s="85"/>
      <c r="EO14" s="85"/>
      <c r="EP14" s="85"/>
      <c r="EQ14" s="85"/>
      <c r="ER14" s="85"/>
      <c r="ES14" s="85"/>
      <c r="ET14" s="85"/>
      <c r="EU14" s="85"/>
      <c r="EV14" s="85"/>
      <c r="EW14" s="85"/>
      <c r="EX14" s="85"/>
      <c r="EY14" s="85"/>
      <c r="EZ14" s="85"/>
      <c r="FA14" s="85"/>
      <c r="FB14" s="85"/>
      <c r="FC14" s="85"/>
      <c r="FD14" s="85"/>
      <c r="FE14" s="85"/>
      <c r="FF14" s="85"/>
      <c r="FG14" s="85"/>
      <c r="FH14" s="85"/>
      <c r="FI14" s="85"/>
      <c r="FJ14" s="85"/>
      <c r="FK14" s="85"/>
      <c r="FL14" s="85"/>
      <c r="FM14" s="85"/>
      <c r="FN14" s="85"/>
      <c r="FO14" s="85"/>
      <c r="FP14" s="85"/>
      <c r="FQ14" s="85"/>
      <c r="FR14" s="85"/>
      <c r="FS14" s="85"/>
      <c r="FT14" s="85"/>
      <c r="FU14" s="83"/>
      <c r="FV14" s="83"/>
      <c r="FW14" s="83"/>
      <c r="FX14" s="83"/>
      <c r="FY14" s="83"/>
      <c r="FZ14" s="83"/>
      <c r="GA14" s="83"/>
      <c r="GB14" s="83"/>
      <c r="GC14" s="83"/>
      <c r="GD14" s="83"/>
      <c r="GE14" s="83"/>
      <c r="GF14" s="83"/>
      <c r="GG14" s="83"/>
      <c r="GH14" s="83"/>
      <c r="GI14" s="83"/>
      <c r="GJ14" s="83"/>
      <c r="GK14" s="83"/>
      <c r="GL14" s="83"/>
      <c r="GM14" s="83"/>
      <c r="GN14" s="83"/>
      <c r="GO14" s="83"/>
      <c r="GP14" s="83"/>
      <c r="GQ14" s="83"/>
      <c r="GR14" s="83"/>
      <c r="GS14" s="83"/>
      <c r="GT14" s="83"/>
      <c r="GU14" s="83"/>
      <c r="GV14" s="83"/>
      <c r="GW14" s="83"/>
      <c r="GX14" s="83"/>
      <c r="GY14" s="83"/>
      <c r="GZ14" s="83"/>
      <c r="HA14" s="83"/>
      <c r="HB14" s="83"/>
      <c r="HC14" s="83"/>
      <c r="HD14" s="83"/>
      <c r="HE14" s="83"/>
      <c r="HF14" s="83"/>
      <c r="HG14" s="83"/>
      <c r="HH14" s="83"/>
      <c r="HI14" s="83"/>
      <c r="HJ14" s="83"/>
      <c r="HK14" s="83"/>
      <c r="HL14" s="83"/>
      <c r="HM14" s="83"/>
      <c r="HN14" s="83"/>
      <c r="HO14" s="83"/>
      <c r="HP14" s="83"/>
      <c r="HQ14" s="83"/>
      <c r="HR14" s="83"/>
      <c r="HS14" s="83"/>
      <c r="HT14" s="83"/>
      <c r="HU14" s="83"/>
      <c r="HV14" s="83"/>
      <c r="HW14" s="83"/>
      <c r="HX14" s="83"/>
      <c r="HY14" s="83"/>
      <c r="HZ14" s="83"/>
      <c r="IA14" s="83"/>
      <c r="IB14" s="83"/>
      <c r="IC14" s="83"/>
      <c r="ID14" s="83"/>
      <c r="IE14" s="83"/>
      <c r="IF14" s="83"/>
      <c r="IG14" s="83"/>
      <c r="IH14" s="83"/>
      <c r="II14" s="83"/>
      <c r="IJ14" s="83"/>
      <c r="IK14" s="83"/>
      <c r="IL14" s="83"/>
      <c r="IM14" s="83"/>
      <c r="IN14" s="83"/>
      <c r="IO14" s="83"/>
      <c r="IP14" s="83"/>
      <c r="IQ14" s="83"/>
      <c r="IR14" s="83"/>
      <c r="IS14" s="83"/>
      <c r="IT14" s="83"/>
      <c r="IU14" s="83"/>
      <c r="IV14" s="83"/>
      <c r="IW14" s="83"/>
      <c r="IX14" s="83"/>
      <c r="IY14" s="83"/>
      <c r="IZ14" s="83"/>
      <c r="JA14" s="83"/>
      <c r="JB14" s="83"/>
      <c r="JC14" s="83"/>
      <c r="JD14" s="83"/>
      <c r="JE14" s="83"/>
      <c r="JF14" s="83"/>
      <c r="JG14" s="83"/>
      <c r="JH14" s="83"/>
      <c r="JI14" s="83"/>
      <c r="JJ14" s="83"/>
      <c r="JK14" s="83"/>
      <c r="JL14" s="83"/>
      <c r="JM14" s="83"/>
      <c r="JN14" s="83"/>
      <c r="JO14" s="83"/>
      <c r="JP14" s="83"/>
      <c r="JQ14" s="83"/>
      <c r="JR14" s="83"/>
      <c r="JS14" s="83"/>
      <c r="JT14" s="83"/>
      <c r="JU14" s="83"/>
      <c r="JV14" s="83"/>
      <c r="JW14" s="83"/>
      <c r="JX14" s="83"/>
      <c r="JY14" s="83"/>
      <c r="JZ14" s="83"/>
      <c r="KA14" s="83"/>
      <c r="KB14" s="83"/>
      <c r="KC14" s="83"/>
      <c r="KD14" s="83"/>
      <c r="KE14" s="83"/>
      <c r="KF14" s="83"/>
      <c r="KG14" s="83"/>
      <c r="KH14" s="83"/>
      <c r="KI14" s="83"/>
      <c r="KJ14" s="83"/>
      <c r="KK14" s="83"/>
      <c r="KL14" s="83"/>
      <c r="KM14" s="83"/>
      <c r="KN14" s="83"/>
      <c r="KO14" s="83"/>
      <c r="KP14" s="83"/>
      <c r="KQ14" s="83"/>
      <c r="KR14" s="83"/>
      <c r="KS14" s="83"/>
      <c r="KT14" s="83"/>
      <c r="KU14" s="83"/>
      <c r="KV14" s="83"/>
      <c r="KW14" s="83"/>
      <c r="KX14" s="83"/>
      <c r="KY14" s="83"/>
      <c r="KZ14" s="83"/>
      <c r="LA14" s="83"/>
      <c r="LB14" s="83"/>
      <c r="LC14" s="83"/>
      <c r="LD14" s="83"/>
      <c r="LE14" s="83"/>
      <c r="LF14" s="83"/>
      <c r="LG14" s="83"/>
      <c r="LH14" s="83"/>
      <c r="LI14" s="83"/>
      <c r="LJ14" s="83"/>
      <c r="LK14" s="83"/>
      <c r="LL14" s="83"/>
      <c r="LM14" s="83"/>
      <c r="LN14" s="83"/>
      <c r="LO14" s="83"/>
      <c r="LP14" s="83"/>
      <c r="LQ14" s="83"/>
      <c r="LR14" s="83"/>
      <c r="LS14" s="83"/>
      <c r="LT14" s="83"/>
      <c r="LU14" s="83"/>
      <c r="LV14" s="83"/>
      <c r="LW14" s="83"/>
      <c r="LX14" s="83"/>
      <c r="LY14" s="83"/>
      <c r="LZ14" s="83"/>
      <c r="MA14" s="83"/>
      <c r="MB14" s="83"/>
      <c r="MC14" s="83"/>
      <c r="MD14" s="83"/>
      <c r="ME14" s="83"/>
      <c r="MF14" s="83"/>
      <c r="MG14" s="83"/>
      <c r="MH14" s="83"/>
      <c r="MI14" s="83"/>
      <c r="MJ14" s="83"/>
      <c r="MK14" s="83"/>
      <c r="ML14" s="83"/>
      <c r="MM14" s="83"/>
      <c r="MN14" s="83"/>
      <c r="MO14" s="83"/>
      <c r="MP14" s="83"/>
      <c r="MQ14" s="83"/>
      <c r="MR14" s="83"/>
      <c r="MS14" s="83"/>
      <c r="MT14" s="83"/>
      <c r="MU14" s="83"/>
      <c r="MV14" s="83"/>
      <c r="MW14" s="83"/>
      <c r="MX14" s="83"/>
      <c r="MY14" s="83"/>
      <c r="MZ14" s="83"/>
      <c r="NA14" s="83"/>
      <c r="NB14" s="83"/>
      <c r="NC14" s="83"/>
      <c r="ND14" s="83"/>
      <c r="NE14" s="83"/>
      <c r="NF14" s="83"/>
      <c r="NG14" s="83"/>
      <c r="NH14" s="83"/>
      <c r="NI14" s="83"/>
      <c r="NJ14" s="83"/>
      <c r="NK14" s="83"/>
      <c r="NL14" s="83"/>
      <c r="NM14" s="83"/>
      <c r="NN14" s="83"/>
      <c r="NO14" s="83"/>
      <c r="NP14" s="83"/>
      <c r="NQ14" s="83"/>
      <c r="NR14" s="83"/>
      <c r="NS14" s="83"/>
      <c r="NT14" s="83"/>
      <c r="NU14" s="83"/>
      <c r="NV14" s="83"/>
      <c r="NW14" s="83"/>
      <c r="NX14" s="83"/>
      <c r="NY14" s="83"/>
      <c r="NZ14" s="83"/>
      <c r="OA14" s="83"/>
      <c r="OB14" s="83"/>
      <c r="OC14" s="83"/>
      <c r="OD14" s="83"/>
      <c r="OE14" s="83"/>
      <c r="OF14" s="83"/>
      <c r="OG14" s="83"/>
      <c r="OH14" s="83"/>
      <c r="OI14" s="83"/>
      <c r="OJ14" s="83"/>
      <c r="OK14" s="83"/>
      <c r="OL14" s="83"/>
      <c r="OM14" s="83"/>
      <c r="ON14" s="83"/>
      <c r="OO14" s="83"/>
      <c r="OP14" s="83"/>
      <c r="OQ14" s="83"/>
      <c r="OR14" s="83"/>
      <c r="OS14" s="83"/>
      <c r="OT14" s="83"/>
      <c r="OU14" s="83"/>
      <c r="OV14" s="83"/>
      <c r="OW14" s="83"/>
      <c r="OX14" s="83"/>
      <c r="OY14" s="83"/>
      <c r="OZ14" s="83"/>
      <c r="PA14" s="83"/>
      <c r="PB14" s="83"/>
      <c r="PC14" s="83"/>
      <c r="PD14" s="83"/>
      <c r="PE14" s="83"/>
      <c r="PF14" s="83"/>
      <c r="PG14" s="83"/>
      <c r="PH14" s="83"/>
      <c r="PI14" s="83"/>
      <c r="PJ14" s="83"/>
      <c r="PK14" s="83"/>
      <c r="PL14" s="83"/>
      <c r="PM14" s="83"/>
      <c r="PN14" s="83"/>
      <c r="PO14" s="83"/>
      <c r="PP14" s="83"/>
      <c r="PQ14" s="83"/>
      <c r="PR14" s="83"/>
      <c r="PS14" s="83"/>
      <c r="PT14" s="83"/>
      <c r="PU14" s="83"/>
      <c r="PV14" s="83"/>
      <c r="PW14" s="83"/>
      <c r="PX14" s="83"/>
      <c r="PY14" s="83"/>
      <c r="PZ14" s="83"/>
      <c r="QA14" s="83"/>
      <c r="QB14" s="83"/>
      <c r="QC14" s="83"/>
      <c r="QD14" s="83"/>
      <c r="QE14" s="83"/>
      <c r="QF14" s="83"/>
      <c r="QG14" s="83"/>
      <c r="QH14" s="83"/>
      <c r="QI14" s="83"/>
      <c r="QJ14" s="83"/>
      <c r="QK14" s="83"/>
      <c r="QL14" s="83"/>
      <c r="QM14" s="83"/>
      <c r="QN14" s="83"/>
      <c r="QO14" s="83"/>
      <c r="QP14" s="83"/>
      <c r="QQ14" s="83"/>
      <c r="QR14" s="83"/>
      <c r="QS14" s="83"/>
      <c r="QT14" s="83"/>
      <c r="QU14" s="83"/>
      <c r="QV14" s="83"/>
      <c r="QW14" s="83"/>
      <c r="QX14" s="83"/>
      <c r="QY14" s="83"/>
      <c r="QZ14" s="83"/>
      <c r="RA14" s="83"/>
      <c r="RB14" s="83"/>
      <c r="RC14" s="83"/>
      <c r="RD14" s="83"/>
      <c r="RE14" s="83"/>
      <c r="RF14" s="83"/>
      <c r="RG14" s="83"/>
      <c r="RH14" s="83"/>
      <c r="RI14" s="83"/>
      <c r="RJ14" s="83"/>
      <c r="RK14" s="83"/>
      <c r="RL14" s="83"/>
      <c r="RM14" s="83"/>
      <c r="RN14" s="83"/>
      <c r="RO14" s="83"/>
      <c r="RP14" s="83"/>
      <c r="RQ14" s="83"/>
      <c r="RR14" s="83"/>
      <c r="RS14" s="83"/>
      <c r="RT14" s="83"/>
      <c r="RU14" s="83"/>
      <c r="RV14" s="83"/>
      <c r="RW14" s="83"/>
      <c r="RX14" s="83"/>
      <c r="RY14" s="83"/>
      <c r="RZ14" s="83"/>
      <c r="SA14" s="83"/>
      <c r="SB14" s="83"/>
      <c r="SC14" s="83"/>
      <c r="SD14" s="83"/>
      <c r="SE14" s="83"/>
      <c r="SF14" s="83"/>
      <c r="SG14" s="83"/>
      <c r="SH14" s="83"/>
      <c r="SI14" s="83"/>
      <c r="SJ14" s="83"/>
      <c r="SK14" s="83"/>
      <c r="SL14" s="83"/>
      <c r="SM14" s="83"/>
      <c r="SN14" s="83"/>
      <c r="SO14" s="83"/>
      <c r="SP14" s="83"/>
      <c r="SQ14" s="83"/>
      <c r="SR14" s="83"/>
      <c r="SS14" s="83"/>
      <c r="ST14" s="83"/>
      <c r="SU14" s="83"/>
      <c r="SV14" s="83"/>
      <c r="SW14" s="83"/>
      <c r="SX14" s="83"/>
      <c r="SY14" s="83"/>
      <c r="SZ14" s="83"/>
      <c r="TA14" s="83"/>
      <c r="TB14" s="83"/>
      <c r="TC14" s="83"/>
      <c r="TD14" s="83"/>
      <c r="TE14" s="83"/>
      <c r="TF14" s="83"/>
      <c r="TG14" s="83"/>
      <c r="TH14" s="83"/>
      <c r="TI14" s="83"/>
      <c r="TJ14" s="83"/>
      <c r="TK14" s="83"/>
      <c r="TL14" s="83"/>
      <c r="TM14" s="83"/>
      <c r="TN14" s="83"/>
      <c r="TO14" s="83"/>
      <c r="TP14" s="83"/>
      <c r="TQ14" s="83"/>
      <c r="TR14" s="83"/>
      <c r="TS14" s="83"/>
      <c r="TT14" s="83"/>
      <c r="TU14" s="83"/>
      <c r="TV14" s="83"/>
      <c r="TW14" s="83"/>
      <c r="TX14" s="83"/>
      <c r="TY14" s="83"/>
      <c r="TZ14" s="83"/>
      <c r="UA14" s="83"/>
      <c r="UB14" s="83"/>
      <c r="UC14" s="83"/>
      <c r="UD14" s="83"/>
      <c r="UE14" s="83"/>
      <c r="UF14" s="83"/>
      <c r="UG14" s="83"/>
      <c r="UH14" s="83"/>
      <c r="UI14" s="83"/>
      <c r="UJ14" s="83"/>
      <c r="UK14" s="83"/>
      <c r="UL14" s="83"/>
      <c r="UM14" s="83"/>
      <c r="UN14" s="83"/>
      <c r="UO14" s="83"/>
      <c r="UP14" s="83"/>
      <c r="UQ14" s="83"/>
      <c r="UR14" s="83"/>
      <c r="US14" s="83"/>
      <c r="UT14" s="83"/>
      <c r="UU14" s="83"/>
      <c r="UV14" s="83"/>
      <c r="UW14" s="83"/>
      <c r="UX14" s="83"/>
      <c r="UY14" s="83"/>
      <c r="UZ14" s="83"/>
      <c r="VA14" s="83"/>
      <c r="VB14" s="83"/>
      <c r="VC14" s="83"/>
      <c r="VD14" s="83"/>
      <c r="VE14" s="83"/>
      <c r="VF14" s="83"/>
      <c r="VG14" s="83"/>
      <c r="VH14" s="83"/>
      <c r="VI14" s="83"/>
      <c r="VJ14" s="83"/>
      <c r="VK14" s="83"/>
      <c r="VL14" s="83"/>
      <c r="VM14" s="83"/>
      <c r="VN14" s="83"/>
      <c r="VO14" s="83"/>
      <c r="VP14" s="83"/>
      <c r="VQ14" s="83"/>
      <c r="VR14" s="83"/>
      <c r="VS14" s="83"/>
      <c r="VT14" s="83"/>
      <c r="VU14" s="83"/>
      <c r="VV14" s="83"/>
      <c r="VW14" s="83"/>
      <c r="VX14" s="83"/>
      <c r="VY14" s="83"/>
      <c r="VZ14" s="83"/>
      <c r="WA14" s="83"/>
      <c r="WB14" s="83"/>
      <c r="WC14" s="83"/>
      <c r="WD14" s="83"/>
      <c r="WE14" s="83"/>
      <c r="WF14" s="83"/>
    </row>
    <row r="15" spans="1:604" ht="17.25" customHeight="1" x14ac:dyDescent="0.3">
      <c r="A15" s="25" t="e">
        <f>IF(契約詳細價目表!A15="",NA(),契約詳細價目表!A15)</f>
        <v>#N/A</v>
      </c>
      <c r="B15" s="26" t="e">
        <f>IF(契約詳細價目表!B15="",NA(),契約詳細價目表!B15)</f>
        <v>#N/A</v>
      </c>
      <c r="C15" s="25" t="e">
        <f>IF(契約詳細價目表!C15="",NA(),契約詳細價目表!C15)</f>
        <v>#N/A</v>
      </c>
      <c r="D15" s="27" t="e">
        <f>IF(契約詳細價目表!D15="",NA(),契約詳細價目表!D15)</f>
        <v>#N/A</v>
      </c>
      <c r="E15" s="28" t="e">
        <f>IF(契約詳細價目表!E15="",NA(),契約詳細價目表!E15)</f>
        <v>#N/A</v>
      </c>
      <c r="F15" s="28">
        <f>IF(契約詳細價目表!F15="",NA(),契約詳細價目表!F15)</f>
        <v>0</v>
      </c>
      <c r="G15" s="27">
        <f t="shared" si="536"/>
        <v>0</v>
      </c>
      <c r="H15" s="28" t="e">
        <f t="shared" si="537"/>
        <v>#N/A</v>
      </c>
      <c r="I15" s="47" t="e">
        <f t="shared" si="535"/>
        <v>#N/A</v>
      </c>
      <c r="J15" s="86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W15" s="85"/>
      <c r="DX15" s="85"/>
      <c r="DY15" s="85"/>
      <c r="DZ15" s="85"/>
      <c r="EA15" s="85"/>
      <c r="EB15" s="85"/>
      <c r="EC15" s="85"/>
      <c r="ED15" s="85"/>
      <c r="EE15" s="85"/>
      <c r="EF15" s="85"/>
      <c r="EG15" s="85"/>
      <c r="EH15" s="85"/>
      <c r="EI15" s="85"/>
      <c r="EJ15" s="85"/>
      <c r="EK15" s="85"/>
      <c r="EL15" s="85"/>
      <c r="EM15" s="85"/>
      <c r="EN15" s="85"/>
      <c r="EO15" s="85"/>
      <c r="EP15" s="85"/>
      <c r="EQ15" s="85"/>
      <c r="ER15" s="85"/>
      <c r="ES15" s="85"/>
      <c r="ET15" s="85"/>
      <c r="EU15" s="85"/>
      <c r="EV15" s="85"/>
      <c r="EW15" s="85"/>
      <c r="EX15" s="85"/>
      <c r="EY15" s="85"/>
      <c r="EZ15" s="85"/>
      <c r="FA15" s="85"/>
      <c r="FB15" s="85"/>
      <c r="FC15" s="85"/>
      <c r="FD15" s="85"/>
      <c r="FE15" s="85"/>
      <c r="FF15" s="85"/>
      <c r="FG15" s="85"/>
      <c r="FH15" s="85"/>
      <c r="FI15" s="85"/>
      <c r="FJ15" s="85"/>
      <c r="FK15" s="85"/>
      <c r="FL15" s="85"/>
      <c r="FM15" s="85"/>
      <c r="FN15" s="85"/>
      <c r="FO15" s="85"/>
      <c r="FP15" s="85"/>
      <c r="FQ15" s="85"/>
      <c r="FR15" s="85"/>
      <c r="FS15" s="85"/>
      <c r="FT15" s="85"/>
      <c r="FU15" s="83"/>
      <c r="FV15" s="83"/>
      <c r="FW15" s="83"/>
      <c r="FX15" s="83"/>
      <c r="FY15" s="83"/>
      <c r="FZ15" s="83"/>
      <c r="GA15" s="83"/>
      <c r="GB15" s="83"/>
      <c r="GC15" s="83"/>
      <c r="GD15" s="83"/>
      <c r="GE15" s="83"/>
      <c r="GF15" s="83"/>
      <c r="GG15" s="83"/>
      <c r="GH15" s="83"/>
      <c r="GI15" s="83"/>
      <c r="GJ15" s="83"/>
      <c r="GK15" s="83"/>
      <c r="GL15" s="83"/>
      <c r="GM15" s="83"/>
      <c r="GN15" s="83"/>
      <c r="GO15" s="83"/>
      <c r="GP15" s="83"/>
      <c r="GQ15" s="83"/>
      <c r="GR15" s="83"/>
      <c r="GS15" s="83"/>
      <c r="GT15" s="83"/>
      <c r="GU15" s="83"/>
      <c r="GV15" s="83"/>
      <c r="GW15" s="83"/>
      <c r="GX15" s="83"/>
      <c r="GY15" s="83"/>
      <c r="GZ15" s="83"/>
      <c r="HA15" s="83"/>
      <c r="HB15" s="83"/>
      <c r="HC15" s="83"/>
      <c r="HD15" s="83"/>
      <c r="HE15" s="83"/>
      <c r="HF15" s="83"/>
      <c r="HG15" s="83"/>
      <c r="HH15" s="83"/>
      <c r="HI15" s="83"/>
      <c r="HJ15" s="83"/>
      <c r="HK15" s="83"/>
      <c r="HL15" s="83"/>
      <c r="HM15" s="83"/>
      <c r="HN15" s="83"/>
      <c r="HO15" s="83"/>
      <c r="HP15" s="83"/>
      <c r="HQ15" s="83"/>
      <c r="HR15" s="83"/>
      <c r="HS15" s="83"/>
      <c r="HT15" s="83"/>
      <c r="HU15" s="83"/>
      <c r="HV15" s="83"/>
      <c r="HW15" s="83"/>
      <c r="HX15" s="83"/>
      <c r="HY15" s="83"/>
      <c r="HZ15" s="83"/>
      <c r="IA15" s="83"/>
      <c r="IB15" s="83"/>
      <c r="IC15" s="83"/>
      <c r="ID15" s="83"/>
      <c r="IE15" s="83"/>
      <c r="IF15" s="83"/>
      <c r="IG15" s="83"/>
      <c r="IH15" s="83"/>
      <c r="II15" s="83"/>
      <c r="IJ15" s="83"/>
      <c r="IK15" s="83"/>
      <c r="IL15" s="83"/>
      <c r="IM15" s="83"/>
      <c r="IN15" s="83"/>
      <c r="IO15" s="83"/>
      <c r="IP15" s="83"/>
      <c r="IQ15" s="83"/>
      <c r="IR15" s="83"/>
      <c r="IS15" s="83"/>
      <c r="IT15" s="83"/>
      <c r="IU15" s="83"/>
      <c r="IV15" s="83"/>
      <c r="IW15" s="83"/>
      <c r="IX15" s="83"/>
      <c r="IY15" s="83"/>
      <c r="IZ15" s="83"/>
      <c r="JA15" s="83"/>
      <c r="JB15" s="83"/>
      <c r="JC15" s="83"/>
      <c r="JD15" s="83"/>
      <c r="JE15" s="83"/>
      <c r="JF15" s="83"/>
      <c r="JG15" s="83"/>
      <c r="JH15" s="83"/>
      <c r="JI15" s="83"/>
      <c r="JJ15" s="83"/>
      <c r="JK15" s="83"/>
      <c r="JL15" s="83"/>
      <c r="JM15" s="83"/>
      <c r="JN15" s="83"/>
      <c r="JO15" s="83"/>
      <c r="JP15" s="83"/>
      <c r="JQ15" s="83"/>
      <c r="JR15" s="83"/>
      <c r="JS15" s="83"/>
      <c r="JT15" s="83"/>
      <c r="JU15" s="83"/>
      <c r="JV15" s="83"/>
      <c r="JW15" s="83"/>
      <c r="JX15" s="83"/>
      <c r="JY15" s="83"/>
      <c r="JZ15" s="83"/>
      <c r="KA15" s="83"/>
      <c r="KB15" s="83"/>
      <c r="KC15" s="83"/>
      <c r="KD15" s="83"/>
      <c r="KE15" s="83"/>
      <c r="KF15" s="83"/>
      <c r="KG15" s="83"/>
      <c r="KH15" s="83"/>
      <c r="KI15" s="83"/>
      <c r="KJ15" s="83"/>
      <c r="KK15" s="83"/>
      <c r="KL15" s="83"/>
      <c r="KM15" s="83"/>
      <c r="KN15" s="83"/>
      <c r="KO15" s="83"/>
      <c r="KP15" s="83"/>
      <c r="KQ15" s="83"/>
      <c r="KR15" s="83"/>
      <c r="KS15" s="83"/>
      <c r="KT15" s="83"/>
      <c r="KU15" s="83"/>
      <c r="KV15" s="83"/>
      <c r="KW15" s="83"/>
      <c r="KX15" s="83"/>
      <c r="KY15" s="83"/>
      <c r="KZ15" s="83"/>
      <c r="LA15" s="83"/>
      <c r="LB15" s="83"/>
      <c r="LC15" s="83"/>
      <c r="LD15" s="83"/>
      <c r="LE15" s="83"/>
      <c r="LF15" s="83"/>
      <c r="LG15" s="83"/>
      <c r="LH15" s="83"/>
      <c r="LI15" s="83"/>
      <c r="LJ15" s="83"/>
      <c r="LK15" s="83"/>
      <c r="LL15" s="83"/>
      <c r="LM15" s="83"/>
      <c r="LN15" s="83"/>
      <c r="LO15" s="83"/>
      <c r="LP15" s="83"/>
      <c r="LQ15" s="83"/>
      <c r="LR15" s="83"/>
      <c r="LS15" s="83"/>
      <c r="LT15" s="83"/>
      <c r="LU15" s="83"/>
      <c r="LV15" s="83"/>
      <c r="LW15" s="83"/>
      <c r="LX15" s="83"/>
      <c r="LY15" s="83"/>
      <c r="LZ15" s="83"/>
      <c r="MA15" s="83"/>
      <c r="MB15" s="83"/>
      <c r="MC15" s="83"/>
      <c r="MD15" s="83"/>
      <c r="ME15" s="83"/>
      <c r="MF15" s="83"/>
      <c r="MG15" s="83"/>
      <c r="MH15" s="83"/>
      <c r="MI15" s="83"/>
      <c r="MJ15" s="83"/>
      <c r="MK15" s="83"/>
      <c r="ML15" s="83"/>
      <c r="MM15" s="83"/>
      <c r="MN15" s="83"/>
      <c r="MO15" s="83"/>
      <c r="MP15" s="83"/>
      <c r="MQ15" s="83"/>
      <c r="MR15" s="83"/>
      <c r="MS15" s="83"/>
      <c r="MT15" s="83"/>
      <c r="MU15" s="83"/>
      <c r="MV15" s="83"/>
      <c r="MW15" s="83"/>
      <c r="MX15" s="83"/>
      <c r="MY15" s="83"/>
      <c r="MZ15" s="83"/>
      <c r="NA15" s="83"/>
      <c r="NB15" s="83"/>
      <c r="NC15" s="83"/>
      <c r="ND15" s="83"/>
      <c r="NE15" s="83"/>
      <c r="NF15" s="83"/>
      <c r="NG15" s="83"/>
      <c r="NH15" s="83"/>
      <c r="NI15" s="83"/>
      <c r="NJ15" s="83"/>
      <c r="NK15" s="83"/>
      <c r="NL15" s="83"/>
      <c r="NM15" s="83"/>
      <c r="NN15" s="83"/>
      <c r="NO15" s="83"/>
      <c r="NP15" s="83"/>
      <c r="NQ15" s="83"/>
      <c r="NR15" s="83"/>
      <c r="NS15" s="83"/>
      <c r="NT15" s="83"/>
      <c r="NU15" s="83"/>
      <c r="NV15" s="83"/>
      <c r="NW15" s="83"/>
      <c r="NX15" s="83"/>
      <c r="NY15" s="83"/>
      <c r="NZ15" s="83"/>
      <c r="OA15" s="83"/>
      <c r="OB15" s="83"/>
      <c r="OC15" s="83"/>
      <c r="OD15" s="83"/>
      <c r="OE15" s="83"/>
      <c r="OF15" s="83"/>
      <c r="OG15" s="83"/>
      <c r="OH15" s="83"/>
      <c r="OI15" s="83"/>
      <c r="OJ15" s="83"/>
      <c r="OK15" s="83"/>
      <c r="OL15" s="83"/>
      <c r="OM15" s="83"/>
      <c r="ON15" s="83"/>
      <c r="OO15" s="83"/>
      <c r="OP15" s="83"/>
      <c r="OQ15" s="83"/>
      <c r="OR15" s="83"/>
      <c r="OS15" s="83"/>
      <c r="OT15" s="83"/>
      <c r="OU15" s="83"/>
      <c r="OV15" s="83"/>
      <c r="OW15" s="83"/>
      <c r="OX15" s="83"/>
      <c r="OY15" s="83"/>
      <c r="OZ15" s="83"/>
      <c r="PA15" s="83"/>
      <c r="PB15" s="83"/>
      <c r="PC15" s="83"/>
      <c r="PD15" s="83"/>
      <c r="PE15" s="83"/>
      <c r="PF15" s="83"/>
      <c r="PG15" s="83"/>
      <c r="PH15" s="83"/>
      <c r="PI15" s="83"/>
      <c r="PJ15" s="83"/>
      <c r="PK15" s="83"/>
      <c r="PL15" s="83"/>
      <c r="PM15" s="83"/>
      <c r="PN15" s="83"/>
      <c r="PO15" s="83"/>
      <c r="PP15" s="83"/>
      <c r="PQ15" s="83"/>
      <c r="PR15" s="83"/>
      <c r="PS15" s="83"/>
      <c r="PT15" s="83"/>
      <c r="PU15" s="83"/>
      <c r="PV15" s="83"/>
      <c r="PW15" s="83"/>
      <c r="PX15" s="83"/>
      <c r="PY15" s="83"/>
      <c r="PZ15" s="83"/>
      <c r="QA15" s="83"/>
      <c r="QB15" s="83"/>
      <c r="QC15" s="83"/>
      <c r="QD15" s="83"/>
      <c r="QE15" s="83"/>
      <c r="QF15" s="83"/>
      <c r="QG15" s="83"/>
      <c r="QH15" s="83"/>
      <c r="QI15" s="83"/>
      <c r="QJ15" s="83"/>
      <c r="QK15" s="83"/>
      <c r="QL15" s="83"/>
      <c r="QM15" s="83"/>
      <c r="QN15" s="83"/>
      <c r="QO15" s="83"/>
      <c r="QP15" s="83"/>
      <c r="QQ15" s="83"/>
      <c r="QR15" s="83"/>
      <c r="QS15" s="83"/>
      <c r="QT15" s="83"/>
      <c r="QU15" s="83"/>
      <c r="QV15" s="83"/>
      <c r="QW15" s="83"/>
      <c r="QX15" s="83"/>
      <c r="QY15" s="83"/>
      <c r="QZ15" s="83"/>
      <c r="RA15" s="83"/>
      <c r="RB15" s="83"/>
      <c r="RC15" s="83"/>
      <c r="RD15" s="83"/>
      <c r="RE15" s="83"/>
      <c r="RF15" s="83"/>
      <c r="RG15" s="83"/>
      <c r="RH15" s="83"/>
      <c r="RI15" s="83"/>
      <c r="RJ15" s="83"/>
      <c r="RK15" s="83"/>
      <c r="RL15" s="83"/>
      <c r="RM15" s="83"/>
      <c r="RN15" s="83"/>
      <c r="RO15" s="83"/>
      <c r="RP15" s="83"/>
      <c r="RQ15" s="83"/>
      <c r="RR15" s="83"/>
      <c r="RS15" s="83"/>
      <c r="RT15" s="83"/>
      <c r="RU15" s="83"/>
      <c r="RV15" s="83"/>
      <c r="RW15" s="83"/>
      <c r="RX15" s="83"/>
      <c r="RY15" s="83"/>
      <c r="RZ15" s="83"/>
      <c r="SA15" s="83"/>
      <c r="SB15" s="83"/>
      <c r="SC15" s="83"/>
      <c r="SD15" s="83"/>
      <c r="SE15" s="83"/>
      <c r="SF15" s="83"/>
      <c r="SG15" s="83"/>
      <c r="SH15" s="83"/>
      <c r="SI15" s="83"/>
      <c r="SJ15" s="83"/>
      <c r="SK15" s="83"/>
      <c r="SL15" s="83"/>
      <c r="SM15" s="83"/>
      <c r="SN15" s="83"/>
      <c r="SO15" s="83"/>
      <c r="SP15" s="83"/>
      <c r="SQ15" s="83"/>
      <c r="SR15" s="83"/>
      <c r="SS15" s="83"/>
      <c r="ST15" s="83"/>
      <c r="SU15" s="83"/>
      <c r="SV15" s="83"/>
      <c r="SW15" s="83"/>
      <c r="SX15" s="83"/>
      <c r="SY15" s="83"/>
      <c r="SZ15" s="83"/>
      <c r="TA15" s="83"/>
      <c r="TB15" s="83"/>
      <c r="TC15" s="83"/>
      <c r="TD15" s="83"/>
      <c r="TE15" s="83"/>
      <c r="TF15" s="83"/>
      <c r="TG15" s="83"/>
      <c r="TH15" s="83"/>
      <c r="TI15" s="83"/>
      <c r="TJ15" s="83"/>
      <c r="TK15" s="83"/>
      <c r="TL15" s="83"/>
      <c r="TM15" s="83"/>
      <c r="TN15" s="83"/>
      <c r="TO15" s="83"/>
      <c r="TP15" s="83"/>
      <c r="TQ15" s="83"/>
      <c r="TR15" s="83"/>
      <c r="TS15" s="83"/>
      <c r="TT15" s="83"/>
      <c r="TU15" s="83"/>
      <c r="TV15" s="83"/>
      <c r="TW15" s="83"/>
      <c r="TX15" s="83"/>
      <c r="TY15" s="83"/>
      <c r="TZ15" s="83"/>
      <c r="UA15" s="83"/>
      <c r="UB15" s="83"/>
      <c r="UC15" s="83"/>
      <c r="UD15" s="83"/>
      <c r="UE15" s="83"/>
      <c r="UF15" s="83"/>
      <c r="UG15" s="83"/>
      <c r="UH15" s="83"/>
      <c r="UI15" s="83"/>
      <c r="UJ15" s="83"/>
      <c r="UK15" s="83"/>
      <c r="UL15" s="83"/>
      <c r="UM15" s="83"/>
      <c r="UN15" s="83"/>
      <c r="UO15" s="83"/>
      <c r="UP15" s="83"/>
      <c r="UQ15" s="83"/>
      <c r="UR15" s="83"/>
      <c r="US15" s="83"/>
      <c r="UT15" s="83"/>
      <c r="UU15" s="83"/>
      <c r="UV15" s="83"/>
      <c r="UW15" s="83"/>
      <c r="UX15" s="83"/>
      <c r="UY15" s="83"/>
      <c r="UZ15" s="83"/>
      <c r="VA15" s="83"/>
      <c r="VB15" s="83"/>
      <c r="VC15" s="83"/>
      <c r="VD15" s="83"/>
      <c r="VE15" s="83"/>
      <c r="VF15" s="83"/>
      <c r="VG15" s="83"/>
      <c r="VH15" s="83"/>
      <c r="VI15" s="83"/>
      <c r="VJ15" s="83"/>
      <c r="VK15" s="83"/>
      <c r="VL15" s="83"/>
      <c r="VM15" s="83"/>
      <c r="VN15" s="83"/>
      <c r="VO15" s="83"/>
      <c r="VP15" s="83"/>
      <c r="VQ15" s="83"/>
      <c r="VR15" s="83"/>
      <c r="VS15" s="83"/>
      <c r="VT15" s="83"/>
      <c r="VU15" s="83"/>
      <c r="VV15" s="83"/>
      <c r="VW15" s="83"/>
      <c r="VX15" s="83"/>
      <c r="VY15" s="83"/>
      <c r="VZ15" s="83"/>
      <c r="WA15" s="83"/>
      <c r="WB15" s="83"/>
      <c r="WC15" s="83"/>
      <c r="WD15" s="83"/>
      <c r="WE15" s="83"/>
      <c r="WF15" s="83"/>
    </row>
    <row r="16" spans="1:604" ht="17.25" customHeight="1" x14ac:dyDescent="0.3">
      <c r="A16" s="25" t="e">
        <f>IF(契約詳細價目表!A16="",NA(),契約詳細價目表!A16)</f>
        <v>#N/A</v>
      </c>
      <c r="B16" s="26" t="e">
        <f>IF(契約詳細價目表!B16="",NA(),契約詳細價目表!B16)</f>
        <v>#N/A</v>
      </c>
      <c r="C16" s="25" t="e">
        <f>IF(契約詳細價目表!C16="",NA(),契約詳細價目表!C16)</f>
        <v>#N/A</v>
      </c>
      <c r="D16" s="27" t="e">
        <f>IF(契約詳細價目表!D16="",NA(),契約詳細價目表!D16)</f>
        <v>#N/A</v>
      </c>
      <c r="E16" s="28" t="e">
        <f>IF(契約詳細價目表!E16="",NA(),契約詳細價目表!E16)</f>
        <v>#N/A</v>
      </c>
      <c r="F16" s="28">
        <f>IF(契約詳細價目表!F16="",NA(),契約詳細價目表!F16)</f>
        <v>0</v>
      </c>
      <c r="G16" s="27">
        <f t="shared" si="536"/>
        <v>0</v>
      </c>
      <c r="H16" s="28" t="e">
        <f t="shared" si="537"/>
        <v>#N/A</v>
      </c>
      <c r="I16" s="47" t="e">
        <f t="shared" si="535"/>
        <v>#N/A</v>
      </c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  <c r="DF16" s="85"/>
      <c r="DG16" s="85"/>
      <c r="DH16" s="85"/>
      <c r="DI16" s="85"/>
      <c r="DJ16" s="85"/>
      <c r="DK16" s="85"/>
      <c r="DL16" s="85"/>
      <c r="DM16" s="85"/>
      <c r="DN16" s="85"/>
      <c r="DO16" s="85"/>
      <c r="DP16" s="85"/>
      <c r="DQ16" s="85"/>
      <c r="DR16" s="85"/>
      <c r="DS16" s="85"/>
      <c r="DT16" s="85"/>
      <c r="DU16" s="85"/>
      <c r="DV16" s="85"/>
      <c r="DW16" s="85"/>
      <c r="DX16" s="85"/>
      <c r="DY16" s="85"/>
      <c r="DZ16" s="85"/>
      <c r="EA16" s="85"/>
      <c r="EB16" s="85"/>
      <c r="EC16" s="85"/>
      <c r="ED16" s="85"/>
      <c r="EE16" s="85"/>
      <c r="EF16" s="85"/>
      <c r="EG16" s="85"/>
      <c r="EH16" s="85"/>
      <c r="EI16" s="85"/>
      <c r="EJ16" s="85"/>
      <c r="EK16" s="85"/>
      <c r="EL16" s="85"/>
      <c r="EM16" s="85"/>
      <c r="EN16" s="85"/>
      <c r="EO16" s="85"/>
      <c r="EP16" s="85"/>
      <c r="EQ16" s="85"/>
      <c r="ER16" s="85"/>
      <c r="ES16" s="85"/>
      <c r="ET16" s="85"/>
      <c r="EU16" s="85"/>
      <c r="EV16" s="85"/>
      <c r="EW16" s="85"/>
      <c r="EX16" s="85"/>
      <c r="EY16" s="85"/>
      <c r="EZ16" s="85"/>
      <c r="FA16" s="85"/>
      <c r="FB16" s="85"/>
      <c r="FC16" s="85"/>
      <c r="FD16" s="85"/>
      <c r="FE16" s="85"/>
      <c r="FF16" s="85"/>
      <c r="FG16" s="85"/>
      <c r="FH16" s="85"/>
      <c r="FI16" s="85"/>
      <c r="FJ16" s="85"/>
      <c r="FK16" s="85"/>
      <c r="FL16" s="85"/>
      <c r="FM16" s="85"/>
      <c r="FN16" s="85"/>
      <c r="FO16" s="85"/>
      <c r="FP16" s="85"/>
      <c r="FQ16" s="85"/>
      <c r="FR16" s="85"/>
      <c r="FS16" s="85"/>
      <c r="FT16" s="85"/>
      <c r="FU16" s="83"/>
      <c r="FV16" s="83"/>
      <c r="FW16" s="83"/>
      <c r="FX16" s="83"/>
      <c r="FY16" s="83"/>
      <c r="FZ16" s="83"/>
      <c r="GA16" s="83"/>
      <c r="GB16" s="83"/>
      <c r="GC16" s="83"/>
      <c r="GD16" s="83"/>
      <c r="GE16" s="83"/>
      <c r="GF16" s="83"/>
      <c r="GG16" s="83"/>
      <c r="GH16" s="83"/>
      <c r="GI16" s="83"/>
      <c r="GJ16" s="83"/>
      <c r="GK16" s="83"/>
      <c r="GL16" s="83"/>
      <c r="GM16" s="83"/>
      <c r="GN16" s="83"/>
      <c r="GO16" s="83"/>
      <c r="GP16" s="83"/>
      <c r="GQ16" s="83"/>
      <c r="GR16" s="83"/>
      <c r="GS16" s="83"/>
      <c r="GT16" s="83"/>
      <c r="GU16" s="83"/>
      <c r="GV16" s="83"/>
      <c r="GW16" s="83"/>
      <c r="GX16" s="83"/>
      <c r="GY16" s="83"/>
      <c r="GZ16" s="83"/>
      <c r="HA16" s="83"/>
      <c r="HB16" s="83"/>
      <c r="HC16" s="83"/>
      <c r="HD16" s="83"/>
      <c r="HE16" s="83"/>
      <c r="HF16" s="83"/>
      <c r="HG16" s="83"/>
      <c r="HH16" s="83"/>
      <c r="HI16" s="83"/>
      <c r="HJ16" s="83"/>
      <c r="HK16" s="83"/>
      <c r="HL16" s="83"/>
      <c r="HM16" s="83"/>
      <c r="HN16" s="83"/>
      <c r="HO16" s="83"/>
      <c r="HP16" s="83"/>
      <c r="HQ16" s="83"/>
      <c r="HR16" s="83"/>
      <c r="HS16" s="83"/>
      <c r="HT16" s="83"/>
      <c r="HU16" s="83"/>
      <c r="HV16" s="83"/>
      <c r="HW16" s="83"/>
      <c r="HX16" s="83"/>
      <c r="HY16" s="83"/>
      <c r="HZ16" s="83"/>
      <c r="IA16" s="83"/>
      <c r="IB16" s="83"/>
      <c r="IC16" s="83"/>
      <c r="ID16" s="83"/>
      <c r="IE16" s="83"/>
      <c r="IF16" s="83"/>
      <c r="IG16" s="83"/>
      <c r="IH16" s="83"/>
      <c r="II16" s="83"/>
      <c r="IJ16" s="83"/>
      <c r="IK16" s="83"/>
      <c r="IL16" s="83"/>
      <c r="IM16" s="83"/>
      <c r="IN16" s="83"/>
      <c r="IO16" s="83"/>
      <c r="IP16" s="83"/>
      <c r="IQ16" s="83"/>
      <c r="IR16" s="83"/>
      <c r="IS16" s="83"/>
      <c r="IT16" s="83"/>
      <c r="IU16" s="83"/>
      <c r="IV16" s="83"/>
      <c r="IW16" s="83"/>
      <c r="IX16" s="83"/>
      <c r="IY16" s="83"/>
      <c r="IZ16" s="83"/>
      <c r="JA16" s="83"/>
      <c r="JB16" s="83"/>
      <c r="JC16" s="83"/>
      <c r="JD16" s="83"/>
      <c r="JE16" s="83"/>
      <c r="JF16" s="83"/>
      <c r="JG16" s="83"/>
      <c r="JH16" s="83"/>
      <c r="JI16" s="83"/>
      <c r="JJ16" s="83"/>
      <c r="JK16" s="83"/>
      <c r="JL16" s="83"/>
      <c r="JM16" s="83"/>
      <c r="JN16" s="83"/>
      <c r="JO16" s="83"/>
      <c r="JP16" s="83"/>
      <c r="JQ16" s="83"/>
      <c r="JR16" s="83"/>
      <c r="JS16" s="83"/>
      <c r="JT16" s="83"/>
      <c r="JU16" s="83"/>
      <c r="JV16" s="83"/>
      <c r="JW16" s="83"/>
      <c r="JX16" s="83"/>
      <c r="JY16" s="83"/>
      <c r="JZ16" s="83"/>
      <c r="KA16" s="83"/>
      <c r="KB16" s="83"/>
      <c r="KC16" s="83"/>
      <c r="KD16" s="83"/>
      <c r="KE16" s="83"/>
      <c r="KF16" s="83"/>
      <c r="KG16" s="83"/>
      <c r="KH16" s="83"/>
      <c r="KI16" s="83"/>
      <c r="KJ16" s="83"/>
      <c r="KK16" s="83"/>
      <c r="KL16" s="83"/>
      <c r="KM16" s="83"/>
      <c r="KN16" s="83"/>
      <c r="KO16" s="83"/>
      <c r="KP16" s="83"/>
      <c r="KQ16" s="83"/>
      <c r="KR16" s="83"/>
      <c r="KS16" s="83"/>
      <c r="KT16" s="83"/>
      <c r="KU16" s="83"/>
      <c r="KV16" s="83"/>
      <c r="KW16" s="83"/>
      <c r="KX16" s="83"/>
      <c r="KY16" s="83"/>
      <c r="KZ16" s="83"/>
      <c r="LA16" s="83"/>
      <c r="LB16" s="83"/>
      <c r="LC16" s="83"/>
      <c r="LD16" s="83"/>
      <c r="LE16" s="83"/>
      <c r="LF16" s="83"/>
      <c r="LG16" s="83"/>
      <c r="LH16" s="83"/>
      <c r="LI16" s="83"/>
      <c r="LJ16" s="83"/>
      <c r="LK16" s="83"/>
      <c r="LL16" s="83"/>
      <c r="LM16" s="83"/>
      <c r="LN16" s="83"/>
      <c r="LO16" s="83"/>
      <c r="LP16" s="83"/>
      <c r="LQ16" s="83"/>
      <c r="LR16" s="83"/>
      <c r="LS16" s="83"/>
      <c r="LT16" s="83"/>
      <c r="LU16" s="83"/>
      <c r="LV16" s="83"/>
      <c r="LW16" s="83"/>
      <c r="LX16" s="83"/>
      <c r="LY16" s="83"/>
      <c r="LZ16" s="83"/>
      <c r="MA16" s="83"/>
      <c r="MB16" s="83"/>
      <c r="MC16" s="83"/>
      <c r="MD16" s="83"/>
      <c r="ME16" s="83"/>
      <c r="MF16" s="83"/>
      <c r="MG16" s="83"/>
      <c r="MH16" s="83"/>
      <c r="MI16" s="83"/>
      <c r="MJ16" s="83"/>
      <c r="MK16" s="83"/>
      <c r="ML16" s="83"/>
      <c r="MM16" s="83"/>
      <c r="MN16" s="83"/>
      <c r="MO16" s="83"/>
      <c r="MP16" s="83"/>
      <c r="MQ16" s="83"/>
      <c r="MR16" s="83"/>
      <c r="MS16" s="83"/>
      <c r="MT16" s="83"/>
      <c r="MU16" s="83"/>
      <c r="MV16" s="83"/>
      <c r="MW16" s="83"/>
      <c r="MX16" s="83"/>
      <c r="MY16" s="83"/>
      <c r="MZ16" s="83"/>
      <c r="NA16" s="83"/>
      <c r="NB16" s="83"/>
      <c r="NC16" s="83"/>
      <c r="ND16" s="83"/>
      <c r="NE16" s="83"/>
      <c r="NF16" s="83"/>
      <c r="NG16" s="83"/>
      <c r="NH16" s="83"/>
      <c r="NI16" s="83"/>
      <c r="NJ16" s="83"/>
      <c r="NK16" s="83"/>
      <c r="NL16" s="83"/>
      <c r="NM16" s="83"/>
      <c r="NN16" s="83"/>
      <c r="NO16" s="83"/>
      <c r="NP16" s="83"/>
      <c r="NQ16" s="83"/>
      <c r="NR16" s="83"/>
      <c r="NS16" s="83"/>
      <c r="NT16" s="83"/>
      <c r="NU16" s="83"/>
      <c r="NV16" s="83"/>
      <c r="NW16" s="83"/>
      <c r="NX16" s="83"/>
      <c r="NY16" s="83"/>
      <c r="NZ16" s="83"/>
      <c r="OA16" s="83"/>
      <c r="OB16" s="83"/>
      <c r="OC16" s="83"/>
      <c r="OD16" s="83"/>
      <c r="OE16" s="83"/>
      <c r="OF16" s="83"/>
      <c r="OG16" s="83"/>
      <c r="OH16" s="83"/>
      <c r="OI16" s="83"/>
      <c r="OJ16" s="83"/>
      <c r="OK16" s="83"/>
      <c r="OL16" s="83"/>
      <c r="OM16" s="83"/>
      <c r="ON16" s="83"/>
      <c r="OO16" s="83"/>
      <c r="OP16" s="83"/>
      <c r="OQ16" s="83"/>
      <c r="OR16" s="83"/>
      <c r="OS16" s="83"/>
      <c r="OT16" s="83"/>
      <c r="OU16" s="83"/>
      <c r="OV16" s="83"/>
      <c r="OW16" s="83"/>
      <c r="OX16" s="83"/>
      <c r="OY16" s="83"/>
      <c r="OZ16" s="83"/>
      <c r="PA16" s="83"/>
      <c r="PB16" s="83"/>
      <c r="PC16" s="83"/>
      <c r="PD16" s="83"/>
      <c r="PE16" s="83"/>
      <c r="PF16" s="83"/>
      <c r="PG16" s="83"/>
      <c r="PH16" s="83"/>
      <c r="PI16" s="83"/>
      <c r="PJ16" s="83"/>
      <c r="PK16" s="83"/>
      <c r="PL16" s="83"/>
      <c r="PM16" s="83"/>
      <c r="PN16" s="83"/>
      <c r="PO16" s="83"/>
      <c r="PP16" s="83"/>
      <c r="PQ16" s="83"/>
      <c r="PR16" s="83"/>
      <c r="PS16" s="83"/>
      <c r="PT16" s="83"/>
      <c r="PU16" s="83"/>
      <c r="PV16" s="83"/>
      <c r="PW16" s="83"/>
      <c r="PX16" s="83"/>
      <c r="PY16" s="83"/>
      <c r="PZ16" s="83"/>
      <c r="QA16" s="83"/>
      <c r="QB16" s="83"/>
      <c r="QC16" s="83"/>
      <c r="QD16" s="83"/>
      <c r="QE16" s="83"/>
      <c r="QF16" s="83"/>
      <c r="QG16" s="83"/>
      <c r="QH16" s="83"/>
      <c r="QI16" s="83"/>
      <c r="QJ16" s="83"/>
      <c r="QK16" s="83"/>
      <c r="QL16" s="83"/>
      <c r="QM16" s="83"/>
      <c r="QN16" s="83"/>
      <c r="QO16" s="83"/>
      <c r="QP16" s="83"/>
      <c r="QQ16" s="83"/>
      <c r="QR16" s="83"/>
      <c r="QS16" s="83"/>
      <c r="QT16" s="83"/>
      <c r="QU16" s="83"/>
      <c r="QV16" s="83"/>
      <c r="QW16" s="83"/>
      <c r="QX16" s="83"/>
      <c r="QY16" s="83"/>
      <c r="QZ16" s="83"/>
      <c r="RA16" s="83"/>
      <c r="RB16" s="83"/>
      <c r="RC16" s="83"/>
      <c r="RD16" s="83"/>
      <c r="RE16" s="83"/>
      <c r="RF16" s="83"/>
      <c r="RG16" s="83"/>
      <c r="RH16" s="83"/>
      <c r="RI16" s="83"/>
      <c r="RJ16" s="83"/>
      <c r="RK16" s="83"/>
      <c r="RL16" s="83"/>
      <c r="RM16" s="83"/>
      <c r="RN16" s="83"/>
      <c r="RO16" s="83"/>
      <c r="RP16" s="83"/>
      <c r="RQ16" s="83"/>
      <c r="RR16" s="83"/>
      <c r="RS16" s="83"/>
      <c r="RT16" s="83"/>
      <c r="RU16" s="83"/>
      <c r="RV16" s="83"/>
      <c r="RW16" s="83"/>
      <c r="RX16" s="83"/>
      <c r="RY16" s="83"/>
      <c r="RZ16" s="83"/>
      <c r="SA16" s="83"/>
      <c r="SB16" s="83"/>
      <c r="SC16" s="83"/>
      <c r="SD16" s="83"/>
      <c r="SE16" s="83"/>
      <c r="SF16" s="83"/>
      <c r="SG16" s="83"/>
      <c r="SH16" s="83"/>
      <c r="SI16" s="83"/>
      <c r="SJ16" s="83"/>
      <c r="SK16" s="83"/>
      <c r="SL16" s="83"/>
      <c r="SM16" s="83"/>
      <c r="SN16" s="83"/>
      <c r="SO16" s="83"/>
      <c r="SP16" s="83"/>
      <c r="SQ16" s="83"/>
      <c r="SR16" s="83"/>
      <c r="SS16" s="83"/>
      <c r="ST16" s="83"/>
      <c r="SU16" s="83"/>
      <c r="SV16" s="83"/>
      <c r="SW16" s="83"/>
      <c r="SX16" s="83"/>
      <c r="SY16" s="83"/>
      <c r="SZ16" s="83"/>
      <c r="TA16" s="83"/>
      <c r="TB16" s="83"/>
      <c r="TC16" s="83"/>
      <c r="TD16" s="83"/>
      <c r="TE16" s="83"/>
      <c r="TF16" s="83"/>
      <c r="TG16" s="83"/>
      <c r="TH16" s="83"/>
      <c r="TI16" s="83"/>
      <c r="TJ16" s="83"/>
      <c r="TK16" s="83"/>
      <c r="TL16" s="83"/>
      <c r="TM16" s="83"/>
      <c r="TN16" s="83"/>
      <c r="TO16" s="83"/>
      <c r="TP16" s="83"/>
      <c r="TQ16" s="83"/>
      <c r="TR16" s="83"/>
      <c r="TS16" s="83"/>
      <c r="TT16" s="83"/>
      <c r="TU16" s="83"/>
      <c r="TV16" s="83"/>
      <c r="TW16" s="83"/>
      <c r="TX16" s="83"/>
      <c r="TY16" s="83"/>
      <c r="TZ16" s="83"/>
      <c r="UA16" s="83"/>
      <c r="UB16" s="83"/>
      <c r="UC16" s="83"/>
      <c r="UD16" s="83"/>
      <c r="UE16" s="83"/>
      <c r="UF16" s="83"/>
      <c r="UG16" s="83"/>
      <c r="UH16" s="83"/>
      <c r="UI16" s="83"/>
      <c r="UJ16" s="83"/>
      <c r="UK16" s="83"/>
      <c r="UL16" s="83"/>
      <c r="UM16" s="83"/>
      <c r="UN16" s="83"/>
      <c r="UO16" s="83"/>
      <c r="UP16" s="83"/>
      <c r="UQ16" s="83"/>
      <c r="UR16" s="83"/>
      <c r="US16" s="83"/>
      <c r="UT16" s="83"/>
      <c r="UU16" s="83"/>
      <c r="UV16" s="83"/>
      <c r="UW16" s="83"/>
      <c r="UX16" s="83"/>
      <c r="UY16" s="83"/>
      <c r="UZ16" s="83"/>
      <c r="VA16" s="83"/>
      <c r="VB16" s="83"/>
      <c r="VC16" s="83"/>
      <c r="VD16" s="83"/>
      <c r="VE16" s="83"/>
      <c r="VF16" s="83"/>
      <c r="VG16" s="83"/>
      <c r="VH16" s="83"/>
      <c r="VI16" s="83"/>
      <c r="VJ16" s="83"/>
      <c r="VK16" s="83"/>
      <c r="VL16" s="83"/>
      <c r="VM16" s="83"/>
      <c r="VN16" s="83"/>
      <c r="VO16" s="83"/>
      <c r="VP16" s="83"/>
      <c r="VQ16" s="83"/>
      <c r="VR16" s="83"/>
      <c r="VS16" s="83"/>
      <c r="VT16" s="83"/>
      <c r="VU16" s="83"/>
      <c r="VV16" s="83"/>
      <c r="VW16" s="83"/>
      <c r="VX16" s="83"/>
      <c r="VY16" s="83"/>
      <c r="VZ16" s="83"/>
      <c r="WA16" s="83"/>
      <c r="WB16" s="83"/>
      <c r="WC16" s="83"/>
      <c r="WD16" s="83"/>
      <c r="WE16" s="83"/>
      <c r="WF16" s="83"/>
    </row>
    <row r="17" spans="1:604" ht="17.25" customHeight="1" x14ac:dyDescent="0.3">
      <c r="A17" s="25" t="e">
        <f>IF(契約詳細價目表!A17="",NA(),契約詳細價目表!A17)</f>
        <v>#N/A</v>
      </c>
      <c r="B17" s="26" t="e">
        <f>IF(契約詳細價目表!B17="",NA(),契約詳細價目表!B17)</f>
        <v>#N/A</v>
      </c>
      <c r="C17" s="25" t="e">
        <f>IF(契約詳細價目表!C17="",NA(),契約詳細價目表!C17)</f>
        <v>#N/A</v>
      </c>
      <c r="D17" s="27" t="e">
        <f>IF(契約詳細價目表!D17="",NA(),契約詳細價目表!D17)</f>
        <v>#N/A</v>
      </c>
      <c r="E17" s="28" t="e">
        <f>IF(契約詳細價目表!E17="",NA(),契約詳細價目表!E17)</f>
        <v>#N/A</v>
      </c>
      <c r="F17" s="28">
        <f>IF(契約詳細價目表!F17="",NA(),契約詳細價目表!F17)</f>
        <v>0</v>
      </c>
      <c r="G17" s="27">
        <f>SUM($J17:$ACH17)</f>
        <v>0</v>
      </c>
      <c r="H17" s="28" t="e">
        <f t="shared" si="537"/>
        <v>#N/A</v>
      </c>
      <c r="I17" s="47" t="e">
        <f t="shared" si="535"/>
        <v>#N/A</v>
      </c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  <c r="EE17" s="85"/>
      <c r="EF17" s="85"/>
      <c r="EG17" s="85"/>
      <c r="EH17" s="85"/>
      <c r="EI17" s="85"/>
      <c r="EJ17" s="85"/>
      <c r="EK17" s="85"/>
      <c r="EL17" s="85"/>
      <c r="EM17" s="85"/>
      <c r="EN17" s="85"/>
      <c r="EO17" s="85"/>
      <c r="EP17" s="85"/>
      <c r="EQ17" s="85"/>
      <c r="ER17" s="85"/>
      <c r="ES17" s="85"/>
      <c r="ET17" s="85"/>
      <c r="EU17" s="85"/>
      <c r="EV17" s="85"/>
      <c r="EW17" s="85"/>
      <c r="EX17" s="85"/>
      <c r="EY17" s="85"/>
      <c r="EZ17" s="85"/>
      <c r="FA17" s="85"/>
      <c r="FB17" s="85"/>
      <c r="FC17" s="85"/>
      <c r="FD17" s="85"/>
      <c r="FE17" s="85"/>
      <c r="FF17" s="85"/>
      <c r="FG17" s="85"/>
      <c r="FH17" s="85"/>
      <c r="FI17" s="85"/>
      <c r="FJ17" s="85"/>
      <c r="FK17" s="85"/>
      <c r="FL17" s="85"/>
      <c r="FM17" s="85"/>
      <c r="FN17" s="85"/>
      <c r="FO17" s="85"/>
      <c r="FP17" s="85"/>
      <c r="FQ17" s="85"/>
      <c r="FR17" s="85"/>
      <c r="FS17" s="85"/>
      <c r="FT17" s="85"/>
      <c r="FU17" s="83"/>
      <c r="FV17" s="83"/>
      <c r="FW17" s="83"/>
      <c r="FX17" s="83"/>
      <c r="FY17" s="83"/>
      <c r="FZ17" s="83"/>
      <c r="GA17" s="83"/>
      <c r="GB17" s="83"/>
      <c r="GC17" s="83"/>
      <c r="GD17" s="83"/>
      <c r="GE17" s="83"/>
      <c r="GF17" s="83"/>
      <c r="GG17" s="83"/>
      <c r="GH17" s="83"/>
      <c r="GI17" s="83"/>
      <c r="GJ17" s="83"/>
      <c r="GK17" s="83"/>
      <c r="GL17" s="83"/>
      <c r="GM17" s="83"/>
      <c r="GN17" s="83"/>
      <c r="GO17" s="83"/>
      <c r="GP17" s="83"/>
      <c r="GQ17" s="83"/>
      <c r="GR17" s="83"/>
      <c r="GS17" s="83"/>
      <c r="GT17" s="83"/>
      <c r="GU17" s="83"/>
      <c r="GV17" s="83"/>
      <c r="GW17" s="83"/>
      <c r="GX17" s="83"/>
      <c r="GY17" s="83"/>
      <c r="GZ17" s="83"/>
      <c r="HA17" s="83"/>
      <c r="HB17" s="83"/>
      <c r="HC17" s="83"/>
      <c r="HD17" s="83"/>
      <c r="HE17" s="83"/>
      <c r="HF17" s="83"/>
      <c r="HG17" s="83"/>
      <c r="HH17" s="83"/>
      <c r="HI17" s="83"/>
      <c r="HJ17" s="83"/>
      <c r="HK17" s="83"/>
      <c r="HL17" s="83"/>
      <c r="HM17" s="83"/>
      <c r="HN17" s="83"/>
      <c r="HO17" s="83"/>
      <c r="HP17" s="83"/>
      <c r="HQ17" s="83"/>
      <c r="HR17" s="83"/>
      <c r="HS17" s="83"/>
      <c r="HT17" s="83"/>
      <c r="HU17" s="83"/>
      <c r="HV17" s="83"/>
      <c r="HW17" s="83"/>
      <c r="HX17" s="83"/>
      <c r="HY17" s="83"/>
      <c r="HZ17" s="83"/>
      <c r="IA17" s="83"/>
      <c r="IB17" s="83"/>
      <c r="IC17" s="83"/>
      <c r="ID17" s="83"/>
      <c r="IE17" s="83"/>
      <c r="IF17" s="83"/>
      <c r="IG17" s="83"/>
      <c r="IH17" s="83"/>
      <c r="II17" s="83"/>
      <c r="IJ17" s="83"/>
      <c r="IK17" s="83"/>
      <c r="IL17" s="83"/>
      <c r="IM17" s="83"/>
      <c r="IN17" s="83"/>
      <c r="IO17" s="83"/>
      <c r="IP17" s="83"/>
      <c r="IQ17" s="83"/>
      <c r="IR17" s="83"/>
      <c r="IS17" s="83"/>
      <c r="IT17" s="83"/>
      <c r="IU17" s="83"/>
      <c r="IV17" s="83"/>
      <c r="IW17" s="83"/>
      <c r="IX17" s="83"/>
      <c r="IY17" s="83"/>
      <c r="IZ17" s="83"/>
      <c r="JA17" s="83"/>
      <c r="JB17" s="83"/>
      <c r="JC17" s="83"/>
      <c r="JD17" s="83"/>
      <c r="JE17" s="83"/>
      <c r="JF17" s="83"/>
      <c r="JG17" s="83"/>
      <c r="JH17" s="83"/>
      <c r="JI17" s="83"/>
      <c r="JJ17" s="83"/>
      <c r="JK17" s="83"/>
      <c r="JL17" s="83"/>
      <c r="JM17" s="83"/>
      <c r="JN17" s="83"/>
      <c r="JO17" s="83"/>
      <c r="JP17" s="83"/>
      <c r="JQ17" s="83"/>
      <c r="JR17" s="83"/>
      <c r="JS17" s="83"/>
      <c r="JT17" s="83"/>
      <c r="JU17" s="83"/>
      <c r="JV17" s="83"/>
      <c r="JW17" s="83"/>
      <c r="JX17" s="83"/>
      <c r="JY17" s="83"/>
      <c r="JZ17" s="83"/>
      <c r="KA17" s="83"/>
      <c r="KB17" s="83"/>
      <c r="KC17" s="83"/>
      <c r="KD17" s="83"/>
      <c r="KE17" s="83"/>
      <c r="KF17" s="83"/>
      <c r="KG17" s="83"/>
      <c r="KH17" s="83"/>
      <c r="KI17" s="83"/>
      <c r="KJ17" s="83"/>
      <c r="KK17" s="83"/>
      <c r="KL17" s="83"/>
      <c r="KM17" s="83"/>
      <c r="KN17" s="83"/>
      <c r="KO17" s="83"/>
      <c r="KP17" s="83"/>
      <c r="KQ17" s="83"/>
      <c r="KR17" s="83"/>
      <c r="KS17" s="83"/>
      <c r="KT17" s="83"/>
      <c r="KU17" s="83"/>
      <c r="KV17" s="83"/>
      <c r="KW17" s="83"/>
      <c r="KX17" s="83"/>
      <c r="KY17" s="83"/>
      <c r="KZ17" s="83"/>
      <c r="LA17" s="83"/>
      <c r="LB17" s="83"/>
      <c r="LC17" s="83"/>
      <c r="LD17" s="83"/>
      <c r="LE17" s="83"/>
      <c r="LF17" s="83"/>
      <c r="LG17" s="83"/>
      <c r="LH17" s="83"/>
      <c r="LI17" s="83"/>
      <c r="LJ17" s="83"/>
      <c r="LK17" s="83"/>
      <c r="LL17" s="83"/>
      <c r="LM17" s="83"/>
      <c r="LN17" s="83"/>
      <c r="LO17" s="83"/>
      <c r="LP17" s="83"/>
      <c r="LQ17" s="83"/>
      <c r="LR17" s="83"/>
      <c r="LS17" s="83"/>
      <c r="LT17" s="83"/>
      <c r="LU17" s="83"/>
      <c r="LV17" s="83"/>
      <c r="LW17" s="83"/>
      <c r="LX17" s="83"/>
      <c r="LY17" s="83"/>
      <c r="LZ17" s="83"/>
      <c r="MA17" s="83"/>
      <c r="MB17" s="83"/>
      <c r="MC17" s="83"/>
      <c r="MD17" s="83"/>
      <c r="ME17" s="83"/>
      <c r="MF17" s="83"/>
      <c r="MG17" s="83"/>
      <c r="MH17" s="83"/>
      <c r="MI17" s="83"/>
      <c r="MJ17" s="83"/>
      <c r="MK17" s="83"/>
      <c r="ML17" s="83"/>
      <c r="MM17" s="83"/>
      <c r="MN17" s="83"/>
      <c r="MO17" s="83"/>
      <c r="MP17" s="83"/>
      <c r="MQ17" s="83"/>
      <c r="MR17" s="83"/>
      <c r="MS17" s="83"/>
      <c r="MT17" s="83"/>
      <c r="MU17" s="83"/>
      <c r="MV17" s="83"/>
      <c r="MW17" s="83"/>
      <c r="MX17" s="83"/>
      <c r="MY17" s="83"/>
      <c r="MZ17" s="83"/>
      <c r="NA17" s="83"/>
      <c r="NB17" s="83"/>
      <c r="NC17" s="83"/>
      <c r="ND17" s="83"/>
      <c r="NE17" s="83"/>
      <c r="NF17" s="83"/>
      <c r="NG17" s="83"/>
      <c r="NH17" s="83"/>
      <c r="NI17" s="83"/>
      <c r="NJ17" s="83"/>
      <c r="NK17" s="83"/>
      <c r="NL17" s="83"/>
      <c r="NM17" s="83"/>
      <c r="NN17" s="83"/>
      <c r="NO17" s="83"/>
      <c r="NP17" s="83"/>
      <c r="NQ17" s="83"/>
      <c r="NR17" s="83"/>
      <c r="NS17" s="83"/>
      <c r="NT17" s="83"/>
      <c r="NU17" s="83"/>
      <c r="NV17" s="83"/>
      <c r="NW17" s="83"/>
      <c r="NX17" s="83"/>
      <c r="NY17" s="83"/>
      <c r="NZ17" s="83"/>
      <c r="OA17" s="83"/>
      <c r="OB17" s="83"/>
      <c r="OC17" s="83"/>
      <c r="OD17" s="83"/>
      <c r="OE17" s="83"/>
      <c r="OF17" s="83"/>
      <c r="OG17" s="83"/>
      <c r="OH17" s="83"/>
      <c r="OI17" s="83"/>
      <c r="OJ17" s="83"/>
      <c r="OK17" s="83"/>
      <c r="OL17" s="83"/>
      <c r="OM17" s="83"/>
      <c r="ON17" s="83"/>
      <c r="OO17" s="83"/>
      <c r="OP17" s="83"/>
      <c r="OQ17" s="83"/>
      <c r="OR17" s="83"/>
      <c r="OS17" s="83"/>
      <c r="OT17" s="83"/>
      <c r="OU17" s="83"/>
      <c r="OV17" s="83"/>
      <c r="OW17" s="83"/>
      <c r="OX17" s="83"/>
      <c r="OY17" s="83"/>
      <c r="OZ17" s="83"/>
      <c r="PA17" s="83"/>
      <c r="PB17" s="83"/>
      <c r="PC17" s="83"/>
      <c r="PD17" s="83"/>
      <c r="PE17" s="83"/>
      <c r="PF17" s="83"/>
      <c r="PG17" s="83"/>
      <c r="PH17" s="83"/>
      <c r="PI17" s="83"/>
      <c r="PJ17" s="83"/>
      <c r="PK17" s="83"/>
      <c r="PL17" s="83"/>
      <c r="PM17" s="83"/>
      <c r="PN17" s="83"/>
      <c r="PO17" s="83"/>
      <c r="PP17" s="83"/>
      <c r="PQ17" s="83"/>
      <c r="PR17" s="83"/>
      <c r="PS17" s="83"/>
      <c r="PT17" s="83"/>
      <c r="PU17" s="83"/>
      <c r="PV17" s="83"/>
      <c r="PW17" s="83"/>
      <c r="PX17" s="83"/>
      <c r="PY17" s="83"/>
      <c r="PZ17" s="83"/>
      <c r="QA17" s="83"/>
      <c r="QB17" s="83"/>
      <c r="QC17" s="83"/>
      <c r="QD17" s="83"/>
      <c r="QE17" s="83"/>
      <c r="QF17" s="83"/>
      <c r="QG17" s="83"/>
      <c r="QH17" s="83"/>
      <c r="QI17" s="83"/>
      <c r="QJ17" s="83"/>
      <c r="QK17" s="83"/>
      <c r="QL17" s="83"/>
      <c r="QM17" s="83"/>
      <c r="QN17" s="83"/>
      <c r="QO17" s="83"/>
      <c r="QP17" s="83"/>
      <c r="QQ17" s="83"/>
      <c r="QR17" s="83"/>
      <c r="QS17" s="83"/>
      <c r="QT17" s="83"/>
      <c r="QU17" s="83"/>
      <c r="QV17" s="83"/>
      <c r="QW17" s="83"/>
      <c r="QX17" s="83"/>
      <c r="QY17" s="83"/>
      <c r="QZ17" s="83"/>
      <c r="RA17" s="83"/>
      <c r="RB17" s="83"/>
      <c r="RC17" s="83"/>
      <c r="RD17" s="83"/>
      <c r="RE17" s="83"/>
      <c r="RF17" s="83"/>
      <c r="RG17" s="83"/>
      <c r="RH17" s="83"/>
      <c r="RI17" s="83"/>
      <c r="RJ17" s="83"/>
      <c r="RK17" s="83"/>
      <c r="RL17" s="83"/>
      <c r="RM17" s="83"/>
      <c r="RN17" s="83"/>
      <c r="RO17" s="83"/>
      <c r="RP17" s="83"/>
      <c r="RQ17" s="83"/>
      <c r="RR17" s="83"/>
      <c r="RS17" s="83"/>
      <c r="RT17" s="83"/>
      <c r="RU17" s="83"/>
      <c r="RV17" s="83"/>
      <c r="RW17" s="83"/>
      <c r="RX17" s="83"/>
      <c r="RY17" s="83"/>
      <c r="RZ17" s="83"/>
      <c r="SA17" s="83"/>
      <c r="SB17" s="83"/>
      <c r="SC17" s="83"/>
      <c r="SD17" s="83"/>
      <c r="SE17" s="83"/>
      <c r="SF17" s="83"/>
      <c r="SG17" s="83"/>
      <c r="SH17" s="83"/>
      <c r="SI17" s="83"/>
      <c r="SJ17" s="83"/>
      <c r="SK17" s="83"/>
      <c r="SL17" s="83"/>
      <c r="SM17" s="83"/>
      <c r="SN17" s="83"/>
      <c r="SO17" s="83"/>
      <c r="SP17" s="83"/>
      <c r="SQ17" s="83"/>
      <c r="SR17" s="83"/>
      <c r="SS17" s="83"/>
      <c r="ST17" s="83"/>
      <c r="SU17" s="83"/>
      <c r="SV17" s="83"/>
      <c r="SW17" s="83"/>
      <c r="SX17" s="83"/>
      <c r="SY17" s="83"/>
      <c r="SZ17" s="83"/>
      <c r="TA17" s="83"/>
      <c r="TB17" s="83"/>
      <c r="TC17" s="83"/>
      <c r="TD17" s="83"/>
      <c r="TE17" s="83"/>
      <c r="TF17" s="83"/>
      <c r="TG17" s="83"/>
      <c r="TH17" s="83"/>
      <c r="TI17" s="83"/>
      <c r="TJ17" s="83"/>
      <c r="TK17" s="83"/>
      <c r="TL17" s="83"/>
      <c r="TM17" s="83"/>
      <c r="TN17" s="83"/>
      <c r="TO17" s="83"/>
      <c r="TP17" s="83"/>
      <c r="TQ17" s="83"/>
      <c r="TR17" s="83"/>
      <c r="TS17" s="83"/>
      <c r="TT17" s="83"/>
      <c r="TU17" s="83"/>
      <c r="TV17" s="83"/>
      <c r="TW17" s="83"/>
      <c r="TX17" s="83"/>
      <c r="TY17" s="83"/>
      <c r="TZ17" s="83"/>
      <c r="UA17" s="83"/>
      <c r="UB17" s="83"/>
      <c r="UC17" s="83"/>
      <c r="UD17" s="83"/>
      <c r="UE17" s="83"/>
      <c r="UF17" s="83"/>
      <c r="UG17" s="83"/>
      <c r="UH17" s="83"/>
      <c r="UI17" s="83"/>
      <c r="UJ17" s="83"/>
      <c r="UK17" s="83"/>
      <c r="UL17" s="83"/>
      <c r="UM17" s="83"/>
      <c r="UN17" s="83"/>
      <c r="UO17" s="83"/>
      <c r="UP17" s="83"/>
      <c r="UQ17" s="83"/>
      <c r="UR17" s="83"/>
      <c r="US17" s="83"/>
      <c r="UT17" s="83"/>
      <c r="UU17" s="83"/>
      <c r="UV17" s="83"/>
      <c r="UW17" s="83"/>
      <c r="UX17" s="83"/>
      <c r="UY17" s="83"/>
      <c r="UZ17" s="83"/>
      <c r="VA17" s="83"/>
      <c r="VB17" s="83"/>
      <c r="VC17" s="83"/>
      <c r="VD17" s="83"/>
      <c r="VE17" s="83"/>
      <c r="VF17" s="83"/>
      <c r="VG17" s="83"/>
      <c r="VH17" s="83"/>
      <c r="VI17" s="83"/>
      <c r="VJ17" s="83"/>
      <c r="VK17" s="83"/>
      <c r="VL17" s="83"/>
      <c r="VM17" s="83"/>
      <c r="VN17" s="83"/>
      <c r="VO17" s="83"/>
      <c r="VP17" s="83"/>
      <c r="VQ17" s="83"/>
      <c r="VR17" s="83"/>
      <c r="VS17" s="83"/>
      <c r="VT17" s="83"/>
      <c r="VU17" s="83"/>
      <c r="VV17" s="83"/>
      <c r="VW17" s="83"/>
      <c r="VX17" s="83"/>
      <c r="VY17" s="83"/>
      <c r="VZ17" s="83"/>
      <c r="WA17" s="83"/>
      <c r="WB17" s="83"/>
      <c r="WC17" s="83"/>
      <c r="WD17" s="83"/>
      <c r="WE17" s="83"/>
      <c r="WF17" s="83"/>
    </row>
    <row r="18" spans="1:604" ht="17.25" customHeight="1" x14ac:dyDescent="0.3">
      <c r="A18" s="25" t="e">
        <f>IF(契約詳細價目表!A18="",NA(),契約詳細價目表!A18)</f>
        <v>#N/A</v>
      </c>
      <c r="B18" s="26" t="e">
        <f>IF(契約詳細價目表!B18="",NA(),契約詳細價目表!B18)</f>
        <v>#N/A</v>
      </c>
      <c r="C18" s="25" t="e">
        <f>IF(契約詳細價目表!C18="",NA(),契約詳細價目表!C18)</f>
        <v>#N/A</v>
      </c>
      <c r="D18" s="27" t="e">
        <f>IF(契約詳細價目表!D18="",NA(),契約詳細價目表!D18)</f>
        <v>#N/A</v>
      </c>
      <c r="E18" s="28" t="e">
        <f>IF(契約詳細價目表!E18="",NA(),契約詳細價目表!E18)</f>
        <v>#N/A</v>
      </c>
      <c r="F18" s="28">
        <f>IF(契約詳細價目表!F18="",NA(),契約詳細價目表!F18)</f>
        <v>0</v>
      </c>
      <c r="G18" s="27">
        <f t="shared" si="536"/>
        <v>0</v>
      </c>
      <c r="H18" s="28" t="e">
        <f t="shared" si="537"/>
        <v>#N/A</v>
      </c>
      <c r="I18" s="47" t="e">
        <f t="shared" si="535"/>
        <v>#N/A</v>
      </c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  <c r="DF18" s="85"/>
      <c r="DG18" s="85"/>
      <c r="DH18" s="85"/>
      <c r="DI18" s="85"/>
      <c r="DJ18" s="85"/>
      <c r="DK18" s="85"/>
      <c r="DL18" s="85"/>
      <c r="DM18" s="85"/>
      <c r="DN18" s="85"/>
      <c r="DO18" s="85"/>
      <c r="DP18" s="85"/>
      <c r="DQ18" s="85"/>
      <c r="DR18" s="85"/>
      <c r="DS18" s="85"/>
      <c r="DT18" s="85"/>
      <c r="DU18" s="85"/>
      <c r="DV18" s="85"/>
      <c r="DW18" s="85"/>
      <c r="DX18" s="85"/>
      <c r="DY18" s="85"/>
      <c r="DZ18" s="85"/>
      <c r="EA18" s="85"/>
      <c r="EB18" s="85"/>
      <c r="EC18" s="85"/>
      <c r="ED18" s="85"/>
      <c r="EE18" s="85"/>
      <c r="EF18" s="85"/>
      <c r="EG18" s="85"/>
      <c r="EH18" s="85"/>
      <c r="EI18" s="85"/>
      <c r="EJ18" s="85"/>
      <c r="EK18" s="85"/>
      <c r="EL18" s="85"/>
      <c r="EM18" s="85"/>
      <c r="EN18" s="85"/>
      <c r="EO18" s="85"/>
      <c r="EP18" s="85"/>
      <c r="EQ18" s="85"/>
      <c r="ER18" s="85"/>
      <c r="ES18" s="85"/>
      <c r="ET18" s="85"/>
      <c r="EU18" s="85"/>
      <c r="EV18" s="85"/>
      <c r="EW18" s="85"/>
      <c r="EX18" s="85"/>
      <c r="EY18" s="85"/>
      <c r="EZ18" s="85"/>
      <c r="FA18" s="85"/>
      <c r="FB18" s="85"/>
      <c r="FC18" s="85"/>
      <c r="FD18" s="85"/>
      <c r="FE18" s="85"/>
      <c r="FF18" s="85"/>
      <c r="FG18" s="85"/>
      <c r="FH18" s="85"/>
      <c r="FI18" s="85"/>
      <c r="FJ18" s="85"/>
      <c r="FK18" s="85"/>
      <c r="FL18" s="85"/>
      <c r="FM18" s="85"/>
      <c r="FN18" s="85"/>
      <c r="FO18" s="85"/>
      <c r="FP18" s="85"/>
      <c r="FQ18" s="85"/>
      <c r="FR18" s="85"/>
      <c r="FS18" s="85"/>
      <c r="FT18" s="85"/>
      <c r="FU18" s="83"/>
      <c r="FV18" s="83"/>
      <c r="FW18" s="83"/>
      <c r="FX18" s="83"/>
      <c r="FY18" s="83"/>
      <c r="FZ18" s="83"/>
      <c r="GA18" s="83"/>
      <c r="GB18" s="83"/>
      <c r="GC18" s="83"/>
      <c r="GD18" s="83"/>
      <c r="GE18" s="83"/>
      <c r="GF18" s="83"/>
      <c r="GG18" s="83"/>
      <c r="GH18" s="83"/>
      <c r="GI18" s="83"/>
      <c r="GJ18" s="83"/>
      <c r="GK18" s="83"/>
      <c r="GL18" s="83"/>
      <c r="GM18" s="83"/>
      <c r="GN18" s="83"/>
      <c r="GO18" s="83"/>
      <c r="GP18" s="83"/>
      <c r="GQ18" s="83"/>
      <c r="GR18" s="83"/>
      <c r="GS18" s="83"/>
      <c r="GT18" s="83"/>
      <c r="GU18" s="83"/>
      <c r="GV18" s="83"/>
      <c r="GW18" s="83"/>
      <c r="GX18" s="83"/>
      <c r="GY18" s="83"/>
      <c r="GZ18" s="83"/>
      <c r="HA18" s="83"/>
      <c r="HB18" s="83"/>
      <c r="HC18" s="83"/>
      <c r="HD18" s="83"/>
      <c r="HE18" s="83"/>
      <c r="HF18" s="83"/>
      <c r="HG18" s="83"/>
      <c r="HH18" s="83"/>
      <c r="HI18" s="83"/>
      <c r="HJ18" s="83"/>
      <c r="HK18" s="83"/>
      <c r="HL18" s="83"/>
      <c r="HM18" s="83"/>
      <c r="HN18" s="83"/>
      <c r="HO18" s="83"/>
      <c r="HP18" s="83"/>
      <c r="HQ18" s="83"/>
      <c r="HR18" s="83"/>
      <c r="HS18" s="83"/>
      <c r="HT18" s="83"/>
      <c r="HU18" s="83"/>
      <c r="HV18" s="83"/>
      <c r="HW18" s="83"/>
      <c r="HX18" s="83"/>
      <c r="HY18" s="83"/>
      <c r="HZ18" s="83"/>
      <c r="IA18" s="83"/>
      <c r="IB18" s="83"/>
      <c r="IC18" s="83"/>
      <c r="ID18" s="83"/>
      <c r="IE18" s="83"/>
      <c r="IF18" s="83"/>
      <c r="IG18" s="83"/>
      <c r="IH18" s="83"/>
      <c r="II18" s="83"/>
      <c r="IJ18" s="83"/>
      <c r="IK18" s="83"/>
      <c r="IL18" s="83"/>
      <c r="IM18" s="83"/>
      <c r="IN18" s="83"/>
      <c r="IO18" s="83"/>
      <c r="IP18" s="83"/>
      <c r="IQ18" s="83"/>
      <c r="IR18" s="83"/>
      <c r="IS18" s="83"/>
      <c r="IT18" s="83"/>
      <c r="IU18" s="83"/>
      <c r="IV18" s="83"/>
      <c r="IW18" s="83"/>
      <c r="IX18" s="83"/>
      <c r="IY18" s="83"/>
      <c r="IZ18" s="83"/>
      <c r="JA18" s="83"/>
      <c r="JB18" s="83"/>
      <c r="JC18" s="83"/>
      <c r="JD18" s="83"/>
      <c r="JE18" s="83"/>
      <c r="JF18" s="83"/>
      <c r="JG18" s="83"/>
      <c r="JH18" s="83"/>
      <c r="JI18" s="83"/>
      <c r="JJ18" s="83"/>
      <c r="JK18" s="83"/>
      <c r="JL18" s="83"/>
      <c r="JM18" s="83"/>
      <c r="JN18" s="83"/>
      <c r="JO18" s="83"/>
      <c r="JP18" s="83"/>
      <c r="JQ18" s="83"/>
      <c r="JR18" s="83"/>
      <c r="JS18" s="83"/>
      <c r="JT18" s="83"/>
      <c r="JU18" s="83"/>
      <c r="JV18" s="83"/>
      <c r="JW18" s="83"/>
      <c r="JX18" s="83"/>
      <c r="JY18" s="83"/>
      <c r="JZ18" s="83"/>
      <c r="KA18" s="83"/>
      <c r="KB18" s="83"/>
      <c r="KC18" s="83"/>
      <c r="KD18" s="83"/>
      <c r="KE18" s="83"/>
      <c r="KF18" s="83"/>
      <c r="KG18" s="83"/>
      <c r="KH18" s="83"/>
      <c r="KI18" s="83"/>
      <c r="KJ18" s="83"/>
      <c r="KK18" s="83"/>
      <c r="KL18" s="83"/>
      <c r="KM18" s="83"/>
      <c r="KN18" s="83"/>
      <c r="KO18" s="83"/>
      <c r="KP18" s="83"/>
      <c r="KQ18" s="83"/>
      <c r="KR18" s="83"/>
      <c r="KS18" s="83"/>
      <c r="KT18" s="83"/>
      <c r="KU18" s="83"/>
      <c r="KV18" s="83"/>
      <c r="KW18" s="83"/>
      <c r="KX18" s="83"/>
      <c r="KY18" s="83"/>
      <c r="KZ18" s="83"/>
      <c r="LA18" s="83"/>
      <c r="LB18" s="83"/>
      <c r="LC18" s="83"/>
      <c r="LD18" s="83"/>
      <c r="LE18" s="83"/>
      <c r="LF18" s="83"/>
      <c r="LG18" s="83"/>
      <c r="LH18" s="83"/>
      <c r="LI18" s="83"/>
      <c r="LJ18" s="83"/>
      <c r="LK18" s="83"/>
      <c r="LL18" s="83"/>
      <c r="LM18" s="83"/>
      <c r="LN18" s="83"/>
      <c r="LO18" s="83"/>
      <c r="LP18" s="83"/>
      <c r="LQ18" s="83"/>
      <c r="LR18" s="83"/>
      <c r="LS18" s="83"/>
      <c r="LT18" s="83"/>
      <c r="LU18" s="83"/>
      <c r="LV18" s="83"/>
      <c r="LW18" s="83"/>
      <c r="LX18" s="83"/>
      <c r="LY18" s="83"/>
      <c r="LZ18" s="83"/>
      <c r="MA18" s="83"/>
      <c r="MB18" s="83"/>
      <c r="MC18" s="83"/>
      <c r="MD18" s="83"/>
      <c r="ME18" s="83"/>
      <c r="MF18" s="83"/>
      <c r="MG18" s="83"/>
      <c r="MH18" s="83"/>
      <c r="MI18" s="83"/>
      <c r="MJ18" s="83"/>
      <c r="MK18" s="83"/>
      <c r="ML18" s="83"/>
      <c r="MM18" s="83"/>
      <c r="MN18" s="83"/>
      <c r="MO18" s="83"/>
      <c r="MP18" s="83"/>
      <c r="MQ18" s="83"/>
      <c r="MR18" s="83"/>
      <c r="MS18" s="83"/>
      <c r="MT18" s="83"/>
      <c r="MU18" s="83"/>
      <c r="MV18" s="83"/>
      <c r="MW18" s="83"/>
      <c r="MX18" s="83"/>
      <c r="MY18" s="83"/>
      <c r="MZ18" s="83"/>
      <c r="NA18" s="83"/>
      <c r="NB18" s="83"/>
      <c r="NC18" s="83"/>
      <c r="ND18" s="83"/>
      <c r="NE18" s="83"/>
      <c r="NF18" s="83"/>
      <c r="NG18" s="83"/>
      <c r="NH18" s="83"/>
      <c r="NI18" s="83"/>
      <c r="NJ18" s="83"/>
      <c r="NK18" s="83"/>
      <c r="NL18" s="83"/>
      <c r="NM18" s="83"/>
      <c r="NN18" s="83"/>
      <c r="NO18" s="83"/>
      <c r="NP18" s="83"/>
      <c r="NQ18" s="83"/>
      <c r="NR18" s="83"/>
      <c r="NS18" s="83"/>
      <c r="NT18" s="83"/>
      <c r="NU18" s="83"/>
      <c r="NV18" s="83"/>
      <c r="NW18" s="83"/>
      <c r="NX18" s="83"/>
      <c r="NY18" s="83"/>
      <c r="NZ18" s="83"/>
      <c r="OA18" s="83"/>
      <c r="OB18" s="83"/>
      <c r="OC18" s="83"/>
      <c r="OD18" s="83"/>
      <c r="OE18" s="83"/>
      <c r="OF18" s="83"/>
      <c r="OG18" s="83"/>
      <c r="OH18" s="83"/>
      <c r="OI18" s="83"/>
      <c r="OJ18" s="83"/>
      <c r="OK18" s="83"/>
      <c r="OL18" s="83"/>
      <c r="OM18" s="83"/>
      <c r="ON18" s="83"/>
      <c r="OO18" s="83"/>
      <c r="OP18" s="83"/>
      <c r="OQ18" s="83"/>
      <c r="OR18" s="83"/>
      <c r="OS18" s="83"/>
      <c r="OT18" s="83"/>
      <c r="OU18" s="83"/>
      <c r="OV18" s="83"/>
      <c r="OW18" s="83"/>
      <c r="OX18" s="83"/>
      <c r="OY18" s="83"/>
      <c r="OZ18" s="83"/>
      <c r="PA18" s="83"/>
      <c r="PB18" s="83"/>
      <c r="PC18" s="83"/>
      <c r="PD18" s="83"/>
      <c r="PE18" s="83"/>
      <c r="PF18" s="83"/>
      <c r="PG18" s="83"/>
      <c r="PH18" s="83"/>
      <c r="PI18" s="83"/>
      <c r="PJ18" s="83"/>
      <c r="PK18" s="83"/>
      <c r="PL18" s="83"/>
      <c r="PM18" s="83"/>
      <c r="PN18" s="83"/>
      <c r="PO18" s="83"/>
      <c r="PP18" s="83"/>
      <c r="PQ18" s="83"/>
      <c r="PR18" s="83"/>
      <c r="PS18" s="83"/>
      <c r="PT18" s="83"/>
      <c r="PU18" s="83"/>
      <c r="PV18" s="83"/>
      <c r="PW18" s="83"/>
      <c r="PX18" s="83"/>
      <c r="PY18" s="83"/>
      <c r="PZ18" s="83"/>
      <c r="QA18" s="83"/>
      <c r="QB18" s="83"/>
      <c r="QC18" s="83"/>
      <c r="QD18" s="83"/>
      <c r="QE18" s="83"/>
      <c r="QF18" s="83"/>
      <c r="QG18" s="83"/>
      <c r="QH18" s="83"/>
      <c r="QI18" s="83"/>
      <c r="QJ18" s="83"/>
      <c r="QK18" s="83"/>
      <c r="QL18" s="83"/>
      <c r="QM18" s="83"/>
      <c r="QN18" s="83"/>
      <c r="QO18" s="83"/>
      <c r="QP18" s="83"/>
      <c r="QQ18" s="83"/>
      <c r="QR18" s="83"/>
      <c r="QS18" s="83"/>
      <c r="QT18" s="83"/>
      <c r="QU18" s="83"/>
      <c r="QV18" s="83"/>
      <c r="QW18" s="83"/>
      <c r="QX18" s="83"/>
      <c r="QY18" s="83"/>
      <c r="QZ18" s="83"/>
      <c r="RA18" s="83"/>
      <c r="RB18" s="83"/>
      <c r="RC18" s="83"/>
      <c r="RD18" s="83"/>
      <c r="RE18" s="83"/>
      <c r="RF18" s="83"/>
      <c r="RG18" s="83"/>
      <c r="RH18" s="83"/>
      <c r="RI18" s="83"/>
      <c r="RJ18" s="83"/>
      <c r="RK18" s="83"/>
      <c r="RL18" s="83"/>
      <c r="RM18" s="83"/>
      <c r="RN18" s="83"/>
      <c r="RO18" s="83"/>
      <c r="RP18" s="83"/>
      <c r="RQ18" s="83"/>
      <c r="RR18" s="83"/>
      <c r="RS18" s="83"/>
      <c r="RT18" s="83"/>
      <c r="RU18" s="83"/>
      <c r="RV18" s="83"/>
      <c r="RW18" s="83"/>
      <c r="RX18" s="83"/>
      <c r="RY18" s="83"/>
      <c r="RZ18" s="83"/>
      <c r="SA18" s="83"/>
      <c r="SB18" s="83"/>
      <c r="SC18" s="83"/>
      <c r="SD18" s="83"/>
      <c r="SE18" s="83"/>
      <c r="SF18" s="83"/>
      <c r="SG18" s="83"/>
      <c r="SH18" s="83"/>
      <c r="SI18" s="83"/>
      <c r="SJ18" s="83"/>
      <c r="SK18" s="83"/>
      <c r="SL18" s="83"/>
      <c r="SM18" s="83"/>
      <c r="SN18" s="83"/>
      <c r="SO18" s="83"/>
      <c r="SP18" s="83"/>
      <c r="SQ18" s="83"/>
      <c r="SR18" s="83"/>
      <c r="SS18" s="83"/>
      <c r="ST18" s="83"/>
      <c r="SU18" s="83"/>
      <c r="SV18" s="83"/>
      <c r="SW18" s="83"/>
      <c r="SX18" s="83"/>
      <c r="SY18" s="83"/>
      <c r="SZ18" s="83"/>
      <c r="TA18" s="83"/>
      <c r="TB18" s="83"/>
      <c r="TC18" s="83"/>
      <c r="TD18" s="83"/>
      <c r="TE18" s="83"/>
      <c r="TF18" s="83"/>
      <c r="TG18" s="83"/>
      <c r="TH18" s="83"/>
      <c r="TI18" s="83"/>
      <c r="TJ18" s="83"/>
      <c r="TK18" s="83"/>
      <c r="TL18" s="83"/>
      <c r="TM18" s="83"/>
      <c r="TN18" s="83"/>
      <c r="TO18" s="83"/>
      <c r="TP18" s="83"/>
      <c r="TQ18" s="83"/>
      <c r="TR18" s="83"/>
      <c r="TS18" s="83"/>
      <c r="TT18" s="83"/>
      <c r="TU18" s="83"/>
      <c r="TV18" s="83"/>
      <c r="TW18" s="83"/>
      <c r="TX18" s="83"/>
      <c r="TY18" s="83"/>
      <c r="TZ18" s="83"/>
      <c r="UA18" s="83"/>
      <c r="UB18" s="83"/>
      <c r="UC18" s="83"/>
      <c r="UD18" s="83"/>
      <c r="UE18" s="83"/>
      <c r="UF18" s="83"/>
      <c r="UG18" s="83"/>
      <c r="UH18" s="83"/>
      <c r="UI18" s="83"/>
      <c r="UJ18" s="83"/>
      <c r="UK18" s="83"/>
      <c r="UL18" s="83"/>
      <c r="UM18" s="83"/>
      <c r="UN18" s="83"/>
      <c r="UO18" s="83"/>
      <c r="UP18" s="83"/>
      <c r="UQ18" s="83"/>
      <c r="UR18" s="83"/>
      <c r="US18" s="83"/>
      <c r="UT18" s="83"/>
      <c r="UU18" s="83"/>
      <c r="UV18" s="83"/>
      <c r="UW18" s="83"/>
      <c r="UX18" s="83"/>
      <c r="UY18" s="83"/>
      <c r="UZ18" s="83"/>
      <c r="VA18" s="83"/>
      <c r="VB18" s="83"/>
      <c r="VC18" s="83"/>
      <c r="VD18" s="83"/>
      <c r="VE18" s="83"/>
      <c r="VF18" s="83"/>
      <c r="VG18" s="83"/>
      <c r="VH18" s="83"/>
      <c r="VI18" s="83"/>
      <c r="VJ18" s="83"/>
      <c r="VK18" s="83"/>
      <c r="VL18" s="83"/>
      <c r="VM18" s="83"/>
      <c r="VN18" s="83"/>
      <c r="VO18" s="83"/>
      <c r="VP18" s="83"/>
      <c r="VQ18" s="83"/>
      <c r="VR18" s="83"/>
      <c r="VS18" s="83"/>
      <c r="VT18" s="83"/>
      <c r="VU18" s="83"/>
      <c r="VV18" s="83"/>
      <c r="VW18" s="83"/>
      <c r="VX18" s="83"/>
      <c r="VY18" s="83"/>
      <c r="VZ18" s="83"/>
      <c r="WA18" s="83"/>
      <c r="WB18" s="83"/>
      <c r="WC18" s="83"/>
      <c r="WD18" s="83"/>
      <c r="WE18" s="83"/>
      <c r="WF18" s="83"/>
    </row>
    <row r="19" spans="1:604" ht="17.25" customHeight="1" x14ac:dyDescent="0.3">
      <c r="A19" s="25" t="e">
        <f>IF(契約詳細價目表!A19="",NA(),契約詳細價目表!A19)</f>
        <v>#N/A</v>
      </c>
      <c r="B19" s="26" t="e">
        <f>IF(契約詳細價目表!B19="",NA(),契約詳細價目表!B19)</f>
        <v>#N/A</v>
      </c>
      <c r="C19" s="25" t="e">
        <f>IF(契約詳細價目表!C19="",NA(),契約詳細價目表!C19)</f>
        <v>#N/A</v>
      </c>
      <c r="D19" s="27" t="e">
        <f>IF(契約詳細價目表!D19="",NA(),契約詳細價目表!D19)</f>
        <v>#N/A</v>
      </c>
      <c r="E19" s="28" t="e">
        <f>IF(契約詳細價目表!E19="",NA(),契約詳細價目表!E19)</f>
        <v>#N/A</v>
      </c>
      <c r="F19" s="28">
        <f>IF(契約詳細價目表!F19="",NA(),契約詳細價目表!F19)</f>
        <v>0</v>
      </c>
      <c r="G19" s="27">
        <f t="shared" si="536"/>
        <v>0</v>
      </c>
      <c r="H19" s="28" t="e">
        <f t="shared" si="537"/>
        <v>#N/A</v>
      </c>
      <c r="I19" s="47" t="e">
        <f t="shared" si="535"/>
        <v>#N/A</v>
      </c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7"/>
      <c r="DB19" s="97"/>
      <c r="DC19" s="97"/>
      <c r="DD19" s="97"/>
      <c r="DE19" s="97"/>
      <c r="DF19" s="97"/>
      <c r="DG19" s="97"/>
      <c r="DH19" s="97"/>
      <c r="DI19" s="97"/>
      <c r="DJ19" s="97"/>
      <c r="DK19" s="97"/>
      <c r="DL19" s="97"/>
      <c r="DM19" s="97"/>
      <c r="DN19" s="97"/>
      <c r="DO19" s="97"/>
      <c r="DP19" s="97"/>
      <c r="DQ19" s="97"/>
      <c r="DR19" s="97"/>
      <c r="DS19" s="97"/>
      <c r="DT19" s="97"/>
      <c r="DU19" s="97"/>
      <c r="DV19" s="97"/>
      <c r="DW19" s="97"/>
      <c r="DX19" s="97"/>
      <c r="DY19" s="97"/>
      <c r="DZ19" s="97"/>
      <c r="EA19" s="97"/>
      <c r="EB19" s="97"/>
      <c r="EC19" s="97"/>
      <c r="ED19" s="97"/>
      <c r="EE19" s="97"/>
      <c r="EF19" s="97"/>
      <c r="EG19" s="97"/>
      <c r="EH19" s="97"/>
      <c r="EI19" s="97"/>
      <c r="EJ19" s="97"/>
      <c r="EK19" s="97"/>
      <c r="EL19" s="97"/>
      <c r="EM19" s="97"/>
      <c r="EN19" s="97"/>
      <c r="EO19" s="97"/>
      <c r="EP19" s="97"/>
      <c r="EQ19" s="97"/>
      <c r="ER19" s="97"/>
      <c r="ES19" s="97"/>
      <c r="ET19" s="97"/>
      <c r="EU19" s="97"/>
      <c r="EV19" s="97"/>
      <c r="EW19" s="97"/>
      <c r="EX19" s="97"/>
      <c r="EY19" s="97"/>
      <c r="EZ19" s="97"/>
      <c r="FA19" s="97"/>
      <c r="FB19" s="97"/>
      <c r="FC19" s="97"/>
      <c r="FD19" s="97"/>
      <c r="FE19" s="97"/>
      <c r="FF19" s="97"/>
      <c r="FG19" s="97"/>
      <c r="FH19" s="97"/>
      <c r="FI19" s="97"/>
      <c r="FJ19" s="97"/>
      <c r="FK19" s="97"/>
      <c r="FL19" s="97"/>
      <c r="FM19" s="97"/>
      <c r="FN19" s="97"/>
      <c r="FO19" s="97"/>
      <c r="FP19" s="97"/>
      <c r="FQ19" s="97"/>
      <c r="FR19" s="97"/>
      <c r="FS19" s="97"/>
      <c r="FT19" s="97"/>
      <c r="FU19" s="98"/>
      <c r="FV19" s="98"/>
      <c r="FW19" s="98"/>
      <c r="FX19" s="98"/>
      <c r="FY19" s="98"/>
      <c r="FZ19" s="98"/>
      <c r="GA19" s="98"/>
      <c r="GB19" s="98"/>
      <c r="GC19" s="98"/>
      <c r="GD19" s="98"/>
      <c r="GE19" s="98"/>
      <c r="GF19" s="98"/>
      <c r="GG19" s="98"/>
      <c r="GH19" s="98"/>
      <c r="GI19" s="98"/>
      <c r="GJ19" s="98"/>
      <c r="GK19" s="98"/>
      <c r="GL19" s="98"/>
      <c r="GM19" s="98"/>
      <c r="GN19" s="98"/>
      <c r="GO19" s="98"/>
      <c r="GP19" s="98"/>
      <c r="GQ19" s="98"/>
      <c r="GR19" s="98"/>
      <c r="GS19" s="98"/>
      <c r="GT19" s="98"/>
      <c r="GU19" s="98"/>
      <c r="GV19" s="98"/>
      <c r="GW19" s="98"/>
      <c r="GX19" s="98"/>
      <c r="GY19" s="98"/>
      <c r="GZ19" s="98"/>
      <c r="HA19" s="98"/>
      <c r="HB19" s="98"/>
      <c r="HC19" s="98"/>
      <c r="HD19" s="98"/>
      <c r="HE19" s="98"/>
      <c r="HF19" s="98"/>
      <c r="HG19" s="98"/>
      <c r="HH19" s="98"/>
      <c r="HI19" s="98"/>
      <c r="HJ19" s="98"/>
      <c r="HK19" s="98"/>
      <c r="HL19" s="98"/>
      <c r="HM19" s="98"/>
      <c r="HN19" s="98"/>
      <c r="HO19" s="98"/>
      <c r="HP19" s="98"/>
      <c r="HQ19" s="98"/>
      <c r="HR19" s="98"/>
      <c r="HS19" s="98"/>
      <c r="HT19" s="98"/>
      <c r="HU19" s="98"/>
      <c r="HV19" s="98"/>
      <c r="HW19" s="98"/>
      <c r="HX19" s="98"/>
      <c r="HY19" s="98"/>
      <c r="HZ19" s="98"/>
      <c r="IA19" s="98"/>
      <c r="IB19" s="98"/>
      <c r="IC19" s="98"/>
      <c r="ID19" s="98"/>
      <c r="IE19" s="98"/>
      <c r="IF19" s="98"/>
      <c r="IG19" s="98"/>
      <c r="IH19" s="98"/>
      <c r="II19" s="98"/>
      <c r="IJ19" s="98"/>
      <c r="IK19" s="98"/>
      <c r="IL19" s="98"/>
      <c r="IM19" s="98"/>
      <c r="IN19" s="98"/>
      <c r="IO19" s="98"/>
      <c r="IP19" s="98"/>
      <c r="IQ19" s="98"/>
      <c r="IR19" s="98"/>
      <c r="IS19" s="98"/>
      <c r="IT19" s="98"/>
      <c r="IU19" s="98"/>
      <c r="IV19" s="98"/>
      <c r="IW19" s="98"/>
      <c r="IX19" s="98"/>
      <c r="IY19" s="98"/>
      <c r="IZ19" s="98"/>
      <c r="JA19" s="98"/>
      <c r="JB19" s="98"/>
      <c r="JC19" s="98"/>
      <c r="JD19" s="98"/>
      <c r="JE19" s="98"/>
      <c r="JF19" s="98"/>
      <c r="JG19" s="98"/>
      <c r="JH19" s="98"/>
      <c r="JI19" s="98"/>
      <c r="JJ19" s="98"/>
      <c r="JK19" s="98"/>
      <c r="JL19" s="98"/>
      <c r="JM19" s="98"/>
      <c r="JN19" s="98"/>
      <c r="JO19" s="98"/>
      <c r="JP19" s="98"/>
      <c r="JQ19" s="98"/>
      <c r="JR19" s="98"/>
      <c r="JS19" s="98"/>
      <c r="JT19" s="98"/>
      <c r="JU19" s="98"/>
      <c r="JV19" s="98"/>
      <c r="JW19" s="98"/>
      <c r="JX19" s="98"/>
      <c r="JY19" s="98"/>
      <c r="JZ19" s="98"/>
      <c r="KA19" s="98"/>
      <c r="KB19" s="98"/>
      <c r="KC19" s="98"/>
      <c r="KD19" s="98"/>
      <c r="KE19" s="98"/>
      <c r="KF19" s="98"/>
      <c r="KG19" s="98"/>
      <c r="KH19" s="98"/>
      <c r="KI19" s="98"/>
      <c r="KJ19" s="98"/>
      <c r="KK19" s="98"/>
      <c r="KL19" s="98"/>
      <c r="KM19" s="98"/>
      <c r="KN19" s="98"/>
      <c r="KO19" s="98"/>
      <c r="KP19" s="98"/>
      <c r="KQ19" s="98"/>
      <c r="KR19" s="98"/>
      <c r="KS19" s="98"/>
      <c r="KT19" s="98"/>
      <c r="KU19" s="98"/>
      <c r="KV19" s="98"/>
      <c r="KW19" s="98"/>
      <c r="KX19" s="98"/>
      <c r="KY19" s="98"/>
      <c r="KZ19" s="98"/>
      <c r="LA19" s="98"/>
      <c r="LB19" s="98"/>
      <c r="LC19" s="98"/>
      <c r="LD19" s="98"/>
      <c r="LE19" s="98"/>
      <c r="LF19" s="98"/>
      <c r="LG19" s="98"/>
      <c r="LH19" s="98"/>
      <c r="LI19" s="98"/>
      <c r="LJ19" s="98"/>
      <c r="LK19" s="98"/>
      <c r="LL19" s="98"/>
      <c r="LM19" s="98"/>
      <c r="LN19" s="98"/>
      <c r="LO19" s="98"/>
      <c r="LP19" s="98"/>
      <c r="LQ19" s="98"/>
      <c r="LR19" s="98"/>
      <c r="LS19" s="98"/>
      <c r="LT19" s="98"/>
      <c r="LU19" s="98"/>
      <c r="LV19" s="98"/>
      <c r="LW19" s="98"/>
      <c r="LX19" s="98"/>
      <c r="LY19" s="98"/>
      <c r="LZ19" s="98"/>
      <c r="MA19" s="98"/>
      <c r="MB19" s="98"/>
      <c r="MC19" s="98"/>
      <c r="MD19" s="98"/>
      <c r="ME19" s="98"/>
      <c r="MF19" s="98"/>
      <c r="MG19" s="98"/>
      <c r="MH19" s="98"/>
      <c r="MI19" s="98"/>
      <c r="MJ19" s="98"/>
      <c r="MK19" s="98"/>
      <c r="ML19" s="98"/>
      <c r="MM19" s="98"/>
      <c r="MN19" s="98"/>
      <c r="MO19" s="98"/>
      <c r="MP19" s="98"/>
      <c r="MQ19" s="98"/>
      <c r="MR19" s="98"/>
      <c r="MS19" s="98"/>
      <c r="MT19" s="98"/>
      <c r="MU19" s="98"/>
      <c r="MV19" s="98"/>
      <c r="MW19" s="98"/>
      <c r="MX19" s="98"/>
      <c r="MY19" s="98"/>
      <c r="MZ19" s="98"/>
      <c r="NA19" s="98"/>
      <c r="NB19" s="98"/>
      <c r="NC19" s="98"/>
      <c r="ND19" s="98"/>
      <c r="NE19" s="98"/>
      <c r="NF19" s="98"/>
      <c r="NG19" s="98"/>
      <c r="NH19" s="98"/>
      <c r="NI19" s="98"/>
      <c r="NJ19" s="98"/>
      <c r="NK19" s="98"/>
      <c r="NL19" s="98"/>
      <c r="NM19" s="98"/>
      <c r="NN19" s="98"/>
      <c r="NO19" s="98"/>
      <c r="NP19" s="98"/>
      <c r="NQ19" s="98"/>
      <c r="NR19" s="98"/>
      <c r="NS19" s="98"/>
      <c r="NT19" s="98"/>
      <c r="NU19" s="98"/>
      <c r="NV19" s="98"/>
      <c r="NW19" s="98"/>
      <c r="NX19" s="98"/>
      <c r="NY19" s="98"/>
      <c r="NZ19" s="98"/>
      <c r="OA19" s="98"/>
      <c r="OB19" s="98"/>
      <c r="OC19" s="98"/>
      <c r="OD19" s="98"/>
      <c r="OE19" s="98"/>
      <c r="OF19" s="98"/>
      <c r="OG19" s="98"/>
      <c r="OH19" s="98"/>
      <c r="OI19" s="98"/>
      <c r="OJ19" s="98"/>
      <c r="OK19" s="98"/>
      <c r="OL19" s="98"/>
      <c r="OM19" s="98"/>
      <c r="ON19" s="98"/>
      <c r="OO19" s="98"/>
      <c r="OP19" s="98"/>
      <c r="OQ19" s="98"/>
      <c r="OR19" s="98"/>
      <c r="OS19" s="98"/>
      <c r="OT19" s="98"/>
      <c r="OU19" s="98"/>
      <c r="OV19" s="98"/>
      <c r="OW19" s="98"/>
      <c r="OX19" s="98"/>
      <c r="OY19" s="98"/>
      <c r="OZ19" s="98"/>
      <c r="PA19" s="98"/>
      <c r="PB19" s="98"/>
      <c r="PC19" s="98"/>
      <c r="PD19" s="98"/>
      <c r="PE19" s="98"/>
      <c r="PF19" s="98"/>
      <c r="PG19" s="98"/>
      <c r="PH19" s="98"/>
      <c r="PI19" s="98"/>
      <c r="PJ19" s="98"/>
      <c r="PK19" s="98"/>
      <c r="PL19" s="98"/>
      <c r="PM19" s="98"/>
      <c r="PN19" s="98"/>
      <c r="PO19" s="98"/>
      <c r="PP19" s="98"/>
      <c r="PQ19" s="98"/>
      <c r="PR19" s="98"/>
      <c r="PS19" s="98"/>
      <c r="PT19" s="98"/>
      <c r="PU19" s="98"/>
      <c r="PV19" s="98"/>
      <c r="PW19" s="98"/>
      <c r="PX19" s="98"/>
      <c r="PY19" s="98"/>
      <c r="PZ19" s="98"/>
      <c r="QA19" s="98"/>
      <c r="QB19" s="98"/>
      <c r="QC19" s="98"/>
      <c r="QD19" s="98"/>
      <c r="QE19" s="98"/>
      <c r="QF19" s="98"/>
      <c r="QG19" s="98"/>
      <c r="QH19" s="98"/>
      <c r="QI19" s="98"/>
      <c r="QJ19" s="98"/>
      <c r="QK19" s="98"/>
      <c r="QL19" s="98"/>
      <c r="QM19" s="98"/>
      <c r="QN19" s="98"/>
      <c r="QO19" s="98"/>
      <c r="QP19" s="98"/>
      <c r="QQ19" s="98"/>
      <c r="QR19" s="98"/>
      <c r="QS19" s="98"/>
      <c r="QT19" s="98"/>
      <c r="QU19" s="98"/>
      <c r="QV19" s="98"/>
      <c r="QW19" s="98"/>
      <c r="QX19" s="98"/>
      <c r="QY19" s="98"/>
      <c r="QZ19" s="98"/>
      <c r="RA19" s="98"/>
      <c r="RB19" s="98"/>
      <c r="RC19" s="98"/>
      <c r="RD19" s="98"/>
      <c r="RE19" s="98"/>
      <c r="RF19" s="98"/>
      <c r="RG19" s="98"/>
      <c r="RH19" s="98"/>
      <c r="RI19" s="98"/>
      <c r="RJ19" s="98"/>
      <c r="RK19" s="98"/>
      <c r="RL19" s="98"/>
      <c r="RM19" s="98"/>
      <c r="RN19" s="98"/>
      <c r="RO19" s="98"/>
      <c r="RP19" s="98"/>
      <c r="RQ19" s="98"/>
      <c r="RR19" s="98"/>
      <c r="RS19" s="98"/>
      <c r="RT19" s="98"/>
      <c r="RU19" s="98"/>
      <c r="RV19" s="98"/>
      <c r="RW19" s="98"/>
      <c r="RX19" s="98"/>
      <c r="RY19" s="98"/>
      <c r="RZ19" s="98"/>
      <c r="SA19" s="98"/>
      <c r="SB19" s="98"/>
      <c r="SC19" s="98"/>
      <c r="SD19" s="98"/>
      <c r="SE19" s="98"/>
      <c r="SF19" s="98"/>
      <c r="SG19" s="98"/>
      <c r="SH19" s="98"/>
      <c r="SI19" s="98"/>
      <c r="SJ19" s="98"/>
      <c r="SK19" s="98"/>
      <c r="SL19" s="98"/>
      <c r="SM19" s="98"/>
      <c r="SN19" s="98"/>
      <c r="SO19" s="98"/>
      <c r="SP19" s="98"/>
      <c r="SQ19" s="98"/>
      <c r="SR19" s="98"/>
      <c r="SS19" s="98"/>
      <c r="ST19" s="98"/>
      <c r="SU19" s="98"/>
      <c r="SV19" s="98"/>
      <c r="SW19" s="98"/>
      <c r="SX19" s="98"/>
      <c r="SY19" s="98"/>
      <c r="SZ19" s="98"/>
      <c r="TA19" s="98"/>
      <c r="TB19" s="98"/>
      <c r="TC19" s="98"/>
      <c r="TD19" s="98"/>
      <c r="TE19" s="98"/>
      <c r="TF19" s="98"/>
      <c r="TG19" s="98"/>
      <c r="TH19" s="98"/>
      <c r="TI19" s="98"/>
      <c r="TJ19" s="98"/>
      <c r="TK19" s="98"/>
      <c r="TL19" s="98"/>
      <c r="TM19" s="98"/>
      <c r="TN19" s="98"/>
      <c r="TO19" s="98"/>
      <c r="TP19" s="98"/>
      <c r="TQ19" s="98"/>
      <c r="TR19" s="98"/>
      <c r="TS19" s="98"/>
      <c r="TT19" s="98"/>
      <c r="TU19" s="98"/>
      <c r="TV19" s="98"/>
      <c r="TW19" s="98"/>
      <c r="TX19" s="98"/>
      <c r="TY19" s="98"/>
      <c r="TZ19" s="98"/>
      <c r="UA19" s="98"/>
      <c r="UB19" s="98"/>
      <c r="UC19" s="98"/>
      <c r="UD19" s="98"/>
      <c r="UE19" s="98"/>
      <c r="UF19" s="98"/>
      <c r="UG19" s="98"/>
      <c r="UH19" s="98"/>
      <c r="UI19" s="98"/>
      <c r="UJ19" s="98"/>
      <c r="UK19" s="98"/>
      <c r="UL19" s="98"/>
      <c r="UM19" s="98"/>
      <c r="UN19" s="98"/>
      <c r="UO19" s="98"/>
      <c r="UP19" s="98"/>
      <c r="UQ19" s="98"/>
      <c r="UR19" s="98"/>
      <c r="US19" s="98"/>
      <c r="UT19" s="98"/>
      <c r="UU19" s="98"/>
      <c r="UV19" s="98"/>
      <c r="UW19" s="98"/>
      <c r="UX19" s="98"/>
      <c r="UY19" s="98"/>
      <c r="UZ19" s="98"/>
      <c r="VA19" s="98"/>
      <c r="VB19" s="98"/>
      <c r="VC19" s="98"/>
      <c r="VD19" s="98"/>
      <c r="VE19" s="98"/>
      <c r="VF19" s="98"/>
      <c r="VG19" s="98"/>
      <c r="VH19" s="98"/>
      <c r="VI19" s="98"/>
      <c r="VJ19" s="98"/>
      <c r="VK19" s="98"/>
      <c r="VL19" s="98"/>
      <c r="VM19" s="98"/>
      <c r="VN19" s="98"/>
      <c r="VO19" s="98"/>
      <c r="VP19" s="98"/>
      <c r="VQ19" s="98"/>
      <c r="VR19" s="98"/>
      <c r="VS19" s="98"/>
      <c r="VT19" s="98"/>
      <c r="VU19" s="98"/>
      <c r="VV19" s="98"/>
      <c r="VW19" s="98"/>
      <c r="VX19" s="98"/>
      <c r="VY19" s="98"/>
      <c r="VZ19" s="98"/>
      <c r="WA19" s="98"/>
      <c r="WB19" s="98"/>
      <c r="WC19" s="98"/>
      <c r="WD19" s="98"/>
      <c r="WE19" s="98"/>
      <c r="WF19" s="98"/>
    </row>
    <row r="20" spans="1:604" ht="17.25" customHeight="1" x14ac:dyDescent="0.3">
      <c r="A20" s="25" t="e">
        <f>IF(契約詳細價目表!A20="",NA(),契約詳細價目表!A20)</f>
        <v>#N/A</v>
      </c>
      <c r="B20" s="26" t="e">
        <f>IF(契約詳細價目表!B20="",NA(),契約詳細價目表!B20)</f>
        <v>#N/A</v>
      </c>
      <c r="C20" s="25" t="e">
        <f>IF(契約詳細價目表!C20="",NA(),契約詳細價目表!C20)</f>
        <v>#N/A</v>
      </c>
      <c r="D20" s="27" t="e">
        <f>IF(契約詳細價目表!D20="",NA(),契約詳細價目表!D20)</f>
        <v>#N/A</v>
      </c>
      <c r="E20" s="28" t="e">
        <f>IF(契約詳細價目表!E20="",NA(),契約詳細價目表!E20)</f>
        <v>#N/A</v>
      </c>
      <c r="F20" s="28">
        <f>IF(契約詳細價目表!F20="",NA(),契約詳細價目表!F20)</f>
        <v>0</v>
      </c>
      <c r="G20" s="27">
        <f t="shared" si="536"/>
        <v>0</v>
      </c>
      <c r="H20" s="28" t="e">
        <f t="shared" si="537"/>
        <v>#N/A</v>
      </c>
      <c r="I20" s="47" t="e">
        <f t="shared" si="535"/>
        <v>#N/A</v>
      </c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7"/>
      <c r="DB20" s="97"/>
      <c r="DC20" s="97"/>
      <c r="DD20" s="97"/>
      <c r="DE20" s="97"/>
      <c r="DF20" s="97"/>
      <c r="DG20" s="97"/>
      <c r="DH20" s="97"/>
      <c r="DI20" s="97"/>
      <c r="DJ20" s="97"/>
      <c r="DK20" s="97"/>
      <c r="DL20" s="97"/>
      <c r="DM20" s="97"/>
      <c r="DN20" s="97"/>
      <c r="DO20" s="97"/>
      <c r="DP20" s="97"/>
      <c r="DQ20" s="97"/>
      <c r="DR20" s="97"/>
      <c r="DS20" s="97"/>
      <c r="DT20" s="97"/>
      <c r="DU20" s="97"/>
      <c r="DV20" s="97"/>
      <c r="DW20" s="97"/>
      <c r="DX20" s="97"/>
      <c r="DY20" s="97"/>
      <c r="DZ20" s="97"/>
      <c r="EA20" s="97"/>
      <c r="EB20" s="97"/>
      <c r="EC20" s="97"/>
      <c r="ED20" s="97"/>
      <c r="EE20" s="97"/>
      <c r="EF20" s="97"/>
      <c r="EG20" s="97"/>
      <c r="EH20" s="97"/>
      <c r="EI20" s="97"/>
      <c r="EJ20" s="97"/>
      <c r="EK20" s="97"/>
      <c r="EL20" s="97"/>
      <c r="EM20" s="97"/>
      <c r="EN20" s="97"/>
      <c r="EO20" s="97"/>
      <c r="EP20" s="97"/>
      <c r="EQ20" s="97"/>
      <c r="ER20" s="97"/>
      <c r="ES20" s="97"/>
      <c r="ET20" s="97"/>
      <c r="EU20" s="97"/>
      <c r="EV20" s="97"/>
      <c r="EW20" s="97"/>
      <c r="EX20" s="97"/>
      <c r="EY20" s="97"/>
      <c r="EZ20" s="97"/>
      <c r="FA20" s="97"/>
      <c r="FB20" s="97"/>
      <c r="FC20" s="97"/>
      <c r="FD20" s="97"/>
      <c r="FE20" s="97"/>
      <c r="FF20" s="97"/>
      <c r="FG20" s="97"/>
      <c r="FH20" s="97"/>
      <c r="FI20" s="97"/>
      <c r="FJ20" s="97"/>
      <c r="FK20" s="97"/>
      <c r="FL20" s="97"/>
      <c r="FM20" s="97"/>
      <c r="FN20" s="97"/>
      <c r="FO20" s="97"/>
      <c r="FP20" s="97"/>
      <c r="FQ20" s="97"/>
      <c r="FR20" s="97"/>
      <c r="FS20" s="97"/>
      <c r="FT20" s="97"/>
      <c r="FU20" s="98"/>
      <c r="FV20" s="98"/>
      <c r="FW20" s="98"/>
      <c r="FX20" s="98"/>
      <c r="FY20" s="98"/>
      <c r="FZ20" s="98"/>
      <c r="GA20" s="98"/>
      <c r="GB20" s="98"/>
      <c r="GC20" s="98"/>
      <c r="GD20" s="98"/>
      <c r="GE20" s="98"/>
      <c r="GF20" s="98"/>
      <c r="GG20" s="98"/>
      <c r="GH20" s="98"/>
      <c r="GI20" s="98"/>
      <c r="GJ20" s="98"/>
      <c r="GK20" s="98"/>
      <c r="GL20" s="98"/>
      <c r="GM20" s="98"/>
      <c r="GN20" s="98"/>
      <c r="GO20" s="98"/>
      <c r="GP20" s="98"/>
      <c r="GQ20" s="98"/>
      <c r="GR20" s="98"/>
      <c r="GS20" s="98"/>
      <c r="GT20" s="98"/>
      <c r="GU20" s="98"/>
      <c r="GV20" s="98"/>
      <c r="GW20" s="98"/>
      <c r="GX20" s="98"/>
      <c r="GY20" s="98"/>
      <c r="GZ20" s="98"/>
      <c r="HA20" s="98"/>
      <c r="HB20" s="98"/>
      <c r="HC20" s="98"/>
      <c r="HD20" s="98"/>
      <c r="HE20" s="98"/>
      <c r="HF20" s="98"/>
      <c r="HG20" s="98"/>
      <c r="HH20" s="98"/>
      <c r="HI20" s="98"/>
      <c r="HJ20" s="98"/>
      <c r="HK20" s="98"/>
      <c r="HL20" s="98"/>
      <c r="HM20" s="98"/>
      <c r="HN20" s="98"/>
      <c r="HO20" s="98"/>
      <c r="HP20" s="98"/>
      <c r="HQ20" s="98"/>
      <c r="HR20" s="98"/>
      <c r="HS20" s="98"/>
      <c r="HT20" s="98"/>
      <c r="HU20" s="98"/>
      <c r="HV20" s="98"/>
      <c r="HW20" s="98"/>
      <c r="HX20" s="98"/>
      <c r="HY20" s="98"/>
      <c r="HZ20" s="98"/>
      <c r="IA20" s="98"/>
      <c r="IB20" s="98"/>
      <c r="IC20" s="98"/>
      <c r="ID20" s="98"/>
      <c r="IE20" s="98"/>
      <c r="IF20" s="98"/>
      <c r="IG20" s="98"/>
      <c r="IH20" s="98"/>
      <c r="II20" s="98"/>
      <c r="IJ20" s="98"/>
      <c r="IK20" s="98"/>
      <c r="IL20" s="98"/>
      <c r="IM20" s="98"/>
      <c r="IN20" s="98"/>
      <c r="IO20" s="98"/>
      <c r="IP20" s="98"/>
      <c r="IQ20" s="98"/>
      <c r="IR20" s="98"/>
      <c r="IS20" s="98"/>
      <c r="IT20" s="98"/>
      <c r="IU20" s="98"/>
      <c r="IV20" s="98"/>
      <c r="IW20" s="98"/>
      <c r="IX20" s="98"/>
      <c r="IY20" s="98"/>
      <c r="IZ20" s="98"/>
      <c r="JA20" s="98"/>
      <c r="JB20" s="98"/>
      <c r="JC20" s="98"/>
      <c r="JD20" s="98"/>
      <c r="JE20" s="98"/>
      <c r="JF20" s="98"/>
      <c r="JG20" s="98"/>
      <c r="JH20" s="98"/>
      <c r="JI20" s="98"/>
      <c r="JJ20" s="98"/>
      <c r="JK20" s="98"/>
      <c r="JL20" s="98"/>
      <c r="JM20" s="98"/>
      <c r="JN20" s="98"/>
      <c r="JO20" s="98"/>
      <c r="JP20" s="98"/>
      <c r="JQ20" s="98"/>
      <c r="JR20" s="98"/>
      <c r="JS20" s="98"/>
      <c r="JT20" s="98"/>
      <c r="JU20" s="98"/>
      <c r="JV20" s="98"/>
      <c r="JW20" s="98"/>
      <c r="JX20" s="98"/>
      <c r="JY20" s="98"/>
      <c r="JZ20" s="98"/>
      <c r="KA20" s="98"/>
      <c r="KB20" s="98"/>
      <c r="KC20" s="98"/>
      <c r="KD20" s="98"/>
      <c r="KE20" s="98"/>
      <c r="KF20" s="98"/>
      <c r="KG20" s="98"/>
      <c r="KH20" s="98"/>
      <c r="KI20" s="98"/>
      <c r="KJ20" s="98"/>
      <c r="KK20" s="98"/>
      <c r="KL20" s="98"/>
      <c r="KM20" s="98"/>
      <c r="KN20" s="98"/>
      <c r="KO20" s="98"/>
      <c r="KP20" s="98"/>
      <c r="KQ20" s="98"/>
      <c r="KR20" s="98"/>
      <c r="KS20" s="98"/>
      <c r="KT20" s="98"/>
      <c r="KU20" s="98"/>
      <c r="KV20" s="98"/>
      <c r="KW20" s="98"/>
      <c r="KX20" s="98"/>
      <c r="KY20" s="98"/>
      <c r="KZ20" s="98"/>
      <c r="LA20" s="98"/>
      <c r="LB20" s="98"/>
      <c r="LC20" s="98"/>
      <c r="LD20" s="98"/>
      <c r="LE20" s="98"/>
      <c r="LF20" s="98"/>
      <c r="LG20" s="98"/>
      <c r="LH20" s="98"/>
      <c r="LI20" s="98"/>
      <c r="LJ20" s="98"/>
      <c r="LK20" s="98"/>
      <c r="LL20" s="98"/>
      <c r="LM20" s="98"/>
      <c r="LN20" s="98"/>
      <c r="LO20" s="98"/>
      <c r="LP20" s="98"/>
      <c r="LQ20" s="98"/>
      <c r="LR20" s="98"/>
      <c r="LS20" s="98"/>
      <c r="LT20" s="98"/>
      <c r="LU20" s="98"/>
      <c r="LV20" s="98"/>
      <c r="LW20" s="98"/>
      <c r="LX20" s="98"/>
      <c r="LY20" s="98"/>
      <c r="LZ20" s="98"/>
      <c r="MA20" s="98"/>
      <c r="MB20" s="98"/>
      <c r="MC20" s="98"/>
      <c r="MD20" s="98"/>
      <c r="ME20" s="98"/>
      <c r="MF20" s="98"/>
      <c r="MG20" s="98"/>
      <c r="MH20" s="98"/>
      <c r="MI20" s="98"/>
      <c r="MJ20" s="98"/>
      <c r="MK20" s="98"/>
      <c r="ML20" s="98"/>
      <c r="MM20" s="98"/>
      <c r="MN20" s="98"/>
      <c r="MO20" s="98"/>
      <c r="MP20" s="98"/>
      <c r="MQ20" s="98"/>
      <c r="MR20" s="98"/>
      <c r="MS20" s="98"/>
      <c r="MT20" s="98"/>
      <c r="MU20" s="98"/>
      <c r="MV20" s="98"/>
      <c r="MW20" s="98"/>
      <c r="MX20" s="98"/>
      <c r="MY20" s="98"/>
      <c r="MZ20" s="98"/>
      <c r="NA20" s="98"/>
      <c r="NB20" s="98"/>
      <c r="NC20" s="98"/>
      <c r="ND20" s="98"/>
      <c r="NE20" s="98"/>
      <c r="NF20" s="98"/>
      <c r="NG20" s="98"/>
      <c r="NH20" s="98"/>
      <c r="NI20" s="98"/>
      <c r="NJ20" s="98"/>
      <c r="NK20" s="98"/>
      <c r="NL20" s="98"/>
      <c r="NM20" s="98"/>
      <c r="NN20" s="98"/>
      <c r="NO20" s="98"/>
      <c r="NP20" s="98"/>
      <c r="NQ20" s="98"/>
      <c r="NR20" s="98"/>
      <c r="NS20" s="98"/>
      <c r="NT20" s="98"/>
      <c r="NU20" s="98"/>
      <c r="NV20" s="98"/>
      <c r="NW20" s="98"/>
      <c r="NX20" s="98"/>
      <c r="NY20" s="98"/>
      <c r="NZ20" s="98"/>
      <c r="OA20" s="98"/>
      <c r="OB20" s="98"/>
      <c r="OC20" s="98"/>
      <c r="OD20" s="98"/>
      <c r="OE20" s="98"/>
      <c r="OF20" s="98"/>
      <c r="OG20" s="98"/>
      <c r="OH20" s="98"/>
      <c r="OI20" s="98"/>
      <c r="OJ20" s="98"/>
      <c r="OK20" s="98"/>
      <c r="OL20" s="98"/>
      <c r="OM20" s="98"/>
      <c r="ON20" s="98"/>
      <c r="OO20" s="98"/>
      <c r="OP20" s="98"/>
      <c r="OQ20" s="98"/>
      <c r="OR20" s="98"/>
      <c r="OS20" s="98"/>
      <c r="OT20" s="98"/>
      <c r="OU20" s="98"/>
      <c r="OV20" s="98"/>
      <c r="OW20" s="98"/>
      <c r="OX20" s="98"/>
      <c r="OY20" s="98"/>
      <c r="OZ20" s="98"/>
      <c r="PA20" s="98"/>
      <c r="PB20" s="98"/>
      <c r="PC20" s="98"/>
      <c r="PD20" s="98"/>
      <c r="PE20" s="98"/>
      <c r="PF20" s="98"/>
      <c r="PG20" s="98"/>
      <c r="PH20" s="98"/>
      <c r="PI20" s="98"/>
      <c r="PJ20" s="98"/>
      <c r="PK20" s="98"/>
      <c r="PL20" s="98"/>
      <c r="PM20" s="98"/>
      <c r="PN20" s="98"/>
      <c r="PO20" s="98"/>
      <c r="PP20" s="98"/>
      <c r="PQ20" s="98"/>
      <c r="PR20" s="98"/>
      <c r="PS20" s="98"/>
      <c r="PT20" s="98"/>
      <c r="PU20" s="98"/>
      <c r="PV20" s="98"/>
      <c r="PW20" s="98"/>
      <c r="PX20" s="98"/>
      <c r="PY20" s="98"/>
      <c r="PZ20" s="98"/>
      <c r="QA20" s="98"/>
      <c r="QB20" s="98"/>
      <c r="QC20" s="98"/>
      <c r="QD20" s="98"/>
      <c r="QE20" s="98"/>
      <c r="QF20" s="98"/>
      <c r="QG20" s="98"/>
      <c r="QH20" s="98"/>
      <c r="QI20" s="98"/>
      <c r="QJ20" s="98"/>
      <c r="QK20" s="98"/>
      <c r="QL20" s="98"/>
      <c r="QM20" s="98"/>
      <c r="QN20" s="98"/>
      <c r="QO20" s="98"/>
      <c r="QP20" s="98"/>
      <c r="QQ20" s="98"/>
      <c r="QR20" s="98"/>
      <c r="QS20" s="98"/>
      <c r="QT20" s="98"/>
      <c r="QU20" s="98"/>
      <c r="QV20" s="98"/>
      <c r="QW20" s="98"/>
      <c r="QX20" s="98"/>
      <c r="QY20" s="98"/>
      <c r="QZ20" s="98"/>
      <c r="RA20" s="98"/>
      <c r="RB20" s="98"/>
      <c r="RC20" s="98"/>
      <c r="RD20" s="98"/>
      <c r="RE20" s="98"/>
      <c r="RF20" s="98"/>
      <c r="RG20" s="98"/>
      <c r="RH20" s="98"/>
      <c r="RI20" s="98"/>
      <c r="RJ20" s="98"/>
      <c r="RK20" s="98"/>
      <c r="RL20" s="98"/>
      <c r="RM20" s="98"/>
      <c r="RN20" s="98"/>
      <c r="RO20" s="98"/>
      <c r="RP20" s="98"/>
      <c r="RQ20" s="98"/>
      <c r="RR20" s="98"/>
      <c r="RS20" s="98"/>
      <c r="RT20" s="98"/>
      <c r="RU20" s="98"/>
      <c r="RV20" s="98"/>
      <c r="RW20" s="98"/>
      <c r="RX20" s="98"/>
      <c r="RY20" s="98"/>
      <c r="RZ20" s="98"/>
      <c r="SA20" s="98"/>
      <c r="SB20" s="98"/>
      <c r="SC20" s="98"/>
      <c r="SD20" s="98"/>
      <c r="SE20" s="98"/>
      <c r="SF20" s="98"/>
      <c r="SG20" s="98"/>
      <c r="SH20" s="98"/>
      <c r="SI20" s="98"/>
      <c r="SJ20" s="98"/>
      <c r="SK20" s="98"/>
      <c r="SL20" s="98"/>
      <c r="SM20" s="98"/>
      <c r="SN20" s="98"/>
      <c r="SO20" s="98"/>
      <c r="SP20" s="98"/>
      <c r="SQ20" s="98"/>
      <c r="SR20" s="98"/>
      <c r="SS20" s="98"/>
      <c r="ST20" s="98"/>
      <c r="SU20" s="98"/>
      <c r="SV20" s="98"/>
      <c r="SW20" s="98"/>
      <c r="SX20" s="98"/>
      <c r="SY20" s="98"/>
      <c r="SZ20" s="98"/>
      <c r="TA20" s="98"/>
      <c r="TB20" s="98"/>
      <c r="TC20" s="98"/>
      <c r="TD20" s="98"/>
      <c r="TE20" s="98"/>
      <c r="TF20" s="98"/>
      <c r="TG20" s="98"/>
      <c r="TH20" s="98"/>
      <c r="TI20" s="98"/>
      <c r="TJ20" s="98"/>
      <c r="TK20" s="98"/>
      <c r="TL20" s="98"/>
      <c r="TM20" s="98"/>
      <c r="TN20" s="98"/>
      <c r="TO20" s="98"/>
      <c r="TP20" s="98"/>
      <c r="TQ20" s="98"/>
      <c r="TR20" s="98"/>
      <c r="TS20" s="98"/>
      <c r="TT20" s="98"/>
      <c r="TU20" s="98"/>
      <c r="TV20" s="98"/>
      <c r="TW20" s="98"/>
      <c r="TX20" s="98"/>
      <c r="TY20" s="98"/>
      <c r="TZ20" s="98"/>
      <c r="UA20" s="98"/>
      <c r="UB20" s="98"/>
      <c r="UC20" s="98"/>
      <c r="UD20" s="98"/>
      <c r="UE20" s="98"/>
      <c r="UF20" s="98"/>
      <c r="UG20" s="98"/>
      <c r="UH20" s="98"/>
      <c r="UI20" s="98"/>
      <c r="UJ20" s="98"/>
      <c r="UK20" s="98"/>
      <c r="UL20" s="98"/>
      <c r="UM20" s="98"/>
      <c r="UN20" s="98"/>
      <c r="UO20" s="98"/>
      <c r="UP20" s="98"/>
      <c r="UQ20" s="98"/>
      <c r="UR20" s="98"/>
      <c r="US20" s="98"/>
      <c r="UT20" s="98"/>
      <c r="UU20" s="98"/>
      <c r="UV20" s="98"/>
      <c r="UW20" s="98"/>
      <c r="UX20" s="98"/>
      <c r="UY20" s="98"/>
      <c r="UZ20" s="98"/>
      <c r="VA20" s="98"/>
      <c r="VB20" s="98"/>
      <c r="VC20" s="98"/>
      <c r="VD20" s="98"/>
      <c r="VE20" s="98"/>
      <c r="VF20" s="98"/>
      <c r="VG20" s="98"/>
      <c r="VH20" s="98"/>
      <c r="VI20" s="98"/>
      <c r="VJ20" s="98"/>
      <c r="VK20" s="98"/>
      <c r="VL20" s="98"/>
      <c r="VM20" s="98"/>
      <c r="VN20" s="98"/>
      <c r="VO20" s="98"/>
      <c r="VP20" s="98"/>
      <c r="VQ20" s="98"/>
      <c r="VR20" s="98"/>
      <c r="VS20" s="98"/>
      <c r="VT20" s="98"/>
      <c r="VU20" s="98"/>
      <c r="VV20" s="98"/>
      <c r="VW20" s="98"/>
      <c r="VX20" s="98"/>
      <c r="VY20" s="98"/>
      <c r="VZ20" s="98"/>
      <c r="WA20" s="98"/>
      <c r="WB20" s="98"/>
      <c r="WC20" s="98"/>
      <c r="WD20" s="98"/>
      <c r="WE20" s="98"/>
      <c r="WF20" s="98"/>
    </row>
    <row r="21" spans="1:604" ht="17.25" customHeight="1" x14ac:dyDescent="0.3">
      <c r="A21" s="25" t="e">
        <f>IF(契約詳細價目表!A21="",NA(),契約詳細價目表!A21)</f>
        <v>#N/A</v>
      </c>
      <c r="B21" s="26" t="e">
        <f>IF(契約詳細價目表!B21="",NA(),契約詳細價目表!B21)</f>
        <v>#N/A</v>
      </c>
      <c r="C21" s="25" t="e">
        <f>IF(契約詳細價目表!C21="",NA(),契約詳細價目表!C21)</f>
        <v>#N/A</v>
      </c>
      <c r="D21" s="27" t="e">
        <f>IF(契約詳細價目表!D21="",NA(),契約詳細價目表!D21)</f>
        <v>#N/A</v>
      </c>
      <c r="E21" s="28" t="e">
        <f>IF(契約詳細價目表!E21="",NA(),契約詳細價目表!E21)</f>
        <v>#N/A</v>
      </c>
      <c r="F21" s="28">
        <f>IF(契約詳細價目表!F21="",NA(),契約詳細價目表!F21)</f>
        <v>0</v>
      </c>
      <c r="G21" s="27">
        <f t="shared" si="536"/>
        <v>0</v>
      </c>
      <c r="H21" s="28" t="e">
        <f t="shared" si="537"/>
        <v>#N/A</v>
      </c>
      <c r="I21" s="47" t="e">
        <f t="shared" si="535"/>
        <v>#N/A</v>
      </c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97"/>
      <c r="DS21" s="97"/>
      <c r="DT21" s="97"/>
      <c r="DU21" s="97"/>
      <c r="DV21" s="97"/>
      <c r="DW21" s="97"/>
      <c r="DX21" s="97"/>
      <c r="DY21" s="97"/>
      <c r="DZ21" s="97"/>
      <c r="EA21" s="97"/>
      <c r="EB21" s="97"/>
      <c r="EC21" s="97"/>
      <c r="ED21" s="97"/>
      <c r="EE21" s="97"/>
      <c r="EF21" s="97"/>
      <c r="EG21" s="97"/>
      <c r="EH21" s="97"/>
      <c r="EI21" s="97"/>
      <c r="EJ21" s="97"/>
      <c r="EK21" s="97"/>
      <c r="EL21" s="97"/>
      <c r="EM21" s="97"/>
      <c r="EN21" s="97"/>
      <c r="EO21" s="97"/>
      <c r="EP21" s="97"/>
      <c r="EQ21" s="97"/>
      <c r="ER21" s="97"/>
      <c r="ES21" s="97"/>
      <c r="ET21" s="97"/>
      <c r="EU21" s="97"/>
      <c r="EV21" s="97"/>
      <c r="EW21" s="97"/>
      <c r="EX21" s="97"/>
      <c r="EY21" s="97"/>
      <c r="EZ21" s="97"/>
      <c r="FA21" s="97"/>
      <c r="FB21" s="97"/>
      <c r="FC21" s="97"/>
      <c r="FD21" s="97"/>
      <c r="FE21" s="97"/>
      <c r="FF21" s="97"/>
      <c r="FG21" s="97"/>
      <c r="FH21" s="97"/>
      <c r="FI21" s="97"/>
      <c r="FJ21" s="97"/>
      <c r="FK21" s="97"/>
      <c r="FL21" s="97"/>
      <c r="FM21" s="97"/>
      <c r="FN21" s="97"/>
      <c r="FO21" s="97"/>
      <c r="FP21" s="97"/>
      <c r="FQ21" s="97"/>
      <c r="FR21" s="97"/>
      <c r="FS21" s="97"/>
      <c r="FT21" s="97"/>
      <c r="FU21" s="98"/>
      <c r="FV21" s="98"/>
      <c r="FW21" s="98"/>
      <c r="FX21" s="98"/>
      <c r="FY21" s="98"/>
      <c r="FZ21" s="98"/>
      <c r="GA21" s="98"/>
      <c r="GB21" s="98"/>
      <c r="GC21" s="98"/>
      <c r="GD21" s="98"/>
      <c r="GE21" s="98"/>
      <c r="GF21" s="98"/>
      <c r="GG21" s="98"/>
      <c r="GH21" s="98"/>
      <c r="GI21" s="98"/>
      <c r="GJ21" s="98"/>
      <c r="GK21" s="98"/>
      <c r="GL21" s="98"/>
      <c r="GM21" s="98"/>
      <c r="GN21" s="98"/>
      <c r="GO21" s="98"/>
      <c r="GP21" s="98"/>
      <c r="GQ21" s="98"/>
      <c r="GR21" s="98"/>
      <c r="GS21" s="98"/>
      <c r="GT21" s="98"/>
      <c r="GU21" s="98"/>
      <c r="GV21" s="98"/>
      <c r="GW21" s="98"/>
      <c r="GX21" s="98"/>
      <c r="GY21" s="98"/>
      <c r="GZ21" s="98"/>
      <c r="HA21" s="98"/>
      <c r="HB21" s="98"/>
      <c r="HC21" s="98"/>
      <c r="HD21" s="98"/>
      <c r="HE21" s="98"/>
      <c r="HF21" s="98"/>
      <c r="HG21" s="98"/>
      <c r="HH21" s="98"/>
      <c r="HI21" s="98"/>
      <c r="HJ21" s="98"/>
      <c r="HK21" s="98"/>
      <c r="HL21" s="98"/>
      <c r="HM21" s="98"/>
      <c r="HN21" s="98"/>
      <c r="HO21" s="98"/>
      <c r="HP21" s="98"/>
      <c r="HQ21" s="98"/>
      <c r="HR21" s="98"/>
      <c r="HS21" s="98"/>
      <c r="HT21" s="98"/>
      <c r="HU21" s="98"/>
      <c r="HV21" s="98"/>
      <c r="HW21" s="98"/>
      <c r="HX21" s="98"/>
      <c r="HY21" s="98"/>
      <c r="HZ21" s="98"/>
      <c r="IA21" s="98"/>
      <c r="IB21" s="98"/>
      <c r="IC21" s="98"/>
      <c r="ID21" s="98"/>
      <c r="IE21" s="98"/>
      <c r="IF21" s="98"/>
      <c r="IG21" s="98"/>
      <c r="IH21" s="98"/>
      <c r="II21" s="98"/>
      <c r="IJ21" s="98"/>
      <c r="IK21" s="98"/>
      <c r="IL21" s="98"/>
      <c r="IM21" s="98"/>
      <c r="IN21" s="98"/>
      <c r="IO21" s="98"/>
      <c r="IP21" s="98"/>
      <c r="IQ21" s="98"/>
      <c r="IR21" s="98"/>
      <c r="IS21" s="98"/>
      <c r="IT21" s="98"/>
      <c r="IU21" s="98"/>
      <c r="IV21" s="98"/>
      <c r="IW21" s="98"/>
      <c r="IX21" s="98"/>
      <c r="IY21" s="98"/>
      <c r="IZ21" s="98"/>
      <c r="JA21" s="98"/>
      <c r="JB21" s="98"/>
      <c r="JC21" s="98"/>
      <c r="JD21" s="98"/>
      <c r="JE21" s="98"/>
      <c r="JF21" s="98"/>
      <c r="JG21" s="98"/>
      <c r="JH21" s="98"/>
      <c r="JI21" s="98"/>
      <c r="JJ21" s="98"/>
      <c r="JK21" s="98"/>
      <c r="JL21" s="98"/>
      <c r="JM21" s="98"/>
      <c r="JN21" s="98"/>
      <c r="JO21" s="98"/>
      <c r="JP21" s="98"/>
      <c r="JQ21" s="98"/>
      <c r="JR21" s="98"/>
      <c r="JS21" s="98"/>
      <c r="JT21" s="98"/>
      <c r="JU21" s="98"/>
      <c r="JV21" s="98"/>
      <c r="JW21" s="98"/>
      <c r="JX21" s="98"/>
      <c r="JY21" s="98"/>
      <c r="JZ21" s="98"/>
      <c r="KA21" s="98"/>
      <c r="KB21" s="98"/>
      <c r="KC21" s="98"/>
      <c r="KD21" s="98"/>
      <c r="KE21" s="98"/>
      <c r="KF21" s="98"/>
      <c r="KG21" s="98"/>
      <c r="KH21" s="98"/>
      <c r="KI21" s="98"/>
      <c r="KJ21" s="98"/>
      <c r="KK21" s="98"/>
      <c r="KL21" s="98"/>
      <c r="KM21" s="98"/>
      <c r="KN21" s="98"/>
      <c r="KO21" s="98"/>
      <c r="KP21" s="98"/>
      <c r="KQ21" s="98"/>
      <c r="KR21" s="98"/>
      <c r="KS21" s="98"/>
      <c r="KT21" s="98"/>
      <c r="KU21" s="98"/>
      <c r="KV21" s="98"/>
      <c r="KW21" s="98"/>
      <c r="KX21" s="98"/>
      <c r="KY21" s="98"/>
      <c r="KZ21" s="98"/>
      <c r="LA21" s="98"/>
      <c r="LB21" s="98"/>
      <c r="LC21" s="98"/>
      <c r="LD21" s="98"/>
      <c r="LE21" s="98"/>
      <c r="LF21" s="98"/>
      <c r="LG21" s="98"/>
      <c r="LH21" s="98"/>
      <c r="LI21" s="98"/>
      <c r="LJ21" s="98"/>
      <c r="LK21" s="98"/>
      <c r="LL21" s="98"/>
      <c r="LM21" s="98"/>
      <c r="LN21" s="98"/>
      <c r="LO21" s="98"/>
      <c r="LP21" s="98"/>
      <c r="LQ21" s="98"/>
      <c r="LR21" s="98"/>
      <c r="LS21" s="98"/>
      <c r="LT21" s="98"/>
      <c r="LU21" s="98"/>
      <c r="LV21" s="98"/>
      <c r="LW21" s="98"/>
      <c r="LX21" s="98"/>
      <c r="LY21" s="98"/>
      <c r="LZ21" s="98"/>
      <c r="MA21" s="98"/>
      <c r="MB21" s="98"/>
      <c r="MC21" s="98"/>
      <c r="MD21" s="98"/>
      <c r="ME21" s="98"/>
      <c r="MF21" s="98"/>
      <c r="MG21" s="98"/>
      <c r="MH21" s="98"/>
      <c r="MI21" s="98"/>
      <c r="MJ21" s="98"/>
      <c r="MK21" s="98"/>
      <c r="ML21" s="98"/>
      <c r="MM21" s="98"/>
      <c r="MN21" s="98"/>
      <c r="MO21" s="98"/>
      <c r="MP21" s="98"/>
      <c r="MQ21" s="98"/>
      <c r="MR21" s="98"/>
      <c r="MS21" s="98"/>
      <c r="MT21" s="98"/>
      <c r="MU21" s="98"/>
      <c r="MV21" s="98"/>
      <c r="MW21" s="98"/>
      <c r="MX21" s="98"/>
      <c r="MY21" s="98"/>
      <c r="MZ21" s="98"/>
      <c r="NA21" s="98"/>
      <c r="NB21" s="98"/>
      <c r="NC21" s="98"/>
      <c r="ND21" s="98"/>
      <c r="NE21" s="98"/>
      <c r="NF21" s="98"/>
      <c r="NG21" s="98"/>
      <c r="NH21" s="98"/>
      <c r="NI21" s="98"/>
      <c r="NJ21" s="98"/>
      <c r="NK21" s="98"/>
      <c r="NL21" s="98"/>
      <c r="NM21" s="98"/>
      <c r="NN21" s="98"/>
      <c r="NO21" s="98"/>
      <c r="NP21" s="98"/>
      <c r="NQ21" s="98"/>
      <c r="NR21" s="98"/>
      <c r="NS21" s="98"/>
      <c r="NT21" s="98"/>
      <c r="NU21" s="98"/>
      <c r="NV21" s="98"/>
      <c r="NW21" s="98"/>
      <c r="NX21" s="98"/>
      <c r="NY21" s="98"/>
      <c r="NZ21" s="98"/>
      <c r="OA21" s="98"/>
      <c r="OB21" s="98"/>
      <c r="OC21" s="98"/>
      <c r="OD21" s="98"/>
      <c r="OE21" s="98"/>
      <c r="OF21" s="98"/>
      <c r="OG21" s="98"/>
      <c r="OH21" s="98"/>
      <c r="OI21" s="98"/>
      <c r="OJ21" s="98"/>
      <c r="OK21" s="98"/>
      <c r="OL21" s="98"/>
      <c r="OM21" s="98"/>
      <c r="ON21" s="98"/>
      <c r="OO21" s="98"/>
      <c r="OP21" s="98"/>
      <c r="OQ21" s="98"/>
      <c r="OR21" s="98"/>
      <c r="OS21" s="98"/>
      <c r="OT21" s="98"/>
      <c r="OU21" s="98"/>
      <c r="OV21" s="98"/>
      <c r="OW21" s="98"/>
      <c r="OX21" s="98"/>
      <c r="OY21" s="98"/>
      <c r="OZ21" s="98"/>
      <c r="PA21" s="98"/>
      <c r="PB21" s="98"/>
      <c r="PC21" s="98"/>
      <c r="PD21" s="98"/>
      <c r="PE21" s="98"/>
      <c r="PF21" s="98"/>
      <c r="PG21" s="98"/>
      <c r="PH21" s="98"/>
      <c r="PI21" s="98"/>
      <c r="PJ21" s="98"/>
      <c r="PK21" s="98"/>
      <c r="PL21" s="98"/>
      <c r="PM21" s="98"/>
      <c r="PN21" s="98"/>
      <c r="PO21" s="98"/>
      <c r="PP21" s="98"/>
      <c r="PQ21" s="98"/>
      <c r="PR21" s="98"/>
      <c r="PS21" s="98"/>
      <c r="PT21" s="98"/>
      <c r="PU21" s="98"/>
      <c r="PV21" s="98"/>
      <c r="PW21" s="98"/>
      <c r="PX21" s="98"/>
      <c r="PY21" s="98"/>
      <c r="PZ21" s="98"/>
      <c r="QA21" s="98"/>
      <c r="QB21" s="98"/>
      <c r="QC21" s="98"/>
      <c r="QD21" s="98"/>
      <c r="QE21" s="98"/>
      <c r="QF21" s="98"/>
      <c r="QG21" s="98"/>
      <c r="QH21" s="98"/>
      <c r="QI21" s="98"/>
      <c r="QJ21" s="98"/>
      <c r="QK21" s="98"/>
      <c r="QL21" s="98"/>
      <c r="QM21" s="98"/>
      <c r="QN21" s="98"/>
      <c r="QO21" s="98"/>
      <c r="QP21" s="98"/>
      <c r="QQ21" s="98"/>
      <c r="QR21" s="98"/>
      <c r="QS21" s="98"/>
      <c r="QT21" s="98"/>
      <c r="QU21" s="98"/>
      <c r="QV21" s="98"/>
      <c r="QW21" s="98"/>
      <c r="QX21" s="98"/>
      <c r="QY21" s="98"/>
      <c r="QZ21" s="98"/>
      <c r="RA21" s="98"/>
      <c r="RB21" s="98"/>
      <c r="RC21" s="98"/>
      <c r="RD21" s="98"/>
      <c r="RE21" s="98"/>
      <c r="RF21" s="98"/>
      <c r="RG21" s="98"/>
      <c r="RH21" s="98"/>
      <c r="RI21" s="98"/>
      <c r="RJ21" s="98"/>
      <c r="RK21" s="98"/>
      <c r="RL21" s="98"/>
      <c r="RM21" s="98"/>
      <c r="RN21" s="98"/>
      <c r="RO21" s="98"/>
      <c r="RP21" s="98"/>
      <c r="RQ21" s="98"/>
      <c r="RR21" s="98"/>
      <c r="RS21" s="98"/>
      <c r="RT21" s="98"/>
      <c r="RU21" s="98"/>
      <c r="RV21" s="98"/>
      <c r="RW21" s="98"/>
      <c r="RX21" s="98"/>
      <c r="RY21" s="98"/>
      <c r="RZ21" s="98"/>
      <c r="SA21" s="98"/>
      <c r="SB21" s="98"/>
      <c r="SC21" s="98"/>
      <c r="SD21" s="98"/>
      <c r="SE21" s="98"/>
      <c r="SF21" s="98"/>
      <c r="SG21" s="98"/>
      <c r="SH21" s="98"/>
      <c r="SI21" s="98"/>
      <c r="SJ21" s="98"/>
      <c r="SK21" s="98"/>
      <c r="SL21" s="98"/>
      <c r="SM21" s="98"/>
      <c r="SN21" s="98"/>
      <c r="SO21" s="98"/>
      <c r="SP21" s="98"/>
      <c r="SQ21" s="98"/>
      <c r="SR21" s="98"/>
      <c r="SS21" s="98"/>
      <c r="ST21" s="98"/>
      <c r="SU21" s="98"/>
      <c r="SV21" s="98"/>
      <c r="SW21" s="98"/>
      <c r="SX21" s="98"/>
      <c r="SY21" s="98"/>
      <c r="SZ21" s="98"/>
      <c r="TA21" s="98"/>
      <c r="TB21" s="98"/>
      <c r="TC21" s="98"/>
      <c r="TD21" s="98"/>
      <c r="TE21" s="98"/>
      <c r="TF21" s="98"/>
      <c r="TG21" s="98"/>
      <c r="TH21" s="98"/>
      <c r="TI21" s="98"/>
      <c r="TJ21" s="98"/>
      <c r="TK21" s="98"/>
      <c r="TL21" s="98"/>
      <c r="TM21" s="98"/>
      <c r="TN21" s="98"/>
      <c r="TO21" s="98"/>
      <c r="TP21" s="98"/>
      <c r="TQ21" s="98"/>
      <c r="TR21" s="98"/>
      <c r="TS21" s="98"/>
      <c r="TT21" s="98"/>
      <c r="TU21" s="98"/>
      <c r="TV21" s="98"/>
      <c r="TW21" s="98"/>
      <c r="TX21" s="98"/>
      <c r="TY21" s="98"/>
      <c r="TZ21" s="98"/>
      <c r="UA21" s="98"/>
      <c r="UB21" s="98"/>
      <c r="UC21" s="98"/>
      <c r="UD21" s="98"/>
      <c r="UE21" s="98"/>
      <c r="UF21" s="98"/>
      <c r="UG21" s="98"/>
      <c r="UH21" s="98"/>
      <c r="UI21" s="98"/>
      <c r="UJ21" s="98"/>
      <c r="UK21" s="98"/>
      <c r="UL21" s="98"/>
      <c r="UM21" s="98"/>
      <c r="UN21" s="98"/>
      <c r="UO21" s="98"/>
      <c r="UP21" s="98"/>
      <c r="UQ21" s="98"/>
      <c r="UR21" s="98"/>
      <c r="US21" s="98"/>
      <c r="UT21" s="98"/>
      <c r="UU21" s="98"/>
      <c r="UV21" s="98"/>
      <c r="UW21" s="98"/>
      <c r="UX21" s="98"/>
      <c r="UY21" s="98"/>
      <c r="UZ21" s="98"/>
      <c r="VA21" s="98"/>
      <c r="VB21" s="98"/>
      <c r="VC21" s="98"/>
      <c r="VD21" s="98"/>
      <c r="VE21" s="98"/>
      <c r="VF21" s="98"/>
      <c r="VG21" s="98"/>
      <c r="VH21" s="98"/>
      <c r="VI21" s="98"/>
      <c r="VJ21" s="98"/>
      <c r="VK21" s="98"/>
      <c r="VL21" s="98"/>
      <c r="VM21" s="98"/>
      <c r="VN21" s="98"/>
      <c r="VO21" s="98"/>
      <c r="VP21" s="98"/>
      <c r="VQ21" s="98"/>
      <c r="VR21" s="98"/>
      <c r="VS21" s="98"/>
      <c r="VT21" s="98"/>
      <c r="VU21" s="98"/>
      <c r="VV21" s="98"/>
      <c r="VW21" s="98"/>
      <c r="VX21" s="98"/>
      <c r="VY21" s="98"/>
      <c r="VZ21" s="98"/>
      <c r="WA21" s="98"/>
      <c r="WB21" s="98"/>
      <c r="WC21" s="98"/>
      <c r="WD21" s="98"/>
      <c r="WE21" s="98"/>
      <c r="WF21" s="98"/>
    </row>
    <row r="22" spans="1:604" ht="17.25" customHeight="1" x14ac:dyDescent="0.3">
      <c r="A22" s="25" t="e">
        <f>IF(契約詳細價目表!A22="",NA(),契約詳細價目表!A22)</f>
        <v>#N/A</v>
      </c>
      <c r="B22" s="26" t="e">
        <f>IF(契約詳細價目表!B22="",NA(),契約詳細價目表!B22)</f>
        <v>#N/A</v>
      </c>
      <c r="C22" s="25" t="e">
        <f>IF(契約詳細價目表!C22="",NA(),契約詳細價目表!C22)</f>
        <v>#N/A</v>
      </c>
      <c r="D22" s="27" t="e">
        <f>IF(契約詳細價目表!D22="",NA(),契約詳細價目表!D22)</f>
        <v>#N/A</v>
      </c>
      <c r="E22" s="28" t="e">
        <f>IF(契約詳細價目表!E22="",NA(),契約詳細價目表!E22)</f>
        <v>#N/A</v>
      </c>
      <c r="F22" s="28">
        <f>IF(契約詳細價目表!F22="",NA(),契約詳細價目表!F22)</f>
        <v>0</v>
      </c>
      <c r="G22" s="27">
        <f t="shared" si="536"/>
        <v>0</v>
      </c>
      <c r="H22" s="28" t="e">
        <f t="shared" si="537"/>
        <v>#N/A</v>
      </c>
      <c r="I22" s="47" t="e">
        <f t="shared" si="535"/>
        <v>#N/A</v>
      </c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7"/>
      <c r="DB22" s="97"/>
      <c r="DC22" s="97"/>
      <c r="DD22" s="97"/>
      <c r="DE22" s="97"/>
      <c r="DF22" s="97"/>
      <c r="DG22" s="97"/>
      <c r="DH22" s="97"/>
      <c r="DI22" s="97"/>
      <c r="DJ22" s="97"/>
      <c r="DK22" s="97"/>
      <c r="DL22" s="97"/>
      <c r="DM22" s="97"/>
      <c r="DN22" s="97"/>
      <c r="DO22" s="97"/>
      <c r="DP22" s="97"/>
      <c r="DQ22" s="97"/>
      <c r="DR22" s="97"/>
      <c r="DS22" s="97"/>
      <c r="DT22" s="97"/>
      <c r="DU22" s="97"/>
      <c r="DV22" s="97"/>
      <c r="DW22" s="97"/>
      <c r="DX22" s="97"/>
      <c r="DY22" s="97"/>
      <c r="DZ22" s="97"/>
      <c r="EA22" s="97"/>
      <c r="EB22" s="97"/>
      <c r="EC22" s="97"/>
      <c r="ED22" s="97"/>
      <c r="EE22" s="97"/>
      <c r="EF22" s="97"/>
      <c r="EG22" s="97"/>
      <c r="EH22" s="97"/>
      <c r="EI22" s="97"/>
      <c r="EJ22" s="97"/>
      <c r="EK22" s="97"/>
      <c r="EL22" s="97"/>
      <c r="EM22" s="97"/>
      <c r="EN22" s="97"/>
      <c r="EO22" s="97"/>
      <c r="EP22" s="97"/>
      <c r="EQ22" s="97"/>
      <c r="ER22" s="97"/>
      <c r="ES22" s="97"/>
      <c r="ET22" s="97"/>
      <c r="EU22" s="97"/>
      <c r="EV22" s="97"/>
      <c r="EW22" s="97"/>
      <c r="EX22" s="97"/>
      <c r="EY22" s="97"/>
      <c r="EZ22" s="97"/>
      <c r="FA22" s="97"/>
      <c r="FB22" s="97"/>
      <c r="FC22" s="97"/>
      <c r="FD22" s="97"/>
      <c r="FE22" s="97"/>
      <c r="FF22" s="97"/>
      <c r="FG22" s="97"/>
      <c r="FH22" s="97"/>
      <c r="FI22" s="97"/>
      <c r="FJ22" s="97"/>
      <c r="FK22" s="97"/>
      <c r="FL22" s="97"/>
      <c r="FM22" s="97"/>
      <c r="FN22" s="97"/>
      <c r="FO22" s="97"/>
      <c r="FP22" s="97"/>
      <c r="FQ22" s="97"/>
      <c r="FR22" s="97"/>
      <c r="FS22" s="97"/>
      <c r="FT22" s="97"/>
      <c r="FU22" s="98"/>
      <c r="FV22" s="98"/>
      <c r="FW22" s="98"/>
      <c r="FX22" s="98"/>
      <c r="FY22" s="98"/>
      <c r="FZ22" s="98"/>
      <c r="GA22" s="98"/>
      <c r="GB22" s="98"/>
      <c r="GC22" s="98"/>
      <c r="GD22" s="98"/>
      <c r="GE22" s="98"/>
      <c r="GF22" s="98"/>
      <c r="GG22" s="98"/>
      <c r="GH22" s="98"/>
      <c r="GI22" s="98"/>
      <c r="GJ22" s="98"/>
      <c r="GK22" s="98"/>
      <c r="GL22" s="98"/>
      <c r="GM22" s="98"/>
      <c r="GN22" s="98"/>
      <c r="GO22" s="98"/>
      <c r="GP22" s="98"/>
      <c r="GQ22" s="98"/>
      <c r="GR22" s="98"/>
      <c r="GS22" s="98"/>
      <c r="GT22" s="98"/>
      <c r="GU22" s="98"/>
      <c r="GV22" s="98"/>
      <c r="GW22" s="98"/>
      <c r="GX22" s="98"/>
      <c r="GY22" s="98"/>
      <c r="GZ22" s="98"/>
      <c r="HA22" s="98"/>
      <c r="HB22" s="98"/>
      <c r="HC22" s="98"/>
      <c r="HD22" s="98"/>
      <c r="HE22" s="98"/>
      <c r="HF22" s="98"/>
      <c r="HG22" s="98"/>
      <c r="HH22" s="98"/>
      <c r="HI22" s="98"/>
      <c r="HJ22" s="98"/>
      <c r="HK22" s="98"/>
      <c r="HL22" s="98"/>
      <c r="HM22" s="98"/>
      <c r="HN22" s="98"/>
      <c r="HO22" s="98"/>
      <c r="HP22" s="98"/>
      <c r="HQ22" s="98"/>
      <c r="HR22" s="98"/>
      <c r="HS22" s="98"/>
      <c r="HT22" s="98"/>
      <c r="HU22" s="98"/>
      <c r="HV22" s="98"/>
      <c r="HW22" s="98"/>
      <c r="HX22" s="98"/>
      <c r="HY22" s="98"/>
      <c r="HZ22" s="98"/>
      <c r="IA22" s="98"/>
      <c r="IB22" s="98"/>
      <c r="IC22" s="98"/>
      <c r="ID22" s="98"/>
      <c r="IE22" s="98"/>
      <c r="IF22" s="98"/>
      <c r="IG22" s="98"/>
      <c r="IH22" s="98"/>
      <c r="II22" s="98"/>
      <c r="IJ22" s="98"/>
      <c r="IK22" s="98"/>
      <c r="IL22" s="98"/>
      <c r="IM22" s="98"/>
      <c r="IN22" s="98"/>
      <c r="IO22" s="98"/>
      <c r="IP22" s="98"/>
      <c r="IQ22" s="98"/>
      <c r="IR22" s="98"/>
      <c r="IS22" s="98"/>
      <c r="IT22" s="98"/>
      <c r="IU22" s="98"/>
      <c r="IV22" s="98"/>
      <c r="IW22" s="98"/>
      <c r="IX22" s="98"/>
      <c r="IY22" s="98"/>
      <c r="IZ22" s="98"/>
      <c r="JA22" s="98"/>
      <c r="JB22" s="98"/>
      <c r="JC22" s="98"/>
      <c r="JD22" s="98"/>
      <c r="JE22" s="98"/>
      <c r="JF22" s="98"/>
      <c r="JG22" s="98"/>
      <c r="JH22" s="98"/>
      <c r="JI22" s="98"/>
      <c r="JJ22" s="98"/>
      <c r="JK22" s="98"/>
      <c r="JL22" s="98"/>
      <c r="JM22" s="98"/>
      <c r="JN22" s="98"/>
      <c r="JO22" s="98"/>
      <c r="JP22" s="98"/>
      <c r="JQ22" s="98"/>
      <c r="JR22" s="98"/>
      <c r="JS22" s="98"/>
      <c r="JT22" s="98"/>
      <c r="JU22" s="98"/>
      <c r="JV22" s="98"/>
      <c r="JW22" s="98"/>
      <c r="JX22" s="98"/>
      <c r="JY22" s="98"/>
      <c r="JZ22" s="98"/>
      <c r="KA22" s="98"/>
      <c r="KB22" s="98"/>
      <c r="KC22" s="98"/>
      <c r="KD22" s="98"/>
      <c r="KE22" s="98"/>
      <c r="KF22" s="98"/>
      <c r="KG22" s="98"/>
      <c r="KH22" s="98"/>
      <c r="KI22" s="98"/>
      <c r="KJ22" s="98"/>
      <c r="KK22" s="98"/>
      <c r="KL22" s="98"/>
      <c r="KM22" s="98"/>
      <c r="KN22" s="98"/>
      <c r="KO22" s="98"/>
      <c r="KP22" s="98"/>
      <c r="KQ22" s="98"/>
      <c r="KR22" s="98"/>
      <c r="KS22" s="98"/>
      <c r="KT22" s="98"/>
      <c r="KU22" s="98"/>
      <c r="KV22" s="98"/>
      <c r="KW22" s="98"/>
      <c r="KX22" s="98"/>
      <c r="KY22" s="98"/>
      <c r="KZ22" s="98"/>
      <c r="LA22" s="98"/>
      <c r="LB22" s="98"/>
      <c r="LC22" s="98"/>
      <c r="LD22" s="98"/>
      <c r="LE22" s="98"/>
      <c r="LF22" s="98"/>
      <c r="LG22" s="98"/>
      <c r="LH22" s="98"/>
      <c r="LI22" s="98"/>
      <c r="LJ22" s="98"/>
      <c r="LK22" s="98"/>
      <c r="LL22" s="98"/>
      <c r="LM22" s="98"/>
      <c r="LN22" s="98"/>
      <c r="LO22" s="98"/>
      <c r="LP22" s="98"/>
      <c r="LQ22" s="98"/>
      <c r="LR22" s="98"/>
      <c r="LS22" s="98"/>
      <c r="LT22" s="98"/>
      <c r="LU22" s="98"/>
      <c r="LV22" s="98"/>
      <c r="LW22" s="98"/>
      <c r="LX22" s="98"/>
      <c r="LY22" s="98"/>
      <c r="LZ22" s="98"/>
      <c r="MA22" s="98"/>
      <c r="MB22" s="98"/>
      <c r="MC22" s="98"/>
      <c r="MD22" s="98"/>
      <c r="ME22" s="98"/>
      <c r="MF22" s="98"/>
      <c r="MG22" s="98"/>
      <c r="MH22" s="98"/>
      <c r="MI22" s="98"/>
      <c r="MJ22" s="98"/>
      <c r="MK22" s="98"/>
      <c r="ML22" s="98"/>
      <c r="MM22" s="98"/>
      <c r="MN22" s="98"/>
      <c r="MO22" s="98"/>
      <c r="MP22" s="98"/>
      <c r="MQ22" s="98"/>
      <c r="MR22" s="98"/>
      <c r="MS22" s="98"/>
      <c r="MT22" s="98"/>
      <c r="MU22" s="98"/>
      <c r="MV22" s="98"/>
      <c r="MW22" s="98"/>
      <c r="MX22" s="98"/>
      <c r="MY22" s="98"/>
      <c r="MZ22" s="98"/>
      <c r="NA22" s="98"/>
      <c r="NB22" s="98"/>
      <c r="NC22" s="98"/>
      <c r="ND22" s="98"/>
      <c r="NE22" s="98"/>
      <c r="NF22" s="98"/>
      <c r="NG22" s="98"/>
      <c r="NH22" s="98"/>
      <c r="NI22" s="98"/>
      <c r="NJ22" s="98"/>
      <c r="NK22" s="98"/>
      <c r="NL22" s="98"/>
      <c r="NM22" s="98"/>
      <c r="NN22" s="98"/>
      <c r="NO22" s="98"/>
      <c r="NP22" s="98"/>
      <c r="NQ22" s="98"/>
      <c r="NR22" s="98"/>
      <c r="NS22" s="98"/>
      <c r="NT22" s="98"/>
      <c r="NU22" s="98"/>
      <c r="NV22" s="98"/>
      <c r="NW22" s="98"/>
      <c r="NX22" s="98"/>
      <c r="NY22" s="98"/>
      <c r="NZ22" s="98"/>
      <c r="OA22" s="98"/>
      <c r="OB22" s="98"/>
      <c r="OC22" s="98"/>
      <c r="OD22" s="98"/>
      <c r="OE22" s="98"/>
      <c r="OF22" s="98"/>
      <c r="OG22" s="98"/>
      <c r="OH22" s="98"/>
      <c r="OI22" s="98"/>
      <c r="OJ22" s="98"/>
      <c r="OK22" s="98"/>
      <c r="OL22" s="98"/>
      <c r="OM22" s="98"/>
      <c r="ON22" s="98"/>
      <c r="OO22" s="98"/>
      <c r="OP22" s="98"/>
      <c r="OQ22" s="98"/>
      <c r="OR22" s="98"/>
      <c r="OS22" s="98"/>
      <c r="OT22" s="98"/>
      <c r="OU22" s="98"/>
      <c r="OV22" s="98"/>
      <c r="OW22" s="98"/>
      <c r="OX22" s="98"/>
      <c r="OY22" s="98"/>
      <c r="OZ22" s="98"/>
      <c r="PA22" s="98"/>
      <c r="PB22" s="98"/>
      <c r="PC22" s="98"/>
      <c r="PD22" s="98"/>
      <c r="PE22" s="98"/>
      <c r="PF22" s="98"/>
      <c r="PG22" s="98"/>
      <c r="PH22" s="98"/>
      <c r="PI22" s="98"/>
      <c r="PJ22" s="98"/>
      <c r="PK22" s="98"/>
      <c r="PL22" s="98"/>
      <c r="PM22" s="98"/>
      <c r="PN22" s="98"/>
      <c r="PO22" s="98"/>
      <c r="PP22" s="98"/>
      <c r="PQ22" s="98"/>
      <c r="PR22" s="98"/>
      <c r="PS22" s="98"/>
      <c r="PT22" s="98"/>
      <c r="PU22" s="98"/>
      <c r="PV22" s="98"/>
      <c r="PW22" s="98"/>
      <c r="PX22" s="98"/>
      <c r="PY22" s="98"/>
      <c r="PZ22" s="98"/>
      <c r="QA22" s="98"/>
      <c r="QB22" s="98"/>
      <c r="QC22" s="98"/>
      <c r="QD22" s="98"/>
      <c r="QE22" s="98"/>
      <c r="QF22" s="98"/>
      <c r="QG22" s="98"/>
      <c r="QH22" s="98"/>
      <c r="QI22" s="98"/>
      <c r="QJ22" s="98"/>
      <c r="QK22" s="98"/>
      <c r="QL22" s="98"/>
      <c r="QM22" s="98"/>
      <c r="QN22" s="98"/>
      <c r="QO22" s="98"/>
      <c r="QP22" s="98"/>
      <c r="QQ22" s="98"/>
      <c r="QR22" s="98"/>
      <c r="QS22" s="98"/>
      <c r="QT22" s="98"/>
      <c r="QU22" s="98"/>
      <c r="QV22" s="98"/>
      <c r="QW22" s="98"/>
      <c r="QX22" s="98"/>
      <c r="QY22" s="98"/>
      <c r="QZ22" s="98"/>
      <c r="RA22" s="98"/>
      <c r="RB22" s="98"/>
      <c r="RC22" s="98"/>
      <c r="RD22" s="98"/>
      <c r="RE22" s="98"/>
      <c r="RF22" s="98"/>
      <c r="RG22" s="98"/>
      <c r="RH22" s="98"/>
      <c r="RI22" s="98"/>
      <c r="RJ22" s="98"/>
      <c r="RK22" s="98"/>
      <c r="RL22" s="98"/>
      <c r="RM22" s="98"/>
      <c r="RN22" s="98"/>
      <c r="RO22" s="98"/>
      <c r="RP22" s="98"/>
      <c r="RQ22" s="98"/>
      <c r="RR22" s="98"/>
      <c r="RS22" s="98"/>
      <c r="RT22" s="98"/>
      <c r="RU22" s="98"/>
      <c r="RV22" s="98"/>
      <c r="RW22" s="98"/>
      <c r="RX22" s="98"/>
      <c r="RY22" s="98"/>
      <c r="RZ22" s="98"/>
      <c r="SA22" s="98"/>
      <c r="SB22" s="98"/>
      <c r="SC22" s="98"/>
      <c r="SD22" s="98"/>
      <c r="SE22" s="98"/>
      <c r="SF22" s="98"/>
      <c r="SG22" s="98"/>
      <c r="SH22" s="98"/>
      <c r="SI22" s="98"/>
      <c r="SJ22" s="98"/>
      <c r="SK22" s="98"/>
      <c r="SL22" s="98"/>
      <c r="SM22" s="98"/>
      <c r="SN22" s="98"/>
      <c r="SO22" s="98"/>
      <c r="SP22" s="98"/>
      <c r="SQ22" s="98"/>
      <c r="SR22" s="98"/>
      <c r="SS22" s="98"/>
      <c r="ST22" s="98"/>
      <c r="SU22" s="98"/>
      <c r="SV22" s="98"/>
      <c r="SW22" s="98"/>
      <c r="SX22" s="98"/>
      <c r="SY22" s="98"/>
      <c r="SZ22" s="98"/>
      <c r="TA22" s="98"/>
      <c r="TB22" s="98"/>
      <c r="TC22" s="98"/>
      <c r="TD22" s="98"/>
      <c r="TE22" s="98"/>
      <c r="TF22" s="98"/>
      <c r="TG22" s="98"/>
      <c r="TH22" s="98"/>
      <c r="TI22" s="98"/>
      <c r="TJ22" s="98"/>
      <c r="TK22" s="98"/>
      <c r="TL22" s="98"/>
      <c r="TM22" s="98"/>
      <c r="TN22" s="98"/>
      <c r="TO22" s="98"/>
      <c r="TP22" s="98"/>
      <c r="TQ22" s="98"/>
      <c r="TR22" s="98"/>
      <c r="TS22" s="98"/>
      <c r="TT22" s="98"/>
      <c r="TU22" s="98"/>
      <c r="TV22" s="98"/>
      <c r="TW22" s="98"/>
      <c r="TX22" s="98"/>
      <c r="TY22" s="98"/>
      <c r="TZ22" s="98"/>
      <c r="UA22" s="98"/>
      <c r="UB22" s="98"/>
      <c r="UC22" s="98"/>
      <c r="UD22" s="98"/>
      <c r="UE22" s="98"/>
      <c r="UF22" s="98"/>
      <c r="UG22" s="98"/>
      <c r="UH22" s="98"/>
      <c r="UI22" s="98"/>
      <c r="UJ22" s="98"/>
      <c r="UK22" s="98"/>
      <c r="UL22" s="98"/>
      <c r="UM22" s="98"/>
      <c r="UN22" s="98"/>
      <c r="UO22" s="98"/>
      <c r="UP22" s="98"/>
      <c r="UQ22" s="98"/>
      <c r="UR22" s="98"/>
      <c r="US22" s="98"/>
      <c r="UT22" s="98"/>
      <c r="UU22" s="98"/>
      <c r="UV22" s="98"/>
      <c r="UW22" s="98"/>
      <c r="UX22" s="98"/>
      <c r="UY22" s="98"/>
      <c r="UZ22" s="98"/>
      <c r="VA22" s="98"/>
      <c r="VB22" s="98"/>
      <c r="VC22" s="98"/>
      <c r="VD22" s="98"/>
      <c r="VE22" s="98"/>
      <c r="VF22" s="98"/>
      <c r="VG22" s="98"/>
      <c r="VH22" s="98"/>
      <c r="VI22" s="98"/>
      <c r="VJ22" s="98"/>
      <c r="VK22" s="98"/>
      <c r="VL22" s="98"/>
      <c r="VM22" s="98"/>
      <c r="VN22" s="98"/>
      <c r="VO22" s="98"/>
      <c r="VP22" s="98"/>
      <c r="VQ22" s="98"/>
      <c r="VR22" s="98"/>
      <c r="VS22" s="98"/>
      <c r="VT22" s="98"/>
      <c r="VU22" s="98"/>
      <c r="VV22" s="98"/>
      <c r="VW22" s="98"/>
      <c r="VX22" s="98"/>
      <c r="VY22" s="98"/>
      <c r="VZ22" s="98"/>
      <c r="WA22" s="98"/>
      <c r="WB22" s="98"/>
      <c r="WC22" s="98"/>
      <c r="WD22" s="98"/>
      <c r="WE22" s="98"/>
      <c r="WF22" s="98"/>
    </row>
    <row r="23" spans="1:604" ht="17.25" customHeight="1" x14ac:dyDescent="0.3">
      <c r="A23" s="25" t="e">
        <f>IF(契約詳細價目表!A23="",NA(),契約詳細價目表!A23)</f>
        <v>#N/A</v>
      </c>
      <c r="B23" s="26" t="e">
        <f>IF(契約詳細價目表!B23="",NA(),契約詳細價目表!B23)</f>
        <v>#N/A</v>
      </c>
      <c r="C23" s="25" t="e">
        <f>IF(契約詳細價目表!C23="",NA(),契約詳細價目表!C23)</f>
        <v>#N/A</v>
      </c>
      <c r="D23" s="27" t="e">
        <f>IF(契約詳細價目表!D23="",NA(),契約詳細價目表!D23)</f>
        <v>#N/A</v>
      </c>
      <c r="E23" s="28" t="e">
        <f>IF(契約詳細價目表!E23="",NA(),契約詳細價目表!E23)</f>
        <v>#N/A</v>
      </c>
      <c r="F23" s="28">
        <f>IF(契約詳細價目表!F23="",NA(),契約詳細價目表!F23)</f>
        <v>0</v>
      </c>
      <c r="G23" s="27">
        <f t="shared" si="536"/>
        <v>0</v>
      </c>
      <c r="H23" s="28" t="e">
        <f t="shared" si="537"/>
        <v>#N/A</v>
      </c>
      <c r="I23" s="47" t="e">
        <f t="shared" si="535"/>
        <v>#N/A</v>
      </c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5"/>
      <c r="BY23" s="85"/>
      <c r="BZ23" s="85"/>
      <c r="CA23" s="85"/>
      <c r="CB23" s="85"/>
      <c r="CC23" s="85"/>
      <c r="CD23" s="85"/>
      <c r="CE23" s="85"/>
      <c r="CF23" s="85"/>
      <c r="CG23" s="85"/>
      <c r="CH23" s="85"/>
      <c r="CI23" s="85"/>
      <c r="CJ23" s="85"/>
      <c r="CK23" s="85"/>
      <c r="CL23" s="85"/>
      <c r="CM23" s="85"/>
      <c r="CN23" s="85"/>
      <c r="CO23" s="85"/>
      <c r="CP23" s="85"/>
      <c r="CQ23" s="85"/>
      <c r="CR23" s="85"/>
      <c r="CS23" s="85"/>
      <c r="CT23" s="85"/>
      <c r="CU23" s="85"/>
      <c r="CV23" s="85"/>
      <c r="CW23" s="85"/>
      <c r="CX23" s="85"/>
      <c r="CY23" s="85"/>
      <c r="CZ23" s="85"/>
      <c r="DA23" s="85"/>
      <c r="DB23" s="85"/>
      <c r="DC23" s="85"/>
      <c r="DD23" s="85"/>
      <c r="DE23" s="85"/>
      <c r="DF23" s="85"/>
      <c r="DG23" s="85"/>
      <c r="DH23" s="85"/>
      <c r="DI23" s="85"/>
      <c r="DJ23" s="85"/>
      <c r="DK23" s="85"/>
      <c r="DL23" s="85"/>
      <c r="DM23" s="85"/>
      <c r="DN23" s="85"/>
      <c r="DO23" s="85"/>
      <c r="DP23" s="85"/>
      <c r="DQ23" s="85"/>
      <c r="DR23" s="85"/>
      <c r="DS23" s="85"/>
      <c r="DT23" s="85"/>
      <c r="DU23" s="85"/>
      <c r="DV23" s="85"/>
      <c r="DW23" s="85"/>
      <c r="DX23" s="85"/>
      <c r="DY23" s="85"/>
      <c r="DZ23" s="85"/>
      <c r="EA23" s="85"/>
      <c r="EB23" s="85"/>
      <c r="EC23" s="85"/>
      <c r="ED23" s="85"/>
      <c r="EE23" s="85"/>
      <c r="EF23" s="85"/>
      <c r="EG23" s="85"/>
      <c r="EH23" s="85"/>
      <c r="EI23" s="85"/>
      <c r="EJ23" s="85"/>
      <c r="EK23" s="85"/>
      <c r="EL23" s="85"/>
      <c r="EM23" s="85"/>
      <c r="EN23" s="85"/>
      <c r="EO23" s="85"/>
      <c r="EP23" s="85"/>
      <c r="EQ23" s="85"/>
      <c r="ER23" s="85"/>
      <c r="ES23" s="85"/>
      <c r="ET23" s="85"/>
      <c r="EU23" s="85"/>
      <c r="EV23" s="85"/>
      <c r="EW23" s="85"/>
      <c r="EX23" s="85"/>
      <c r="EY23" s="85"/>
      <c r="EZ23" s="85"/>
      <c r="FA23" s="85"/>
      <c r="FB23" s="85"/>
      <c r="FC23" s="85"/>
      <c r="FD23" s="85"/>
      <c r="FE23" s="85"/>
      <c r="FF23" s="85"/>
      <c r="FG23" s="85"/>
      <c r="FH23" s="85"/>
      <c r="FI23" s="85"/>
      <c r="FJ23" s="85"/>
      <c r="FK23" s="85"/>
      <c r="FL23" s="85"/>
      <c r="FM23" s="85"/>
      <c r="FN23" s="85"/>
      <c r="FO23" s="85"/>
      <c r="FP23" s="85"/>
      <c r="FQ23" s="85"/>
      <c r="FR23" s="85"/>
      <c r="FS23" s="85"/>
      <c r="FT23" s="85"/>
      <c r="FU23" s="83"/>
      <c r="FV23" s="83"/>
      <c r="FW23" s="83"/>
      <c r="FX23" s="83"/>
      <c r="FY23" s="83"/>
      <c r="FZ23" s="83"/>
      <c r="GA23" s="83"/>
      <c r="GB23" s="83"/>
      <c r="GC23" s="83"/>
      <c r="GD23" s="83"/>
      <c r="GE23" s="83"/>
      <c r="GF23" s="83"/>
      <c r="GG23" s="83"/>
      <c r="GH23" s="83"/>
      <c r="GI23" s="83"/>
      <c r="GJ23" s="83"/>
      <c r="GK23" s="83"/>
      <c r="GL23" s="83"/>
      <c r="GM23" s="83"/>
      <c r="GN23" s="83"/>
      <c r="GO23" s="83"/>
      <c r="GP23" s="83"/>
      <c r="GQ23" s="83"/>
      <c r="GR23" s="83"/>
      <c r="GS23" s="83"/>
      <c r="GT23" s="83"/>
      <c r="GU23" s="83"/>
      <c r="GV23" s="83"/>
      <c r="GW23" s="83"/>
      <c r="GX23" s="83"/>
      <c r="GY23" s="83"/>
      <c r="GZ23" s="83"/>
      <c r="HA23" s="83"/>
      <c r="HB23" s="83"/>
      <c r="HC23" s="83"/>
      <c r="HD23" s="83"/>
      <c r="HE23" s="83"/>
      <c r="HF23" s="83"/>
      <c r="HG23" s="83"/>
      <c r="HH23" s="83"/>
      <c r="HI23" s="83"/>
      <c r="HJ23" s="83"/>
      <c r="HK23" s="83"/>
      <c r="HL23" s="83"/>
      <c r="HM23" s="83"/>
      <c r="HN23" s="83"/>
      <c r="HO23" s="83"/>
      <c r="HP23" s="83"/>
      <c r="HQ23" s="83"/>
      <c r="HR23" s="83"/>
      <c r="HS23" s="83"/>
      <c r="HT23" s="83"/>
      <c r="HU23" s="83"/>
      <c r="HV23" s="83"/>
      <c r="HW23" s="83"/>
      <c r="HX23" s="83"/>
      <c r="HY23" s="83"/>
      <c r="HZ23" s="83"/>
      <c r="IA23" s="83"/>
      <c r="IB23" s="83"/>
      <c r="IC23" s="83"/>
      <c r="ID23" s="83"/>
      <c r="IE23" s="83"/>
      <c r="IF23" s="83"/>
      <c r="IG23" s="83"/>
      <c r="IH23" s="83"/>
      <c r="II23" s="83"/>
      <c r="IJ23" s="83"/>
      <c r="IK23" s="83"/>
      <c r="IL23" s="83"/>
      <c r="IM23" s="83"/>
      <c r="IN23" s="83"/>
      <c r="IO23" s="83"/>
      <c r="IP23" s="83"/>
      <c r="IQ23" s="83"/>
      <c r="IR23" s="83"/>
      <c r="IS23" s="83"/>
      <c r="IT23" s="83"/>
      <c r="IU23" s="83"/>
      <c r="IV23" s="83"/>
      <c r="IW23" s="83"/>
      <c r="IX23" s="83"/>
      <c r="IY23" s="83"/>
      <c r="IZ23" s="83"/>
      <c r="JA23" s="83"/>
      <c r="JB23" s="83"/>
      <c r="JC23" s="83"/>
      <c r="JD23" s="83"/>
      <c r="JE23" s="83"/>
      <c r="JF23" s="83"/>
      <c r="JG23" s="83"/>
      <c r="JH23" s="83"/>
      <c r="JI23" s="83"/>
      <c r="JJ23" s="83"/>
      <c r="JK23" s="83"/>
      <c r="JL23" s="83"/>
      <c r="JM23" s="83"/>
      <c r="JN23" s="83"/>
      <c r="JO23" s="83"/>
      <c r="JP23" s="83"/>
      <c r="JQ23" s="83"/>
      <c r="JR23" s="83"/>
      <c r="JS23" s="83"/>
      <c r="JT23" s="83"/>
      <c r="JU23" s="83"/>
      <c r="JV23" s="83"/>
      <c r="JW23" s="83"/>
      <c r="JX23" s="83"/>
      <c r="JY23" s="83"/>
      <c r="JZ23" s="83"/>
      <c r="KA23" s="83"/>
      <c r="KB23" s="83"/>
      <c r="KC23" s="83"/>
      <c r="KD23" s="83"/>
      <c r="KE23" s="83"/>
      <c r="KF23" s="83"/>
      <c r="KG23" s="83"/>
      <c r="KH23" s="83"/>
      <c r="KI23" s="83"/>
      <c r="KJ23" s="83"/>
      <c r="KK23" s="83"/>
      <c r="KL23" s="83"/>
      <c r="KM23" s="83"/>
      <c r="KN23" s="83"/>
      <c r="KO23" s="83"/>
      <c r="KP23" s="83"/>
      <c r="KQ23" s="83"/>
      <c r="KR23" s="83"/>
      <c r="KS23" s="83"/>
      <c r="KT23" s="83"/>
      <c r="KU23" s="83"/>
      <c r="KV23" s="83"/>
      <c r="KW23" s="83"/>
      <c r="KX23" s="83"/>
      <c r="KY23" s="83"/>
      <c r="KZ23" s="83"/>
      <c r="LA23" s="83"/>
      <c r="LB23" s="83"/>
      <c r="LC23" s="83"/>
      <c r="LD23" s="83"/>
      <c r="LE23" s="83"/>
      <c r="LF23" s="83"/>
      <c r="LG23" s="83"/>
      <c r="LH23" s="83"/>
      <c r="LI23" s="83"/>
      <c r="LJ23" s="83"/>
      <c r="LK23" s="83"/>
      <c r="LL23" s="83"/>
      <c r="LM23" s="83"/>
      <c r="LN23" s="83"/>
      <c r="LO23" s="83"/>
      <c r="LP23" s="83"/>
      <c r="LQ23" s="83"/>
      <c r="LR23" s="83"/>
      <c r="LS23" s="83"/>
      <c r="LT23" s="83"/>
      <c r="LU23" s="83"/>
      <c r="LV23" s="83"/>
      <c r="LW23" s="83"/>
      <c r="LX23" s="83"/>
      <c r="LY23" s="83"/>
      <c r="LZ23" s="83"/>
      <c r="MA23" s="83"/>
      <c r="MB23" s="83"/>
      <c r="MC23" s="83"/>
      <c r="MD23" s="83"/>
      <c r="ME23" s="83"/>
      <c r="MF23" s="83"/>
      <c r="MG23" s="83"/>
      <c r="MH23" s="83"/>
      <c r="MI23" s="83"/>
      <c r="MJ23" s="83"/>
      <c r="MK23" s="83"/>
      <c r="ML23" s="83"/>
      <c r="MM23" s="83"/>
      <c r="MN23" s="83"/>
      <c r="MO23" s="83"/>
      <c r="MP23" s="83"/>
      <c r="MQ23" s="83"/>
      <c r="MR23" s="83"/>
      <c r="MS23" s="83"/>
      <c r="MT23" s="83"/>
      <c r="MU23" s="83"/>
      <c r="MV23" s="83"/>
      <c r="MW23" s="83"/>
      <c r="MX23" s="83"/>
      <c r="MY23" s="83"/>
      <c r="MZ23" s="83"/>
      <c r="NA23" s="83"/>
      <c r="NB23" s="83"/>
      <c r="NC23" s="83"/>
      <c r="ND23" s="83"/>
      <c r="NE23" s="83"/>
      <c r="NF23" s="83"/>
      <c r="NG23" s="83"/>
      <c r="NH23" s="83"/>
      <c r="NI23" s="83"/>
      <c r="NJ23" s="83"/>
      <c r="NK23" s="83"/>
      <c r="NL23" s="83"/>
      <c r="NM23" s="83"/>
      <c r="NN23" s="83"/>
      <c r="NO23" s="83"/>
      <c r="NP23" s="83"/>
      <c r="NQ23" s="83"/>
      <c r="NR23" s="83"/>
      <c r="NS23" s="83"/>
      <c r="NT23" s="83"/>
      <c r="NU23" s="83"/>
      <c r="NV23" s="83"/>
      <c r="NW23" s="83"/>
      <c r="NX23" s="83"/>
      <c r="NY23" s="83"/>
      <c r="NZ23" s="83"/>
      <c r="OA23" s="83"/>
      <c r="OB23" s="83"/>
      <c r="OC23" s="83"/>
      <c r="OD23" s="83"/>
      <c r="OE23" s="83"/>
      <c r="OF23" s="83"/>
      <c r="OG23" s="83"/>
      <c r="OH23" s="83"/>
      <c r="OI23" s="83"/>
      <c r="OJ23" s="83"/>
      <c r="OK23" s="83"/>
      <c r="OL23" s="83"/>
      <c r="OM23" s="83"/>
      <c r="ON23" s="83"/>
      <c r="OO23" s="83"/>
      <c r="OP23" s="83"/>
      <c r="OQ23" s="83"/>
      <c r="OR23" s="83"/>
      <c r="OS23" s="83"/>
      <c r="OT23" s="83"/>
      <c r="OU23" s="83"/>
      <c r="OV23" s="83"/>
      <c r="OW23" s="83"/>
      <c r="OX23" s="83"/>
      <c r="OY23" s="83"/>
      <c r="OZ23" s="83"/>
      <c r="PA23" s="83"/>
      <c r="PB23" s="83"/>
      <c r="PC23" s="83"/>
      <c r="PD23" s="83"/>
      <c r="PE23" s="83"/>
      <c r="PF23" s="83"/>
      <c r="PG23" s="83"/>
      <c r="PH23" s="83"/>
      <c r="PI23" s="83"/>
      <c r="PJ23" s="83"/>
      <c r="PK23" s="83"/>
      <c r="PL23" s="83"/>
      <c r="PM23" s="83"/>
      <c r="PN23" s="83"/>
      <c r="PO23" s="83"/>
      <c r="PP23" s="83"/>
      <c r="PQ23" s="83"/>
      <c r="PR23" s="83"/>
      <c r="PS23" s="83"/>
      <c r="PT23" s="83"/>
      <c r="PU23" s="83"/>
      <c r="PV23" s="83"/>
      <c r="PW23" s="83"/>
      <c r="PX23" s="83"/>
      <c r="PY23" s="83"/>
      <c r="PZ23" s="83"/>
      <c r="QA23" s="83"/>
      <c r="QB23" s="83"/>
      <c r="QC23" s="83"/>
      <c r="QD23" s="83"/>
      <c r="QE23" s="83"/>
      <c r="QF23" s="83"/>
      <c r="QG23" s="83"/>
      <c r="QH23" s="83"/>
      <c r="QI23" s="83"/>
      <c r="QJ23" s="83"/>
      <c r="QK23" s="83"/>
      <c r="QL23" s="83"/>
      <c r="QM23" s="83"/>
      <c r="QN23" s="83"/>
      <c r="QO23" s="83"/>
      <c r="QP23" s="83"/>
      <c r="QQ23" s="83"/>
      <c r="QR23" s="83"/>
      <c r="QS23" s="83"/>
      <c r="QT23" s="83"/>
      <c r="QU23" s="83"/>
      <c r="QV23" s="83"/>
      <c r="QW23" s="83"/>
      <c r="QX23" s="83"/>
      <c r="QY23" s="83"/>
      <c r="QZ23" s="83"/>
      <c r="RA23" s="83"/>
      <c r="RB23" s="83"/>
      <c r="RC23" s="83"/>
      <c r="RD23" s="83"/>
      <c r="RE23" s="83"/>
      <c r="RF23" s="83"/>
      <c r="RG23" s="83"/>
      <c r="RH23" s="83"/>
      <c r="RI23" s="83"/>
      <c r="RJ23" s="83"/>
      <c r="RK23" s="83"/>
      <c r="RL23" s="83"/>
      <c r="RM23" s="83"/>
      <c r="RN23" s="83"/>
      <c r="RO23" s="83"/>
      <c r="RP23" s="83"/>
      <c r="RQ23" s="83"/>
      <c r="RR23" s="83"/>
      <c r="RS23" s="83"/>
      <c r="RT23" s="83"/>
      <c r="RU23" s="83"/>
      <c r="RV23" s="83"/>
      <c r="RW23" s="83"/>
      <c r="RX23" s="83"/>
      <c r="RY23" s="83"/>
      <c r="RZ23" s="83"/>
      <c r="SA23" s="83"/>
      <c r="SB23" s="83"/>
      <c r="SC23" s="83"/>
      <c r="SD23" s="83"/>
      <c r="SE23" s="83"/>
      <c r="SF23" s="83"/>
      <c r="SG23" s="83"/>
      <c r="SH23" s="83"/>
      <c r="SI23" s="83"/>
      <c r="SJ23" s="83"/>
      <c r="SK23" s="83"/>
      <c r="SL23" s="83"/>
      <c r="SM23" s="83"/>
      <c r="SN23" s="83"/>
      <c r="SO23" s="83"/>
      <c r="SP23" s="83"/>
      <c r="SQ23" s="83"/>
      <c r="SR23" s="83"/>
      <c r="SS23" s="83"/>
      <c r="ST23" s="83"/>
      <c r="SU23" s="83"/>
      <c r="SV23" s="83"/>
      <c r="SW23" s="83"/>
      <c r="SX23" s="83"/>
      <c r="SY23" s="83"/>
      <c r="SZ23" s="83"/>
      <c r="TA23" s="83"/>
      <c r="TB23" s="83"/>
      <c r="TC23" s="83"/>
      <c r="TD23" s="83"/>
      <c r="TE23" s="83"/>
      <c r="TF23" s="83"/>
      <c r="TG23" s="83"/>
      <c r="TH23" s="83"/>
      <c r="TI23" s="83"/>
      <c r="TJ23" s="83"/>
      <c r="TK23" s="83"/>
      <c r="TL23" s="83"/>
      <c r="TM23" s="83"/>
      <c r="TN23" s="83"/>
      <c r="TO23" s="83"/>
      <c r="TP23" s="83"/>
      <c r="TQ23" s="83"/>
      <c r="TR23" s="83"/>
      <c r="TS23" s="83"/>
      <c r="TT23" s="83"/>
      <c r="TU23" s="83"/>
      <c r="TV23" s="83"/>
      <c r="TW23" s="83"/>
      <c r="TX23" s="83"/>
      <c r="TY23" s="83"/>
      <c r="TZ23" s="83"/>
      <c r="UA23" s="83"/>
      <c r="UB23" s="83"/>
      <c r="UC23" s="83"/>
      <c r="UD23" s="83"/>
      <c r="UE23" s="83"/>
      <c r="UF23" s="83"/>
      <c r="UG23" s="83"/>
      <c r="UH23" s="83"/>
      <c r="UI23" s="83"/>
      <c r="UJ23" s="83"/>
      <c r="UK23" s="83"/>
      <c r="UL23" s="83"/>
      <c r="UM23" s="83"/>
      <c r="UN23" s="83"/>
      <c r="UO23" s="83"/>
      <c r="UP23" s="83"/>
      <c r="UQ23" s="83"/>
      <c r="UR23" s="83"/>
      <c r="US23" s="83"/>
      <c r="UT23" s="83"/>
      <c r="UU23" s="83"/>
      <c r="UV23" s="83"/>
      <c r="UW23" s="83"/>
      <c r="UX23" s="83"/>
      <c r="UY23" s="83"/>
      <c r="UZ23" s="83"/>
      <c r="VA23" s="83"/>
      <c r="VB23" s="83"/>
      <c r="VC23" s="83"/>
      <c r="VD23" s="83"/>
      <c r="VE23" s="83"/>
      <c r="VF23" s="83"/>
      <c r="VG23" s="83"/>
      <c r="VH23" s="83"/>
      <c r="VI23" s="83"/>
      <c r="VJ23" s="83"/>
      <c r="VK23" s="83"/>
      <c r="VL23" s="83"/>
      <c r="VM23" s="83"/>
      <c r="VN23" s="83"/>
      <c r="VO23" s="83"/>
      <c r="VP23" s="83"/>
      <c r="VQ23" s="83"/>
      <c r="VR23" s="83"/>
      <c r="VS23" s="83"/>
      <c r="VT23" s="83"/>
      <c r="VU23" s="83"/>
      <c r="VV23" s="83"/>
      <c r="VW23" s="83"/>
      <c r="VX23" s="83"/>
      <c r="VY23" s="83"/>
      <c r="VZ23" s="83"/>
      <c r="WA23" s="83"/>
      <c r="WB23" s="83"/>
      <c r="WC23" s="83"/>
      <c r="WD23" s="83"/>
      <c r="WE23" s="83"/>
      <c r="WF23" s="83"/>
    </row>
    <row r="24" spans="1:604" ht="24" customHeight="1" x14ac:dyDescent="0.3">
      <c r="A24" s="25" t="e">
        <f>IF(契約詳細價目表!A24="",NA(),契約詳細價目表!A24)</f>
        <v>#N/A</v>
      </c>
      <c r="B24" s="26" t="e">
        <f>IF(契約詳細價目表!B24="",NA(),契約詳細價目表!B24)</f>
        <v>#N/A</v>
      </c>
      <c r="C24" s="25" t="e">
        <f>IF(契約詳細價目表!C24="",NA(),契約詳細價目表!C24)</f>
        <v>#N/A</v>
      </c>
      <c r="D24" s="27" t="e">
        <f>IF(契約詳細價目表!D24="",NA(),契約詳細價目表!D24)</f>
        <v>#N/A</v>
      </c>
      <c r="E24" s="28" t="e">
        <f>IF(契約詳細價目表!E24="",NA(),契約詳細價目表!E24)</f>
        <v>#N/A</v>
      </c>
      <c r="F24" s="28">
        <f>IF(契約詳細價目表!F24="",NA(),契約詳細價目表!F24)</f>
        <v>0</v>
      </c>
      <c r="G24" s="27">
        <f t="shared" si="536"/>
        <v>0</v>
      </c>
      <c r="H24" s="28" t="e">
        <f t="shared" si="537"/>
        <v>#N/A</v>
      </c>
      <c r="I24" s="47" t="e">
        <f t="shared" si="535"/>
        <v>#N/A</v>
      </c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  <c r="DF24" s="85"/>
      <c r="DG24" s="85"/>
      <c r="DH24" s="85"/>
      <c r="DI24" s="85"/>
      <c r="DJ24" s="85"/>
      <c r="DK24" s="85"/>
      <c r="DL24" s="85"/>
      <c r="DM24" s="85"/>
      <c r="DN24" s="85"/>
      <c r="DO24" s="85"/>
      <c r="DP24" s="85"/>
      <c r="DQ24" s="85"/>
      <c r="DR24" s="85"/>
      <c r="DS24" s="85"/>
      <c r="DT24" s="85"/>
      <c r="DU24" s="85"/>
      <c r="DV24" s="85"/>
      <c r="DW24" s="85"/>
      <c r="DX24" s="85"/>
      <c r="DY24" s="85"/>
      <c r="DZ24" s="85"/>
      <c r="EA24" s="85"/>
      <c r="EB24" s="85"/>
      <c r="EC24" s="85"/>
      <c r="ED24" s="85"/>
      <c r="EE24" s="85"/>
      <c r="EF24" s="85"/>
      <c r="EG24" s="85"/>
      <c r="EH24" s="85"/>
      <c r="EI24" s="85"/>
      <c r="EJ24" s="85"/>
      <c r="EK24" s="85"/>
      <c r="EL24" s="85"/>
      <c r="EM24" s="85"/>
      <c r="EN24" s="85"/>
      <c r="EO24" s="85"/>
      <c r="EP24" s="85"/>
      <c r="EQ24" s="85"/>
      <c r="ER24" s="85"/>
      <c r="ES24" s="85"/>
      <c r="ET24" s="85"/>
      <c r="EU24" s="85"/>
      <c r="EV24" s="85"/>
      <c r="EW24" s="85"/>
      <c r="EX24" s="85"/>
      <c r="EY24" s="85"/>
      <c r="EZ24" s="85"/>
      <c r="FA24" s="85"/>
      <c r="FB24" s="85"/>
      <c r="FC24" s="85"/>
      <c r="FD24" s="85"/>
      <c r="FE24" s="85"/>
      <c r="FF24" s="85"/>
      <c r="FG24" s="85"/>
      <c r="FH24" s="85"/>
      <c r="FI24" s="85"/>
      <c r="FJ24" s="85"/>
      <c r="FK24" s="85"/>
      <c r="FL24" s="85"/>
      <c r="FM24" s="85"/>
      <c r="FN24" s="85"/>
      <c r="FO24" s="85"/>
      <c r="FP24" s="85"/>
      <c r="FQ24" s="85"/>
      <c r="FR24" s="85"/>
      <c r="FS24" s="85"/>
      <c r="FT24" s="85"/>
      <c r="FU24" s="83"/>
      <c r="FV24" s="83"/>
      <c r="FW24" s="83"/>
      <c r="FX24" s="83"/>
      <c r="FY24" s="83"/>
      <c r="FZ24" s="83"/>
      <c r="GA24" s="83"/>
      <c r="GB24" s="83"/>
      <c r="GC24" s="83"/>
      <c r="GD24" s="83"/>
      <c r="GE24" s="83"/>
      <c r="GF24" s="83"/>
      <c r="GG24" s="83"/>
      <c r="GH24" s="83"/>
      <c r="GI24" s="83"/>
      <c r="GJ24" s="83"/>
      <c r="GK24" s="83"/>
      <c r="GL24" s="83"/>
      <c r="GM24" s="83"/>
      <c r="GN24" s="83"/>
      <c r="GO24" s="83"/>
      <c r="GP24" s="83"/>
      <c r="GQ24" s="83"/>
      <c r="GR24" s="83"/>
      <c r="GS24" s="83"/>
      <c r="GT24" s="83"/>
      <c r="GU24" s="83"/>
      <c r="GV24" s="83"/>
      <c r="GW24" s="83"/>
      <c r="GX24" s="83"/>
      <c r="GY24" s="83"/>
      <c r="GZ24" s="83"/>
      <c r="HA24" s="83"/>
      <c r="HB24" s="83"/>
      <c r="HC24" s="83"/>
      <c r="HD24" s="83"/>
      <c r="HE24" s="83"/>
      <c r="HF24" s="83"/>
      <c r="HG24" s="83"/>
      <c r="HH24" s="83"/>
      <c r="HI24" s="83"/>
      <c r="HJ24" s="83"/>
      <c r="HK24" s="83"/>
      <c r="HL24" s="83"/>
      <c r="HM24" s="83"/>
      <c r="HN24" s="83"/>
      <c r="HO24" s="83"/>
      <c r="HP24" s="83"/>
      <c r="HQ24" s="83"/>
      <c r="HR24" s="83"/>
      <c r="HS24" s="83"/>
      <c r="HT24" s="83"/>
      <c r="HU24" s="83"/>
      <c r="HV24" s="83"/>
      <c r="HW24" s="83"/>
      <c r="HX24" s="83"/>
      <c r="HY24" s="83"/>
      <c r="HZ24" s="83"/>
      <c r="IA24" s="83"/>
      <c r="IB24" s="83"/>
      <c r="IC24" s="83"/>
      <c r="ID24" s="83"/>
      <c r="IE24" s="83"/>
      <c r="IF24" s="83"/>
      <c r="IG24" s="83"/>
      <c r="IH24" s="83"/>
      <c r="II24" s="83"/>
      <c r="IJ24" s="83"/>
      <c r="IK24" s="83"/>
      <c r="IL24" s="83"/>
      <c r="IM24" s="83"/>
      <c r="IN24" s="83"/>
      <c r="IO24" s="83"/>
      <c r="IP24" s="83"/>
      <c r="IQ24" s="83"/>
      <c r="IR24" s="83"/>
      <c r="IS24" s="83"/>
      <c r="IT24" s="83"/>
      <c r="IU24" s="83"/>
      <c r="IV24" s="83"/>
      <c r="IW24" s="83"/>
      <c r="IX24" s="83"/>
      <c r="IY24" s="83"/>
      <c r="IZ24" s="83"/>
      <c r="JA24" s="83"/>
      <c r="JB24" s="83"/>
      <c r="JC24" s="83"/>
      <c r="JD24" s="83"/>
      <c r="JE24" s="83"/>
      <c r="JF24" s="83"/>
      <c r="JG24" s="83"/>
      <c r="JH24" s="83"/>
      <c r="JI24" s="83"/>
      <c r="JJ24" s="83"/>
      <c r="JK24" s="83"/>
      <c r="JL24" s="83"/>
      <c r="JM24" s="83"/>
      <c r="JN24" s="83"/>
      <c r="JO24" s="83"/>
      <c r="JP24" s="83"/>
      <c r="JQ24" s="83"/>
      <c r="JR24" s="83"/>
      <c r="JS24" s="83"/>
      <c r="JT24" s="83"/>
      <c r="JU24" s="83"/>
      <c r="JV24" s="83"/>
      <c r="JW24" s="83"/>
      <c r="JX24" s="83"/>
      <c r="JY24" s="83"/>
      <c r="JZ24" s="83"/>
      <c r="KA24" s="83"/>
      <c r="KB24" s="83"/>
      <c r="KC24" s="83"/>
      <c r="KD24" s="83"/>
      <c r="KE24" s="83"/>
      <c r="KF24" s="83"/>
      <c r="KG24" s="83"/>
      <c r="KH24" s="83"/>
      <c r="KI24" s="83"/>
      <c r="KJ24" s="83"/>
      <c r="KK24" s="83"/>
      <c r="KL24" s="83"/>
      <c r="KM24" s="83"/>
      <c r="KN24" s="83"/>
      <c r="KO24" s="83"/>
      <c r="KP24" s="83"/>
      <c r="KQ24" s="83"/>
      <c r="KR24" s="83"/>
      <c r="KS24" s="83"/>
      <c r="KT24" s="83"/>
      <c r="KU24" s="83"/>
      <c r="KV24" s="83"/>
      <c r="KW24" s="83"/>
      <c r="KX24" s="83"/>
      <c r="KY24" s="83"/>
      <c r="KZ24" s="83"/>
      <c r="LA24" s="83"/>
      <c r="LB24" s="83"/>
      <c r="LC24" s="83"/>
      <c r="LD24" s="83"/>
      <c r="LE24" s="83"/>
      <c r="LF24" s="83"/>
      <c r="LG24" s="83"/>
      <c r="LH24" s="83"/>
      <c r="LI24" s="83"/>
      <c r="LJ24" s="83"/>
      <c r="LK24" s="83"/>
      <c r="LL24" s="83"/>
      <c r="LM24" s="83"/>
      <c r="LN24" s="83"/>
      <c r="LO24" s="83"/>
      <c r="LP24" s="83"/>
      <c r="LQ24" s="83"/>
      <c r="LR24" s="83"/>
      <c r="LS24" s="83"/>
      <c r="LT24" s="83"/>
      <c r="LU24" s="83"/>
      <c r="LV24" s="83"/>
      <c r="LW24" s="83"/>
      <c r="LX24" s="83"/>
      <c r="LY24" s="83"/>
      <c r="LZ24" s="83"/>
      <c r="MA24" s="83"/>
      <c r="MB24" s="83"/>
      <c r="MC24" s="83"/>
      <c r="MD24" s="83"/>
      <c r="ME24" s="83"/>
      <c r="MF24" s="83"/>
      <c r="MG24" s="83"/>
      <c r="MH24" s="83"/>
      <c r="MI24" s="83"/>
      <c r="MJ24" s="83"/>
      <c r="MK24" s="83"/>
      <c r="ML24" s="83"/>
      <c r="MM24" s="83"/>
      <c r="MN24" s="83"/>
      <c r="MO24" s="83"/>
      <c r="MP24" s="83"/>
      <c r="MQ24" s="83"/>
      <c r="MR24" s="83"/>
      <c r="MS24" s="83"/>
      <c r="MT24" s="83"/>
      <c r="MU24" s="83"/>
      <c r="MV24" s="83"/>
      <c r="MW24" s="83"/>
      <c r="MX24" s="83"/>
      <c r="MY24" s="83"/>
      <c r="MZ24" s="83"/>
      <c r="NA24" s="83"/>
      <c r="NB24" s="83"/>
      <c r="NC24" s="83"/>
      <c r="ND24" s="83"/>
      <c r="NE24" s="83"/>
      <c r="NF24" s="83"/>
      <c r="NG24" s="83"/>
      <c r="NH24" s="83"/>
      <c r="NI24" s="83"/>
      <c r="NJ24" s="83"/>
      <c r="NK24" s="83"/>
      <c r="NL24" s="83"/>
      <c r="NM24" s="83"/>
      <c r="NN24" s="83"/>
      <c r="NO24" s="83"/>
      <c r="NP24" s="83"/>
      <c r="NQ24" s="83"/>
      <c r="NR24" s="83"/>
      <c r="NS24" s="83"/>
      <c r="NT24" s="83"/>
      <c r="NU24" s="83"/>
      <c r="NV24" s="83"/>
      <c r="NW24" s="83"/>
      <c r="NX24" s="83"/>
      <c r="NY24" s="83"/>
      <c r="NZ24" s="83"/>
      <c r="OA24" s="83"/>
      <c r="OB24" s="83"/>
      <c r="OC24" s="83"/>
      <c r="OD24" s="83"/>
      <c r="OE24" s="83"/>
      <c r="OF24" s="83"/>
      <c r="OG24" s="83"/>
      <c r="OH24" s="83"/>
      <c r="OI24" s="83"/>
      <c r="OJ24" s="83"/>
      <c r="OK24" s="83"/>
      <c r="OL24" s="83"/>
      <c r="OM24" s="83"/>
      <c r="ON24" s="83"/>
      <c r="OO24" s="83"/>
      <c r="OP24" s="83"/>
      <c r="OQ24" s="83"/>
      <c r="OR24" s="83"/>
      <c r="OS24" s="83"/>
      <c r="OT24" s="83"/>
      <c r="OU24" s="83"/>
      <c r="OV24" s="83"/>
      <c r="OW24" s="83"/>
      <c r="OX24" s="83"/>
      <c r="OY24" s="83"/>
      <c r="OZ24" s="83"/>
      <c r="PA24" s="83"/>
      <c r="PB24" s="83"/>
      <c r="PC24" s="83"/>
      <c r="PD24" s="83"/>
      <c r="PE24" s="83"/>
      <c r="PF24" s="83"/>
      <c r="PG24" s="83"/>
      <c r="PH24" s="83"/>
      <c r="PI24" s="83"/>
      <c r="PJ24" s="83"/>
      <c r="PK24" s="83"/>
      <c r="PL24" s="83"/>
      <c r="PM24" s="83"/>
      <c r="PN24" s="83"/>
      <c r="PO24" s="83"/>
      <c r="PP24" s="83"/>
      <c r="PQ24" s="83"/>
      <c r="PR24" s="83"/>
      <c r="PS24" s="83"/>
      <c r="PT24" s="83"/>
      <c r="PU24" s="83"/>
      <c r="PV24" s="83"/>
      <c r="PW24" s="83"/>
      <c r="PX24" s="83"/>
      <c r="PY24" s="83"/>
      <c r="PZ24" s="83"/>
      <c r="QA24" s="83"/>
      <c r="QB24" s="83"/>
      <c r="QC24" s="83"/>
      <c r="QD24" s="83"/>
      <c r="QE24" s="83"/>
      <c r="QF24" s="83"/>
      <c r="QG24" s="83"/>
      <c r="QH24" s="83"/>
      <c r="QI24" s="83"/>
      <c r="QJ24" s="83"/>
      <c r="QK24" s="83"/>
      <c r="QL24" s="83"/>
      <c r="QM24" s="83"/>
      <c r="QN24" s="83"/>
      <c r="QO24" s="83"/>
      <c r="QP24" s="83"/>
      <c r="QQ24" s="83"/>
      <c r="QR24" s="83"/>
      <c r="QS24" s="83"/>
      <c r="QT24" s="83"/>
      <c r="QU24" s="83"/>
      <c r="QV24" s="83"/>
      <c r="QW24" s="83"/>
      <c r="QX24" s="83"/>
      <c r="QY24" s="83"/>
      <c r="QZ24" s="83"/>
      <c r="RA24" s="83"/>
      <c r="RB24" s="83"/>
      <c r="RC24" s="83"/>
      <c r="RD24" s="83"/>
      <c r="RE24" s="83"/>
      <c r="RF24" s="83"/>
      <c r="RG24" s="83"/>
      <c r="RH24" s="83"/>
      <c r="RI24" s="83"/>
      <c r="RJ24" s="83"/>
      <c r="RK24" s="83"/>
      <c r="RL24" s="83"/>
      <c r="RM24" s="83"/>
      <c r="RN24" s="83"/>
      <c r="RO24" s="83"/>
      <c r="RP24" s="83"/>
      <c r="RQ24" s="83"/>
      <c r="RR24" s="83"/>
      <c r="RS24" s="83"/>
      <c r="RT24" s="83"/>
      <c r="RU24" s="83"/>
      <c r="RV24" s="83"/>
      <c r="RW24" s="83"/>
      <c r="RX24" s="83"/>
      <c r="RY24" s="83"/>
      <c r="RZ24" s="83"/>
      <c r="SA24" s="83"/>
      <c r="SB24" s="83"/>
      <c r="SC24" s="83"/>
      <c r="SD24" s="83"/>
      <c r="SE24" s="83"/>
      <c r="SF24" s="83"/>
      <c r="SG24" s="83"/>
      <c r="SH24" s="83"/>
      <c r="SI24" s="83"/>
      <c r="SJ24" s="83"/>
      <c r="SK24" s="83"/>
      <c r="SL24" s="83"/>
      <c r="SM24" s="83"/>
      <c r="SN24" s="83"/>
      <c r="SO24" s="83"/>
      <c r="SP24" s="83"/>
      <c r="SQ24" s="83"/>
      <c r="SR24" s="83"/>
      <c r="SS24" s="83"/>
      <c r="ST24" s="83"/>
      <c r="SU24" s="83"/>
      <c r="SV24" s="83"/>
      <c r="SW24" s="83"/>
      <c r="SX24" s="83"/>
      <c r="SY24" s="83"/>
      <c r="SZ24" s="83"/>
      <c r="TA24" s="83"/>
      <c r="TB24" s="83"/>
      <c r="TC24" s="83"/>
      <c r="TD24" s="83"/>
      <c r="TE24" s="83"/>
      <c r="TF24" s="83"/>
      <c r="TG24" s="83"/>
      <c r="TH24" s="83"/>
      <c r="TI24" s="83"/>
      <c r="TJ24" s="83"/>
      <c r="TK24" s="83"/>
      <c r="TL24" s="83"/>
      <c r="TM24" s="83"/>
      <c r="TN24" s="83"/>
      <c r="TO24" s="83"/>
      <c r="TP24" s="83"/>
      <c r="TQ24" s="83"/>
      <c r="TR24" s="83"/>
      <c r="TS24" s="83"/>
      <c r="TT24" s="83"/>
      <c r="TU24" s="83"/>
      <c r="TV24" s="83"/>
      <c r="TW24" s="83"/>
      <c r="TX24" s="83"/>
      <c r="TY24" s="83"/>
      <c r="TZ24" s="83"/>
      <c r="UA24" s="83"/>
      <c r="UB24" s="83"/>
      <c r="UC24" s="83"/>
      <c r="UD24" s="83"/>
      <c r="UE24" s="83"/>
      <c r="UF24" s="83"/>
      <c r="UG24" s="83"/>
      <c r="UH24" s="83"/>
      <c r="UI24" s="83"/>
      <c r="UJ24" s="83"/>
      <c r="UK24" s="83"/>
      <c r="UL24" s="83"/>
      <c r="UM24" s="83"/>
      <c r="UN24" s="83"/>
      <c r="UO24" s="83"/>
      <c r="UP24" s="83"/>
      <c r="UQ24" s="83"/>
      <c r="UR24" s="83"/>
      <c r="US24" s="83"/>
      <c r="UT24" s="83"/>
      <c r="UU24" s="83"/>
      <c r="UV24" s="83"/>
      <c r="UW24" s="83"/>
      <c r="UX24" s="83"/>
      <c r="UY24" s="83"/>
      <c r="UZ24" s="83"/>
      <c r="VA24" s="83"/>
      <c r="VB24" s="83"/>
      <c r="VC24" s="83"/>
      <c r="VD24" s="83"/>
      <c r="VE24" s="83"/>
      <c r="VF24" s="83"/>
      <c r="VG24" s="83"/>
      <c r="VH24" s="83"/>
      <c r="VI24" s="83"/>
      <c r="VJ24" s="83"/>
      <c r="VK24" s="83"/>
      <c r="VL24" s="83"/>
      <c r="VM24" s="83"/>
      <c r="VN24" s="83"/>
      <c r="VO24" s="83"/>
      <c r="VP24" s="83"/>
      <c r="VQ24" s="83"/>
      <c r="VR24" s="83"/>
      <c r="VS24" s="83"/>
      <c r="VT24" s="83"/>
      <c r="VU24" s="83"/>
      <c r="VV24" s="83"/>
      <c r="VW24" s="83"/>
      <c r="VX24" s="83"/>
      <c r="VY24" s="83"/>
      <c r="VZ24" s="83"/>
      <c r="WA24" s="83"/>
      <c r="WB24" s="83"/>
      <c r="WC24" s="83"/>
      <c r="WD24" s="83"/>
      <c r="WE24" s="83"/>
      <c r="WF24" s="83"/>
    </row>
    <row r="25" spans="1:604" ht="17.25" customHeight="1" x14ac:dyDescent="0.3">
      <c r="A25" s="25" t="e">
        <f>IF(契約詳細價目表!A25="",NA(),契約詳細價目表!A25)</f>
        <v>#N/A</v>
      </c>
      <c r="B25" s="26" t="e">
        <f>IF(契約詳細價目表!B25="",NA(),契約詳細價目表!B25)</f>
        <v>#N/A</v>
      </c>
      <c r="C25" s="25" t="e">
        <f>IF(契約詳細價目表!C25="",NA(),契約詳細價目表!C25)</f>
        <v>#N/A</v>
      </c>
      <c r="D25" s="27" t="e">
        <f>IF(契約詳細價目表!D25="",NA(),契約詳細價目表!D25)</f>
        <v>#N/A</v>
      </c>
      <c r="E25" s="28" t="e">
        <f>IF(契約詳細價目表!E25="",NA(),契約詳細價目表!E25)</f>
        <v>#N/A</v>
      </c>
      <c r="F25" s="28">
        <f>IF(契約詳細價目表!F25="",NA(),契約詳細價目表!F25)</f>
        <v>0</v>
      </c>
      <c r="G25" s="27">
        <f t="shared" si="536"/>
        <v>0</v>
      </c>
      <c r="H25" s="28" t="e">
        <f t="shared" si="537"/>
        <v>#N/A</v>
      </c>
      <c r="I25" s="47" t="e">
        <f t="shared" si="535"/>
        <v>#N/A</v>
      </c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85"/>
      <c r="BU25" s="85"/>
      <c r="BV25" s="85"/>
      <c r="BW25" s="85"/>
      <c r="BX25" s="85"/>
      <c r="BY25" s="85"/>
      <c r="BZ25" s="85"/>
      <c r="CA25" s="85"/>
      <c r="CB25" s="85"/>
      <c r="CC25" s="85"/>
      <c r="CD25" s="85"/>
      <c r="CE25" s="85"/>
      <c r="CF25" s="85"/>
      <c r="CG25" s="85"/>
      <c r="CH25" s="85"/>
      <c r="CI25" s="85"/>
      <c r="CJ25" s="85"/>
      <c r="CK25" s="85"/>
      <c r="CL25" s="85"/>
      <c r="CM25" s="85"/>
      <c r="CN25" s="85"/>
      <c r="CO25" s="85"/>
      <c r="CP25" s="85"/>
      <c r="CQ25" s="85"/>
      <c r="CR25" s="85"/>
      <c r="CS25" s="85"/>
      <c r="CT25" s="85"/>
      <c r="CU25" s="85"/>
      <c r="CV25" s="85"/>
      <c r="CW25" s="85"/>
      <c r="CX25" s="85"/>
      <c r="CY25" s="85"/>
      <c r="CZ25" s="85"/>
      <c r="DA25" s="85"/>
      <c r="DB25" s="85"/>
      <c r="DC25" s="85"/>
      <c r="DD25" s="85"/>
      <c r="DE25" s="85"/>
      <c r="DF25" s="85"/>
      <c r="DG25" s="85"/>
      <c r="DH25" s="85"/>
      <c r="DI25" s="85"/>
      <c r="DJ25" s="85"/>
      <c r="DK25" s="85"/>
      <c r="DL25" s="85"/>
      <c r="DM25" s="85"/>
      <c r="DN25" s="85"/>
      <c r="DO25" s="85"/>
      <c r="DP25" s="85"/>
      <c r="DQ25" s="85"/>
      <c r="DR25" s="85"/>
      <c r="DS25" s="85"/>
      <c r="DT25" s="85"/>
      <c r="DU25" s="85"/>
      <c r="DV25" s="85"/>
      <c r="DW25" s="85"/>
      <c r="DX25" s="85"/>
      <c r="DY25" s="85"/>
      <c r="DZ25" s="85"/>
      <c r="EA25" s="85"/>
      <c r="EB25" s="85"/>
      <c r="EC25" s="85"/>
      <c r="ED25" s="85"/>
      <c r="EE25" s="85"/>
      <c r="EF25" s="85"/>
      <c r="EG25" s="85"/>
      <c r="EH25" s="85"/>
      <c r="EI25" s="85"/>
      <c r="EJ25" s="85"/>
      <c r="EK25" s="85"/>
      <c r="EL25" s="85"/>
      <c r="EM25" s="85"/>
      <c r="EN25" s="85"/>
      <c r="EO25" s="85"/>
      <c r="EP25" s="85"/>
      <c r="EQ25" s="85"/>
      <c r="ER25" s="85"/>
      <c r="ES25" s="85"/>
      <c r="ET25" s="85"/>
      <c r="EU25" s="85"/>
      <c r="EV25" s="85"/>
      <c r="EW25" s="85"/>
      <c r="EX25" s="85"/>
      <c r="EY25" s="85"/>
      <c r="EZ25" s="85"/>
      <c r="FA25" s="85"/>
      <c r="FB25" s="85"/>
      <c r="FC25" s="85"/>
      <c r="FD25" s="85"/>
      <c r="FE25" s="85"/>
      <c r="FF25" s="85"/>
      <c r="FG25" s="85"/>
      <c r="FH25" s="85"/>
      <c r="FI25" s="85"/>
      <c r="FJ25" s="85"/>
      <c r="FK25" s="85"/>
      <c r="FL25" s="85"/>
      <c r="FM25" s="85"/>
      <c r="FN25" s="85"/>
      <c r="FO25" s="85"/>
      <c r="FP25" s="85"/>
      <c r="FQ25" s="85"/>
      <c r="FR25" s="85"/>
      <c r="FS25" s="85"/>
      <c r="FT25" s="85"/>
      <c r="FU25" s="83"/>
      <c r="FV25" s="83"/>
      <c r="FW25" s="83"/>
      <c r="FX25" s="83"/>
      <c r="FY25" s="83"/>
      <c r="FZ25" s="83"/>
      <c r="GA25" s="83"/>
      <c r="GB25" s="83"/>
      <c r="GC25" s="83"/>
      <c r="GD25" s="83"/>
      <c r="GE25" s="83"/>
      <c r="GF25" s="83"/>
      <c r="GG25" s="83"/>
      <c r="GH25" s="83"/>
      <c r="GI25" s="83"/>
      <c r="GJ25" s="83"/>
      <c r="GK25" s="83"/>
      <c r="GL25" s="83"/>
      <c r="GM25" s="83"/>
      <c r="GN25" s="83"/>
      <c r="GO25" s="83"/>
      <c r="GP25" s="83"/>
      <c r="GQ25" s="83"/>
      <c r="GR25" s="83"/>
      <c r="GS25" s="83"/>
      <c r="GT25" s="83"/>
      <c r="GU25" s="83"/>
      <c r="GV25" s="83"/>
      <c r="GW25" s="83"/>
      <c r="GX25" s="83"/>
      <c r="GY25" s="83"/>
      <c r="GZ25" s="83"/>
      <c r="HA25" s="83"/>
      <c r="HB25" s="83"/>
      <c r="HC25" s="83"/>
      <c r="HD25" s="83"/>
      <c r="HE25" s="83"/>
      <c r="HF25" s="83"/>
      <c r="HG25" s="83"/>
      <c r="HH25" s="83"/>
      <c r="HI25" s="83"/>
      <c r="HJ25" s="83"/>
      <c r="HK25" s="83"/>
      <c r="HL25" s="83"/>
      <c r="HM25" s="83"/>
      <c r="HN25" s="83"/>
      <c r="HO25" s="83"/>
      <c r="HP25" s="83"/>
      <c r="HQ25" s="83"/>
      <c r="HR25" s="83"/>
      <c r="HS25" s="83"/>
      <c r="HT25" s="83"/>
      <c r="HU25" s="83"/>
      <c r="HV25" s="83"/>
      <c r="HW25" s="83"/>
      <c r="HX25" s="83"/>
      <c r="HY25" s="83"/>
      <c r="HZ25" s="83"/>
      <c r="IA25" s="83"/>
      <c r="IB25" s="83"/>
      <c r="IC25" s="83"/>
      <c r="ID25" s="83"/>
      <c r="IE25" s="83"/>
      <c r="IF25" s="83"/>
      <c r="IG25" s="83"/>
      <c r="IH25" s="83"/>
      <c r="II25" s="83"/>
      <c r="IJ25" s="83"/>
      <c r="IK25" s="83"/>
      <c r="IL25" s="83"/>
      <c r="IM25" s="83"/>
      <c r="IN25" s="83"/>
      <c r="IO25" s="83"/>
      <c r="IP25" s="83"/>
      <c r="IQ25" s="83"/>
      <c r="IR25" s="83"/>
      <c r="IS25" s="83"/>
      <c r="IT25" s="83"/>
      <c r="IU25" s="83"/>
      <c r="IV25" s="83"/>
      <c r="IW25" s="83"/>
      <c r="IX25" s="83"/>
      <c r="IY25" s="83"/>
      <c r="IZ25" s="83"/>
      <c r="JA25" s="83"/>
      <c r="JB25" s="83"/>
      <c r="JC25" s="83"/>
      <c r="JD25" s="83"/>
      <c r="JE25" s="83"/>
      <c r="JF25" s="83"/>
      <c r="JG25" s="83"/>
      <c r="JH25" s="83"/>
      <c r="JI25" s="83"/>
      <c r="JJ25" s="83"/>
      <c r="JK25" s="83"/>
      <c r="JL25" s="83"/>
      <c r="JM25" s="83"/>
      <c r="JN25" s="83"/>
      <c r="JO25" s="83"/>
      <c r="JP25" s="83"/>
      <c r="JQ25" s="83"/>
      <c r="JR25" s="83"/>
      <c r="JS25" s="83"/>
      <c r="JT25" s="83"/>
      <c r="JU25" s="83"/>
      <c r="JV25" s="83"/>
      <c r="JW25" s="83"/>
      <c r="JX25" s="83"/>
      <c r="JY25" s="83"/>
      <c r="JZ25" s="83"/>
      <c r="KA25" s="83"/>
      <c r="KB25" s="83"/>
      <c r="KC25" s="83"/>
      <c r="KD25" s="83"/>
      <c r="KE25" s="83"/>
      <c r="KF25" s="83"/>
      <c r="KG25" s="83"/>
      <c r="KH25" s="83"/>
      <c r="KI25" s="83"/>
      <c r="KJ25" s="83"/>
      <c r="KK25" s="83"/>
      <c r="KL25" s="83"/>
      <c r="KM25" s="83"/>
      <c r="KN25" s="83"/>
      <c r="KO25" s="83"/>
      <c r="KP25" s="83"/>
      <c r="KQ25" s="83"/>
      <c r="KR25" s="83"/>
      <c r="KS25" s="83"/>
      <c r="KT25" s="83"/>
      <c r="KU25" s="83"/>
      <c r="KV25" s="83"/>
      <c r="KW25" s="83"/>
      <c r="KX25" s="83"/>
      <c r="KY25" s="83"/>
      <c r="KZ25" s="83"/>
      <c r="LA25" s="83"/>
      <c r="LB25" s="83"/>
      <c r="LC25" s="83"/>
      <c r="LD25" s="83"/>
      <c r="LE25" s="83"/>
      <c r="LF25" s="83"/>
      <c r="LG25" s="83"/>
      <c r="LH25" s="83"/>
      <c r="LI25" s="83"/>
      <c r="LJ25" s="83"/>
      <c r="LK25" s="83"/>
      <c r="LL25" s="83"/>
      <c r="LM25" s="83"/>
      <c r="LN25" s="83"/>
      <c r="LO25" s="83"/>
      <c r="LP25" s="83"/>
      <c r="LQ25" s="83"/>
      <c r="LR25" s="83"/>
      <c r="LS25" s="83"/>
      <c r="LT25" s="83"/>
      <c r="LU25" s="83"/>
      <c r="LV25" s="83"/>
      <c r="LW25" s="83"/>
      <c r="LX25" s="83"/>
      <c r="LY25" s="83"/>
      <c r="LZ25" s="83"/>
      <c r="MA25" s="83"/>
      <c r="MB25" s="83"/>
      <c r="MC25" s="83"/>
      <c r="MD25" s="83"/>
      <c r="ME25" s="83"/>
      <c r="MF25" s="83"/>
      <c r="MG25" s="83"/>
      <c r="MH25" s="83"/>
      <c r="MI25" s="83"/>
      <c r="MJ25" s="83"/>
      <c r="MK25" s="83"/>
      <c r="ML25" s="83"/>
      <c r="MM25" s="83"/>
      <c r="MN25" s="83"/>
      <c r="MO25" s="83"/>
      <c r="MP25" s="83"/>
      <c r="MQ25" s="83"/>
      <c r="MR25" s="83"/>
      <c r="MS25" s="83"/>
      <c r="MT25" s="83"/>
      <c r="MU25" s="83"/>
      <c r="MV25" s="83"/>
      <c r="MW25" s="83"/>
      <c r="MX25" s="83"/>
      <c r="MY25" s="83"/>
      <c r="MZ25" s="83"/>
      <c r="NA25" s="83"/>
      <c r="NB25" s="83"/>
      <c r="NC25" s="83"/>
      <c r="ND25" s="83"/>
      <c r="NE25" s="83"/>
      <c r="NF25" s="83"/>
      <c r="NG25" s="83"/>
      <c r="NH25" s="83"/>
      <c r="NI25" s="83"/>
      <c r="NJ25" s="83"/>
      <c r="NK25" s="83"/>
      <c r="NL25" s="83"/>
      <c r="NM25" s="83"/>
      <c r="NN25" s="83"/>
      <c r="NO25" s="83"/>
      <c r="NP25" s="83"/>
      <c r="NQ25" s="83"/>
      <c r="NR25" s="83"/>
      <c r="NS25" s="83"/>
      <c r="NT25" s="83"/>
      <c r="NU25" s="83"/>
      <c r="NV25" s="83"/>
      <c r="NW25" s="83"/>
      <c r="NX25" s="83"/>
      <c r="NY25" s="83"/>
      <c r="NZ25" s="83"/>
      <c r="OA25" s="83"/>
      <c r="OB25" s="83"/>
      <c r="OC25" s="83"/>
      <c r="OD25" s="83"/>
      <c r="OE25" s="83"/>
      <c r="OF25" s="83"/>
      <c r="OG25" s="83"/>
      <c r="OH25" s="83"/>
      <c r="OI25" s="83"/>
      <c r="OJ25" s="83"/>
      <c r="OK25" s="83"/>
      <c r="OL25" s="83"/>
      <c r="OM25" s="83"/>
      <c r="ON25" s="83"/>
      <c r="OO25" s="83"/>
      <c r="OP25" s="83"/>
      <c r="OQ25" s="83"/>
      <c r="OR25" s="83"/>
      <c r="OS25" s="83"/>
      <c r="OT25" s="83"/>
      <c r="OU25" s="83"/>
      <c r="OV25" s="83"/>
      <c r="OW25" s="83"/>
      <c r="OX25" s="83"/>
      <c r="OY25" s="83"/>
      <c r="OZ25" s="83"/>
      <c r="PA25" s="83"/>
      <c r="PB25" s="83"/>
      <c r="PC25" s="83"/>
      <c r="PD25" s="83"/>
      <c r="PE25" s="83"/>
      <c r="PF25" s="83"/>
      <c r="PG25" s="83"/>
      <c r="PH25" s="83"/>
      <c r="PI25" s="83"/>
      <c r="PJ25" s="83"/>
      <c r="PK25" s="83"/>
      <c r="PL25" s="83"/>
      <c r="PM25" s="83"/>
      <c r="PN25" s="83"/>
      <c r="PO25" s="83"/>
      <c r="PP25" s="83"/>
      <c r="PQ25" s="83"/>
      <c r="PR25" s="83"/>
      <c r="PS25" s="83"/>
      <c r="PT25" s="83"/>
      <c r="PU25" s="83"/>
      <c r="PV25" s="83"/>
      <c r="PW25" s="83"/>
      <c r="PX25" s="83"/>
      <c r="PY25" s="83"/>
      <c r="PZ25" s="83"/>
      <c r="QA25" s="83"/>
      <c r="QB25" s="83"/>
      <c r="QC25" s="83"/>
      <c r="QD25" s="83"/>
      <c r="QE25" s="83"/>
      <c r="QF25" s="83"/>
      <c r="QG25" s="83"/>
      <c r="QH25" s="83"/>
      <c r="QI25" s="83"/>
      <c r="QJ25" s="83"/>
      <c r="QK25" s="83"/>
      <c r="QL25" s="83"/>
      <c r="QM25" s="83"/>
      <c r="QN25" s="83"/>
      <c r="QO25" s="83"/>
      <c r="QP25" s="83"/>
      <c r="QQ25" s="83"/>
      <c r="QR25" s="83"/>
      <c r="QS25" s="83"/>
      <c r="QT25" s="83"/>
      <c r="QU25" s="83"/>
      <c r="QV25" s="83"/>
      <c r="QW25" s="83"/>
      <c r="QX25" s="83"/>
      <c r="QY25" s="83"/>
      <c r="QZ25" s="83"/>
      <c r="RA25" s="83"/>
      <c r="RB25" s="83"/>
      <c r="RC25" s="83"/>
      <c r="RD25" s="83"/>
      <c r="RE25" s="83"/>
      <c r="RF25" s="83"/>
      <c r="RG25" s="83"/>
      <c r="RH25" s="83"/>
      <c r="RI25" s="83"/>
      <c r="RJ25" s="83"/>
      <c r="RK25" s="83"/>
      <c r="RL25" s="83"/>
      <c r="RM25" s="83"/>
      <c r="RN25" s="83"/>
      <c r="RO25" s="83"/>
      <c r="RP25" s="83"/>
      <c r="RQ25" s="83"/>
      <c r="RR25" s="83"/>
      <c r="RS25" s="83"/>
      <c r="RT25" s="83"/>
      <c r="RU25" s="83"/>
      <c r="RV25" s="83"/>
      <c r="RW25" s="83"/>
      <c r="RX25" s="83"/>
      <c r="RY25" s="83"/>
      <c r="RZ25" s="83"/>
      <c r="SA25" s="83"/>
      <c r="SB25" s="83"/>
      <c r="SC25" s="83"/>
      <c r="SD25" s="83"/>
      <c r="SE25" s="83"/>
      <c r="SF25" s="83"/>
      <c r="SG25" s="83"/>
      <c r="SH25" s="83"/>
      <c r="SI25" s="83"/>
      <c r="SJ25" s="83"/>
      <c r="SK25" s="83"/>
      <c r="SL25" s="83"/>
      <c r="SM25" s="83"/>
      <c r="SN25" s="83"/>
      <c r="SO25" s="83"/>
      <c r="SP25" s="83"/>
      <c r="SQ25" s="83"/>
      <c r="SR25" s="83"/>
      <c r="SS25" s="83"/>
      <c r="ST25" s="83"/>
      <c r="SU25" s="83"/>
      <c r="SV25" s="83"/>
      <c r="SW25" s="83"/>
      <c r="SX25" s="83"/>
      <c r="SY25" s="83"/>
      <c r="SZ25" s="83"/>
      <c r="TA25" s="83"/>
      <c r="TB25" s="83"/>
      <c r="TC25" s="83"/>
      <c r="TD25" s="83"/>
      <c r="TE25" s="83"/>
      <c r="TF25" s="83"/>
      <c r="TG25" s="83"/>
      <c r="TH25" s="83"/>
      <c r="TI25" s="83"/>
      <c r="TJ25" s="83"/>
      <c r="TK25" s="83"/>
      <c r="TL25" s="83"/>
      <c r="TM25" s="83"/>
      <c r="TN25" s="83"/>
      <c r="TO25" s="83"/>
      <c r="TP25" s="83"/>
      <c r="TQ25" s="83"/>
      <c r="TR25" s="83"/>
      <c r="TS25" s="83"/>
      <c r="TT25" s="83"/>
      <c r="TU25" s="83"/>
      <c r="TV25" s="83"/>
      <c r="TW25" s="83"/>
      <c r="TX25" s="83"/>
      <c r="TY25" s="83"/>
      <c r="TZ25" s="83"/>
      <c r="UA25" s="83"/>
      <c r="UB25" s="83"/>
      <c r="UC25" s="83"/>
      <c r="UD25" s="83"/>
      <c r="UE25" s="83"/>
      <c r="UF25" s="83"/>
      <c r="UG25" s="83"/>
      <c r="UH25" s="83"/>
      <c r="UI25" s="83"/>
      <c r="UJ25" s="83"/>
      <c r="UK25" s="83"/>
      <c r="UL25" s="83"/>
      <c r="UM25" s="83"/>
      <c r="UN25" s="83"/>
      <c r="UO25" s="83"/>
      <c r="UP25" s="83"/>
      <c r="UQ25" s="83"/>
      <c r="UR25" s="83"/>
      <c r="US25" s="83"/>
      <c r="UT25" s="83"/>
      <c r="UU25" s="83"/>
      <c r="UV25" s="83"/>
      <c r="UW25" s="83"/>
      <c r="UX25" s="83"/>
      <c r="UY25" s="83"/>
      <c r="UZ25" s="83"/>
      <c r="VA25" s="83"/>
      <c r="VB25" s="83"/>
      <c r="VC25" s="83"/>
      <c r="VD25" s="83"/>
      <c r="VE25" s="83"/>
      <c r="VF25" s="83"/>
      <c r="VG25" s="83"/>
      <c r="VH25" s="83"/>
      <c r="VI25" s="83"/>
      <c r="VJ25" s="83"/>
      <c r="VK25" s="83"/>
      <c r="VL25" s="83"/>
      <c r="VM25" s="83"/>
      <c r="VN25" s="83"/>
      <c r="VO25" s="83"/>
      <c r="VP25" s="83"/>
      <c r="VQ25" s="83"/>
      <c r="VR25" s="83"/>
      <c r="VS25" s="83"/>
      <c r="VT25" s="83"/>
      <c r="VU25" s="83"/>
      <c r="VV25" s="83"/>
      <c r="VW25" s="83"/>
      <c r="VX25" s="83"/>
      <c r="VY25" s="83"/>
      <c r="VZ25" s="83"/>
      <c r="WA25" s="83"/>
      <c r="WB25" s="83"/>
      <c r="WC25" s="83"/>
      <c r="WD25" s="83"/>
      <c r="WE25" s="83"/>
      <c r="WF25" s="83"/>
    </row>
    <row r="26" spans="1:604" ht="17.25" customHeight="1" x14ac:dyDescent="0.3">
      <c r="A26" s="25" t="e">
        <f>IF(契約詳細價目表!A26="",NA(),契約詳細價目表!A26)</f>
        <v>#N/A</v>
      </c>
      <c r="B26" s="26" t="e">
        <f>IF(契約詳細價目表!B26="",NA(),契約詳細價目表!B26)</f>
        <v>#N/A</v>
      </c>
      <c r="C26" s="25" t="e">
        <f>IF(契約詳細價目表!C26="",NA(),契約詳細價目表!C26)</f>
        <v>#N/A</v>
      </c>
      <c r="D26" s="27" t="e">
        <f>IF(契約詳細價目表!D26="",NA(),契約詳細價目表!D26)</f>
        <v>#N/A</v>
      </c>
      <c r="E26" s="28" t="e">
        <f>IF(契約詳細價目表!E26="",NA(),契約詳細價目表!E26)</f>
        <v>#N/A</v>
      </c>
      <c r="F26" s="28">
        <f>IF(契約詳細價目表!F26="",NA(),契約詳細價目表!F26)</f>
        <v>0</v>
      </c>
      <c r="G26" s="27">
        <f t="shared" si="536"/>
        <v>0</v>
      </c>
      <c r="H26" s="28" t="e">
        <f t="shared" si="537"/>
        <v>#N/A</v>
      </c>
      <c r="I26" s="47" t="e">
        <f t="shared" si="535"/>
        <v>#N/A</v>
      </c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  <c r="EE26" s="85"/>
      <c r="EF26" s="85"/>
      <c r="EG26" s="85"/>
      <c r="EH26" s="85"/>
      <c r="EI26" s="85"/>
      <c r="EJ26" s="85"/>
      <c r="EK26" s="85"/>
      <c r="EL26" s="85"/>
      <c r="EM26" s="85"/>
      <c r="EN26" s="85"/>
      <c r="EO26" s="85"/>
      <c r="EP26" s="85"/>
      <c r="EQ26" s="85"/>
      <c r="ER26" s="85"/>
      <c r="ES26" s="85"/>
      <c r="ET26" s="85"/>
      <c r="EU26" s="85"/>
      <c r="EV26" s="85"/>
      <c r="EW26" s="85"/>
      <c r="EX26" s="85"/>
      <c r="EY26" s="85"/>
      <c r="EZ26" s="85"/>
      <c r="FA26" s="85"/>
      <c r="FB26" s="85"/>
      <c r="FC26" s="85"/>
      <c r="FD26" s="85"/>
      <c r="FE26" s="85"/>
      <c r="FF26" s="85"/>
      <c r="FG26" s="85"/>
      <c r="FH26" s="85"/>
      <c r="FI26" s="85"/>
      <c r="FJ26" s="85"/>
      <c r="FK26" s="85"/>
      <c r="FL26" s="85"/>
      <c r="FM26" s="85"/>
      <c r="FN26" s="85"/>
      <c r="FO26" s="85"/>
      <c r="FP26" s="85"/>
      <c r="FQ26" s="85"/>
      <c r="FR26" s="85"/>
      <c r="FS26" s="85"/>
      <c r="FT26" s="85"/>
      <c r="FU26" s="83"/>
      <c r="FV26" s="83"/>
      <c r="FW26" s="83"/>
      <c r="FX26" s="83"/>
      <c r="FY26" s="83"/>
      <c r="FZ26" s="83"/>
      <c r="GA26" s="83"/>
      <c r="GB26" s="83"/>
      <c r="GC26" s="83"/>
      <c r="GD26" s="83"/>
      <c r="GE26" s="83"/>
      <c r="GF26" s="83"/>
      <c r="GG26" s="83"/>
      <c r="GH26" s="83"/>
      <c r="GI26" s="83"/>
      <c r="GJ26" s="83"/>
      <c r="GK26" s="83"/>
      <c r="GL26" s="83"/>
      <c r="GM26" s="83"/>
      <c r="GN26" s="83"/>
      <c r="GO26" s="83"/>
      <c r="GP26" s="83"/>
      <c r="GQ26" s="83"/>
      <c r="GR26" s="83"/>
      <c r="GS26" s="83"/>
      <c r="GT26" s="83"/>
      <c r="GU26" s="83"/>
      <c r="GV26" s="83"/>
      <c r="GW26" s="83"/>
      <c r="GX26" s="83"/>
      <c r="GY26" s="83"/>
      <c r="GZ26" s="83"/>
      <c r="HA26" s="83"/>
      <c r="HB26" s="83"/>
      <c r="HC26" s="83"/>
      <c r="HD26" s="83"/>
      <c r="HE26" s="83"/>
      <c r="HF26" s="83"/>
      <c r="HG26" s="83"/>
      <c r="HH26" s="83"/>
      <c r="HI26" s="83"/>
      <c r="HJ26" s="83"/>
      <c r="HK26" s="83"/>
      <c r="HL26" s="83"/>
      <c r="HM26" s="83"/>
      <c r="HN26" s="83"/>
      <c r="HO26" s="83"/>
      <c r="HP26" s="83"/>
      <c r="HQ26" s="83"/>
      <c r="HR26" s="83"/>
      <c r="HS26" s="83"/>
      <c r="HT26" s="83"/>
      <c r="HU26" s="83"/>
      <c r="HV26" s="83"/>
      <c r="HW26" s="83"/>
      <c r="HX26" s="83"/>
      <c r="HY26" s="83"/>
      <c r="HZ26" s="83"/>
      <c r="IA26" s="83"/>
      <c r="IB26" s="83"/>
      <c r="IC26" s="83"/>
      <c r="ID26" s="83"/>
      <c r="IE26" s="83"/>
      <c r="IF26" s="83"/>
      <c r="IG26" s="83"/>
      <c r="IH26" s="83"/>
      <c r="II26" s="83"/>
      <c r="IJ26" s="83"/>
      <c r="IK26" s="83"/>
      <c r="IL26" s="83"/>
      <c r="IM26" s="83"/>
      <c r="IN26" s="83"/>
      <c r="IO26" s="83"/>
      <c r="IP26" s="83"/>
      <c r="IQ26" s="83"/>
      <c r="IR26" s="83"/>
      <c r="IS26" s="83"/>
      <c r="IT26" s="83"/>
      <c r="IU26" s="83"/>
      <c r="IV26" s="83"/>
      <c r="IW26" s="83"/>
      <c r="IX26" s="83"/>
      <c r="IY26" s="83"/>
      <c r="IZ26" s="83"/>
      <c r="JA26" s="83"/>
      <c r="JB26" s="83"/>
      <c r="JC26" s="83"/>
      <c r="JD26" s="83"/>
      <c r="JE26" s="83"/>
      <c r="JF26" s="83"/>
      <c r="JG26" s="83"/>
      <c r="JH26" s="83"/>
      <c r="JI26" s="83"/>
      <c r="JJ26" s="83"/>
      <c r="JK26" s="83"/>
      <c r="JL26" s="83"/>
      <c r="JM26" s="83"/>
      <c r="JN26" s="83"/>
      <c r="JO26" s="83"/>
      <c r="JP26" s="83"/>
      <c r="JQ26" s="83"/>
      <c r="JR26" s="83"/>
      <c r="JS26" s="83"/>
      <c r="JT26" s="83"/>
      <c r="JU26" s="83"/>
      <c r="JV26" s="83"/>
      <c r="JW26" s="83"/>
      <c r="JX26" s="83"/>
      <c r="JY26" s="83"/>
      <c r="JZ26" s="83"/>
      <c r="KA26" s="83"/>
      <c r="KB26" s="83"/>
      <c r="KC26" s="83"/>
      <c r="KD26" s="83"/>
      <c r="KE26" s="83"/>
      <c r="KF26" s="83"/>
      <c r="KG26" s="83"/>
      <c r="KH26" s="83"/>
      <c r="KI26" s="83"/>
      <c r="KJ26" s="83"/>
      <c r="KK26" s="83"/>
      <c r="KL26" s="83"/>
      <c r="KM26" s="83"/>
      <c r="KN26" s="83"/>
      <c r="KO26" s="83"/>
      <c r="KP26" s="83"/>
      <c r="KQ26" s="83"/>
      <c r="KR26" s="83"/>
      <c r="KS26" s="83"/>
      <c r="KT26" s="83"/>
      <c r="KU26" s="83"/>
      <c r="KV26" s="83"/>
      <c r="KW26" s="83"/>
      <c r="KX26" s="83"/>
      <c r="KY26" s="83"/>
      <c r="KZ26" s="83"/>
      <c r="LA26" s="83"/>
      <c r="LB26" s="83"/>
      <c r="LC26" s="83"/>
      <c r="LD26" s="83"/>
      <c r="LE26" s="83"/>
      <c r="LF26" s="83"/>
      <c r="LG26" s="83"/>
      <c r="LH26" s="83"/>
      <c r="LI26" s="83"/>
      <c r="LJ26" s="83"/>
      <c r="LK26" s="83"/>
      <c r="LL26" s="83"/>
      <c r="LM26" s="83"/>
      <c r="LN26" s="83"/>
      <c r="LO26" s="83"/>
      <c r="LP26" s="83"/>
      <c r="LQ26" s="83"/>
      <c r="LR26" s="83"/>
      <c r="LS26" s="83"/>
      <c r="LT26" s="83"/>
      <c r="LU26" s="83"/>
      <c r="LV26" s="83"/>
      <c r="LW26" s="83"/>
      <c r="LX26" s="83"/>
      <c r="LY26" s="83"/>
      <c r="LZ26" s="83"/>
      <c r="MA26" s="83"/>
      <c r="MB26" s="83"/>
      <c r="MC26" s="83"/>
      <c r="MD26" s="83"/>
      <c r="ME26" s="83"/>
      <c r="MF26" s="83"/>
      <c r="MG26" s="83"/>
      <c r="MH26" s="83"/>
      <c r="MI26" s="83"/>
      <c r="MJ26" s="83"/>
      <c r="MK26" s="83"/>
      <c r="ML26" s="83"/>
      <c r="MM26" s="83"/>
      <c r="MN26" s="83"/>
      <c r="MO26" s="83"/>
      <c r="MP26" s="83"/>
      <c r="MQ26" s="83"/>
      <c r="MR26" s="83"/>
      <c r="MS26" s="83"/>
      <c r="MT26" s="83"/>
      <c r="MU26" s="83"/>
      <c r="MV26" s="83"/>
      <c r="MW26" s="83"/>
      <c r="MX26" s="83"/>
      <c r="MY26" s="83"/>
      <c r="MZ26" s="83"/>
      <c r="NA26" s="83"/>
      <c r="NB26" s="83"/>
      <c r="NC26" s="83"/>
      <c r="ND26" s="83"/>
      <c r="NE26" s="83"/>
      <c r="NF26" s="83"/>
      <c r="NG26" s="83"/>
      <c r="NH26" s="83"/>
      <c r="NI26" s="83"/>
      <c r="NJ26" s="83"/>
      <c r="NK26" s="83"/>
      <c r="NL26" s="83"/>
      <c r="NM26" s="83"/>
      <c r="NN26" s="83"/>
      <c r="NO26" s="83"/>
      <c r="NP26" s="83"/>
      <c r="NQ26" s="83"/>
      <c r="NR26" s="83"/>
      <c r="NS26" s="83"/>
      <c r="NT26" s="83"/>
      <c r="NU26" s="83"/>
      <c r="NV26" s="83"/>
      <c r="NW26" s="83"/>
      <c r="NX26" s="83"/>
      <c r="NY26" s="83"/>
      <c r="NZ26" s="83"/>
      <c r="OA26" s="83"/>
      <c r="OB26" s="83"/>
      <c r="OC26" s="83"/>
      <c r="OD26" s="83"/>
      <c r="OE26" s="83"/>
      <c r="OF26" s="83"/>
      <c r="OG26" s="83"/>
      <c r="OH26" s="83"/>
      <c r="OI26" s="83"/>
      <c r="OJ26" s="83"/>
      <c r="OK26" s="83"/>
      <c r="OL26" s="83"/>
      <c r="OM26" s="83"/>
      <c r="ON26" s="83"/>
      <c r="OO26" s="83"/>
      <c r="OP26" s="83"/>
      <c r="OQ26" s="83"/>
      <c r="OR26" s="83"/>
      <c r="OS26" s="83"/>
      <c r="OT26" s="83"/>
      <c r="OU26" s="83"/>
      <c r="OV26" s="83"/>
      <c r="OW26" s="83"/>
      <c r="OX26" s="83"/>
      <c r="OY26" s="83"/>
      <c r="OZ26" s="83"/>
      <c r="PA26" s="83"/>
      <c r="PB26" s="83"/>
      <c r="PC26" s="83"/>
      <c r="PD26" s="83"/>
      <c r="PE26" s="83"/>
      <c r="PF26" s="83"/>
      <c r="PG26" s="83"/>
      <c r="PH26" s="83"/>
      <c r="PI26" s="83"/>
      <c r="PJ26" s="83"/>
      <c r="PK26" s="83"/>
      <c r="PL26" s="83"/>
      <c r="PM26" s="83"/>
      <c r="PN26" s="83"/>
      <c r="PO26" s="83"/>
      <c r="PP26" s="83"/>
      <c r="PQ26" s="83"/>
      <c r="PR26" s="83"/>
      <c r="PS26" s="83"/>
      <c r="PT26" s="83"/>
      <c r="PU26" s="83"/>
      <c r="PV26" s="83"/>
      <c r="PW26" s="83"/>
      <c r="PX26" s="83"/>
      <c r="PY26" s="83"/>
      <c r="PZ26" s="83"/>
      <c r="QA26" s="83"/>
      <c r="QB26" s="83"/>
      <c r="QC26" s="83"/>
      <c r="QD26" s="83"/>
      <c r="QE26" s="83"/>
      <c r="QF26" s="83"/>
      <c r="QG26" s="83"/>
      <c r="QH26" s="83"/>
      <c r="QI26" s="83"/>
      <c r="QJ26" s="83"/>
      <c r="QK26" s="83"/>
      <c r="QL26" s="83"/>
      <c r="QM26" s="83"/>
      <c r="QN26" s="83"/>
      <c r="QO26" s="83"/>
      <c r="QP26" s="83"/>
      <c r="QQ26" s="83"/>
      <c r="QR26" s="83"/>
      <c r="QS26" s="83"/>
      <c r="QT26" s="83"/>
      <c r="QU26" s="83"/>
      <c r="QV26" s="83"/>
      <c r="QW26" s="83"/>
      <c r="QX26" s="83"/>
      <c r="QY26" s="83"/>
      <c r="QZ26" s="83"/>
      <c r="RA26" s="83"/>
      <c r="RB26" s="83"/>
      <c r="RC26" s="83"/>
      <c r="RD26" s="83"/>
      <c r="RE26" s="83"/>
      <c r="RF26" s="83"/>
      <c r="RG26" s="83"/>
      <c r="RH26" s="83"/>
      <c r="RI26" s="83"/>
      <c r="RJ26" s="83"/>
      <c r="RK26" s="83"/>
      <c r="RL26" s="83"/>
      <c r="RM26" s="83"/>
      <c r="RN26" s="83"/>
      <c r="RO26" s="83"/>
      <c r="RP26" s="83"/>
      <c r="RQ26" s="83"/>
      <c r="RR26" s="83"/>
      <c r="RS26" s="83"/>
      <c r="RT26" s="83"/>
      <c r="RU26" s="83"/>
      <c r="RV26" s="83"/>
      <c r="RW26" s="83"/>
      <c r="RX26" s="83"/>
      <c r="RY26" s="83"/>
      <c r="RZ26" s="83"/>
      <c r="SA26" s="83"/>
      <c r="SB26" s="83"/>
      <c r="SC26" s="83"/>
      <c r="SD26" s="83"/>
      <c r="SE26" s="83"/>
      <c r="SF26" s="83"/>
      <c r="SG26" s="83"/>
      <c r="SH26" s="83"/>
      <c r="SI26" s="83"/>
      <c r="SJ26" s="83"/>
      <c r="SK26" s="83"/>
      <c r="SL26" s="83"/>
      <c r="SM26" s="83"/>
      <c r="SN26" s="83"/>
      <c r="SO26" s="83"/>
      <c r="SP26" s="83"/>
      <c r="SQ26" s="83"/>
      <c r="SR26" s="83"/>
      <c r="SS26" s="83"/>
      <c r="ST26" s="83"/>
      <c r="SU26" s="83"/>
      <c r="SV26" s="83"/>
      <c r="SW26" s="83"/>
      <c r="SX26" s="83"/>
      <c r="SY26" s="83"/>
      <c r="SZ26" s="83"/>
      <c r="TA26" s="83"/>
      <c r="TB26" s="83"/>
      <c r="TC26" s="83"/>
      <c r="TD26" s="83"/>
      <c r="TE26" s="83"/>
      <c r="TF26" s="83"/>
      <c r="TG26" s="83"/>
      <c r="TH26" s="83"/>
      <c r="TI26" s="83"/>
      <c r="TJ26" s="83"/>
      <c r="TK26" s="83"/>
      <c r="TL26" s="83"/>
      <c r="TM26" s="83"/>
      <c r="TN26" s="83"/>
      <c r="TO26" s="83"/>
      <c r="TP26" s="83"/>
      <c r="TQ26" s="83"/>
      <c r="TR26" s="83"/>
      <c r="TS26" s="83"/>
      <c r="TT26" s="83"/>
      <c r="TU26" s="83"/>
      <c r="TV26" s="83"/>
      <c r="TW26" s="83"/>
      <c r="TX26" s="83"/>
      <c r="TY26" s="83"/>
      <c r="TZ26" s="83"/>
      <c r="UA26" s="83"/>
      <c r="UB26" s="83"/>
      <c r="UC26" s="83"/>
      <c r="UD26" s="83"/>
      <c r="UE26" s="83"/>
      <c r="UF26" s="83"/>
      <c r="UG26" s="83"/>
      <c r="UH26" s="83"/>
      <c r="UI26" s="83"/>
      <c r="UJ26" s="83"/>
      <c r="UK26" s="83"/>
      <c r="UL26" s="83"/>
      <c r="UM26" s="83"/>
      <c r="UN26" s="83"/>
      <c r="UO26" s="83"/>
      <c r="UP26" s="83"/>
      <c r="UQ26" s="83"/>
      <c r="UR26" s="83"/>
      <c r="US26" s="83"/>
      <c r="UT26" s="83"/>
      <c r="UU26" s="83"/>
      <c r="UV26" s="83"/>
      <c r="UW26" s="83"/>
      <c r="UX26" s="83"/>
      <c r="UY26" s="83"/>
      <c r="UZ26" s="83"/>
      <c r="VA26" s="83"/>
      <c r="VB26" s="83"/>
      <c r="VC26" s="83"/>
      <c r="VD26" s="83"/>
      <c r="VE26" s="83"/>
      <c r="VF26" s="83"/>
      <c r="VG26" s="83"/>
      <c r="VH26" s="83"/>
      <c r="VI26" s="83"/>
      <c r="VJ26" s="83"/>
      <c r="VK26" s="83"/>
      <c r="VL26" s="83"/>
      <c r="VM26" s="83"/>
      <c r="VN26" s="83"/>
      <c r="VO26" s="83"/>
      <c r="VP26" s="83"/>
      <c r="VQ26" s="83"/>
      <c r="VR26" s="83"/>
      <c r="VS26" s="83"/>
      <c r="VT26" s="83"/>
      <c r="VU26" s="83"/>
      <c r="VV26" s="83"/>
      <c r="VW26" s="83"/>
      <c r="VX26" s="83"/>
      <c r="VY26" s="83"/>
      <c r="VZ26" s="83"/>
      <c r="WA26" s="83"/>
      <c r="WB26" s="83"/>
      <c r="WC26" s="83"/>
      <c r="WD26" s="83"/>
      <c r="WE26" s="83"/>
      <c r="WF26" s="83"/>
    </row>
    <row r="27" spans="1:604" ht="17.25" customHeight="1" x14ac:dyDescent="0.3">
      <c r="A27" s="25" t="e">
        <f>IF(契約詳細價目表!A27="",NA(),契約詳細價目表!A27)</f>
        <v>#N/A</v>
      </c>
      <c r="B27" s="26" t="e">
        <f>IF(契約詳細價目表!B27="",NA(),契約詳細價目表!B27)</f>
        <v>#N/A</v>
      </c>
      <c r="C27" s="25" t="e">
        <f>IF(契約詳細價目表!C27="",NA(),契約詳細價目表!C27)</f>
        <v>#N/A</v>
      </c>
      <c r="D27" s="27" t="e">
        <f>IF(契約詳細價目表!D27="",NA(),契約詳細價目表!D27)</f>
        <v>#N/A</v>
      </c>
      <c r="E27" s="28" t="e">
        <f>IF(契約詳細價目表!E27="",NA(),契約詳細價目表!E27)</f>
        <v>#N/A</v>
      </c>
      <c r="F27" s="28">
        <f>IF(契約詳細價目表!F27="",NA(),契約詳細價目表!F27)</f>
        <v>0</v>
      </c>
      <c r="G27" s="27">
        <f t="shared" si="536"/>
        <v>0</v>
      </c>
      <c r="H27" s="28" t="e">
        <f t="shared" si="537"/>
        <v>#N/A</v>
      </c>
      <c r="I27" s="47" t="e">
        <f t="shared" si="535"/>
        <v>#N/A</v>
      </c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  <c r="CZ27" s="92"/>
      <c r="DA27" s="92"/>
      <c r="DB27" s="92"/>
      <c r="DC27" s="92"/>
      <c r="DD27" s="92"/>
      <c r="DE27" s="92"/>
      <c r="DF27" s="92"/>
      <c r="DG27" s="92"/>
      <c r="DH27" s="92"/>
      <c r="DI27" s="92"/>
      <c r="DJ27" s="92"/>
      <c r="DK27" s="92"/>
      <c r="DL27" s="92"/>
      <c r="DM27" s="92"/>
      <c r="DN27" s="92"/>
      <c r="DO27" s="92"/>
      <c r="DP27" s="92"/>
      <c r="DQ27" s="92"/>
      <c r="DR27" s="92"/>
      <c r="DS27" s="92"/>
      <c r="DT27" s="92"/>
      <c r="DU27" s="92"/>
      <c r="DV27" s="92"/>
      <c r="DW27" s="92"/>
      <c r="DX27" s="92"/>
      <c r="DY27" s="92"/>
      <c r="DZ27" s="92"/>
      <c r="EA27" s="92"/>
      <c r="EB27" s="92"/>
      <c r="EC27" s="92"/>
      <c r="ED27" s="92"/>
      <c r="EE27" s="92"/>
      <c r="EF27" s="92"/>
      <c r="EG27" s="92"/>
      <c r="EH27" s="92"/>
      <c r="EI27" s="92"/>
      <c r="EJ27" s="92"/>
      <c r="EK27" s="92"/>
      <c r="EL27" s="92"/>
      <c r="EM27" s="92"/>
      <c r="EN27" s="92"/>
      <c r="EO27" s="92"/>
      <c r="EP27" s="92"/>
      <c r="EQ27" s="92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1"/>
      <c r="FV27" s="91"/>
      <c r="FW27" s="91"/>
      <c r="FX27" s="91"/>
      <c r="FY27" s="91"/>
      <c r="FZ27" s="91"/>
      <c r="GA27" s="91"/>
      <c r="GB27" s="91"/>
      <c r="GC27" s="91"/>
      <c r="GD27" s="91"/>
      <c r="GE27" s="91"/>
      <c r="GF27" s="91"/>
      <c r="GG27" s="91"/>
      <c r="GH27" s="91"/>
      <c r="GI27" s="91"/>
      <c r="GJ27" s="91"/>
      <c r="GK27" s="91"/>
      <c r="GL27" s="91"/>
      <c r="GM27" s="91"/>
      <c r="GN27" s="91"/>
      <c r="GO27" s="91"/>
      <c r="GP27" s="91"/>
      <c r="GQ27" s="91"/>
      <c r="GR27" s="91"/>
      <c r="GS27" s="91"/>
      <c r="GT27" s="91"/>
      <c r="GU27" s="91"/>
      <c r="GV27" s="91"/>
      <c r="GW27" s="91"/>
      <c r="GX27" s="91"/>
      <c r="GY27" s="91"/>
      <c r="GZ27" s="91"/>
      <c r="HA27" s="91"/>
      <c r="HB27" s="91"/>
      <c r="HC27" s="91"/>
      <c r="HD27" s="91"/>
      <c r="HE27" s="91"/>
      <c r="HF27" s="91"/>
      <c r="HG27" s="91"/>
      <c r="HH27" s="91"/>
      <c r="HI27" s="91"/>
      <c r="HJ27" s="91"/>
      <c r="HK27" s="91"/>
      <c r="HL27" s="91"/>
      <c r="HM27" s="91"/>
      <c r="HN27" s="91"/>
      <c r="HO27" s="91"/>
      <c r="HP27" s="91"/>
      <c r="HQ27" s="91"/>
      <c r="HR27" s="91"/>
      <c r="HS27" s="91"/>
      <c r="HT27" s="91"/>
      <c r="HU27" s="91"/>
      <c r="HV27" s="91"/>
      <c r="HW27" s="91"/>
      <c r="HX27" s="91"/>
      <c r="HY27" s="91"/>
      <c r="HZ27" s="91"/>
      <c r="IA27" s="91"/>
      <c r="IB27" s="91"/>
      <c r="IC27" s="91"/>
      <c r="ID27" s="91"/>
      <c r="IE27" s="91"/>
      <c r="IF27" s="91"/>
      <c r="IG27" s="91"/>
      <c r="IH27" s="91"/>
      <c r="II27" s="91"/>
      <c r="IJ27" s="91"/>
      <c r="IK27" s="91"/>
      <c r="IL27" s="91"/>
      <c r="IM27" s="91"/>
      <c r="IN27" s="91"/>
      <c r="IO27" s="91"/>
      <c r="IP27" s="91"/>
      <c r="IQ27" s="91"/>
      <c r="IR27" s="91"/>
      <c r="IS27" s="91"/>
      <c r="IT27" s="91"/>
      <c r="IU27" s="91"/>
      <c r="IV27" s="91"/>
      <c r="IW27" s="91"/>
      <c r="IX27" s="91"/>
      <c r="IY27" s="91"/>
      <c r="IZ27" s="91"/>
      <c r="JA27" s="91"/>
      <c r="JB27" s="91"/>
      <c r="JC27" s="91"/>
      <c r="JD27" s="91"/>
      <c r="JE27" s="91"/>
      <c r="JF27" s="91"/>
      <c r="JG27" s="91"/>
      <c r="JH27" s="91"/>
      <c r="JI27" s="91"/>
      <c r="JJ27" s="91"/>
      <c r="JK27" s="91"/>
      <c r="JL27" s="91"/>
      <c r="JM27" s="91"/>
      <c r="JN27" s="91"/>
      <c r="JO27" s="91"/>
      <c r="JP27" s="91"/>
      <c r="JQ27" s="91"/>
      <c r="JR27" s="91"/>
      <c r="JS27" s="91"/>
      <c r="JT27" s="91"/>
      <c r="JU27" s="91"/>
      <c r="JV27" s="91"/>
      <c r="JW27" s="91"/>
      <c r="JX27" s="91"/>
      <c r="JY27" s="91"/>
      <c r="JZ27" s="91"/>
      <c r="KA27" s="91"/>
      <c r="KB27" s="91"/>
      <c r="KC27" s="91"/>
      <c r="KD27" s="91"/>
      <c r="KE27" s="91"/>
      <c r="KF27" s="91"/>
      <c r="KG27" s="91"/>
      <c r="KH27" s="91"/>
      <c r="KI27" s="91"/>
      <c r="KJ27" s="91"/>
      <c r="KK27" s="91"/>
      <c r="KL27" s="91"/>
      <c r="KM27" s="91"/>
      <c r="KN27" s="91"/>
      <c r="KO27" s="91"/>
      <c r="KP27" s="91"/>
      <c r="KQ27" s="91"/>
      <c r="KR27" s="91"/>
      <c r="KS27" s="91"/>
      <c r="KT27" s="91"/>
      <c r="KU27" s="91"/>
      <c r="KV27" s="91"/>
      <c r="KW27" s="91"/>
      <c r="KX27" s="91"/>
      <c r="KY27" s="91"/>
      <c r="KZ27" s="91"/>
      <c r="LA27" s="91"/>
      <c r="LB27" s="91"/>
      <c r="LC27" s="91"/>
      <c r="LD27" s="91"/>
      <c r="LE27" s="91"/>
      <c r="LF27" s="91"/>
      <c r="LG27" s="91"/>
      <c r="LH27" s="91"/>
      <c r="LI27" s="91"/>
      <c r="LJ27" s="91"/>
      <c r="LK27" s="91"/>
      <c r="LL27" s="91"/>
      <c r="LM27" s="91"/>
      <c r="LN27" s="91"/>
      <c r="LO27" s="91"/>
      <c r="LP27" s="91"/>
      <c r="LQ27" s="91"/>
      <c r="LR27" s="91"/>
      <c r="LS27" s="91"/>
      <c r="LT27" s="91"/>
      <c r="LU27" s="91"/>
      <c r="LV27" s="91"/>
      <c r="LW27" s="91"/>
      <c r="LX27" s="91"/>
      <c r="LY27" s="91"/>
      <c r="LZ27" s="91"/>
      <c r="MA27" s="91"/>
      <c r="MB27" s="91"/>
      <c r="MC27" s="91"/>
      <c r="MD27" s="91"/>
      <c r="ME27" s="91"/>
      <c r="MF27" s="91"/>
      <c r="MG27" s="91"/>
      <c r="MH27" s="91"/>
      <c r="MI27" s="91"/>
      <c r="MJ27" s="91"/>
      <c r="MK27" s="91"/>
      <c r="ML27" s="91"/>
      <c r="MM27" s="91"/>
      <c r="MN27" s="91"/>
      <c r="MO27" s="91"/>
      <c r="MP27" s="91"/>
      <c r="MQ27" s="91"/>
      <c r="MR27" s="91"/>
      <c r="MS27" s="91"/>
      <c r="MT27" s="91"/>
      <c r="MU27" s="91"/>
      <c r="MV27" s="91"/>
      <c r="MW27" s="91"/>
      <c r="MX27" s="91"/>
      <c r="MY27" s="91"/>
      <c r="MZ27" s="91"/>
      <c r="NA27" s="91"/>
      <c r="NB27" s="91"/>
      <c r="NC27" s="91"/>
      <c r="ND27" s="91"/>
      <c r="NE27" s="91"/>
      <c r="NF27" s="91"/>
      <c r="NG27" s="91"/>
      <c r="NH27" s="91"/>
      <c r="NI27" s="91"/>
      <c r="NJ27" s="91"/>
      <c r="NK27" s="91"/>
      <c r="NL27" s="91"/>
      <c r="NM27" s="91"/>
      <c r="NN27" s="91"/>
      <c r="NO27" s="91"/>
      <c r="NP27" s="91"/>
      <c r="NQ27" s="91"/>
      <c r="NR27" s="91"/>
      <c r="NS27" s="91"/>
      <c r="NT27" s="91"/>
      <c r="NU27" s="91"/>
      <c r="NV27" s="91"/>
      <c r="NW27" s="91"/>
      <c r="NX27" s="91"/>
      <c r="NY27" s="91"/>
      <c r="NZ27" s="91"/>
      <c r="OA27" s="91"/>
      <c r="OB27" s="91"/>
      <c r="OC27" s="91"/>
      <c r="OD27" s="91"/>
      <c r="OE27" s="91"/>
      <c r="OF27" s="91"/>
      <c r="OG27" s="91"/>
      <c r="OH27" s="91"/>
      <c r="OI27" s="91"/>
      <c r="OJ27" s="91"/>
      <c r="OK27" s="91"/>
      <c r="OL27" s="91"/>
      <c r="OM27" s="91"/>
      <c r="ON27" s="91"/>
      <c r="OO27" s="91"/>
      <c r="OP27" s="91"/>
      <c r="OQ27" s="91"/>
      <c r="OR27" s="91"/>
      <c r="OS27" s="91"/>
      <c r="OT27" s="91"/>
      <c r="OU27" s="91"/>
      <c r="OV27" s="91"/>
      <c r="OW27" s="91"/>
      <c r="OX27" s="91"/>
      <c r="OY27" s="91"/>
      <c r="OZ27" s="91"/>
      <c r="PA27" s="91"/>
      <c r="PB27" s="91"/>
      <c r="PC27" s="91"/>
      <c r="PD27" s="91"/>
      <c r="PE27" s="91"/>
      <c r="PF27" s="91"/>
      <c r="PG27" s="91"/>
      <c r="PH27" s="91"/>
      <c r="PI27" s="91"/>
      <c r="PJ27" s="91"/>
      <c r="PK27" s="91"/>
      <c r="PL27" s="91"/>
      <c r="PM27" s="91"/>
      <c r="PN27" s="91"/>
      <c r="PO27" s="91"/>
      <c r="PP27" s="91"/>
      <c r="PQ27" s="91"/>
      <c r="PR27" s="91"/>
      <c r="PS27" s="91"/>
      <c r="PT27" s="91"/>
      <c r="PU27" s="91"/>
      <c r="PV27" s="91"/>
      <c r="PW27" s="91"/>
      <c r="PX27" s="91"/>
      <c r="PY27" s="91"/>
      <c r="PZ27" s="91"/>
      <c r="QA27" s="91"/>
      <c r="QB27" s="91"/>
      <c r="QC27" s="91"/>
      <c r="QD27" s="91"/>
      <c r="QE27" s="91"/>
      <c r="QF27" s="91"/>
      <c r="QG27" s="91"/>
      <c r="QH27" s="91"/>
      <c r="QI27" s="91"/>
      <c r="QJ27" s="91"/>
      <c r="QK27" s="91"/>
      <c r="QL27" s="91"/>
      <c r="QM27" s="91"/>
      <c r="QN27" s="91"/>
      <c r="QO27" s="91"/>
      <c r="QP27" s="91"/>
      <c r="QQ27" s="91"/>
      <c r="QR27" s="91"/>
      <c r="QS27" s="91"/>
      <c r="QT27" s="91"/>
      <c r="QU27" s="91"/>
      <c r="QV27" s="91"/>
      <c r="QW27" s="91"/>
      <c r="QX27" s="91"/>
      <c r="QY27" s="91"/>
      <c r="QZ27" s="91"/>
      <c r="RA27" s="91"/>
      <c r="RB27" s="91"/>
      <c r="RC27" s="91"/>
      <c r="RD27" s="91"/>
      <c r="RE27" s="91"/>
      <c r="RF27" s="91"/>
      <c r="RG27" s="91"/>
      <c r="RH27" s="91"/>
      <c r="RI27" s="91"/>
      <c r="RJ27" s="91"/>
      <c r="RK27" s="91"/>
      <c r="RL27" s="91"/>
      <c r="RM27" s="91"/>
      <c r="RN27" s="91"/>
      <c r="RO27" s="91"/>
      <c r="RP27" s="91"/>
      <c r="RQ27" s="91"/>
      <c r="RR27" s="91"/>
      <c r="RS27" s="91"/>
      <c r="RT27" s="91"/>
      <c r="RU27" s="91"/>
      <c r="RV27" s="91"/>
      <c r="RW27" s="91"/>
      <c r="RX27" s="91"/>
      <c r="RY27" s="91"/>
      <c r="RZ27" s="91"/>
      <c r="SA27" s="91"/>
      <c r="SB27" s="91"/>
      <c r="SC27" s="91"/>
      <c r="SD27" s="91"/>
      <c r="SE27" s="91"/>
      <c r="SF27" s="91"/>
      <c r="SG27" s="91"/>
      <c r="SH27" s="91"/>
      <c r="SI27" s="91"/>
      <c r="SJ27" s="91"/>
      <c r="SK27" s="91"/>
      <c r="SL27" s="91"/>
      <c r="SM27" s="91"/>
      <c r="SN27" s="91"/>
      <c r="SO27" s="91"/>
      <c r="SP27" s="91"/>
      <c r="SQ27" s="91"/>
      <c r="SR27" s="91"/>
      <c r="SS27" s="91"/>
      <c r="ST27" s="91"/>
      <c r="SU27" s="91"/>
      <c r="SV27" s="91"/>
      <c r="SW27" s="91"/>
      <c r="SX27" s="91"/>
      <c r="SY27" s="91"/>
      <c r="SZ27" s="91"/>
      <c r="TA27" s="91"/>
      <c r="TB27" s="91"/>
      <c r="TC27" s="91"/>
      <c r="TD27" s="91"/>
      <c r="TE27" s="91"/>
      <c r="TF27" s="91"/>
      <c r="TG27" s="91"/>
      <c r="TH27" s="91"/>
      <c r="TI27" s="91"/>
      <c r="TJ27" s="91"/>
      <c r="TK27" s="91"/>
      <c r="TL27" s="91"/>
      <c r="TM27" s="91"/>
      <c r="TN27" s="91"/>
      <c r="TO27" s="91"/>
      <c r="TP27" s="91"/>
      <c r="TQ27" s="91"/>
      <c r="TR27" s="91"/>
      <c r="TS27" s="91"/>
      <c r="TT27" s="91"/>
      <c r="TU27" s="91"/>
      <c r="TV27" s="91"/>
      <c r="TW27" s="91"/>
      <c r="TX27" s="91"/>
      <c r="TY27" s="91"/>
      <c r="TZ27" s="91"/>
      <c r="UA27" s="91"/>
      <c r="UB27" s="91"/>
      <c r="UC27" s="91"/>
      <c r="UD27" s="91"/>
      <c r="UE27" s="91"/>
      <c r="UF27" s="91"/>
      <c r="UG27" s="91"/>
      <c r="UH27" s="91"/>
      <c r="UI27" s="91"/>
      <c r="UJ27" s="91"/>
      <c r="UK27" s="91"/>
      <c r="UL27" s="91"/>
      <c r="UM27" s="91"/>
      <c r="UN27" s="91"/>
      <c r="UO27" s="91"/>
      <c r="UP27" s="91"/>
      <c r="UQ27" s="91"/>
      <c r="UR27" s="91"/>
      <c r="US27" s="91"/>
      <c r="UT27" s="91"/>
      <c r="UU27" s="91"/>
      <c r="UV27" s="91"/>
      <c r="UW27" s="91"/>
      <c r="UX27" s="91"/>
      <c r="UY27" s="91"/>
      <c r="UZ27" s="91"/>
      <c r="VA27" s="91"/>
      <c r="VB27" s="91"/>
      <c r="VC27" s="91"/>
      <c r="VD27" s="91"/>
      <c r="VE27" s="91"/>
      <c r="VF27" s="91"/>
      <c r="VG27" s="91"/>
      <c r="VH27" s="91"/>
      <c r="VI27" s="91"/>
      <c r="VJ27" s="91"/>
      <c r="VK27" s="91"/>
      <c r="VL27" s="91"/>
      <c r="VM27" s="91"/>
      <c r="VN27" s="91"/>
      <c r="VO27" s="91"/>
      <c r="VP27" s="91"/>
      <c r="VQ27" s="91"/>
      <c r="VR27" s="91"/>
      <c r="VS27" s="91"/>
      <c r="VT27" s="91"/>
      <c r="VU27" s="91"/>
      <c r="VV27" s="91"/>
      <c r="VW27" s="91"/>
      <c r="VX27" s="91"/>
      <c r="VY27" s="91"/>
      <c r="VZ27" s="91"/>
      <c r="WA27" s="91"/>
      <c r="WB27" s="91"/>
      <c r="WC27" s="91"/>
      <c r="WD27" s="91"/>
      <c r="WE27" s="91"/>
      <c r="WF27" s="91"/>
    </row>
    <row r="28" spans="1:604" ht="24" customHeight="1" x14ac:dyDescent="0.3">
      <c r="A28" s="25" t="e">
        <f>IF(契約詳細價目表!A28="",NA(),契約詳細價目表!A28)</f>
        <v>#N/A</v>
      </c>
      <c r="B28" s="26" t="e">
        <f>IF(契約詳細價目表!B28="",NA(),契約詳細價目表!B28)</f>
        <v>#N/A</v>
      </c>
      <c r="C28" s="25" t="e">
        <f>IF(契約詳細價目表!C28="",NA(),契約詳細價目表!C28)</f>
        <v>#N/A</v>
      </c>
      <c r="D28" s="27" t="e">
        <f>IF(契約詳細價目表!D28="",NA(),契約詳細價目表!D28)</f>
        <v>#N/A</v>
      </c>
      <c r="E28" s="28" t="e">
        <f>IF(契約詳細價目表!E28="",NA(),契約詳細價目表!E28)</f>
        <v>#N/A</v>
      </c>
      <c r="F28" s="28">
        <f>IF(契約詳細價目表!F28="",NA(),契約詳細價目表!F28)</f>
        <v>0</v>
      </c>
      <c r="G28" s="27">
        <f t="shared" si="536"/>
        <v>0</v>
      </c>
      <c r="H28" s="28" t="e">
        <f t="shared" si="537"/>
        <v>#N/A</v>
      </c>
      <c r="I28" s="47" t="e">
        <f t="shared" si="535"/>
        <v>#N/A</v>
      </c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92"/>
      <c r="CW28" s="92"/>
      <c r="CX28" s="92"/>
      <c r="CY28" s="92"/>
      <c r="CZ28" s="92"/>
      <c r="DA28" s="92"/>
      <c r="DB28" s="92"/>
      <c r="DC28" s="92"/>
      <c r="DD28" s="92"/>
      <c r="DE28" s="92"/>
      <c r="DF28" s="92"/>
      <c r="DG28" s="92"/>
      <c r="DH28" s="92"/>
      <c r="DI28" s="92"/>
      <c r="DJ28" s="92"/>
      <c r="DK28" s="92"/>
      <c r="DL28" s="92"/>
      <c r="DM28" s="92"/>
      <c r="DN28" s="92"/>
      <c r="DO28" s="92"/>
      <c r="DP28" s="92"/>
      <c r="DQ28" s="92"/>
      <c r="DR28" s="92"/>
      <c r="DS28" s="92"/>
      <c r="DT28" s="92"/>
      <c r="DU28" s="92"/>
      <c r="DV28" s="92"/>
      <c r="DW28" s="92"/>
      <c r="DX28" s="92"/>
      <c r="DY28" s="92"/>
      <c r="DZ28" s="92"/>
      <c r="EA28" s="92"/>
      <c r="EB28" s="92"/>
      <c r="EC28" s="92"/>
      <c r="ED28" s="92"/>
      <c r="EE28" s="92"/>
      <c r="EF28" s="92"/>
      <c r="EG28" s="92"/>
      <c r="EH28" s="92"/>
      <c r="EI28" s="92"/>
      <c r="EJ28" s="92"/>
      <c r="EK28" s="92"/>
      <c r="EL28" s="92"/>
      <c r="EM28" s="92"/>
      <c r="EN28" s="92"/>
      <c r="EO28" s="92"/>
      <c r="EP28" s="92"/>
      <c r="EQ28" s="92"/>
      <c r="ER28" s="92"/>
      <c r="ES28" s="92"/>
      <c r="ET28" s="92"/>
      <c r="EU28" s="92"/>
      <c r="EV28" s="92"/>
      <c r="EW28" s="92"/>
      <c r="EX28" s="92"/>
      <c r="EY28" s="92"/>
      <c r="EZ28" s="92"/>
      <c r="FA28" s="92"/>
      <c r="FB28" s="92"/>
      <c r="FC28" s="92"/>
      <c r="FD28" s="92"/>
      <c r="FE28" s="92"/>
      <c r="FF28" s="92"/>
      <c r="FG28" s="92"/>
      <c r="FH28" s="92"/>
      <c r="FI28" s="92"/>
      <c r="FJ28" s="92"/>
      <c r="FK28" s="92"/>
      <c r="FL28" s="92"/>
      <c r="FM28" s="92"/>
      <c r="FN28" s="92"/>
      <c r="FO28" s="92"/>
      <c r="FP28" s="92"/>
      <c r="FQ28" s="92"/>
      <c r="FR28" s="92"/>
      <c r="FS28" s="92"/>
      <c r="FT28" s="92"/>
      <c r="FU28" s="91"/>
      <c r="FV28" s="91"/>
      <c r="FW28" s="91"/>
      <c r="FX28" s="91"/>
      <c r="FY28" s="91"/>
      <c r="FZ28" s="91"/>
      <c r="GA28" s="91"/>
      <c r="GB28" s="91"/>
      <c r="GC28" s="91"/>
      <c r="GD28" s="91"/>
      <c r="GE28" s="91"/>
      <c r="GF28" s="91"/>
      <c r="GG28" s="91"/>
      <c r="GH28" s="91"/>
      <c r="GI28" s="91"/>
      <c r="GJ28" s="91"/>
      <c r="GK28" s="91"/>
      <c r="GL28" s="91"/>
      <c r="GM28" s="91"/>
      <c r="GN28" s="91"/>
      <c r="GO28" s="91"/>
      <c r="GP28" s="91"/>
      <c r="GQ28" s="91"/>
      <c r="GR28" s="91"/>
      <c r="GS28" s="91"/>
      <c r="GT28" s="91"/>
      <c r="GU28" s="91"/>
      <c r="GV28" s="91"/>
      <c r="GW28" s="91"/>
      <c r="GX28" s="91"/>
      <c r="GY28" s="91"/>
      <c r="GZ28" s="91"/>
      <c r="HA28" s="91"/>
      <c r="HB28" s="91"/>
      <c r="HC28" s="91"/>
      <c r="HD28" s="91"/>
      <c r="HE28" s="91"/>
      <c r="HF28" s="91"/>
      <c r="HG28" s="91"/>
      <c r="HH28" s="91"/>
      <c r="HI28" s="91"/>
      <c r="HJ28" s="91"/>
      <c r="HK28" s="91"/>
      <c r="HL28" s="91"/>
      <c r="HM28" s="91"/>
      <c r="HN28" s="91"/>
      <c r="HO28" s="91"/>
      <c r="HP28" s="91"/>
      <c r="HQ28" s="91"/>
      <c r="HR28" s="91"/>
      <c r="HS28" s="91"/>
      <c r="HT28" s="91"/>
      <c r="HU28" s="91"/>
      <c r="HV28" s="91"/>
      <c r="HW28" s="91"/>
      <c r="HX28" s="91"/>
      <c r="HY28" s="91"/>
      <c r="HZ28" s="91"/>
      <c r="IA28" s="91"/>
      <c r="IB28" s="91"/>
      <c r="IC28" s="91"/>
      <c r="ID28" s="91"/>
      <c r="IE28" s="91"/>
      <c r="IF28" s="91"/>
      <c r="IG28" s="91"/>
      <c r="IH28" s="91"/>
      <c r="II28" s="91"/>
      <c r="IJ28" s="91"/>
      <c r="IK28" s="91"/>
      <c r="IL28" s="91"/>
      <c r="IM28" s="91"/>
      <c r="IN28" s="91"/>
      <c r="IO28" s="91"/>
      <c r="IP28" s="91"/>
      <c r="IQ28" s="91"/>
      <c r="IR28" s="91"/>
      <c r="IS28" s="91"/>
      <c r="IT28" s="91"/>
      <c r="IU28" s="91"/>
      <c r="IV28" s="91"/>
      <c r="IW28" s="91"/>
      <c r="IX28" s="91"/>
      <c r="IY28" s="91"/>
      <c r="IZ28" s="91"/>
      <c r="JA28" s="91"/>
      <c r="JB28" s="91"/>
      <c r="JC28" s="91"/>
      <c r="JD28" s="91"/>
      <c r="JE28" s="91"/>
      <c r="JF28" s="91"/>
      <c r="JG28" s="91"/>
      <c r="JH28" s="91"/>
      <c r="JI28" s="91"/>
      <c r="JJ28" s="91"/>
      <c r="JK28" s="91"/>
      <c r="JL28" s="91"/>
      <c r="JM28" s="91"/>
      <c r="JN28" s="91"/>
      <c r="JO28" s="91"/>
      <c r="JP28" s="91"/>
      <c r="JQ28" s="91"/>
      <c r="JR28" s="91"/>
      <c r="JS28" s="91"/>
      <c r="JT28" s="91"/>
      <c r="JU28" s="91"/>
      <c r="JV28" s="91"/>
      <c r="JW28" s="91"/>
      <c r="JX28" s="91"/>
      <c r="JY28" s="91"/>
      <c r="JZ28" s="91"/>
      <c r="KA28" s="91"/>
      <c r="KB28" s="91"/>
      <c r="KC28" s="91"/>
      <c r="KD28" s="91"/>
      <c r="KE28" s="91"/>
      <c r="KF28" s="91"/>
      <c r="KG28" s="91"/>
      <c r="KH28" s="91"/>
      <c r="KI28" s="91"/>
      <c r="KJ28" s="91"/>
      <c r="KK28" s="91"/>
      <c r="KL28" s="91"/>
      <c r="KM28" s="91"/>
      <c r="KN28" s="91"/>
      <c r="KO28" s="91"/>
      <c r="KP28" s="91"/>
      <c r="KQ28" s="91"/>
      <c r="KR28" s="91"/>
      <c r="KS28" s="91"/>
      <c r="KT28" s="91"/>
      <c r="KU28" s="91"/>
      <c r="KV28" s="91"/>
      <c r="KW28" s="91"/>
      <c r="KX28" s="91"/>
      <c r="KY28" s="91"/>
      <c r="KZ28" s="91"/>
      <c r="LA28" s="91"/>
      <c r="LB28" s="91"/>
      <c r="LC28" s="91"/>
      <c r="LD28" s="91"/>
      <c r="LE28" s="91"/>
      <c r="LF28" s="91"/>
      <c r="LG28" s="91"/>
      <c r="LH28" s="91"/>
      <c r="LI28" s="91"/>
      <c r="LJ28" s="91"/>
      <c r="LK28" s="91"/>
      <c r="LL28" s="91"/>
      <c r="LM28" s="91"/>
      <c r="LN28" s="91"/>
      <c r="LO28" s="91"/>
      <c r="LP28" s="91"/>
      <c r="LQ28" s="91"/>
      <c r="LR28" s="91"/>
      <c r="LS28" s="91"/>
      <c r="LT28" s="91"/>
      <c r="LU28" s="91"/>
      <c r="LV28" s="91"/>
      <c r="LW28" s="91"/>
      <c r="LX28" s="91"/>
      <c r="LY28" s="91"/>
      <c r="LZ28" s="91"/>
      <c r="MA28" s="91"/>
      <c r="MB28" s="91"/>
      <c r="MC28" s="91"/>
      <c r="MD28" s="91"/>
      <c r="ME28" s="91"/>
      <c r="MF28" s="91"/>
      <c r="MG28" s="91"/>
      <c r="MH28" s="91"/>
      <c r="MI28" s="91"/>
      <c r="MJ28" s="91"/>
      <c r="MK28" s="91"/>
      <c r="ML28" s="91"/>
      <c r="MM28" s="91"/>
      <c r="MN28" s="91"/>
      <c r="MO28" s="91"/>
      <c r="MP28" s="91"/>
      <c r="MQ28" s="91"/>
      <c r="MR28" s="91"/>
      <c r="MS28" s="91"/>
      <c r="MT28" s="91"/>
      <c r="MU28" s="91"/>
      <c r="MV28" s="91"/>
      <c r="MW28" s="91"/>
      <c r="MX28" s="91"/>
      <c r="MY28" s="91"/>
      <c r="MZ28" s="91"/>
      <c r="NA28" s="91"/>
      <c r="NB28" s="91"/>
      <c r="NC28" s="91"/>
      <c r="ND28" s="91"/>
      <c r="NE28" s="91"/>
      <c r="NF28" s="91"/>
      <c r="NG28" s="91"/>
      <c r="NH28" s="91"/>
      <c r="NI28" s="91"/>
      <c r="NJ28" s="91"/>
      <c r="NK28" s="91"/>
      <c r="NL28" s="91"/>
      <c r="NM28" s="91"/>
      <c r="NN28" s="91"/>
      <c r="NO28" s="91"/>
      <c r="NP28" s="91"/>
      <c r="NQ28" s="91"/>
      <c r="NR28" s="91"/>
      <c r="NS28" s="91"/>
      <c r="NT28" s="91"/>
      <c r="NU28" s="91"/>
      <c r="NV28" s="91"/>
      <c r="NW28" s="91"/>
      <c r="NX28" s="91"/>
      <c r="NY28" s="91"/>
      <c r="NZ28" s="91"/>
      <c r="OA28" s="91"/>
      <c r="OB28" s="91"/>
      <c r="OC28" s="91"/>
      <c r="OD28" s="91"/>
      <c r="OE28" s="91"/>
      <c r="OF28" s="91"/>
      <c r="OG28" s="91"/>
      <c r="OH28" s="91"/>
      <c r="OI28" s="91"/>
      <c r="OJ28" s="91"/>
      <c r="OK28" s="91"/>
      <c r="OL28" s="91"/>
      <c r="OM28" s="91"/>
      <c r="ON28" s="91"/>
      <c r="OO28" s="91"/>
      <c r="OP28" s="91"/>
      <c r="OQ28" s="91"/>
      <c r="OR28" s="91"/>
      <c r="OS28" s="91"/>
      <c r="OT28" s="91"/>
      <c r="OU28" s="91"/>
      <c r="OV28" s="91"/>
      <c r="OW28" s="91"/>
      <c r="OX28" s="91"/>
      <c r="OY28" s="91"/>
      <c r="OZ28" s="91"/>
      <c r="PA28" s="91"/>
      <c r="PB28" s="91"/>
      <c r="PC28" s="91"/>
      <c r="PD28" s="91"/>
      <c r="PE28" s="91"/>
      <c r="PF28" s="91"/>
      <c r="PG28" s="91"/>
      <c r="PH28" s="91"/>
      <c r="PI28" s="91"/>
      <c r="PJ28" s="91"/>
      <c r="PK28" s="91"/>
      <c r="PL28" s="91"/>
      <c r="PM28" s="91"/>
      <c r="PN28" s="91"/>
      <c r="PO28" s="91"/>
      <c r="PP28" s="91"/>
      <c r="PQ28" s="91"/>
      <c r="PR28" s="91"/>
      <c r="PS28" s="91"/>
      <c r="PT28" s="91"/>
      <c r="PU28" s="91"/>
      <c r="PV28" s="91"/>
      <c r="PW28" s="91"/>
      <c r="PX28" s="91"/>
      <c r="PY28" s="91"/>
      <c r="PZ28" s="91"/>
      <c r="QA28" s="91"/>
      <c r="QB28" s="91"/>
      <c r="QC28" s="91"/>
      <c r="QD28" s="91"/>
      <c r="QE28" s="91"/>
      <c r="QF28" s="91"/>
      <c r="QG28" s="91"/>
      <c r="QH28" s="91"/>
      <c r="QI28" s="91"/>
      <c r="QJ28" s="91"/>
      <c r="QK28" s="91"/>
      <c r="QL28" s="91"/>
      <c r="QM28" s="91"/>
      <c r="QN28" s="91"/>
      <c r="QO28" s="91"/>
      <c r="QP28" s="91"/>
      <c r="QQ28" s="91"/>
      <c r="QR28" s="91"/>
      <c r="QS28" s="91"/>
      <c r="QT28" s="91"/>
      <c r="QU28" s="91"/>
      <c r="QV28" s="91"/>
      <c r="QW28" s="91"/>
      <c r="QX28" s="91"/>
      <c r="QY28" s="91"/>
      <c r="QZ28" s="91"/>
      <c r="RA28" s="91"/>
      <c r="RB28" s="91"/>
      <c r="RC28" s="91"/>
      <c r="RD28" s="91"/>
      <c r="RE28" s="91"/>
      <c r="RF28" s="91"/>
      <c r="RG28" s="91"/>
      <c r="RH28" s="91"/>
      <c r="RI28" s="91"/>
      <c r="RJ28" s="91"/>
      <c r="RK28" s="91"/>
      <c r="RL28" s="91"/>
      <c r="RM28" s="91"/>
      <c r="RN28" s="91"/>
      <c r="RO28" s="91"/>
      <c r="RP28" s="91"/>
      <c r="RQ28" s="91"/>
      <c r="RR28" s="91"/>
      <c r="RS28" s="91"/>
      <c r="RT28" s="91"/>
      <c r="RU28" s="91"/>
      <c r="RV28" s="91"/>
      <c r="RW28" s="91"/>
      <c r="RX28" s="91"/>
      <c r="RY28" s="91"/>
      <c r="RZ28" s="91"/>
      <c r="SA28" s="91"/>
      <c r="SB28" s="91"/>
      <c r="SC28" s="91"/>
      <c r="SD28" s="91"/>
      <c r="SE28" s="91"/>
      <c r="SF28" s="91"/>
      <c r="SG28" s="91"/>
      <c r="SH28" s="91"/>
      <c r="SI28" s="91"/>
      <c r="SJ28" s="91"/>
      <c r="SK28" s="91"/>
      <c r="SL28" s="91"/>
      <c r="SM28" s="91"/>
      <c r="SN28" s="91"/>
      <c r="SO28" s="91"/>
      <c r="SP28" s="91"/>
      <c r="SQ28" s="91"/>
      <c r="SR28" s="91"/>
      <c r="SS28" s="91"/>
      <c r="ST28" s="91"/>
      <c r="SU28" s="91"/>
      <c r="SV28" s="91"/>
      <c r="SW28" s="91"/>
      <c r="SX28" s="91"/>
      <c r="SY28" s="91"/>
      <c r="SZ28" s="91"/>
      <c r="TA28" s="91"/>
      <c r="TB28" s="91"/>
      <c r="TC28" s="91"/>
      <c r="TD28" s="91"/>
      <c r="TE28" s="91"/>
      <c r="TF28" s="91"/>
      <c r="TG28" s="91"/>
      <c r="TH28" s="91"/>
      <c r="TI28" s="91"/>
      <c r="TJ28" s="91"/>
      <c r="TK28" s="91"/>
      <c r="TL28" s="91"/>
      <c r="TM28" s="91"/>
      <c r="TN28" s="91"/>
      <c r="TO28" s="91"/>
      <c r="TP28" s="91"/>
      <c r="TQ28" s="91"/>
      <c r="TR28" s="91"/>
      <c r="TS28" s="91"/>
      <c r="TT28" s="91"/>
      <c r="TU28" s="91"/>
      <c r="TV28" s="91"/>
      <c r="TW28" s="91"/>
      <c r="TX28" s="91"/>
      <c r="TY28" s="91"/>
      <c r="TZ28" s="91"/>
      <c r="UA28" s="91"/>
      <c r="UB28" s="91"/>
      <c r="UC28" s="91"/>
      <c r="UD28" s="91"/>
      <c r="UE28" s="91"/>
      <c r="UF28" s="91"/>
      <c r="UG28" s="91"/>
      <c r="UH28" s="91"/>
      <c r="UI28" s="91"/>
      <c r="UJ28" s="91"/>
      <c r="UK28" s="91"/>
      <c r="UL28" s="91"/>
      <c r="UM28" s="91"/>
      <c r="UN28" s="91"/>
      <c r="UO28" s="91"/>
      <c r="UP28" s="91"/>
      <c r="UQ28" s="91"/>
      <c r="UR28" s="91"/>
      <c r="US28" s="91"/>
      <c r="UT28" s="91"/>
      <c r="UU28" s="91"/>
      <c r="UV28" s="91"/>
      <c r="UW28" s="91"/>
      <c r="UX28" s="91"/>
      <c r="UY28" s="91"/>
      <c r="UZ28" s="91"/>
      <c r="VA28" s="91"/>
      <c r="VB28" s="91"/>
      <c r="VC28" s="91"/>
      <c r="VD28" s="91"/>
      <c r="VE28" s="91"/>
      <c r="VF28" s="91"/>
      <c r="VG28" s="91"/>
      <c r="VH28" s="91"/>
      <c r="VI28" s="91"/>
      <c r="VJ28" s="91"/>
      <c r="VK28" s="91"/>
      <c r="VL28" s="91"/>
      <c r="VM28" s="91"/>
      <c r="VN28" s="91"/>
      <c r="VO28" s="91"/>
      <c r="VP28" s="91"/>
      <c r="VQ28" s="91"/>
      <c r="VR28" s="91"/>
      <c r="VS28" s="91"/>
      <c r="VT28" s="91"/>
      <c r="VU28" s="91"/>
      <c r="VV28" s="91"/>
      <c r="VW28" s="91"/>
      <c r="VX28" s="91"/>
      <c r="VY28" s="91"/>
      <c r="VZ28" s="91"/>
      <c r="WA28" s="91"/>
      <c r="WB28" s="91"/>
      <c r="WC28" s="91"/>
      <c r="WD28" s="91"/>
      <c r="WE28" s="91"/>
      <c r="WF28" s="91"/>
    </row>
    <row r="29" spans="1:604" ht="17.25" customHeight="1" x14ac:dyDescent="0.3">
      <c r="A29" s="25" t="e">
        <f>IF(契約詳細價目表!A29="",NA(),契約詳細價目表!A29)</f>
        <v>#N/A</v>
      </c>
      <c r="B29" s="26" t="e">
        <f>IF(契約詳細價目表!B29="",NA(),契約詳細價目表!B29)</f>
        <v>#N/A</v>
      </c>
      <c r="C29" s="25" t="e">
        <f>IF(契約詳細價目表!C29="",NA(),契約詳細價目表!C29)</f>
        <v>#N/A</v>
      </c>
      <c r="D29" s="27" t="e">
        <f>IF(契約詳細價目表!D29="",NA(),契約詳細價目表!D29)</f>
        <v>#N/A</v>
      </c>
      <c r="E29" s="28" t="e">
        <f>IF(契約詳細價目表!E29="",NA(),契約詳細價目表!E29)</f>
        <v>#N/A</v>
      </c>
      <c r="F29" s="28">
        <f>IF(契約詳細價目表!F29="",NA(),契約詳細價目表!F29)</f>
        <v>0</v>
      </c>
      <c r="G29" s="27">
        <f t="shared" si="536"/>
        <v>0</v>
      </c>
      <c r="H29" s="28" t="e">
        <f t="shared" si="537"/>
        <v>#N/A</v>
      </c>
      <c r="I29" s="47" t="e">
        <f t="shared" si="535"/>
        <v>#N/A</v>
      </c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  <c r="CW29" s="92"/>
      <c r="CX29" s="92"/>
      <c r="CY29" s="92"/>
      <c r="CZ29" s="92"/>
      <c r="DA29" s="92"/>
      <c r="DB29" s="92"/>
      <c r="DC29" s="92"/>
      <c r="DD29" s="92"/>
      <c r="DE29" s="92"/>
      <c r="DF29" s="92"/>
      <c r="DG29" s="92"/>
      <c r="DH29" s="92"/>
      <c r="DI29" s="92"/>
      <c r="DJ29" s="92"/>
      <c r="DK29" s="92"/>
      <c r="DL29" s="92"/>
      <c r="DM29" s="92"/>
      <c r="DN29" s="92"/>
      <c r="DO29" s="92"/>
      <c r="DP29" s="92"/>
      <c r="DQ29" s="92"/>
      <c r="DR29" s="92"/>
      <c r="DS29" s="92"/>
      <c r="DT29" s="92"/>
      <c r="DU29" s="92"/>
      <c r="DV29" s="92"/>
      <c r="DW29" s="92"/>
      <c r="DX29" s="92"/>
      <c r="DY29" s="92"/>
      <c r="DZ29" s="92"/>
      <c r="EA29" s="92"/>
      <c r="EB29" s="92"/>
      <c r="EC29" s="92"/>
      <c r="ED29" s="92"/>
      <c r="EE29" s="92"/>
      <c r="EF29" s="92"/>
      <c r="EG29" s="92"/>
      <c r="EH29" s="92"/>
      <c r="EI29" s="92"/>
      <c r="EJ29" s="92"/>
      <c r="EK29" s="92"/>
      <c r="EL29" s="92"/>
      <c r="EM29" s="92"/>
      <c r="EN29" s="92"/>
      <c r="EO29" s="92"/>
      <c r="EP29" s="92"/>
      <c r="EQ29" s="92"/>
      <c r="ER29" s="92"/>
      <c r="ES29" s="92"/>
      <c r="ET29" s="92"/>
      <c r="EU29" s="92"/>
      <c r="EV29" s="92"/>
      <c r="EW29" s="92"/>
      <c r="EX29" s="92"/>
      <c r="EY29" s="92"/>
      <c r="EZ29" s="92"/>
      <c r="FA29" s="92"/>
      <c r="FB29" s="92"/>
      <c r="FC29" s="92"/>
      <c r="FD29" s="92"/>
      <c r="FE29" s="92"/>
      <c r="FF29" s="92"/>
      <c r="FG29" s="92"/>
      <c r="FH29" s="92"/>
      <c r="FI29" s="92"/>
      <c r="FJ29" s="92"/>
      <c r="FK29" s="92"/>
      <c r="FL29" s="92"/>
      <c r="FM29" s="92"/>
      <c r="FN29" s="92"/>
      <c r="FO29" s="92"/>
      <c r="FP29" s="92"/>
      <c r="FQ29" s="92"/>
      <c r="FR29" s="92"/>
      <c r="FS29" s="92"/>
      <c r="FT29" s="92"/>
      <c r="FU29" s="91"/>
      <c r="FV29" s="91"/>
      <c r="FW29" s="91"/>
      <c r="FX29" s="91"/>
      <c r="FY29" s="91"/>
      <c r="FZ29" s="91"/>
      <c r="GA29" s="91"/>
      <c r="GB29" s="91"/>
      <c r="GC29" s="91"/>
      <c r="GD29" s="91"/>
      <c r="GE29" s="91"/>
      <c r="GF29" s="91"/>
      <c r="GG29" s="91"/>
      <c r="GH29" s="91"/>
      <c r="GI29" s="91"/>
      <c r="GJ29" s="91"/>
      <c r="GK29" s="91"/>
      <c r="GL29" s="91"/>
      <c r="GM29" s="91"/>
      <c r="GN29" s="91"/>
      <c r="GO29" s="91"/>
      <c r="GP29" s="91"/>
      <c r="GQ29" s="91"/>
      <c r="GR29" s="91"/>
      <c r="GS29" s="91"/>
      <c r="GT29" s="91"/>
      <c r="GU29" s="91"/>
      <c r="GV29" s="91"/>
      <c r="GW29" s="91"/>
      <c r="GX29" s="91"/>
      <c r="GY29" s="91"/>
      <c r="GZ29" s="91"/>
      <c r="HA29" s="91"/>
      <c r="HB29" s="91"/>
      <c r="HC29" s="91"/>
      <c r="HD29" s="91"/>
      <c r="HE29" s="91"/>
      <c r="HF29" s="91"/>
      <c r="HG29" s="91"/>
      <c r="HH29" s="91"/>
      <c r="HI29" s="91"/>
      <c r="HJ29" s="91"/>
      <c r="HK29" s="91"/>
      <c r="HL29" s="91"/>
      <c r="HM29" s="91"/>
      <c r="HN29" s="91"/>
      <c r="HO29" s="91"/>
      <c r="HP29" s="91"/>
      <c r="HQ29" s="91"/>
      <c r="HR29" s="91"/>
      <c r="HS29" s="91"/>
      <c r="HT29" s="91"/>
      <c r="HU29" s="91"/>
      <c r="HV29" s="91"/>
      <c r="HW29" s="91"/>
      <c r="HX29" s="91"/>
      <c r="HY29" s="91"/>
      <c r="HZ29" s="91"/>
      <c r="IA29" s="91"/>
      <c r="IB29" s="91"/>
      <c r="IC29" s="91"/>
      <c r="ID29" s="91"/>
      <c r="IE29" s="91"/>
      <c r="IF29" s="91"/>
      <c r="IG29" s="91"/>
      <c r="IH29" s="91"/>
      <c r="II29" s="91"/>
      <c r="IJ29" s="91"/>
      <c r="IK29" s="91"/>
      <c r="IL29" s="91"/>
      <c r="IM29" s="91"/>
      <c r="IN29" s="91"/>
      <c r="IO29" s="91"/>
      <c r="IP29" s="91"/>
      <c r="IQ29" s="91"/>
      <c r="IR29" s="91"/>
      <c r="IS29" s="91"/>
      <c r="IT29" s="91"/>
      <c r="IU29" s="91"/>
      <c r="IV29" s="91"/>
      <c r="IW29" s="91"/>
      <c r="IX29" s="91"/>
      <c r="IY29" s="91"/>
      <c r="IZ29" s="91"/>
      <c r="JA29" s="91"/>
      <c r="JB29" s="91"/>
      <c r="JC29" s="91"/>
      <c r="JD29" s="91"/>
      <c r="JE29" s="91"/>
      <c r="JF29" s="91"/>
      <c r="JG29" s="91"/>
      <c r="JH29" s="91"/>
      <c r="JI29" s="91"/>
      <c r="JJ29" s="91"/>
      <c r="JK29" s="91"/>
      <c r="JL29" s="91"/>
      <c r="JM29" s="91"/>
      <c r="JN29" s="91"/>
      <c r="JO29" s="91"/>
      <c r="JP29" s="91"/>
      <c r="JQ29" s="91"/>
      <c r="JR29" s="91"/>
      <c r="JS29" s="91"/>
      <c r="JT29" s="91"/>
      <c r="JU29" s="91"/>
      <c r="JV29" s="91"/>
      <c r="JW29" s="91"/>
      <c r="JX29" s="91"/>
      <c r="JY29" s="91"/>
      <c r="JZ29" s="91"/>
      <c r="KA29" s="91"/>
      <c r="KB29" s="91"/>
      <c r="KC29" s="91"/>
      <c r="KD29" s="91"/>
      <c r="KE29" s="91"/>
      <c r="KF29" s="91"/>
      <c r="KG29" s="91"/>
      <c r="KH29" s="91"/>
      <c r="KI29" s="91"/>
      <c r="KJ29" s="91"/>
      <c r="KK29" s="91"/>
      <c r="KL29" s="91"/>
      <c r="KM29" s="91"/>
      <c r="KN29" s="91"/>
      <c r="KO29" s="91"/>
      <c r="KP29" s="91"/>
      <c r="KQ29" s="91"/>
      <c r="KR29" s="91"/>
      <c r="KS29" s="91"/>
      <c r="KT29" s="91"/>
      <c r="KU29" s="91"/>
      <c r="KV29" s="91"/>
      <c r="KW29" s="91"/>
      <c r="KX29" s="91"/>
      <c r="KY29" s="91"/>
      <c r="KZ29" s="91"/>
      <c r="LA29" s="91"/>
      <c r="LB29" s="91"/>
      <c r="LC29" s="91"/>
      <c r="LD29" s="91"/>
      <c r="LE29" s="91"/>
      <c r="LF29" s="91"/>
      <c r="LG29" s="91"/>
      <c r="LH29" s="91"/>
      <c r="LI29" s="91"/>
      <c r="LJ29" s="91"/>
      <c r="LK29" s="91"/>
      <c r="LL29" s="91"/>
      <c r="LM29" s="91"/>
      <c r="LN29" s="91"/>
      <c r="LO29" s="91"/>
      <c r="LP29" s="91"/>
      <c r="LQ29" s="91"/>
      <c r="LR29" s="91"/>
      <c r="LS29" s="91"/>
      <c r="LT29" s="91"/>
      <c r="LU29" s="91"/>
      <c r="LV29" s="91"/>
      <c r="LW29" s="91"/>
      <c r="LX29" s="91"/>
      <c r="LY29" s="91"/>
      <c r="LZ29" s="91"/>
      <c r="MA29" s="91"/>
      <c r="MB29" s="91"/>
      <c r="MC29" s="91"/>
      <c r="MD29" s="91"/>
      <c r="ME29" s="91"/>
      <c r="MF29" s="91"/>
      <c r="MG29" s="91"/>
      <c r="MH29" s="91"/>
      <c r="MI29" s="91"/>
      <c r="MJ29" s="91"/>
      <c r="MK29" s="91"/>
      <c r="ML29" s="91"/>
      <c r="MM29" s="91"/>
      <c r="MN29" s="91"/>
      <c r="MO29" s="91"/>
      <c r="MP29" s="91"/>
      <c r="MQ29" s="91"/>
      <c r="MR29" s="91"/>
      <c r="MS29" s="91"/>
      <c r="MT29" s="91"/>
      <c r="MU29" s="91"/>
      <c r="MV29" s="91"/>
      <c r="MW29" s="91"/>
      <c r="MX29" s="91"/>
      <c r="MY29" s="91"/>
      <c r="MZ29" s="91"/>
      <c r="NA29" s="91"/>
      <c r="NB29" s="91"/>
      <c r="NC29" s="91"/>
      <c r="ND29" s="91"/>
      <c r="NE29" s="91"/>
      <c r="NF29" s="91"/>
      <c r="NG29" s="91"/>
      <c r="NH29" s="91"/>
      <c r="NI29" s="91"/>
      <c r="NJ29" s="91"/>
      <c r="NK29" s="91"/>
      <c r="NL29" s="91"/>
      <c r="NM29" s="91"/>
      <c r="NN29" s="91"/>
      <c r="NO29" s="91"/>
      <c r="NP29" s="91"/>
      <c r="NQ29" s="91"/>
      <c r="NR29" s="91"/>
      <c r="NS29" s="91"/>
      <c r="NT29" s="91"/>
      <c r="NU29" s="91"/>
      <c r="NV29" s="91"/>
      <c r="NW29" s="91"/>
      <c r="NX29" s="91"/>
      <c r="NY29" s="91"/>
      <c r="NZ29" s="91"/>
      <c r="OA29" s="91"/>
      <c r="OB29" s="91"/>
      <c r="OC29" s="91"/>
      <c r="OD29" s="91"/>
      <c r="OE29" s="91"/>
      <c r="OF29" s="91"/>
      <c r="OG29" s="91"/>
      <c r="OH29" s="91"/>
      <c r="OI29" s="91"/>
      <c r="OJ29" s="91"/>
      <c r="OK29" s="91"/>
      <c r="OL29" s="91"/>
      <c r="OM29" s="91"/>
      <c r="ON29" s="91"/>
      <c r="OO29" s="91"/>
      <c r="OP29" s="91"/>
      <c r="OQ29" s="91"/>
      <c r="OR29" s="91"/>
      <c r="OS29" s="91"/>
      <c r="OT29" s="91"/>
      <c r="OU29" s="91"/>
      <c r="OV29" s="91"/>
      <c r="OW29" s="91"/>
      <c r="OX29" s="91"/>
      <c r="OY29" s="91"/>
      <c r="OZ29" s="91"/>
      <c r="PA29" s="91"/>
      <c r="PB29" s="91"/>
      <c r="PC29" s="91"/>
      <c r="PD29" s="91"/>
      <c r="PE29" s="91"/>
      <c r="PF29" s="91"/>
      <c r="PG29" s="91"/>
      <c r="PH29" s="91"/>
      <c r="PI29" s="91"/>
      <c r="PJ29" s="91"/>
      <c r="PK29" s="91"/>
      <c r="PL29" s="91"/>
      <c r="PM29" s="91"/>
      <c r="PN29" s="91"/>
      <c r="PO29" s="91"/>
      <c r="PP29" s="91"/>
      <c r="PQ29" s="91"/>
      <c r="PR29" s="91"/>
      <c r="PS29" s="91"/>
      <c r="PT29" s="91"/>
      <c r="PU29" s="91"/>
      <c r="PV29" s="91"/>
      <c r="PW29" s="91"/>
      <c r="PX29" s="91"/>
      <c r="PY29" s="91"/>
      <c r="PZ29" s="91"/>
      <c r="QA29" s="91"/>
      <c r="QB29" s="91"/>
      <c r="QC29" s="91"/>
      <c r="QD29" s="91"/>
      <c r="QE29" s="91"/>
      <c r="QF29" s="91"/>
      <c r="QG29" s="91"/>
      <c r="QH29" s="91"/>
      <c r="QI29" s="91"/>
      <c r="QJ29" s="91"/>
      <c r="QK29" s="91"/>
      <c r="QL29" s="91"/>
      <c r="QM29" s="91"/>
      <c r="QN29" s="91"/>
      <c r="QO29" s="91"/>
      <c r="QP29" s="91"/>
      <c r="QQ29" s="91"/>
      <c r="QR29" s="91"/>
      <c r="QS29" s="91"/>
      <c r="QT29" s="91"/>
      <c r="QU29" s="91"/>
      <c r="QV29" s="91"/>
      <c r="QW29" s="91"/>
      <c r="QX29" s="91"/>
      <c r="QY29" s="91"/>
      <c r="QZ29" s="91"/>
      <c r="RA29" s="91"/>
      <c r="RB29" s="91"/>
      <c r="RC29" s="91"/>
      <c r="RD29" s="91"/>
      <c r="RE29" s="91"/>
      <c r="RF29" s="91"/>
      <c r="RG29" s="91"/>
      <c r="RH29" s="91"/>
      <c r="RI29" s="91"/>
      <c r="RJ29" s="91"/>
      <c r="RK29" s="91"/>
      <c r="RL29" s="91"/>
      <c r="RM29" s="91"/>
      <c r="RN29" s="91"/>
      <c r="RO29" s="91"/>
      <c r="RP29" s="91"/>
      <c r="RQ29" s="91"/>
      <c r="RR29" s="91"/>
      <c r="RS29" s="91"/>
      <c r="RT29" s="91"/>
      <c r="RU29" s="91"/>
      <c r="RV29" s="91"/>
      <c r="RW29" s="91"/>
      <c r="RX29" s="91"/>
      <c r="RY29" s="91"/>
      <c r="RZ29" s="91"/>
      <c r="SA29" s="91"/>
      <c r="SB29" s="91"/>
      <c r="SC29" s="91"/>
      <c r="SD29" s="91"/>
      <c r="SE29" s="91"/>
      <c r="SF29" s="91"/>
      <c r="SG29" s="91"/>
      <c r="SH29" s="91"/>
      <c r="SI29" s="91"/>
      <c r="SJ29" s="91"/>
      <c r="SK29" s="91"/>
      <c r="SL29" s="91"/>
      <c r="SM29" s="91"/>
      <c r="SN29" s="91"/>
      <c r="SO29" s="91"/>
      <c r="SP29" s="91"/>
      <c r="SQ29" s="91"/>
      <c r="SR29" s="91"/>
      <c r="SS29" s="91"/>
      <c r="ST29" s="91"/>
      <c r="SU29" s="91"/>
      <c r="SV29" s="91"/>
      <c r="SW29" s="91"/>
      <c r="SX29" s="91"/>
      <c r="SY29" s="91"/>
      <c r="SZ29" s="91"/>
      <c r="TA29" s="91"/>
      <c r="TB29" s="91"/>
      <c r="TC29" s="91"/>
      <c r="TD29" s="91"/>
      <c r="TE29" s="91"/>
      <c r="TF29" s="91"/>
      <c r="TG29" s="91"/>
      <c r="TH29" s="91"/>
      <c r="TI29" s="91"/>
      <c r="TJ29" s="91"/>
      <c r="TK29" s="91"/>
      <c r="TL29" s="91"/>
      <c r="TM29" s="91"/>
      <c r="TN29" s="91"/>
      <c r="TO29" s="91"/>
      <c r="TP29" s="91"/>
      <c r="TQ29" s="91"/>
      <c r="TR29" s="91"/>
      <c r="TS29" s="91"/>
      <c r="TT29" s="91"/>
      <c r="TU29" s="91"/>
      <c r="TV29" s="91"/>
      <c r="TW29" s="91"/>
      <c r="TX29" s="91"/>
      <c r="TY29" s="91"/>
      <c r="TZ29" s="91"/>
      <c r="UA29" s="91"/>
      <c r="UB29" s="91"/>
      <c r="UC29" s="91"/>
      <c r="UD29" s="91"/>
      <c r="UE29" s="91"/>
      <c r="UF29" s="91"/>
      <c r="UG29" s="91"/>
      <c r="UH29" s="91"/>
      <c r="UI29" s="91"/>
      <c r="UJ29" s="91"/>
      <c r="UK29" s="91"/>
      <c r="UL29" s="91"/>
      <c r="UM29" s="91"/>
      <c r="UN29" s="91"/>
      <c r="UO29" s="91"/>
      <c r="UP29" s="91"/>
      <c r="UQ29" s="91"/>
      <c r="UR29" s="91"/>
      <c r="US29" s="91"/>
      <c r="UT29" s="91"/>
      <c r="UU29" s="91"/>
      <c r="UV29" s="91"/>
      <c r="UW29" s="91"/>
      <c r="UX29" s="91"/>
      <c r="UY29" s="91"/>
      <c r="UZ29" s="91"/>
      <c r="VA29" s="91"/>
      <c r="VB29" s="91"/>
      <c r="VC29" s="91"/>
      <c r="VD29" s="91"/>
      <c r="VE29" s="91"/>
      <c r="VF29" s="91"/>
      <c r="VG29" s="91"/>
      <c r="VH29" s="91"/>
      <c r="VI29" s="91"/>
      <c r="VJ29" s="91"/>
      <c r="VK29" s="91"/>
      <c r="VL29" s="91"/>
      <c r="VM29" s="91"/>
      <c r="VN29" s="91"/>
      <c r="VO29" s="91"/>
      <c r="VP29" s="91"/>
      <c r="VQ29" s="91"/>
      <c r="VR29" s="91"/>
      <c r="VS29" s="91"/>
      <c r="VT29" s="91"/>
      <c r="VU29" s="91"/>
      <c r="VV29" s="91"/>
      <c r="VW29" s="91"/>
      <c r="VX29" s="91"/>
      <c r="VY29" s="91"/>
      <c r="VZ29" s="91"/>
      <c r="WA29" s="91"/>
      <c r="WB29" s="91"/>
      <c r="WC29" s="91"/>
      <c r="WD29" s="91"/>
      <c r="WE29" s="91"/>
      <c r="WF29" s="91"/>
    </row>
    <row r="30" spans="1:604" ht="17.25" customHeight="1" x14ac:dyDescent="0.3">
      <c r="A30" s="25" t="e">
        <f>IF(契約詳細價目表!A30="",NA(),契約詳細價目表!A30)</f>
        <v>#N/A</v>
      </c>
      <c r="B30" s="26" t="e">
        <f>IF(契約詳細價目表!B30="",NA(),契約詳細價目表!B30)</f>
        <v>#N/A</v>
      </c>
      <c r="C30" s="25" t="e">
        <f>IF(契約詳細價目表!C30="",NA(),契約詳細價目表!C30)</f>
        <v>#N/A</v>
      </c>
      <c r="D30" s="27" t="e">
        <f>IF(契約詳細價目表!D30="",NA(),契約詳細價目表!D30)</f>
        <v>#N/A</v>
      </c>
      <c r="E30" s="28" t="e">
        <f>IF(契約詳細價目表!E30="",NA(),契約詳細價目表!E30)</f>
        <v>#N/A</v>
      </c>
      <c r="F30" s="28">
        <f>IF(契約詳細價目表!F30="",NA(),契約詳細價目表!F30)</f>
        <v>0</v>
      </c>
      <c r="G30" s="27">
        <f t="shared" si="536"/>
        <v>0</v>
      </c>
      <c r="H30" s="28" t="e">
        <f t="shared" si="537"/>
        <v>#N/A</v>
      </c>
      <c r="I30" s="47" t="e">
        <f t="shared" si="535"/>
        <v>#N/A</v>
      </c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  <c r="CZ30" s="92"/>
      <c r="DA30" s="92"/>
      <c r="DB30" s="92"/>
      <c r="DC30" s="92"/>
      <c r="DD30" s="92"/>
      <c r="DE30" s="92"/>
      <c r="DF30" s="92"/>
      <c r="DG30" s="92"/>
      <c r="DH30" s="92"/>
      <c r="DI30" s="92"/>
      <c r="DJ30" s="92"/>
      <c r="DK30" s="92"/>
      <c r="DL30" s="92"/>
      <c r="DM30" s="92"/>
      <c r="DN30" s="92"/>
      <c r="DO30" s="92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92"/>
      <c r="EB30" s="92"/>
      <c r="EC30" s="92"/>
      <c r="ED30" s="92"/>
      <c r="EE30" s="92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2"/>
      <c r="ER30" s="92"/>
      <c r="ES30" s="92"/>
      <c r="ET30" s="92"/>
      <c r="EU30" s="92"/>
      <c r="EV30" s="92"/>
      <c r="EW30" s="92"/>
      <c r="EX30" s="92"/>
      <c r="EY30" s="92"/>
      <c r="EZ30" s="92"/>
      <c r="FA30" s="92"/>
      <c r="FB30" s="92"/>
      <c r="FC30" s="92"/>
      <c r="FD30" s="92"/>
      <c r="FE30" s="92"/>
      <c r="FF30" s="92"/>
      <c r="FG30" s="92"/>
      <c r="FH30" s="92"/>
      <c r="FI30" s="92"/>
      <c r="FJ30" s="92"/>
      <c r="FK30" s="92"/>
      <c r="FL30" s="92"/>
      <c r="FM30" s="92"/>
      <c r="FN30" s="92"/>
      <c r="FO30" s="92"/>
      <c r="FP30" s="92"/>
      <c r="FQ30" s="92"/>
      <c r="FR30" s="92"/>
      <c r="FS30" s="92"/>
      <c r="FT30" s="92"/>
      <c r="FU30" s="91"/>
      <c r="FV30" s="91"/>
      <c r="FW30" s="91"/>
      <c r="FX30" s="91"/>
      <c r="FY30" s="91"/>
      <c r="FZ30" s="91"/>
      <c r="GA30" s="91"/>
      <c r="GB30" s="91"/>
      <c r="GC30" s="91"/>
      <c r="GD30" s="91"/>
      <c r="GE30" s="91"/>
      <c r="GF30" s="91"/>
      <c r="GG30" s="91"/>
      <c r="GH30" s="91"/>
      <c r="GI30" s="91"/>
      <c r="GJ30" s="91"/>
      <c r="GK30" s="91"/>
      <c r="GL30" s="91"/>
      <c r="GM30" s="91"/>
      <c r="GN30" s="91"/>
      <c r="GO30" s="91"/>
      <c r="GP30" s="91"/>
      <c r="GQ30" s="91"/>
      <c r="GR30" s="91"/>
      <c r="GS30" s="91"/>
      <c r="GT30" s="91"/>
      <c r="GU30" s="91"/>
      <c r="GV30" s="91"/>
      <c r="GW30" s="91"/>
      <c r="GX30" s="91"/>
      <c r="GY30" s="91"/>
      <c r="GZ30" s="91"/>
      <c r="HA30" s="91"/>
      <c r="HB30" s="91"/>
      <c r="HC30" s="91"/>
      <c r="HD30" s="91"/>
      <c r="HE30" s="91"/>
      <c r="HF30" s="91"/>
      <c r="HG30" s="91"/>
      <c r="HH30" s="91"/>
      <c r="HI30" s="91"/>
      <c r="HJ30" s="91"/>
      <c r="HK30" s="91"/>
      <c r="HL30" s="91"/>
      <c r="HM30" s="91"/>
      <c r="HN30" s="91"/>
      <c r="HO30" s="91"/>
      <c r="HP30" s="91"/>
      <c r="HQ30" s="91"/>
      <c r="HR30" s="91"/>
      <c r="HS30" s="91"/>
      <c r="HT30" s="91"/>
      <c r="HU30" s="91"/>
      <c r="HV30" s="91"/>
      <c r="HW30" s="91"/>
      <c r="HX30" s="91"/>
      <c r="HY30" s="91"/>
      <c r="HZ30" s="91"/>
      <c r="IA30" s="91"/>
      <c r="IB30" s="91"/>
      <c r="IC30" s="91"/>
      <c r="ID30" s="91"/>
      <c r="IE30" s="91"/>
      <c r="IF30" s="91"/>
      <c r="IG30" s="91"/>
      <c r="IH30" s="91"/>
      <c r="II30" s="91"/>
      <c r="IJ30" s="91"/>
      <c r="IK30" s="91"/>
      <c r="IL30" s="91"/>
      <c r="IM30" s="91"/>
      <c r="IN30" s="91"/>
      <c r="IO30" s="91"/>
      <c r="IP30" s="91"/>
      <c r="IQ30" s="91"/>
      <c r="IR30" s="91"/>
      <c r="IS30" s="91"/>
      <c r="IT30" s="91"/>
      <c r="IU30" s="91"/>
      <c r="IV30" s="91"/>
      <c r="IW30" s="91"/>
      <c r="IX30" s="91"/>
      <c r="IY30" s="91"/>
      <c r="IZ30" s="91"/>
      <c r="JA30" s="91"/>
      <c r="JB30" s="91"/>
      <c r="JC30" s="91"/>
      <c r="JD30" s="91"/>
      <c r="JE30" s="91"/>
      <c r="JF30" s="91"/>
      <c r="JG30" s="91"/>
      <c r="JH30" s="91"/>
      <c r="JI30" s="91"/>
      <c r="JJ30" s="91"/>
      <c r="JK30" s="91"/>
      <c r="JL30" s="91"/>
      <c r="JM30" s="91"/>
      <c r="JN30" s="91"/>
      <c r="JO30" s="91"/>
      <c r="JP30" s="91"/>
      <c r="JQ30" s="91"/>
      <c r="JR30" s="91"/>
      <c r="JS30" s="91"/>
      <c r="JT30" s="91"/>
      <c r="JU30" s="91"/>
      <c r="JV30" s="91"/>
      <c r="JW30" s="91"/>
      <c r="JX30" s="91"/>
      <c r="JY30" s="91"/>
      <c r="JZ30" s="91"/>
      <c r="KA30" s="91"/>
      <c r="KB30" s="91"/>
      <c r="KC30" s="91"/>
      <c r="KD30" s="91"/>
      <c r="KE30" s="91"/>
      <c r="KF30" s="91"/>
      <c r="KG30" s="91"/>
      <c r="KH30" s="91"/>
      <c r="KI30" s="91"/>
      <c r="KJ30" s="91"/>
      <c r="KK30" s="91"/>
      <c r="KL30" s="91"/>
      <c r="KM30" s="91"/>
      <c r="KN30" s="91"/>
      <c r="KO30" s="91"/>
      <c r="KP30" s="91"/>
      <c r="KQ30" s="91"/>
      <c r="KR30" s="91"/>
      <c r="KS30" s="91"/>
      <c r="KT30" s="91"/>
      <c r="KU30" s="91"/>
      <c r="KV30" s="91"/>
      <c r="KW30" s="91"/>
      <c r="KX30" s="91"/>
      <c r="KY30" s="91"/>
      <c r="KZ30" s="91"/>
      <c r="LA30" s="91"/>
      <c r="LB30" s="91"/>
      <c r="LC30" s="91"/>
      <c r="LD30" s="91"/>
      <c r="LE30" s="91"/>
      <c r="LF30" s="91"/>
      <c r="LG30" s="91"/>
      <c r="LH30" s="91"/>
      <c r="LI30" s="91"/>
      <c r="LJ30" s="91"/>
      <c r="LK30" s="91"/>
      <c r="LL30" s="91"/>
      <c r="LM30" s="91"/>
      <c r="LN30" s="91"/>
      <c r="LO30" s="91"/>
      <c r="LP30" s="91"/>
      <c r="LQ30" s="91"/>
      <c r="LR30" s="91"/>
      <c r="LS30" s="91"/>
      <c r="LT30" s="91"/>
      <c r="LU30" s="91"/>
      <c r="LV30" s="91"/>
      <c r="LW30" s="91"/>
      <c r="LX30" s="91"/>
      <c r="LY30" s="91"/>
      <c r="LZ30" s="91"/>
      <c r="MA30" s="91"/>
      <c r="MB30" s="91"/>
      <c r="MC30" s="91"/>
      <c r="MD30" s="91"/>
      <c r="ME30" s="91"/>
      <c r="MF30" s="91"/>
      <c r="MG30" s="91"/>
      <c r="MH30" s="91"/>
      <c r="MI30" s="91"/>
      <c r="MJ30" s="91"/>
      <c r="MK30" s="91"/>
      <c r="ML30" s="91"/>
      <c r="MM30" s="91"/>
      <c r="MN30" s="91"/>
      <c r="MO30" s="91"/>
      <c r="MP30" s="91"/>
      <c r="MQ30" s="91"/>
      <c r="MR30" s="91"/>
      <c r="MS30" s="91"/>
      <c r="MT30" s="91"/>
      <c r="MU30" s="91"/>
      <c r="MV30" s="91"/>
      <c r="MW30" s="91"/>
      <c r="MX30" s="91"/>
      <c r="MY30" s="91"/>
      <c r="MZ30" s="91"/>
      <c r="NA30" s="91"/>
      <c r="NB30" s="91"/>
      <c r="NC30" s="91"/>
      <c r="ND30" s="91"/>
      <c r="NE30" s="91"/>
      <c r="NF30" s="91"/>
      <c r="NG30" s="91"/>
      <c r="NH30" s="91"/>
      <c r="NI30" s="91"/>
      <c r="NJ30" s="91"/>
      <c r="NK30" s="91"/>
      <c r="NL30" s="91"/>
      <c r="NM30" s="91"/>
      <c r="NN30" s="91"/>
      <c r="NO30" s="91"/>
      <c r="NP30" s="91"/>
      <c r="NQ30" s="91"/>
      <c r="NR30" s="91"/>
      <c r="NS30" s="91"/>
      <c r="NT30" s="91"/>
      <c r="NU30" s="91"/>
      <c r="NV30" s="91"/>
      <c r="NW30" s="91"/>
      <c r="NX30" s="91"/>
      <c r="NY30" s="91"/>
      <c r="NZ30" s="91"/>
      <c r="OA30" s="91"/>
      <c r="OB30" s="91"/>
      <c r="OC30" s="91"/>
      <c r="OD30" s="91"/>
      <c r="OE30" s="91"/>
      <c r="OF30" s="91"/>
      <c r="OG30" s="91"/>
      <c r="OH30" s="91"/>
      <c r="OI30" s="91"/>
      <c r="OJ30" s="91"/>
      <c r="OK30" s="91"/>
      <c r="OL30" s="91"/>
      <c r="OM30" s="91"/>
      <c r="ON30" s="91"/>
      <c r="OO30" s="91"/>
      <c r="OP30" s="91"/>
      <c r="OQ30" s="91"/>
      <c r="OR30" s="91"/>
      <c r="OS30" s="91"/>
      <c r="OT30" s="91"/>
      <c r="OU30" s="91"/>
      <c r="OV30" s="91"/>
      <c r="OW30" s="91"/>
      <c r="OX30" s="91"/>
      <c r="OY30" s="91"/>
      <c r="OZ30" s="91"/>
      <c r="PA30" s="91"/>
      <c r="PB30" s="91"/>
      <c r="PC30" s="91"/>
      <c r="PD30" s="91"/>
      <c r="PE30" s="91"/>
      <c r="PF30" s="91"/>
      <c r="PG30" s="91"/>
      <c r="PH30" s="91"/>
      <c r="PI30" s="91"/>
      <c r="PJ30" s="91"/>
      <c r="PK30" s="91"/>
      <c r="PL30" s="91"/>
      <c r="PM30" s="91"/>
      <c r="PN30" s="91"/>
      <c r="PO30" s="91"/>
      <c r="PP30" s="91"/>
      <c r="PQ30" s="91"/>
      <c r="PR30" s="91"/>
      <c r="PS30" s="91"/>
      <c r="PT30" s="91"/>
      <c r="PU30" s="91"/>
      <c r="PV30" s="91"/>
      <c r="PW30" s="91"/>
      <c r="PX30" s="91"/>
      <c r="PY30" s="91"/>
      <c r="PZ30" s="91"/>
      <c r="QA30" s="91"/>
      <c r="QB30" s="91"/>
      <c r="QC30" s="91"/>
      <c r="QD30" s="91"/>
      <c r="QE30" s="91"/>
      <c r="QF30" s="91"/>
      <c r="QG30" s="91"/>
      <c r="QH30" s="91"/>
      <c r="QI30" s="91"/>
      <c r="QJ30" s="91"/>
      <c r="QK30" s="91"/>
      <c r="QL30" s="91"/>
      <c r="QM30" s="91"/>
      <c r="QN30" s="91"/>
      <c r="QO30" s="91"/>
      <c r="QP30" s="91"/>
      <c r="QQ30" s="91"/>
      <c r="QR30" s="91"/>
      <c r="QS30" s="91"/>
      <c r="QT30" s="91"/>
      <c r="QU30" s="91"/>
      <c r="QV30" s="91"/>
      <c r="QW30" s="91"/>
      <c r="QX30" s="91"/>
      <c r="QY30" s="91"/>
      <c r="QZ30" s="91"/>
      <c r="RA30" s="91"/>
      <c r="RB30" s="91"/>
      <c r="RC30" s="91"/>
      <c r="RD30" s="91"/>
      <c r="RE30" s="91"/>
      <c r="RF30" s="91"/>
      <c r="RG30" s="91"/>
      <c r="RH30" s="91"/>
      <c r="RI30" s="91"/>
      <c r="RJ30" s="91"/>
      <c r="RK30" s="91"/>
      <c r="RL30" s="91"/>
      <c r="RM30" s="91"/>
      <c r="RN30" s="91"/>
      <c r="RO30" s="91"/>
      <c r="RP30" s="91"/>
      <c r="RQ30" s="91"/>
      <c r="RR30" s="91"/>
      <c r="RS30" s="91"/>
      <c r="RT30" s="91"/>
      <c r="RU30" s="91"/>
      <c r="RV30" s="91"/>
      <c r="RW30" s="91"/>
      <c r="RX30" s="91"/>
      <c r="RY30" s="91"/>
      <c r="RZ30" s="91"/>
      <c r="SA30" s="91"/>
      <c r="SB30" s="91"/>
      <c r="SC30" s="91"/>
      <c r="SD30" s="91"/>
      <c r="SE30" s="91"/>
      <c r="SF30" s="91"/>
      <c r="SG30" s="91"/>
      <c r="SH30" s="91"/>
      <c r="SI30" s="91"/>
      <c r="SJ30" s="91"/>
      <c r="SK30" s="91"/>
      <c r="SL30" s="91"/>
      <c r="SM30" s="91"/>
      <c r="SN30" s="91"/>
      <c r="SO30" s="91"/>
      <c r="SP30" s="91"/>
      <c r="SQ30" s="91"/>
      <c r="SR30" s="91"/>
      <c r="SS30" s="91"/>
      <c r="ST30" s="91"/>
      <c r="SU30" s="91"/>
      <c r="SV30" s="91"/>
      <c r="SW30" s="91"/>
      <c r="SX30" s="91"/>
      <c r="SY30" s="91"/>
      <c r="SZ30" s="91"/>
      <c r="TA30" s="91"/>
      <c r="TB30" s="91"/>
      <c r="TC30" s="91"/>
      <c r="TD30" s="91"/>
      <c r="TE30" s="91"/>
      <c r="TF30" s="91"/>
      <c r="TG30" s="91"/>
      <c r="TH30" s="91"/>
      <c r="TI30" s="91"/>
      <c r="TJ30" s="91"/>
      <c r="TK30" s="91"/>
      <c r="TL30" s="91"/>
      <c r="TM30" s="91"/>
      <c r="TN30" s="91"/>
      <c r="TO30" s="91"/>
      <c r="TP30" s="91"/>
      <c r="TQ30" s="91"/>
      <c r="TR30" s="91"/>
      <c r="TS30" s="91"/>
      <c r="TT30" s="91"/>
      <c r="TU30" s="91"/>
      <c r="TV30" s="91"/>
      <c r="TW30" s="91"/>
      <c r="TX30" s="91"/>
      <c r="TY30" s="91"/>
      <c r="TZ30" s="91"/>
      <c r="UA30" s="91"/>
      <c r="UB30" s="91"/>
      <c r="UC30" s="91"/>
      <c r="UD30" s="91"/>
      <c r="UE30" s="91"/>
      <c r="UF30" s="91"/>
      <c r="UG30" s="91"/>
      <c r="UH30" s="91"/>
      <c r="UI30" s="91"/>
      <c r="UJ30" s="91"/>
      <c r="UK30" s="91"/>
      <c r="UL30" s="91"/>
      <c r="UM30" s="91"/>
      <c r="UN30" s="91"/>
      <c r="UO30" s="91"/>
      <c r="UP30" s="91"/>
      <c r="UQ30" s="91"/>
      <c r="UR30" s="91"/>
      <c r="US30" s="91"/>
      <c r="UT30" s="91"/>
      <c r="UU30" s="91"/>
      <c r="UV30" s="91"/>
      <c r="UW30" s="91"/>
      <c r="UX30" s="91"/>
      <c r="UY30" s="91"/>
      <c r="UZ30" s="91"/>
      <c r="VA30" s="91"/>
      <c r="VB30" s="91"/>
      <c r="VC30" s="91"/>
      <c r="VD30" s="91"/>
      <c r="VE30" s="91"/>
      <c r="VF30" s="91"/>
      <c r="VG30" s="91"/>
      <c r="VH30" s="91"/>
      <c r="VI30" s="91"/>
      <c r="VJ30" s="91"/>
      <c r="VK30" s="91"/>
      <c r="VL30" s="91"/>
      <c r="VM30" s="91"/>
      <c r="VN30" s="91"/>
      <c r="VO30" s="91"/>
      <c r="VP30" s="91"/>
      <c r="VQ30" s="91"/>
      <c r="VR30" s="91"/>
      <c r="VS30" s="91"/>
      <c r="VT30" s="91"/>
      <c r="VU30" s="91"/>
      <c r="VV30" s="91"/>
      <c r="VW30" s="91"/>
      <c r="VX30" s="91"/>
      <c r="VY30" s="91"/>
      <c r="VZ30" s="91"/>
      <c r="WA30" s="91"/>
      <c r="WB30" s="91"/>
      <c r="WC30" s="91"/>
      <c r="WD30" s="91"/>
      <c r="WE30" s="91"/>
      <c r="WF30" s="91"/>
    </row>
    <row r="31" spans="1:604" ht="24" customHeight="1" x14ac:dyDescent="0.3">
      <c r="A31" s="25" t="e">
        <f>IF(契約詳細價目表!A31="",NA(),契約詳細價目表!A31)</f>
        <v>#N/A</v>
      </c>
      <c r="B31" s="26" t="e">
        <f>IF(契約詳細價目表!B31="",NA(),契約詳細價目表!B31)</f>
        <v>#N/A</v>
      </c>
      <c r="C31" s="25" t="e">
        <f>IF(契約詳細價目表!C31="",NA(),契約詳細價目表!C31)</f>
        <v>#N/A</v>
      </c>
      <c r="D31" s="27" t="e">
        <f>IF(契約詳細價目表!D31="",NA(),契約詳細價目表!D31)</f>
        <v>#N/A</v>
      </c>
      <c r="E31" s="28" t="e">
        <f>IF(契約詳細價目表!E31="",NA(),契約詳細價目表!E31)</f>
        <v>#N/A</v>
      </c>
      <c r="F31" s="28">
        <f>IF(契約詳細價目表!F31="",NA(),契約詳細價目表!F31)</f>
        <v>0</v>
      </c>
      <c r="G31" s="27">
        <f t="shared" si="536"/>
        <v>0</v>
      </c>
      <c r="H31" s="28" t="e">
        <f t="shared" si="537"/>
        <v>#N/A</v>
      </c>
      <c r="I31" s="47" t="e">
        <f t="shared" si="535"/>
        <v>#N/A</v>
      </c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  <c r="CW31" s="92"/>
      <c r="CX31" s="92"/>
      <c r="CY31" s="92"/>
      <c r="CZ31" s="92"/>
      <c r="DA31" s="92"/>
      <c r="DB31" s="92"/>
      <c r="DC31" s="92"/>
      <c r="DD31" s="92"/>
      <c r="DE31" s="92"/>
      <c r="DF31" s="92"/>
      <c r="DG31" s="92"/>
      <c r="DH31" s="92"/>
      <c r="DI31" s="92"/>
      <c r="DJ31" s="92"/>
      <c r="DK31" s="92"/>
      <c r="DL31" s="92"/>
      <c r="DM31" s="92"/>
      <c r="DN31" s="92"/>
      <c r="DO31" s="92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92"/>
      <c r="EB31" s="92"/>
      <c r="EC31" s="92"/>
      <c r="ED31" s="92"/>
      <c r="EE31" s="92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2"/>
      <c r="ER31" s="92"/>
      <c r="ES31" s="92"/>
      <c r="ET31" s="92"/>
      <c r="EU31" s="92"/>
      <c r="EV31" s="92"/>
      <c r="EW31" s="92"/>
      <c r="EX31" s="92"/>
      <c r="EY31" s="92"/>
      <c r="EZ31" s="92"/>
      <c r="FA31" s="92"/>
      <c r="FB31" s="92"/>
      <c r="FC31" s="92"/>
      <c r="FD31" s="92"/>
      <c r="FE31" s="92"/>
      <c r="FF31" s="92"/>
      <c r="FG31" s="92"/>
      <c r="FH31" s="92"/>
      <c r="FI31" s="92"/>
      <c r="FJ31" s="92"/>
      <c r="FK31" s="92"/>
      <c r="FL31" s="92"/>
      <c r="FM31" s="92"/>
      <c r="FN31" s="92"/>
      <c r="FO31" s="92"/>
      <c r="FP31" s="92"/>
      <c r="FQ31" s="92"/>
      <c r="FR31" s="92"/>
      <c r="FS31" s="92"/>
      <c r="FT31" s="92"/>
      <c r="FU31" s="91"/>
      <c r="FV31" s="91"/>
      <c r="FW31" s="91"/>
      <c r="FX31" s="91"/>
      <c r="FY31" s="91"/>
      <c r="FZ31" s="91"/>
      <c r="GA31" s="91"/>
      <c r="GB31" s="91"/>
      <c r="GC31" s="91"/>
      <c r="GD31" s="91"/>
      <c r="GE31" s="91"/>
      <c r="GF31" s="91"/>
      <c r="GG31" s="91"/>
      <c r="GH31" s="91"/>
      <c r="GI31" s="91"/>
      <c r="GJ31" s="91"/>
      <c r="GK31" s="91"/>
      <c r="GL31" s="91"/>
      <c r="GM31" s="91"/>
      <c r="GN31" s="91"/>
      <c r="GO31" s="91"/>
      <c r="GP31" s="91"/>
      <c r="GQ31" s="91"/>
      <c r="GR31" s="91"/>
      <c r="GS31" s="91"/>
      <c r="GT31" s="91"/>
      <c r="GU31" s="91"/>
      <c r="GV31" s="91"/>
      <c r="GW31" s="91"/>
      <c r="GX31" s="91"/>
      <c r="GY31" s="91"/>
      <c r="GZ31" s="91"/>
      <c r="HA31" s="91"/>
      <c r="HB31" s="91"/>
      <c r="HC31" s="91"/>
      <c r="HD31" s="91"/>
      <c r="HE31" s="91"/>
      <c r="HF31" s="91"/>
      <c r="HG31" s="91"/>
      <c r="HH31" s="91"/>
      <c r="HI31" s="91"/>
      <c r="HJ31" s="91"/>
      <c r="HK31" s="91"/>
      <c r="HL31" s="91"/>
      <c r="HM31" s="91"/>
      <c r="HN31" s="91"/>
      <c r="HO31" s="91"/>
      <c r="HP31" s="91"/>
      <c r="HQ31" s="91"/>
      <c r="HR31" s="91"/>
      <c r="HS31" s="91"/>
      <c r="HT31" s="91"/>
      <c r="HU31" s="91"/>
      <c r="HV31" s="91"/>
      <c r="HW31" s="91"/>
      <c r="HX31" s="91"/>
      <c r="HY31" s="91"/>
      <c r="HZ31" s="91"/>
      <c r="IA31" s="91"/>
      <c r="IB31" s="91"/>
      <c r="IC31" s="91"/>
      <c r="ID31" s="91"/>
      <c r="IE31" s="91"/>
      <c r="IF31" s="91"/>
      <c r="IG31" s="91"/>
      <c r="IH31" s="91"/>
      <c r="II31" s="91"/>
      <c r="IJ31" s="91"/>
      <c r="IK31" s="91"/>
      <c r="IL31" s="91"/>
      <c r="IM31" s="91"/>
      <c r="IN31" s="91"/>
      <c r="IO31" s="91"/>
      <c r="IP31" s="91"/>
      <c r="IQ31" s="91"/>
      <c r="IR31" s="91"/>
      <c r="IS31" s="91"/>
      <c r="IT31" s="91"/>
      <c r="IU31" s="91"/>
      <c r="IV31" s="91"/>
      <c r="IW31" s="91"/>
      <c r="IX31" s="91"/>
      <c r="IY31" s="91"/>
      <c r="IZ31" s="91"/>
      <c r="JA31" s="91"/>
      <c r="JB31" s="91"/>
      <c r="JC31" s="91"/>
      <c r="JD31" s="91"/>
      <c r="JE31" s="91"/>
      <c r="JF31" s="91"/>
      <c r="JG31" s="91"/>
      <c r="JH31" s="91"/>
      <c r="JI31" s="91"/>
      <c r="JJ31" s="91"/>
      <c r="JK31" s="91"/>
      <c r="JL31" s="91"/>
      <c r="JM31" s="91"/>
      <c r="JN31" s="91"/>
      <c r="JO31" s="91"/>
      <c r="JP31" s="91"/>
      <c r="JQ31" s="91"/>
      <c r="JR31" s="91"/>
      <c r="JS31" s="91"/>
      <c r="JT31" s="91"/>
      <c r="JU31" s="91"/>
      <c r="JV31" s="91"/>
      <c r="JW31" s="91"/>
      <c r="JX31" s="91"/>
      <c r="JY31" s="91"/>
      <c r="JZ31" s="91"/>
      <c r="KA31" s="91"/>
      <c r="KB31" s="91"/>
      <c r="KC31" s="91"/>
      <c r="KD31" s="91"/>
      <c r="KE31" s="91"/>
      <c r="KF31" s="91"/>
      <c r="KG31" s="91"/>
      <c r="KH31" s="91"/>
      <c r="KI31" s="91"/>
      <c r="KJ31" s="91"/>
      <c r="KK31" s="91"/>
      <c r="KL31" s="91"/>
      <c r="KM31" s="91"/>
      <c r="KN31" s="91"/>
      <c r="KO31" s="91"/>
      <c r="KP31" s="91"/>
      <c r="KQ31" s="91"/>
      <c r="KR31" s="91"/>
      <c r="KS31" s="91"/>
      <c r="KT31" s="91"/>
      <c r="KU31" s="91"/>
      <c r="KV31" s="91"/>
      <c r="KW31" s="91"/>
      <c r="KX31" s="91"/>
      <c r="KY31" s="91"/>
      <c r="KZ31" s="91"/>
      <c r="LA31" s="91"/>
      <c r="LB31" s="91"/>
      <c r="LC31" s="91"/>
      <c r="LD31" s="91"/>
      <c r="LE31" s="91"/>
      <c r="LF31" s="91"/>
      <c r="LG31" s="91"/>
      <c r="LH31" s="91"/>
      <c r="LI31" s="91"/>
      <c r="LJ31" s="91"/>
      <c r="LK31" s="91"/>
      <c r="LL31" s="91"/>
      <c r="LM31" s="91"/>
      <c r="LN31" s="91"/>
      <c r="LO31" s="91"/>
      <c r="LP31" s="91"/>
      <c r="LQ31" s="91"/>
      <c r="LR31" s="91"/>
      <c r="LS31" s="91"/>
      <c r="LT31" s="91"/>
      <c r="LU31" s="91"/>
      <c r="LV31" s="91"/>
      <c r="LW31" s="91"/>
      <c r="LX31" s="91"/>
      <c r="LY31" s="91"/>
      <c r="LZ31" s="91"/>
      <c r="MA31" s="91"/>
      <c r="MB31" s="91"/>
      <c r="MC31" s="91"/>
      <c r="MD31" s="91"/>
      <c r="ME31" s="91"/>
      <c r="MF31" s="91"/>
      <c r="MG31" s="91"/>
      <c r="MH31" s="91"/>
      <c r="MI31" s="91"/>
      <c r="MJ31" s="91"/>
      <c r="MK31" s="91"/>
      <c r="ML31" s="91"/>
      <c r="MM31" s="91"/>
      <c r="MN31" s="91"/>
      <c r="MO31" s="91"/>
      <c r="MP31" s="91"/>
      <c r="MQ31" s="91"/>
      <c r="MR31" s="91"/>
      <c r="MS31" s="91"/>
      <c r="MT31" s="91"/>
      <c r="MU31" s="91"/>
      <c r="MV31" s="91"/>
      <c r="MW31" s="91"/>
      <c r="MX31" s="91"/>
      <c r="MY31" s="91"/>
      <c r="MZ31" s="91"/>
      <c r="NA31" s="91"/>
      <c r="NB31" s="91"/>
      <c r="NC31" s="91"/>
      <c r="ND31" s="91"/>
      <c r="NE31" s="91"/>
      <c r="NF31" s="91"/>
      <c r="NG31" s="91"/>
      <c r="NH31" s="91"/>
      <c r="NI31" s="91"/>
      <c r="NJ31" s="91"/>
      <c r="NK31" s="91"/>
      <c r="NL31" s="91"/>
      <c r="NM31" s="91"/>
      <c r="NN31" s="91"/>
      <c r="NO31" s="91"/>
      <c r="NP31" s="91"/>
      <c r="NQ31" s="91"/>
      <c r="NR31" s="91"/>
      <c r="NS31" s="91"/>
      <c r="NT31" s="91"/>
      <c r="NU31" s="91"/>
      <c r="NV31" s="91"/>
      <c r="NW31" s="91"/>
      <c r="NX31" s="91"/>
      <c r="NY31" s="91"/>
      <c r="NZ31" s="91"/>
      <c r="OA31" s="91"/>
      <c r="OB31" s="91"/>
      <c r="OC31" s="91"/>
      <c r="OD31" s="91"/>
      <c r="OE31" s="91"/>
      <c r="OF31" s="91"/>
      <c r="OG31" s="91"/>
      <c r="OH31" s="91"/>
      <c r="OI31" s="91"/>
      <c r="OJ31" s="91"/>
      <c r="OK31" s="91"/>
      <c r="OL31" s="91"/>
      <c r="OM31" s="91"/>
      <c r="ON31" s="91"/>
      <c r="OO31" s="91"/>
      <c r="OP31" s="91"/>
      <c r="OQ31" s="91"/>
      <c r="OR31" s="91"/>
      <c r="OS31" s="91"/>
      <c r="OT31" s="91"/>
      <c r="OU31" s="91"/>
      <c r="OV31" s="91"/>
      <c r="OW31" s="91"/>
      <c r="OX31" s="91"/>
      <c r="OY31" s="91"/>
      <c r="OZ31" s="91"/>
      <c r="PA31" s="91"/>
      <c r="PB31" s="91"/>
      <c r="PC31" s="91"/>
      <c r="PD31" s="91"/>
      <c r="PE31" s="91"/>
      <c r="PF31" s="91"/>
      <c r="PG31" s="91"/>
      <c r="PH31" s="91"/>
      <c r="PI31" s="91"/>
      <c r="PJ31" s="91"/>
      <c r="PK31" s="91"/>
      <c r="PL31" s="91"/>
      <c r="PM31" s="91"/>
      <c r="PN31" s="91"/>
      <c r="PO31" s="91"/>
      <c r="PP31" s="91"/>
      <c r="PQ31" s="91"/>
      <c r="PR31" s="91"/>
      <c r="PS31" s="91"/>
      <c r="PT31" s="91"/>
      <c r="PU31" s="91"/>
      <c r="PV31" s="91"/>
      <c r="PW31" s="91"/>
      <c r="PX31" s="91"/>
      <c r="PY31" s="91"/>
      <c r="PZ31" s="91"/>
      <c r="QA31" s="91"/>
      <c r="QB31" s="91"/>
      <c r="QC31" s="91"/>
      <c r="QD31" s="91"/>
      <c r="QE31" s="91"/>
      <c r="QF31" s="91"/>
      <c r="QG31" s="91"/>
      <c r="QH31" s="91"/>
      <c r="QI31" s="91"/>
      <c r="QJ31" s="91"/>
      <c r="QK31" s="91"/>
      <c r="QL31" s="91"/>
      <c r="QM31" s="91"/>
      <c r="QN31" s="91"/>
      <c r="QO31" s="91"/>
      <c r="QP31" s="91"/>
      <c r="QQ31" s="91"/>
      <c r="QR31" s="91"/>
      <c r="QS31" s="91"/>
      <c r="QT31" s="91"/>
      <c r="QU31" s="91"/>
      <c r="QV31" s="91"/>
      <c r="QW31" s="91"/>
      <c r="QX31" s="91"/>
      <c r="QY31" s="91"/>
      <c r="QZ31" s="91"/>
      <c r="RA31" s="91"/>
      <c r="RB31" s="91"/>
      <c r="RC31" s="91"/>
      <c r="RD31" s="91"/>
      <c r="RE31" s="91"/>
      <c r="RF31" s="91"/>
      <c r="RG31" s="91"/>
      <c r="RH31" s="91"/>
      <c r="RI31" s="91"/>
      <c r="RJ31" s="91"/>
      <c r="RK31" s="91"/>
      <c r="RL31" s="91"/>
      <c r="RM31" s="91"/>
      <c r="RN31" s="91"/>
      <c r="RO31" s="91"/>
      <c r="RP31" s="91"/>
      <c r="RQ31" s="91"/>
      <c r="RR31" s="91"/>
      <c r="RS31" s="91"/>
      <c r="RT31" s="91"/>
      <c r="RU31" s="91"/>
      <c r="RV31" s="91"/>
      <c r="RW31" s="91"/>
      <c r="RX31" s="91"/>
      <c r="RY31" s="91"/>
      <c r="RZ31" s="91"/>
      <c r="SA31" s="91"/>
      <c r="SB31" s="91"/>
      <c r="SC31" s="91"/>
      <c r="SD31" s="91"/>
      <c r="SE31" s="91"/>
      <c r="SF31" s="91"/>
      <c r="SG31" s="91"/>
      <c r="SH31" s="91"/>
      <c r="SI31" s="91"/>
      <c r="SJ31" s="91"/>
      <c r="SK31" s="91"/>
      <c r="SL31" s="91"/>
      <c r="SM31" s="91"/>
      <c r="SN31" s="91"/>
      <c r="SO31" s="91"/>
      <c r="SP31" s="91"/>
      <c r="SQ31" s="91"/>
      <c r="SR31" s="91"/>
      <c r="SS31" s="91"/>
      <c r="ST31" s="91"/>
      <c r="SU31" s="91"/>
      <c r="SV31" s="91"/>
      <c r="SW31" s="91"/>
      <c r="SX31" s="91"/>
      <c r="SY31" s="91"/>
      <c r="SZ31" s="91"/>
      <c r="TA31" s="91"/>
      <c r="TB31" s="91"/>
      <c r="TC31" s="91"/>
      <c r="TD31" s="91"/>
      <c r="TE31" s="91"/>
      <c r="TF31" s="91"/>
      <c r="TG31" s="91"/>
      <c r="TH31" s="91"/>
      <c r="TI31" s="91"/>
      <c r="TJ31" s="91"/>
      <c r="TK31" s="91"/>
      <c r="TL31" s="91"/>
      <c r="TM31" s="91"/>
      <c r="TN31" s="91"/>
      <c r="TO31" s="91"/>
      <c r="TP31" s="91"/>
      <c r="TQ31" s="91"/>
      <c r="TR31" s="91"/>
      <c r="TS31" s="91"/>
      <c r="TT31" s="91"/>
      <c r="TU31" s="91"/>
      <c r="TV31" s="91"/>
      <c r="TW31" s="91"/>
      <c r="TX31" s="91"/>
      <c r="TY31" s="91"/>
      <c r="TZ31" s="91"/>
      <c r="UA31" s="91"/>
      <c r="UB31" s="91"/>
      <c r="UC31" s="91"/>
      <c r="UD31" s="91"/>
      <c r="UE31" s="91"/>
      <c r="UF31" s="91"/>
      <c r="UG31" s="91"/>
      <c r="UH31" s="91"/>
      <c r="UI31" s="91"/>
      <c r="UJ31" s="91"/>
      <c r="UK31" s="91"/>
      <c r="UL31" s="91"/>
      <c r="UM31" s="91"/>
      <c r="UN31" s="91"/>
      <c r="UO31" s="91"/>
      <c r="UP31" s="91"/>
      <c r="UQ31" s="91"/>
      <c r="UR31" s="91"/>
      <c r="US31" s="91"/>
      <c r="UT31" s="91"/>
      <c r="UU31" s="91"/>
      <c r="UV31" s="91"/>
      <c r="UW31" s="91"/>
      <c r="UX31" s="91"/>
      <c r="UY31" s="91"/>
      <c r="UZ31" s="91"/>
      <c r="VA31" s="91"/>
      <c r="VB31" s="91"/>
      <c r="VC31" s="91"/>
      <c r="VD31" s="91"/>
      <c r="VE31" s="91"/>
      <c r="VF31" s="91"/>
      <c r="VG31" s="91"/>
      <c r="VH31" s="91"/>
      <c r="VI31" s="91"/>
      <c r="VJ31" s="91"/>
      <c r="VK31" s="91"/>
      <c r="VL31" s="91"/>
      <c r="VM31" s="91"/>
      <c r="VN31" s="91"/>
      <c r="VO31" s="91"/>
      <c r="VP31" s="91"/>
      <c r="VQ31" s="91"/>
      <c r="VR31" s="91"/>
      <c r="VS31" s="91"/>
      <c r="VT31" s="91"/>
      <c r="VU31" s="91"/>
      <c r="VV31" s="91"/>
      <c r="VW31" s="91"/>
      <c r="VX31" s="91"/>
      <c r="VY31" s="91"/>
      <c r="VZ31" s="91"/>
      <c r="WA31" s="91"/>
      <c r="WB31" s="91"/>
      <c r="WC31" s="91"/>
      <c r="WD31" s="91"/>
      <c r="WE31" s="91"/>
      <c r="WF31" s="91"/>
    </row>
    <row r="32" spans="1:604" ht="17.25" customHeight="1" x14ac:dyDescent="0.3">
      <c r="A32" s="25" t="e">
        <f>IF(契約詳細價目表!A32="",NA(),契約詳細價目表!A32)</f>
        <v>#N/A</v>
      </c>
      <c r="B32" s="26" t="e">
        <f>IF(契約詳細價目表!B32="",NA(),契約詳細價目表!B32)</f>
        <v>#N/A</v>
      </c>
      <c r="C32" s="25" t="e">
        <f>IF(契約詳細價目表!C32="",NA(),契約詳細價目表!C32)</f>
        <v>#N/A</v>
      </c>
      <c r="D32" s="27" t="e">
        <f>IF(契約詳細價目表!D32="",NA(),契約詳細價目表!D32)</f>
        <v>#N/A</v>
      </c>
      <c r="E32" s="28" t="e">
        <f>IF(契約詳細價目表!E32="",NA(),契約詳細價目表!E32)</f>
        <v>#N/A</v>
      </c>
      <c r="F32" s="28">
        <f>IF(契約詳細價目表!F32="",NA(),契約詳細價目表!F32)</f>
        <v>0</v>
      </c>
      <c r="G32" s="27">
        <f t="shared" si="536"/>
        <v>0</v>
      </c>
      <c r="H32" s="28" t="e">
        <f t="shared" si="537"/>
        <v>#N/A</v>
      </c>
      <c r="I32" s="47" t="e">
        <f t="shared" si="535"/>
        <v>#N/A</v>
      </c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  <c r="CW32" s="92"/>
      <c r="CX32" s="92"/>
      <c r="CY32" s="92"/>
      <c r="CZ32" s="92"/>
      <c r="DA32" s="92"/>
      <c r="DB32" s="92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2"/>
      <c r="ER32" s="92"/>
      <c r="ES32" s="92"/>
      <c r="ET32" s="92"/>
      <c r="EU32" s="92"/>
      <c r="EV32" s="92"/>
      <c r="EW32" s="92"/>
      <c r="EX32" s="92"/>
      <c r="EY32" s="92"/>
      <c r="EZ32" s="92"/>
      <c r="FA32" s="92"/>
      <c r="FB32" s="92"/>
      <c r="FC32" s="92"/>
      <c r="FD32" s="92"/>
      <c r="FE32" s="92"/>
      <c r="FF32" s="92"/>
      <c r="FG32" s="92"/>
      <c r="FH32" s="92"/>
      <c r="FI32" s="92"/>
      <c r="FJ32" s="92"/>
      <c r="FK32" s="92"/>
      <c r="FL32" s="92"/>
      <c r="FM32" s="92"/>
      <c r="FN32" s="92"/>
      <c r="FO32" s="92"/>
      <c r="FP32" s="92"/>
      <c r="FQ32" s="92"/>
      <c r="FR32" s="92"/>
      <c r="FS32" s="92"/>
      <c r="FT32" s="92"/>
      <c r="FU32" s="91"/>
      <c r="FV32" s="91"/>
      <c r="FW32" s="91"/>
      <c r="FX32" s="91"/>
      <c r="FY32" s="91"/>
      <c r="FZ32" s="91"/>
      <c r="GA32" s="91"/>
      <c r="GB32" s="91"/>
      <c r="GC32" s="91"/>
      <c r="GD32" s="91"/>
      <c r="GE32" s="91"/>
      <c r="GF32" s="91"/>
      <c r="GG32" s="91"/>
      <c r="GH32" s="91"/>
      <c r="GI32" s="91"/>
      <c r="GJ32" s="91"/>
      <c r="GK32" s="91"/>
      <c r="GL32" s="91"/>
      <c r="GM32" s="91"/>
      <c r="GN32" s="91"/>
      <c r="GO32" s="91"/>
      <c r="GP32" s="91"/>
      <c r="GQ32" s="91"/>
      <c r="GR32" s="91"/>
      <c r="GS32" s="91"/>
      <c r="GT32" s="91"/>
      <c r="GU32" s="91"/>
      <c r="GV32" s="91"/>
      <c r="GW32" s="91"/>
      <c r="GX32" s="91"/>
      <c r="GY32" s="91"/>
      <c r="GZ32" s="91"/>
      <c r="HA32" s="91"/>
      <c r="HB32" s="91"/>
      <c r="HC32" s="91"/>
      <c r="HD32" s="91"/>
      <c r="HE32" s="91"/>
      <c r="HF32" s="91"/>
      <c r="HG32" s="91"/>
      <c r="HH32" s="91"/>
      <c r="HI32" s="91"/>
      <c r="HJ32" s="91"/>
      <c r="HK32" s="91"/>
      <c r="HL32" s="91"/>
      <c r="HM32" s="91"/>
      <c r="HN32" s="91"/>
      <c r="HO32" s="91"/>
      <c r="HP32" s="91"/>
      <c r="HQ32" s="91"/>
      <c r="HR32" s="91"/>
      <c r="HS32" s="91"/>
      <c r="HT32" s="91"/>
      <c r="HU32" s="91"/>
      <c r="HV32" s="91"/>
      <c r="HW32" s="91"/>
      <c r="HX32" s="91"/>
      <c r="HY32" s="91"/>
      <c r="HZ32" s="91"/>
      <c r="IA32" s="91"/>
      <c r="IB32" s="91"/>
      <c r="IC32" s="91"/>
      <c r="ID32" s="91"/>
      <c r="IE32" s="91"/>
      <c r="IF32" s="91"/>
      <c r="IG32" s="91"/>
      <c r="IH32" s="91"/>
      <c r="II32" s="91"/>
      <c r="IJ32" s="91"/>
      <c r="IK32" s="91"/>
      <c r="IL32" s="91"/>
      <c r="IM32" s="91"/>
      <c r="IN32" s="91"/>
      <c r="IO32" s="91"/>
      <c r="IP32" s="91"/>
      <c r="IQ32" s="91"/>
      <c r="IR32" s="91"/>
      <c r="IS32" s="91"/>
      <c r="IT32" s="91"/>
      <c r="IU32" s="91"/>
      <c r="IV32" s="91"/>
      <c r="IW32" s="91"/>
      <c r="IX32" s="91"/>
      <c r="IY32" s="91"/>
      <c r="IZ32" s="91"/>
      <c r="JA32" s="91"/>
      <c r="JB32" s="91"/>
      <c r="JC32" s="91"/>
      <c r="JD32" s="91"/>
      <c r="JE32" s="91"/>
      <c r="JF32" s="91"/>
      <c r="JG32" s="91"/>
      <c r="JH32" s="91"/>
      <c r="JI32" s="91"/>
      <c r="JJ32" s="91"/>
      <c r="JK32" s="91"/>
      <c r="JL32" s="91"/>
      <c r="JM32" s="91"/>
      <c r="JN32" s="91"/>
      <c r="JO32" s="91"/>
      <c r="JP32" s="91"/>
      <c r="JQ32" s="91"/>
      <c r="JR32" s="91"/>
      <c r="JS32" s="91"/>
      <c r="JT32" s="91"/>
      <c r="JU32" s="91"/>
      <c r="JV32" s="91"/>
      <c r="JW32" s="91"/>
      <c r="JX32" s="91"/>
      <c r="JY32" s="91"/>
      <c r="JZ32" s="91"/>
      <c r="KA32" s="91"/>
      <c r="KB32" s="91"/>
      <c r="KC32" s="91"/>
      <c r="KD32" s="91"/>
      <c r="KE32" s="91"/>
      <c r="KF32" s="91"/>
      <c r="KG32" s="91"/>
      <c r="KH32" s="91"/>
      <c r="KI32" s="91"/>
      <c r="KJ32" s="91"/>
      <c r="KK32" s="91"/>
      <c r="KL32" s="91"/>
      <c r="KM32" s="91"/>
      <c r="KN32" s="91"/>
      <c r="KO32" s="91"/>
      <c r="KP32" s="91"/>
      <c r="KQ32" s="91"/>
      <c r="KR32" s="91"/>
      <c r="KS32" s="91"/>
      <c r="KT32" s="91"/>
      <c r="KU32" s="91"/>
      <c r="KV32" s="91"/>
      <c r="KW32" s="91"/>
      <c r="KX32" s="91"/>
      <c r="KY32" s="91"/>
      <c r="KZ32" s="91"/>
      <c r="LA32" s="91"/>
      <c r="LB32" s="91"/>
      <c r="LC32" s="91"/>
      <c r="LD32" s="91"/>
      <c r="LE32" s="91"/>
      <c r="LF32" s="91"/>
      <c r="LG32" s="91"/>
      <c r="LH32" s="91"/>
      <c r="LI32" s="91"/>
      <c r="LJ32" s="91"/>
      <c r="LK32" s="91"/>
      <c r="LL32" s="91"/>
      <c r="LM32" s="91"/>
      <c r="LN32" s="91"/>
      <c r="LO32" s="91"/>
      <c r="LP32" s="91"/>
      <c r="LQ32" s="91"/>
      <c r="LR32" s="91"/>
      <c r="LS32" s="91"/>
      <c r="LT32" s="91"/>
      <c r="LU32" s="91"/>
      <c r="LV32" s="91"/>
      <c r="LW32" s="91"/>
      <c r="LX32" s="91"/>
      <c r="LY32" s="91"/>
      <c r="LZ32" s="91"/>
      <c r="MA32" s="91"/>
      <c r="MB32" s="91"/>
      <c r="MC32" s="91"/>
      <c r="MD32" s="91"/>
      <c r="ME32" s="91"/>
      <c r="MF32" s="91"/>
      <c r="MG32" s="91"/>
      <c r="MH32" s="91"/>
      <c r="MI32" s="91"/>
      <c r="MJ32" s="91"/>
      <c r="MK32" s="91"/>
      <c r="ML32" s="91"/>
      <c r="MM32" s="91"/>
      <c r="MN32" s="91"/>
      <c r="MO32" s="91"/>
      <c r="MP32" s="91"/>
      <c r="MQ32" s="91"/>
      <c r="MR32" s="91"/>
      <c r="MS32" s="91"/>
      <c r="MT32" s="91"/>
      <c r="MU32" s="91"/>
      <c r="MV32" s="91"/>
      <c r="MW32" s="91"/>
      <c r="MX32" s="91"/>
      <c r="MY32" s="91"/>
      <c r="MZ32" s="91"/>
      <c r="NA32" s="91"/>
      <c r="NB32" s="91"/>
      <c r="NC32" s="91"/>
      <c r="ND32" s="91"/>
      <c r="NE32" s="91"/>
      <c r="NF32" s="91"/>
      <c r="NG32" s="91"/>
      <c r="NH32" s="91"/>
      <c r="NI32" s="91"/>
      <c r="NJ32" s="91"/>
      <c r="NK32" s="91"/>
      <c r="NL32" s="91"/>
      <c r="NM32" s="91"/>
      <c r="NN32" s="91"/>
      <c r="NO32" s="91"/>
      <c r="NP32" s="91"/>
      <c r="NQ32" s="91"/>
      <c r="NR32" s="91"/>
      <c r="NS32" s="91"/>
      <c r="NT32" s="91"/>
      <c r="NU32" s="91"/>
      <c r="NV32" s="91"/>
      <c r="NW32" s="91"/>
      <c r="NX32" s="91"/>
      <c r="NY32" s="91"/>
      <c r="NZ32" s="91"/>
      <c r="OA32" s="91"/>
      <c r="OB32" s="91"/>
      <c r="OC32" s="91"/>
      <c r="OD32" s="91"/>
      <c r="OE32" s="91"/>
      <c r="OF32" s="91"/>
      <c r="OG32" s="91"/>
      <c r="OH32" s="91"/>
      <c r="OI32" s="91"/>
      <c r="OJ32" s="91"/>
      <c r="OK32" s="91"/>
      <c r="OL32" s="91"/>
      <c r="OM32" s="91"/>
      <c r="ON32" s="91"/>
      <c r="OO32" s="91"/>
      <c r="OP32" s="91"/>
      <c r="OQ32" s="91"/>
      <c r="OR32" s="91"/>
      <c r="OS32" s="91"/>
      <c r="OT32" s="91"/>
      <c r="OU32" s="91"/>
      <c r="OV32" s="91"/>
      <c r="OW32" s="91"/>
      <c r="OX32" s="91"/>
      <c r="OY32" s="91"/>
      <c r="OZ32" s="91"/>
      <c r="PA32" s="91"/>
      <c r="PB32" s="91"/>
      <c r="PC32" s="91"/>
      <c r="PD32" s="91"/>
      <c r="PE32" s="91"/>
      <c r="PF32" s="91"/>
      <c r="PG32" s="91"/>
      <c r="PH32" s="91"/>
      <c r="PI32" s="91"/>
      <c r="PJ32" s="91"/>
      <c r="PK32" s="91"/>
      <c r="PL32" s="91"/>
      <c r="PM32" s="91"/>
      <c r="PN32" s="91"/>
      <c r="PO32" s="91"/>
      <c r="PP32" s="91"/>
      <c r="PQ32" s="91"/>
      <c r="PR32" s="91"/>
      <c r="PS32" s="91"/>
      <c r="PT32" s="91"/>
      <c r="PU32" s="91"/>
      <c r="PV32" s="91"/>
      <c r="PW32" s="91"/>
      <c r="PX32" s="91"/>
      <c r="PY32" s="91"/>
      <c r="PZ32" s="91"/>
      <c r="QA32" s="91"/>
      <c r="QB32" s="91"/>
      <c r="QC32" s="91"/>
      <c r="QD32" s="91"/>
      <c r="QE32" s="91"/>
      <c r="QF32" s="91"/>
      <c r="QG32" s="91"/>
      <c r="QH32" s="91"/>
      <c r="QI32" s="91"/>
      <c r="QJ32" s="91"/>
      <c r="QK32" s="91"/>
      <c r="QL32" s="91"/>
      <c r="QM32" s="91"/>
      <c r="QN32" s="91"/>
      <c r="QO32" s="91"/>
      <c r="QP32" s="91"/>
      <c r="QQ32" s="91"/>
      <c r="QR32" s="91"/>
      <c r="QS32" s="91"/>
      <c r="QT32" s="91"/>
      <c r="QU32" s="91"/>
      <c r="QV32" s="91"/>
      <c r="QW32" s="91"/>
      <c r="QX32" s="91"/>
      <c r="QY32" s="91"/>
      <c r="QZ32" s="91"/>
      <c r="RA32" s="91"/>
      <c r="RB32" s="91"/>
      <c r="RC32" s="91"/>
      <c r="RD32" s="91"/>
      <c r="RE32" s="91"/>
      <c r="RF32" s="91"/>
      <c r="RG32" s="91"/>
      <c r="RH32" s="91"/>
      <c r="RI32" s="91"/>
      <c r="RJ32" s="91"/>
      <c r="RK32" s="91"/>
      <c r="RL32" s="91"/>
      <c r="RM32" s="91"/>
      <c r="RN32" s="91"/>
      <c r="RO32" s="91"/>
      <c r="RP32" s="91"/>
      <c r="RQ32" s="91"/>
      <c r="RR32" s="91"/>
      <c r="RS32" s="91"/>
      <c r="RT32" s="91"/>
      <c r="RU32" s="91"/>
      <c r="RV32" s="91"/>
      <c r="RW32" s="91"/>
      <c r="RX32" s="91"/>
      <c r="RY32" s="91"/>
      <c r="RZ32" s="91"/>
      <c r="SA32" s="91"/>
      <c r="SB32" s="91"/>
      <c r="SC32" s="91"/>
      <c r="SD32" s="91"/>
      <c r="SE32" s="91"/>
      <c r="SF32" s="91"/>
      <c r="SG32" s="91"/>
      <c r="SH32" s="91"/>
      <c r="SI32" s="91"/>
      <c r="SJ32" s="91"/>
      <c r="SK32" s="91"/>
      <c r="SL32" s="91"/>
      <c r="SM32" s="91"/>
      <c r="SN32" s="91"/>
      <c r="SO32" s="91"/>
      <c r="SP32" s="91"/>
      <c r="SQ32" s="91"/>
      <c r="SR32" s="91"/>
      <c r="SS32" s="91"/>
      <c r="ST32" s="91"/>
      <c r="SU32" s="91"/>
      <c r="SV32" s="91"/>
      <c r="SW32" s="91"/>
      <c r="SX32" s="91"/>
      <c r="SY32" s="91"/>
      <c r="SZ32" s="91"/>
      <c r="TA32" s="91"/>
      <c r="TB32" s="91"/>
      <c r="TC32" s="91"/>
      <c r="TD32" s="91"/>
      <c r="TE32" s="91"/>
      <c r="TF32" s="91"/>
      <c r="TG32" s="91"/>
      <c r="TH32" s="91"/>
      <c r="TI32" s="91"/>
      <c r="TJ32" s="91"/>
      <c r="TK32" s="91"/>
      <c r="TL32" s="91"/>
      <c r="TM32" s="91"/>
      <c r="TN32" s="91"/>
      <c r="TO32" s="91"/>
      <c r="TP32" s="91"/>
      <c r="TQ32" s="91"/>
      <c r="TR32" s="91"/>
      <c r="TS32" s="91"/>
      <c r="TT32" s="91"/>
      <c r="TU32" s="91"/>
      <c r="TV32" s="91"/>
      <c r="TW32" s="91"/>
      <c r="TX32" s="91"/>
      <c r="TY32" s="91"/>
      <c r="TZ32" s="91"/>
      <c r="UA32" s="91"/>
      <c r="UB32" s="91"/>
      <c r="UC32" s="91"/>
      <c r="UD32" s="91"/>
      <c r="UE32" s="91"/>
      <c r="UF32" s="91"/>
      <c r="UG32" s="91"/>
      <c r="UH32" s="91"/>
      <c r="UI32" s="91"/>
      <c r="UJ32" s="91"/>
      <c r="UK32" s="91"/>
      <c r="UL32" s="91"/>
      <c r="UM32" s="91"/>
      <c r="UN32" s="91"/>
      <c r="UO32" s="91"/>
      <c r="UP32" s="91"/>
      <c r="UQ32" s="91"/>
      <c r="UR32" s="91"/>
      <c r="US32" s="91"/>
      <c r="UT32" s="91"/>
      <c r="UU32" s="91"/>
      <c r="UV32" s="91"/>
      <c r="UW32" s="91"/>
      <c r="UX32" s="91"/>
      <c r="UY32" s="91"/>
      <c r="UZ32" s="91"/>
      <c r="VA32" s="91"/>
      <c r="VB32" s="91"/>
      <c r="VC32" s="91"/>
      <c r="VD32" s="91"/>
      <c r="VE32" s="91"/>
      <c r="VF32" s="91"/>
      <c r="VG32" s="91"/>
      <c r="VH32" s="91"/>
      <c r="VI32" s="91"/>
      <c r="VJ32" s="91"/>
      <c r="VK32" s="91"/>
      <c r="VL32" s="91"/>
      <c r="VM32" s="91"/>
      <c r="VN32" s="91"/>
      <c r="VO32" s="91"/>
      <c r="VP32" s="91"/>
      <c r="VQ32" s="91"/>
      <c r="VR32" s="91"/>
      <c r="VS32" s="91"/>
      <c r="VT32" s="91"/>
      <c r="VU32" s="91"/>
      <c r="VV32" s="91"/>
      <c r="VW32" s="91"/>
      <c r="VX32" s="91"/>
      <c r="VY32" s="91"/>
      <c r="VZ32" s="91"/>
      <c r="WA32" s="91"/>
      <c r="WB32" s="91"/>
      <c r="WC32" s="91"/>
      <c r="WD32" s="91"/>
      <c r="WE32" s="91"/>
      <c r="WF32" s="91"/>
    </row>
    <row r="33" spans="1:604" s="44" customFormat="1" ht="17.25" customHeight="1" x14ac:dyDescent="0.3">
      <c r="A33" s="39" t="e">
        <f>IF(契約詳細價目表!A33="",NA(),契約詳細價目表!A33)</f>
        <v>#N/A</v>
      </c>
      <c r="B33" s="40" t="e">
        <f>IF(契約詳細價目表!B33="",NA(),契約詳細價目表!B33)</f>
        <v>#N/A</v>
      </c>
      <c r="C33" s="39" t="e">
        <f>IF(契約詳細價目表!C33="",NA(),契約詳細價目表!C33)</f>
        <v>#N/A</v>
      </c>
      <c r="D33" s="41" t="e">
        <f>IF(契約詳細價目表!D33="",NA(),契約詳細價目表!D33)</f>
        <v>#N/A</v>
      </c>
      <c r="E33" s="42">
        <f>IF(契約詳細價目表!E33="",NA(),契約詳細價目表!E33)</f>
        <v>0</v>
      </c>
      <c r="F33" s="42">
        <f>IF(契約詳細價目表!F33="",NA(),契約詳細價目表!F33)</f>
        <v>0</v>
      </c>
      <c r="G33" s="106" t="e">
        <f t="shared" si="536"/>
        <v>#N/A</v>
      </c>
      <c r="H33" s="87" t="e">
        <f>G33*E33</f>
        <v>#N/A</v>
      </c>
      <c r="I33" s="43" t="e">
        <f t="shared" si="535"/>
        <v>#N/A</v>
      </c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05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5"/>
      <c r="CE33" s="105"/>
      <c r="CF33" s="105"/>
      <c r="CG33" s="105"/>
      <c r="CH33" s="105"/>
      <c r="CI33" s="105"/>
      <c r="CJ33" s="105"/>
      <c r="CK33" s="105"/>
      <c r="CL33" s="105"/>
      <c r="CM33" s="105"/>
      <c r="CN33" s="105"/>
      <c r="CO33" s="105"/>
      <c r="CP33" s="105"/>
      <c r="CQ33" s="105"/>
      <c r="CR33" s="105"/>
      <c r="CS33" s="105"/>
      <c r="CT33" s="105" t="e">
        <f t="shared" ref="CT33:EH33" si="538">ROUND(SUMPRODUCT($E$2:$E$26,CT$2:CT$26)*0.6%,0)</f>
        <v>#N/A</v>
      </c>
      <c r="CU33" s="105"/>
      <c r="CV33" s="105"/>
      <c r="CW33" s="105" t="e">
        <f t="shared" si="538"/>
        <v>#N/A</v>
      </c>
      <c r="CX33" s="105"/>
      <c r="CY33" s="105"/>
      <c r="CZ33" s="105"/>
      <c r="DA33" s="105" t="e">
        <f t="shared" si="538"/>
        <v>#N/A</v>
      </c>
      <c r="DB33" s="105"/>
      <c r="DC33" s="105"/>
      <c r="DD33" s="105" t="e">
        <f t="shared" si="538"/>
        <v>#N/A</v>
      </c>
      <c r="DE33" s="105"/>
      <c r="DF33" s="105"/>
      <c r="DG33" s="105"/>
      <c r="DH33" s="105" t="e">
        <f t="shared" si="538"/>
        <v>#N/A</v>
      </c>
      <c r="DI33" s="105" t="e">
        <f t="shared" si="538"/>
        <v>#N/A</v>
      </c>
      <c r="DJ33" s="105" t="e">
        <f t="shared" si="538"/>
        <v>#N/A</v>
      </c>
      <c r="DK33" s="105" t="e">
        <f t="shared" si="538"/>
        <v>#N/A</v>
      </c>
      <c r="DL33" s="105" t="e">
        <f t="shared" si="538"/>
        <v>#N/A</v>
      </c>
      <c r="DM33" s="105" t="e">
        <f t="shared" si="538"/>
        <v>#N/A</v>
      </c>
      <c r="DN33" s="105" t="e">
        <f t="shared" si="538"/>
        <v>#N/A</v>
      </c>
      <c r="DO33" s="105" t="e">
        <f t="shared" si="538"/>
        <v>#N/A</v>
      </c>
      <c r="DP33" s="105" t="e">
        <f t="shared" si="538"/>
        <v>#N/A</v>
      </c>
      <c r="DQ33" s="105" t="e">
        <f t="shared" si="538"/>
        <v>#N/A</v>
      </c>
      <c r="DR33" s="105" t="e">
        <f t="shared" si="538"/>
        <v>#N/A</v>
      </c>
      <c r="DS33" s="105" t="e">
        <f t="shared" si="538"/>
        <v>#N/A</v>
      </c>
      <c r="DT33" s="105" t="e">
        <f t="shared" si="538"/>
        <v>#N/A</v>
      </c>
      <c r="DU33" s="105" t="e">
        <f t="shared" si="538"/>
        <v>#N/A</v>
      </c>
      <c r="DV33" s="105" t="e">
        <f t="shared" si="538"/>
        <v>#N/A</v>
      </c>
      <c r="DW33" s="105" t="e">
        <f t="shared" si="538"/>
        <v>#N/A</v>
      </c>
      <c r="DX33" s="105" t="e">
        <f t="shared" si="538"/>
        <v>#N/A</v>
      </c>
      <c r="DY33" s="105" t="e">
        <f t="shared" si="538"/>
        <v>#N/A</v>
      </c>
      <c r="DZ33" s="105" t="e">
        <f t="shared" si="538"/>
        <v>#N/A</v>
      </c>
      <c r="EA33" s="105" t="e">
        <f t="shared" si="538"/>
        <v>#N/A</v>
      </c>
      <c r="EB33" s="105" t="e">
        <f t="shared" si="538"/>
        <v>#N/A</v>
      </c>
      <c r="EC33" s="105" t="e">
        <f t="shared" si="538"/>
        <v>#N/A</v>
      </c>
      <c r="ED33" s="105" t="e">
        <f t="shared" si="538"/>
        <v>#N/A</v>
      </c>
      <c r="EE33" s="105" t="e">
        <f t="shared" si="538"/>
        <v>#N/A</v>
      </c>
      <c r="EF33" s="105" t="e">
        <f t="shared" si="538"/>
        <v>#N/A</v>
      </c>
      <c r="EG33" s="105" t="e">
        <f t="shared" si="538"/>
        <v>#N/A</v>
      </c>
      <c r="EH33" s="105" t="e">
        <f t="shared" si="538"/>
        <v>#N/A</v>
      </c>
      <c r="EI33" s="105" t="e">
        <f t="shared" ref="EI33:GT33" si="539">ROUND(SUMPRODUCT($E$2:$E$26,EI$2:EI$26)*0.6%,0)</f>
        <v>#N/A</v>
      </c>
      <c r="EJ33" s="105" t="e">
        <f t="shared" si="539"/>
        <v>#N/A</v>
      </c>
      <c r="EK33" s="105" t="e">
        <f t="shared" si="539"/>
        <v>#N/A</v>
      </c>
      <c r="EL33" s="105" t="e">
        <f t="shared" si="539"/>
        <v>#N/A</v>
      </c>
      <c r="EM33" s="105" t="e">
        <f t="shared" si="539"/>
        <v>#N/A</v>
      </c>
      <c r="EN33" s="105" t="e">
        <f t="shared" si="539"/>
        <v>#N/A</v>
      </c>
      <c r="EO33" s="105" t="e">
        <f t="shared" si="539"/>
        <v>#N/A</v>
      </c>
      <c r="EP33" s="105" t="e">
        <f t="shared" si="539"/>
        <v>#N/A</v>
      </c>
      <c r="EQ33" s="105" t="e">
        <f t="shared" si="539"/>
        <v>#N/A</v>
      </c>
      <c r="ER33" s="105" t="e">
        <f t="shared" si="539"/>
        <v>#N/A</v>
      </c>
      <c r="ES33" s="105" t="e">
        <f t="shared" si="539"/>
        <v>#N/A</v>
      </c>
      <c r="ET33" s="105" t="e">
        <f t="shared" si="539"/>
        <v>#N/A</v>
      </c>
      <c r="EU33" s="105" t="e">
        <f t="shared" si="539"/>
        <v>#N/A</v>
      </c>
      <c r="EV33" s="105" t="e">
        <f t="shared" si="539"/>
        <v>#N/A</v>
      </c>
      <c r="EW33" s="105" t="e">
        <f t="shared" si="539"/>
        <v>#N/A</v>
      </c>
      <c r="EX33" s="105" t="e">
        <f t="shared" si="539"/>
        <v>#N/A</v>
      </c>
      <c r="EY33" s="105" t="e">
        <f t="shared" si="539"/>
        <v>#N/A</v>
      </c>
      <c r="EZ33" s="105" t="e">
        <f t="shared" si="539"/>
        <v>#N/A</v>
      </c>
      <c r="FA33" s="105" t="e">
        <f t="shared" si="539"/>
        <v>#N/A</v>
      </c>
      <c r="FB33" s="105" t="e">
        <f t="shared" si="539"/>
        <v>#N/A</v>
      </c>
      <c r="FC33" s="105" t="e">
        <f t="shared" si="539"/>
        <v>#N/A</v>
      </c>
      <c r="FD33" s="105" t="e">
        <f t="shared" si="539"/>
        <v>#N/A</v>
      </c>
      <c r="FE33" s="105" t="e">
        <f t="shared" si="539"/>
        <v>#N/A</v>
      </c>
      <c r="FF33" s="105" t="e">
        <f t="shared" si="539"/>
        <v>#N/A</v>
      </c>
      <c r="FG33" s="105" t="e">
        <f t="shared" si="539"/>
        <v>#N/A</v>
      </c>
      <c r="FH33" s="105" t="e">
        <f t="shared" si="539"/>
        <v>#N/A</v>
      </c>
      <c r="FI33" s="105" t="e">
        <f t="shared" si="539"/>
        <v>#N/A</v>
      </c>
      <c r="FJ33" s="105" t="e">
        <f t="shared" si="539"/>
        <v>#N/A</v>
      </c>
      <c r="FK33" s="105" t="e">
        <f t="shared" si="539"/>
        <v>#N/A</v>
      </c>
      <c r="FL33" s="105" t="e">
        <f t="shared" si="539"/>
        <v>#N/A</v>
      </c>
      <c r="FM33" s="105" t="e">
        <f t="shared" si="539"/>
        <v>#N/A</v>
      </c>
      <c r="FN33" s="105" t="e">
        <f t="shared" si="539"/>
        <v>#N/A</v>
      </c>
      <c r="FO33" s="105" t="e">
        <f t="shared" si="539"/>
        <v>#N/A</v>
      </c>
      <c r="FP33" s="105" t="e">
        <f t="shared" si="539"/>
        <v>#N/A</v>
      </c>
      <c r="FQ33" s="105" t="e">
        <f t="shared" si="539"/>
        <v>#N/A</v>
      </c>
      <c r="FR33" s="105" t="e">
        <f t="shared" si="539"/>
        <v>#N/A</v>
      </c>
      <c r="FS33" s="105" t="e">
        <f t="shared" si="539"/>
        <v>#N/A</v>
      </c>
      <c r="FT33" s="105" t="e">
        <f t="shared" si="539"/>
        <v>#N/A</v>
      </c>
      <c r="FU33" s="101" t="e">
        <f t="shared" si="539"/>
        <v>#N/A</v>
      </c>
      <c r="FV33" s="101" t="e">
        <f t="shared" si="539"/>
        <v>#N/A</v>
      </c>
      <c r="FW33" s="101" t="e">
        <f t="shared" si="539"/>
        <v>#N/A</v>
      </c>
      <c r="FX33" s="101" t="e">
        <f t="shared" si="539"/>
        <v>#N/A</v>
      </c>
      <c r="FY33" s="101" t="e">
        <f t="shared" si="539"/>
        <v>#N/A</v>
      </c>
      <c r="FZ33" s="101" t="e">
        <f t="shared" si="539"/>
        <v>#N/A</v>
      </c>
      <c r="GA33" s="101" t="e">
        <f t="shared" si="539"/>
        <v>#N/A</v>
      </c>
      <c r="GB33" s="101" t="e">
        <f t="shared" si="539"/>
        <v>#N/A</v>
      </c>
      <c r="GC33" s="101" t="e">
        <f t="shared" si="539"/>
        <v>#N/A</v>
      </c>
      <c r="GD33" s="101" t="e">
        <f t="shared" si="539"/>
        <v>#N/A</v>
      </c>
      <c r="GE33" s="101" t="e">
        <f t="shared" si="539"/>
        <v>#N/A</v>
      </c>
      <c r="GF33" s="101" t="e">
        <f t="shared" si="539"/>
        <v>#N/A</v>
      </c>
      <c r="GG33" s="101" t="e">
        <f t="shared" si="539"/>
        <v>#N/A</v>
      </c>
      <c r="GH33" s="101" t="e">
        <f t="shared" si="539"/>
        <v>#N/A</v>
      </c>
      <c r="GI33" s="101" t="e">
        <f t="shared" si="539"/>
        <v>#N/A</v>
      </c>
      <c r="GJ33" s="101" t="e">
        <f t="shared" si="539"/>
        <v>#N/A</v>
      </c>
      <c r="GK33" s="101" t="e">
        <f t="shared" si="539"/>
        <v>#N/A</v>
      </c>
      <c r="GL33" s="101" t="e">
        <f t="shared" si="539"/>
        <v>#N/A</v>
      </c>
      <c r="GM33" s="101" t="e">
        <f t="shared" si="539"/>
        <v>#N/A</v>
      </c>
      <c r="GN33" s="101" t="e">
        <f t="shared" si="539"/>
        <v>#N/A</v>
      </c>
      <c r="GO33" s="101" t="e">
        <f t="shared" si="539"/>
        <v>#N/A</v>
      </c>
      <c r="GP33" s="101" t="e">
        <f t="shared" si="539"/>
        <v>#N/A</v>
      </c>
      <c r="GQ33" s="101" t="e">
        <f t="shared" si="539"/>
        <v>#N/A</v>
      </c>
      <c r="GR33" s="101" t="e">
        <f t="shared" si="539"/>
        <v>#N/A</v>
      </c>
      <c r="GS33" s="101" t="e">
        <f t="shared" si="539"/>
        <v>#N/A</v>
      </c>
      <c r="GT33" s="101" t="e">
        <f t="shared" si="539"/>
        <v>#N/A</v>
      </c>
      <c r="GU33" s="101" t="e">
        <f t="shared" ref="GU33:JF33" si="540">ROUND(SUMPRODUCT($E$2:$E$26,GU$2:GU$26)*0.6%,0)</f>
        <v>#N/A</v>
      </c>
      <c r="GV33" s="101" t="e">
        <f t="shared" si="540"/>
        <v>#N/A</v>
      </c>
      <c r="GW33" s="101" t="e">
        <f t="shared" si="540"/>
        <v>#N/A</v>
      </c>
      <c r="GX33" s="101" t="e">
        <f t="shared" si="540"/>
        <v>#N/A</v>
      </c>
      <c r="GY33" s="101" t="e">
        <f t="shared" si="540"/>
        <v>#N/A</v>
      </c>
      <c r="GZ33" s="101" t="e">
        <f t="shared" si="540"/>
        <v>#N/A</v>
      </c>
      <c r="HA33" s="101" t="e">
        <f t="shared" si="540"/>
        <v>#N/A</v>
      </c>
      <c r="HB33" s="101" t="e">
        <f t="shared" si="540"/>
        <v>#N/A</v>
      </c>
      <c r="HC33" s="101" t="e">
        <f t="shared" si="540"/>
        <v>#N/A</v>
      </c>
      <c r="HD33" s="101" t="e">
        <f t="shared" si="540"/>
        <v>#N/A</v>
      </c>
      <c r="HE33" s="101" t="e">
        <f t="shared" si="540"/>
        <v>#N/A</v>
      </c>
      <c r="HF33" s="101" t="e">
        <f t="shared" si="540"/>
        <v>#N/A</v>
      </c>
      <c r="HG33" s="101" t="e">
        <f t="shared" si="540"/>
        <v>#N/A</v>
      </c>
      <c r="HH33" s="101" t="e">
        <f t="shared" si="540"/>
        <v>#N/A</v>
      </c>
      <c r="HI33" s="101" t="e">
        <f t="shared" si="540"/>
        <v>#N/A</v>
      </c>
      <c r="HJ33" s="101" t="e">
        <f t="shared" si="540"/>
        <v>#N/A</v>
      </c>
      <c r="HK33" s="101" t="e">
        <f t="shared" si="540"/>
        <v>#N/A</v>
      </c>
      <c r="HL33" s="101" t="e">
        <f t="shared" si="540"/>
        <v>#N/A</v>
      </c>
      <c r="HM33" s="101" t="e">
        <f t="shared" si="540"/>
        <v>#N/A</v>
      </c>
      <c r="HN33" s="101" t="e">
        <f t="shared" si="540"/>
        <v>#N/A</v>
      </c>
      <c r="HO33" s="101" t="e">
        <f t="shared" si="540"/>
        <v>#N/A</v>
      </c>
      <c r="HP33" s="101" t="e">
        <f t="shared" si="540"/>
        <v>#N/A</v>
      </c>
      <c r="HQ33" s="101" t="e">
        <f t="shared" si="540"/>
        <v>#N/A</v>
      </c>
      <c r="HR33" s="101" t="e">
        <f t="shared" si="540"/>
        <v>#N/A</v>
      </c>
      <c r="HS33" s="101" t="e">
        <f t="shared" si="540"/>
        <v>#N/A</v>
      </c>
      <c r="HT33" s="101" t="e">
        <f t="shared" si="540"/>
        <v>#N/A</v>
      </c>
      <c r="HU33" s="101" t="e">
        <f t="shared" si="540"/>
        <v>#N/A</v>
      </c>
      <c r="HV33" s="101" t="e">
        <f t="shared" si="540"/>
        <v>#N/A</v>
      </c>
      <c r="HW33" s="101" t="e">
        <f t="shared" si="540"/>
        <v>#N/A</v>
      </c>
      <c r="HX33" s="101" t="e">
        <f t="shared" si="540"/>
        <v>#N/A</v>
      </c>
      <c r="HY33" s="101" t="e">
        <f t="shared" si="540"/>
        <v>#N/A</v>
      </c>
      <c r="HZ33" s="101" t="e">
        <f t="shared" si="540"/>
        <v>#N/A</v>
      </c>
      <c r="IA33" s="101" t="e">
        <f t="shared" si="540"/>
        <v>#N/A</v>
      </c>
      <c r="IB33" s="101" t="e">
        <f t="shared" si="540"/>
        <v>#N/A</v>
      </c>
      <c r="IC33" s="101" t="e">
        <f t="shared" si="540"/>
        <v>#N/A</v>
      </c>
      <c r="ID33" s="101" t="e">
        <f t="shared" si="540"/>
        <v>#N/A</v>
      </c>
      <c r="IE33" s="101" t="e">
        <f t="shared" si="540"/>
        <v>#N/A</v>
      </c>
      <c r="IF33" s="101" t="e">
        <f t="shared" si="540"/>
        <v>#N/A</v>
      </c>
      <c r="IG33" s="101" t="e">
        <f t="shared" si="540"/>
        <v>#N/A</v>
      </c>
      <c r="IH33" s="101" t="e">
        <f t="shared" si="540"/>
        <v>#N/A</v>
      </c>
      <c r="II33" s="101" t="e">
        <f t="shared" si="540"/>
        <v>#N/A</v>
      </c>
      <c r="IJ33" s="101" t="e">
        <f t="shared" si="540"/>
        <v>#N/A</v>
      </c>
      <c r="IK33" s="101" t="e">
        <f t="shared" si="540"/>
        <v>#N/A</v>
      </c>
      <c r="IL33" s="101" t="e">
        <f t="shared" si="540"/>
        <v>#N/A</v>
      </c>
      <c r="IM33" s="101" t="e">
        <f t="shared" si="540"/>
        <v>#N/A</v>
      </c>
      <c r="IN33" s="101" t="e">
        <f t="shared" si="540"/>
        <v>#N/A</v>
      </c>
      <c r="IO33" s="101" t="e">
        <f t="shared" si="540"/>
        <v>#N/A</v>
      </c>
      <c r="IP33" s="101" t="e">
        <f t="shared" si="540"/>
        <v>#N/A</v>
      </c>
      <c r="IQ33" s="101" t="e">
        <f t="shared" si="540"/>
        <v>#N/A</v>
      </c>
      <c r="IR33" s="101" t="e">
        <f t="shared" si="540"/>
        <v>#N/A</v>
      </c>
      <c r="IS33" s="101" t="e">
        <f t="shared" si="540"/>
        <v>#N/A</v>
      </c>
      <c r="IT33" s="101" t="e">
        <f t="shared" si="540"/>
        <v>#N/A</v>
      </c>
      <c r="IU33" s="101" t="e">
        <f t="shared" si="540"/>
        <v>#N/A</v>
      </c>
      <c r="IV33" s="101" t="e">
        <f t="shared" si="540"/>
        <v>#N/A</v>
      </c>
      <c r="IW33" s="101" t="e">
        <f t="shared" si="540"/>
        <v>#N/A</v>
      </c>
      <c r="IX33" s="101" t="e">
        <f t="shared" si="540"/>
        <v>#N/A</v>
      </c>
      <c r="IY33" s="101" t="e">
        <f t="shared" si="540"/>
        <v>#N/A</v>
      </c>
      <c r="IZ33" s="101" t="e">
        <f t="shared" si="540"/>
        <v>#N/A</v>
      </c>
      <c r="JA33" s="101" t="e">
        <f t="shared" si="540"/>
        <v>#N/A</v>
      </c>
      <c r="JB33" s="101" t="e">
        <f t="shared" si="540"/>
        <v>#N/A</v>
      </c>
      <c r="JC33" s="101" t="e">
        <f t="shared" si="540"/>
        <v>#N/A</v>
      </c>
      <c r="JD33" s="101" t="e">
        <f t="shared" si="540"/>
        <v>#N/A</v>
      </c>
      <c r="JE33" s="101" t="e">
        <f t="shared" si="540"/>
        <v>#N/A</v>
      </c>
      <c r="JF33" s="101" t="e">
        <f t="shared" si="540"/>
        <v>#N/A</v>
      </c>
      <c r="JG33" s="101" t="e">
        <f t="shared" ref="JG33:LR33" si="541">ROUND(SUMPRODUCT($E$2:$E$26,JG$2:JG$26)*0.6%,0)</f>
        <v>#N/A</v>
      </c>
      <c r="JH33" s="101" t="e">
        <f t="shared" si="541"/>
        <v>#N/A</v>
      </c>
      <c r="JI33" s="101" t="e">
        <f t="shared" si="541"/>
        <v>#N/A</v>
      </c>
      <c r="JJ33" s="101" t="e">
        <f t="shared" si="541"/>
        <v>#N/A</v>
      </c>
      <c r="JK33" s="101" t="e">
        <f t="shared" si="541"/>
        <v>#N/A</v>
      </c>
      <c r="JL33" s="101" t="e">
        <f t="shared" si="541"/>
        <v>#N/A</v>
      </c>
      <c r="JM33" s="101" t="e">
        <f t="shared" si="541"/>
        <v>#N/A</v>
      </c>
      <c r="JN33" s="101" t="e">
        <f t="shared" si="541"/>
        <v>#N/A</v>
      </c>
      <c r="JO33" s="101" t="e">
        <f t="shared" si="541"/>
        <v>#N/A</v>
      </c>
      <c r="JP33" s="101" t="e">
        <f t="shared" si="541"/>
        <v>#N/A</v>
      </c>
      <c r="JQ33" s="101" t="e">
        <f t="shared" si="541"/>
        <v>#N/A</v>
      </c>
      <c r="JR33" s="101" t="e">
        <f t="shared" si="541"/>
        <v>#N/A</v>
      </c>
      <c r="JS33" s="101" t="e">
        <f t="shared" si="541"/>
        <v>#N/A</v>
      </c>
      <c r="JT33" s="101" t="e">
        <f t="shared" si="541"/>
        <v>#N/A</v>
      </c>
      <c r="JU33" s="101" t="e">
        <f t="shared" si="541"/>
        <v>#N/A</v>
      </c>
      <c r="JV33" s="101" t="e">
        <f t="shared" si="541"/>
        <v>#N/A</v>
      </c>
      <c r="JW33" s="101" t="e">
        <f t="shared" si="541"/>
        <v>#N/A</v>
      </c>
      <c r="JX33" s="101" t="e">
        <f t="shared" si="541"/>
        <v>#N/A</v>
      </c>
      <c r="JY33" s="101" t="e">
        <f t="shared" si="541"/>
        <v>#N/A</v>
      </c>
      <c r="JZ33" s="101" t="e">
        <f t="shared" si="541"/>
        <v>#N/A</v>
      </c>
      <c r="KA33" s="101" t="e">
        <f t="shared" si="541"/>
        <v>#N/A</v>
      </c>
      <c r="KB33" s="101" t="e">
        <f t="shared" si="541"/>
        <v>#N/A</v>
      </c>
      <c r="KC33" s="101" t="e">
        <f t="shared" si="541"/>
        <v>#N/A</v>
      </c>
      <c r="KD33" s="101" t="e">
        <f t="shared" si="541"/>
        <v>#N/A</v>
      </c>
      <c r="KE33" s="101" t="e">
        <f t="shared" si="541"/>
        <v>#N/A</v>
      </c>
      <c r="KF33" s="101" t="e">
        <f t="shared" si="541"/>
        <v>#N/A</v>
      </c>
      <c r="KG33" s="101" t="e">
        <f t="shared" si="541"/>
        <v>#N/A</v>
      </c>
      <c r="KH33" s="101" t="e">
        <f t="shared" si="541"/>
        <v>#N/A</v>
      </c>
      <c r="KI33" s="101" t="e">
        <f t="shared" si="541"/>
        <v>#N/A</v>
      </c>
      <c r="KJ33" s="101" t="e">
        <f t="shared" si="541"/>
        <v>#N/A</v>
      </c>
      <c r="KK33" s="101" t="e">
        <f t="shared" si="541"/>
        <v>#N/A</v>
      </c>
      <c r="KL33" s="101" t="e">
        <f t="shared" si="541"/>
        <v>#N/A</v>
      </c>
      <c r="KM33" s="101" t="e">
        <f t="shared" si="541"/>
        <v>#N/A</v>
      </c>
      <c r="KN33" s="101" t="e">
        <f t="shared" si="541"/>
        <v>#N/A</v>
      </c>
      <c r="KO33" s="101" t="e">
        <f t="shared" si="541"/>
        <v>#N/A</v>
      </c>
      <c r="KP33" s="101" t="e">
        <f t="shared" si="541"/>
        <v>#N/A</v>
      </c>
      <c r="KQ33" s="101" t="e">
        <f t="shared" si="541"/>
        <v>#N/A</v>
      </c>
      <c r="KR33" s="101" t="e">
        <f t="shared" si="541"/>
        <v>#N/A</v>
      </c>
      <c r="KS33" s="101" t="e">
        <f t="shared" si="541"/>
        <v>#N/A</v>
      </c>
      <c r="KT33" s="101" t="e">
        <f t="shared" si="541"/>
        <v>#N/A</v>
      </c>
      <c r="KU33" s="101" t="e">
        <f t="shared" si="541"/>
        <v>#N/A</v>
      </c>
      <c r="KV33" s="101" t="e">
        <f t="shared" si="541"/>
        <v>#N/A</v>
      </c>
      <c r="KW33" s="101" t="e">
        <f t="shared" si="541"/>
        <v>#N/A</v>
      </c>
      <c r="KX33" s="101" t="e">
        <f t="shared" si="541"/>
        <v>#N/A</v>
      </c>
      <c r="KY33" s="101" t="e">
        <f t="shared" si="541"/>
        <v>#N/A</v>
      </c>
      <c r="KZ33" s="101" t="e">
        <f t="shared" si="541"/>
        <v>#N/A</v>
      </c>
      <c r="LA33" s="101" t="e">
        <f t="shared" si="541"/>
        <v>#N/A</v>
      </c>
      <c r="LB33" s="101" t="e">
        <f t="shared" si="541"/>
        <v>#N/A</v>
      </c>
      <c r="LC33" s="101" t="e">
        <f t="shared" si="541"/>
        <v>#N/A</v>
      </c>
      <c r="LD33" s="101" t="e">
        <f t="shared" si="541"/>
        <v>#N/A</v>
      </c>
      <c r="LE33" s="101" t="e">
        <f t="shared" si="541"/>
        <v>#N/A</v>
      </c>
      <c r="LF33" s="101" t="e">
        <f t="shared" si="541"/>
        <v>#N/A</v>
      </c>
      <c r="LG33" s="101" t="e">
        <f t="shared" si="541"/>
        <v>#N/A</v>
      </c>
      <c r="LH33" s="101" t="e">
        <f t="shared" si="541"/>
        <v>#N/A</v>
      </c>
      <c r="LI33" s="101" t="e">
        <f t="shared" si="541"/>
        <v>#N/A</v>
      </c>
      <c r="LJ33" s="101" t="e">
        <f t="shared" si="541"/>
        <v>#N/A</v>
      </c>
      <c r="LK33" s="101" t="e">
        <f t="shared" si="541"/>
        <v>#N/A</v>
      </c>
      <c r="LL33" s="101" t="e">
        <f t="shared" si="541"/>
        <v>#N/A</v>
      </c>
      <c r="LM33" s="101" t="e">
        <f t="shared" si="541"/>
        <v>#N/A</v>
      </c>
      <c r="LN33" s="101" t="e">
        <f t="shared" si="541"/>
        <v>#N/A</v>
      </c>
      <c r="LO33" s="101" t="e">
        <f t="shared" si="541"/>
        <v>#N/A</v>
      </c>
      <c r="LP33" s="101" t="e">
        <f t="shared" si="541"/>
        <v>#N/A</v>
      </c>
      <c r="LQ33" s="101" t="e">
        <f t="shared" si="541"/>
        <v>#N/A</v>
      </c>
      <c r="LR33" s="101" t="e">
        <f t="shared" si="541"/>
        <v>#N/A</v>
      </c>
      <c r="LS33" s="101" t="e">
        <f t="shared" ref="LS33:OD33" si="542">ROUND(SUMPRODUCT($E$2:$E$26,LS$2:LS$26)*0.6%,0)</f>
        <v>#N/A</v>
      </c>
      <c r="LT33" s="101" t="e">
        <f t="shared" si="542"/>
        <v>#N/A</v>
      </c>
      <c r="LU33" s="101" t="e">
        <f t="shared" si="542"/>
        <v>#N/A</v>
      </c>
      <c r="LV33" s="101" t="e">
        <f t="shared" si="542"/>
        <v>#N/A</v>
      </c>
      <c r="LW33" s="101" t="e">
        <f t="shared" si="542"/>
        <v>#N/A</v>
      </c>
      <c r="LX33" s="101" t="e">
        <f t="shared" si="542"/>
        <v>#N/A</v>
      </c>
      <c r="LY33" s="101" t="e">
        <f t="shared" si="542"/>
        <v>#N/A</v>
      </c>
      <c r="LZ33" s="101" t="e">
        <f t="shared" si="542"/>
        <v>#N/A</v>
      </c>
      <c r="MA33" s="101" t="e">
        <f t="shared" si="542"/>
        <v>#N/A</v>
      </c>
      <c r="MB33" s="101" t="e">
        <f t="shared" si="542"/>
        <v>#N/A</v>
      </c>
      <c r="MC33" s="101" t="e">
        <f t="shared" si="542"/>
        <v>#N/A</v>
      </c>
      <c r="MD33" s="101" t="e">
        <f t="shared" si="542"/>
        <v>#N/A</v>
      </c>
      <c r="ME33" s="101" t="e">
        <f t="shared" si="542"/>
        <v>#N/A</v>
      </c>
      <c r="MF33" s="101" t="e">
        <f t="shared" si="542"/>
        <v>#N/A</v>
      </c>
      <c r="MG33" s="101" t="e">
        <f t="shared" si="542"/>
        <v>#N/A</v>
      </c>
      <c r="MH33" s="101" t="e">
        <f t="shared" si="542"/>
        <v>#N/A</v>
      </c>
      <c r="MI33" s="101" t="e">
        <f t="shared" si="542"/>
        <v>#N/A</v>
      </c>
      <c r="MJ33" s="101" t="e">
        <f t="shared" si="542"/>
        <v>#N/A</v>
      </c>
      <c r="MK33" s="101" t="e">
        <f t="shared" si="542"/>
        <v>#N/A</v>
      </c>
      <c r="ML33" s="101" t="e">
        <f t="shared" si="542"/>
        <v>#N/A</v>
      </c>
      <c r="MM33" s="101" t="e">
        <f t="shared" si="542"/>
        <v>#N/A</v>
      </c>
      <c r="MN33" s="101" t="e">
        <f t="shared" si="542"/>
        <v>#N/A</v>
      </c>
      <c r="MO33" s="101" t="e">
        <f t="shared" si="542"/>
        <v>#N/A</v>
      </c>
      <c r="MP33" s="101" t="e">
        <f t="shared" si="542"/>
        <v>#N/A</v>
      </c>
      <c r="MQ33" s="101" t="e">
        <f t="shared" si="542"/>
        <v>#N/A</v>
      </c>
      <c r="MR33" s="101" t="e">
        <f t="shared" si="542"/>
        <v>#N/A</v>
      </c>
      <c r="MS33" s="101" t="e">
        <f t="shared" si="542"/>
        <v>#N/A</v>
      </c>
      <c r="MT33" s="101" t="e">
        <f t="shared" si="542"/>
        <v>#N/A</v>
      </c>
      <c r="MU33" s="101" t="e">
        <f t="shared" si="542"/>
        <v>#N/A</v>
      </c>
      <c r="MV33" s="101" t="e">
        <f t="shared" si="542"/>
        <v>#N/A</v>
      </c>
      <c r="MW33" s="101" t="e">
        <f t="shared" si="542"/>
        <v>#N/A</v>
      </c>
      <c r="MX33" s="101" t="e">
        <f t="shared" si="542"/>
        <v>#N/A</v>
      </c>
      <c r="MY33" s="101" t="e">
        <f t="shared" si="542"/>
        <v>#N/A</v>
      </c>
      <c r="MZ33" s="101" t="e">
        <f t="shared" si="542"/>
        <v>#N/A</v>
      </c>
      <c r="NA33" s="101" t="e">
        <f t="shared" si="542"/>
        <v>#N/A</v>
      </c>
      <c r="NB33" s="101" t="e">
        <f t="shared" si="542"/>
        <v>#N/A</v>
      </c>
      <c r="NC33" s="101" t="e">
        <f t="shared" si="542"/>
        <v>#N/A</v>
      </c>
      <c r="ND33" s="101" t="e">
        <f t="shared" si="542"/>
        <v>#N/A</v>
      </c>
      <c r="NE33" s="101" t="e">
        <f t="shared" si="542"/>
        <v>#N/A</v>
      </c>
      <c r="NF33" s="101" t="e">
        <f t="shared" si="542"/>
        <v>#N/A</v>
      </c>
      <c r="NG33" s="101" t="e">
        <f t="shared" si="542"/>
        <v>#N/A</v>
      </c>
      <c r="NH33" s="101" t="e">
        <f t="shared" si="542"/>
        <v>#N/A</v>
      </c>
      <c r="NI33" s="101" t="e">
        <f t="shared" si="542"/>
        <v>#N/A</v>
      </c>
      <c r="NJ33" s="101" t="e">
        <f t="shared" si="542"/>
        <v>#N/A</v>
      </c>
      <c r="NK33" s="101" t="e">
        <f t="shared" si="542"/>
        <v>#N/A</v>
      </c>
      <c r="NL33" s="101" t="e">
        <f t="shared" si="542"/>
        <v>#N/A</v>
      </c>
      <c r="NM33" s="101" t="e">
        <f t="shared" si="542"/>
        <v>#N/A</v>
      </c>
      <c r="NN33" s="101" t="e">
        <f t="shared" si="542"/>
        <v>#N/A</v>
      </c>
      <c r="NO33" s="101" t="e">
        <f t="shared" si="542"/>
        <v>#N/A</v>
      </c>
      <c r="NP33" s="101" t="e">
        <f t="shared" si="542"/>
        <v>#N/A</v>
      </c>
      <c r="NQ33" s="101" t="e">
        <f t="shared" si="542"/>
        <v>#N/A</v>
      </c>
      <c r="NR33" s="101" t="e">
        <f t="shared" si="542"/>
        <v>#N/A</v>
      </c>
      <c r="NS33" s="101" t="e">
        <f t="shared" si="542"/>
        <v>#N/A</v>
      </c>
      <c r="NT33" s="101" t="e">
        <f t="shared" si="542"/>
        <v>#N/A</v>
      </c>
      <c r="NU33" s="101" t="e">
        <f t="shared" si="542"/>
        <v>#N/A</v>
      </c>
      <c r="NV33" s="101" t="e">
        <f t="shared" si="542"/>
        <v>#N/A</v>
      </c>
      <c r="NW33" s="101" t="e">
        <f t="shared" si="542"/>
        <v>#N/A</v>
      </c>
      <c r="NX33" s="101" t="e">
        <f t="shared" si="542"/>
        <v>#N/A</v>
      </c>
      <c r="NY33" s="101" t="e">
        <f t="shared" si="542"/>
        <v>#N/A</v>
      </c>
      <c r="NZ33" s="101" t="e">
        <f t="shared" si="542"/>
        <v>#N/A</v>
      </c>
      <c r="OA33" s="101" t="e">
        <f t="shared" si="542"/>
        <v>#N/A</v>
      </c>
      <c r="OB33" s="101" t="e">
        <f t="shared" si="542"/>
        <v>#N/A</v>
      </c>
      <c r="OC33" s="101" t="e">
        <f t="shared" si="542"/>
        <v>#N/A</v>
      </c>
      <c r="OD33" s="101" t="e">
        <f t="shared" si="542"/>
        <v>#N/A</v>
      </c>
      <c r="OE33" s="101" t="e">
        <f t="shared" ref="OE33:QP33" si="543">ROUND(SUMPRODUCT($E$2:$E$26,OE$2:OE$26)*0.6%,0)</f>
        <v>#N/A</v>
      </c>
      <c r="OF33" s="101" t="e">
        <f t="shared" si="543"/>
        <v>#N/A</v>
      </c>
      <c r="OG33" s="101" t="e">
        <f t="shared" si="543"/>
        <v>#N/A</v>
      </c>
      <c r="OH33" s="101" t="e">
        <f t="shared" si="543"/>
        <v>#N/A</v>
      </c>
      <c r="OI33" s="101" t="e">
        <f t="shared" si="543"/>
        <v>#N/A</v>
      </c>
      <c r="OJ33" s="101" t="e">
        <f t="shared" si="543"/>
        <v>#N/A</v>
      </c>
      <c r="OK33" s="101" t="e">
        <f t="shared" si="543"/>
        <v>#N/A</v>
      </c>
      <c r="OL33" s="101" t="e">
        <f t="shared" si="543"/>
        <v>#N/A</v>
      </c>
      <c r="OM33" s="101" t="e">
        <f t="shared" si="543"/>
        <v>#N/A</v>
      </c>
      <c r="ON33" s="101" t="e">
        <f t="shared" si="543"/>
        <v>#N/A</v>
      </c>
      <c r="OO33" s="101" t="e">
        <f t="shared" si="543"/>
        <v>#N/A</v>
      </c>
      <c r="OP33" s="101" t="e">
        <f t="shared" si="543"/>
        <v>#N/A</v>
      </c>
      <c r="OQ33" s="101" t="e">
        <f t="shared" si="543"/>
        <v>#N/A</v>
      </c>
      <c r="OR33" s="101" t="e">
        <f t="shared" si="543"/>
        <v>#N/A</v>
      </c>
      <c r="OS33" s="101" t="e">
        <f t="shared" si="543"/>
        <v>#N/A</v>
      </c>
      <c r="OT33" s="101" t="e">
        <f t="shared" si="543"/>
        <v>#N/A</v>
      </c>
      <c r="OU33" s="101" t="e">
        <f t="shared" si="543"/>
        <v>#N/A</v>
      </c>
      <c r="OV33" s="101" t="e">
        <f t="shared" si="543"/>
        <v>#N/A</v>
      </c>
      <c r="OW33" s="101" t="e">
        <f t="shared" si="543"/>
        <v>#N/A</v>
      </c>
      <c r="OX33" s="101" t="e">
        <f t="shared" si="543"/>
        <v>#N/A</v>
      </c>
      <c r="OY33" s="101" t="e">
        <f t="shared" si="543"/>
        <v>#N/A</v>
      </c>
      <c r="OZ33" s="101" t="e">
        <f t="shared" si="543"/>
        <v>#N/A</v>
      </c>
      <c r="PA33" s="101" t="e">
        <f t="shared" si="543"/>
        <v>#N/A</v>
      </c>
      <c r="PB33" s="101" t="e">
        <f t="shared" si="543"/>
        <v>#N/A</v>
      </c>
      <c r="PC33" s="101" t="e">
        <f t="shared" si="543"/>
        <v>#N/A</v>
      </c>
      <c r="PD33" s="101" t="e">
        <f t="shared" si="543"/>
        <v>#N/A</v>
      </c>
      <c r="PE33" s="101" t="e">
        <f t="shared" si="543"/>
        <v>#N/A</v>
      </c>
      <c r="PF33" s="101" t="e">
        <f t="shared" si="543"/>
        <v>#N/A</v>
      </c>
      <c r="PG33" s="101" t="e">
        <f t="shared" si="543"/>
        <v>#N/A</v>
      </c>
      <c r="PH33" s="101" t="e">
        <f t="shared" si="543"/>
        <v>#N/A</v>
      </c>
      <c r="PI33" s="101" t="e">
        <f t="shared" si="543"/>
        <v>#N/A</v>
      </c>
      <c r="PJ33" s="101" t="e">
        <f t="shared" si="543"/>
        <v>#N/A</v>
      </c>
      <c r="PK33" s="101" t="e">
        <f t="shared" si="543"/>
        <v>#N/A</v>
      </c>
      <c r="PL33" s="101" t="e">
        <f t="shared" si="543"/>
        <v>#N/A</v>
      </c>
      <c r="PM33" s="101" t="e">
        <f t="shared" si="543"/>
        <v>#N/A</v>
      </c>
      <c r="PN33" s="101" t="e">
        <f t="shared" si="543"/>
        <v>#N/A</v>
      </c>
      <c r="PO33" s="101" t="e">
        <f t="shared" si="543"/>
        <v>#N/A</v>
      </c>
      <c r="PP33" s="101" t="e">
        <f t="shared" si="543"/>
        <v>#N/A</v>
      </c>
      <c r="PQ33" s="101" t="e">
        <f t="shared" si="543"/>
        <v>#N/A</v>
      </c>
      <c r="PR33" s="101" t="e">
        <f t="shared" si="543"/>
        <v>#N/A</v>
      </c>
      <c r="PS33" s="101" t="e">
        <f t="shared" si="543"/>
        <v>#N/A</v>
      </c>
      <c r="PT33" s="101" t="e">
        <f t="shared" si="543"/>
        <v>#N/A</v>
      </c>
      <c r="PU33" s="101" t="e">
        <f t="shared" si="543"/>
        <v>#N/A</v>
      </c>
      <c r="PV33" s="101" t="e">
        <f t="shared" si="543"/>
        <v>#N/A</v>
      </c>
      <c r="PW33" s="101" t="e">
        <f t="shared" si="543"/>
        <v>#N/A</v>
      </c>
      <c r="PX33" s="101" t="e">
        <f t="shared" si="543"/>
        <v>#N/A</v>
      </c>
      <c r="PY33" s="101" t="e">
        <f t="shared" si="543"/>
        <v>#N/A</v>
      </c>
      <c r="PZ33" s="101" t="e">
        <f t="shared" si="543"/>
        <v>#N/A</v>
      </c>
      <c r="QA33" s="101" t="e">
        <f t="shared" si="543"/>
        <v>#N/A</v>
      </c>
      <c r="QB33" s="101" t="e">
        <f t="shared" si="543"/>
        <v>#N/A</v>
      </c>
      <c r="QC33" s="101" t="e">
        <f t="shared" si="543"/>
        <v>#N/A</v>
      </c>
      <c r="QD33" s="101" t="e">
        <f t="shared" si="543"/>
        <v>#N/A</v>
      </c>
      <c r="QE33" s="101" t="e">
        <f t="shared" si="543"/>
        <v>#N/A</v>
      </c>
      <c r="QF33" s="101" t="e">
        <f t="shared" si="543"/>
        <v>#N/A</v>
      </c>
      <c r="QG33" s="101" t="e">
        <f t="shared" si="543"/>
        <v>#N/A</v>
      </c>
      <c r="QH33" s="101" t="e">
        <f t="shared" si="543"/>
        <v>#N/A</v>
      </c>
      <c r="QI33" s="101" t="e">
        <f t="shared" si="543"/>
        <v>#N/A</v>
      </c>
      <c r="QJ33" s="101" t="e">
        <f t="shared" si="543"/>
        <v>#N/A</v>
      </c>
      <c r="QK33" s="101" t="e">
        <f t="shared" si="543"/>
        <v>#N/A</v>
      </c>
      <c r="QL33" s="101" t="e">
        <f t="shared" si="543"/>
        <v>#N/A</v>
      </c>
      <c r="QM33" s="101" t="e">
        <f t="shared" si="543"/>
        <v>#N/A</v>
      </c>
      <c r="QN33" s="101" t="e">
        <f t="shared" si="543"/>
        <v>#N/A</v>
      </c>
      <c r="QO33" s="101" t="e">
        <f t="shared" si="543"/>
        <v>#N/A</v>
      </c>
      <c r="QP33" s="101" t="e">
        <f t="shared" si="543"/>
        <v>#N/A</v>
      </c>
      <c r="QQ33" s="101" t="e">
        <f t="shared" ref="QQ33:TB33" si="544">ROUND(SUMPRODUCT($E$2:$E$26,QQ$2:QQ$26)*0.6%,0)</f>
        <v>#N/A</v>
      </c>
      <c r="QR33" s="101" t="e">
        <f t="shared" si="544"/>
        <v>#N/A</v>
      </c>
      <c r="QS33" s="101" t="e">
        <f t="shared" si="544"/>
        <v>#N/A</v>
      </c>
      <c r="QT33" s="101" t="e">
        <f t="shared" si="544"/>
        <v>#N/A</v>
      </c>
      <c r="QU33" s="101" t="e">
        <f t="shared" si="544"/>
        <v>#N/A</v>
      </c>
      <c r="QV33" s="101" t="e">
        <f t="shared" si="544"/>
        <v>#N/A</v>
      </c>
      <c r="QW33" s="101" t="e">
        <f t="shared" si="544"/>
        <v>#N/A</v>
      </c>
      <c r="QX33" s="101" t="e">
        <f t="shared" si="544"/>
        <v>#N/A</v>
      </c>
      <c r="QY33" s="101" t="e">
        <f t="shared" si="544"/>
        <v>#N/A</v>
      </c>
      <c r="QZ33" s="101" t="e">
        <f t="shared" si="544"/>
        <v>#N/A</v>
      </c>
      <c r="RA33" s="101" t="e">
        <f t="shared" si="544"/>
        <v>#N/A</v>
      </c>
      <c r="RB33" s="101" t="e">
        <f t="shared" si="544"/>
        <v>#N/A</v>
      </c>
      <c r="RC33" s="101" t="e">
        <f t="shared" si="544"/>
        <v>#N/A</v>
      </c>
      <c r="RD33" s="101" t="e">
        <f t="shared" si="544"/>
        <v>#N/A</v>
      </c>
      <c r="RE33" s="101" t="e">
        <f t="shared" si="544"/>
        <v>#N/A</v>
      </c>
      <c r="RF33" s="101" t="e">
        <f t="shared" si="544"/>
        <v>#N/A</v>
      </c>
      <c r="RG33" s="101" t="e">
        <f t="shared" si="544"/>
        <v>#N/A</v>
      </c>
      <c r="RH33" s="101" t="e">
        <f t="shared" si="544"/>
        <v>#N/A</v>
      </c>
      <c r="RI33" s="101" t="e">
        <f t="shared" si="544"/>
        <v>#N/A</v>
      </c>
      <c r="RJ33" s="101" t="e">
        <f t="shared" si="544"/>
        <v>#N/A</v>
      </c>
      <c r="RK33" s="101" t="e">
        <f t="shared" si="544"/>
        <v>#N/A</v>
      </c>
      <c r="RL33" s="101" t="e">
        <f t="shared" si="544"/>
        <v>#N/A</v>
      </c>
      <c r="RM33" s="101" t="e">
        <f t="shared" si="544"/>
        <v>#N/A</v>
      </c>
      <c r="RN33" s="101" t="e">
        <f t="shared" si="544"/>
        <v>#N/A</v>
      </c>
      <c r="RO33" s="101" t="e">
        <f t="shared" si="544"/>
        <v>#N/A</v>
      </c>
      <c r="RP33" s="101" t="e">
        <f t="shared" si="544"/>
        <v>#N/A</v>
      </c>
      <c r="RQ33" s="101" t="e">
        <f t="shared" si="544"/>
        <v>#N/A</v>
      </c>
      <c r="RR33" s="101" t="e">
        <f t="shared" si="544"/>
        <v>#N/A</v>
      </c>
      <c r="RS33" s="101" t="e">
        <f t="shared" si="544"/>
        <v>#N/A</v>
      </c>
      <c r="RT33" s="101" t="e">
        <f t="shared" si="544"/>
        <v>#N/A</v>
      </c>
      <c r="RU33" s="101" t="e">
        <f t="shared" si="544"/>
        <v>#N/A</v>
      </c>
      <c r="RV33" s="101" t="e">
        <f t="shared" si="544"/>
        <v>#N/A</v>
      </c>
      <c r="RW33" s="101" t="e">
        <f t="shared" si="544"/>
        <v>#N/A</v>
      </c>
      <c r="RX33" s="101" t="e">
        <f t="shared" si="544"/>
        <v>#N/A</v>
      </c>
      <c r="RY33" s="101" t="e">
        <f t="shared" si="544"/>
        <v>#N/A</v>
      </c>
      <c r="RZ33" s="101" t="e">
        <f t="shared" si="544"/>
        <v>#N/A</v>
      </c>
      <c r="SA33" s="101" t="e">
        <f t="shared" si="544"/>
        <v>#N/A</v>
      </c>
      <c r="SB33" s="101" t="e">
        <f t="shared" si="544"/>
        <v>#N/A</v>
      </c>
      <c r="SC33" s="101" t="e">
        <f t="shared" si="544"/>
        <v>#N/A</v>
      </c>
      <c r="SD33" s="101" t="e">
        <f t="shared" si="544"/>
        <v>#N/A</v>
      </c>
      <c r="SE33" s="101" t="e">
        <f t="shared" si="544"/>
        <v>#N/A</v>
      </c>
      <c r="SF33" s="101" t="e">
        <f t="shared" si="544"/>
        <v>#N/A</v>
      </c>
      <c r="SG33" s="101" t="e">
        <f t="shared" si="544"/>
        <v>#N/A</v>
      </c>
      <c r="SH33" s="101" t="e">
        <f t="shared" si="544"/>
        <v>#N/A</v>
      </c>
      <c r="SI33" s="101" t="e">
        <f t="shared" si="544"/>
        <v>#N/A</v>
      </c>
      <c r="SJ33" s="101" t="e">
        <f t="shared" si="544"/>
        <v>#N/A</v>
      </c>
      <c r="SK33" s="101" t="e">
        <f t="shared" si="544"/>
        <v>#N/A</v>
      </c>
      <c r="SL33" s="101" t="e">
        <f t="shared" si="544"/>
        <v>#N/A</v>
      </c>
      <c r="SM33" s="101" t="e">
        <f t="shared" si="544"/>
        <v>#N/A</v>
      </c>
      <c r="SN33" s="101" t="e">
        <f t="shared" si="544"/>
        <v>#N/A</v>
      </c>
      <c r="SO33" s="101" t="e">
        <f t="shared" si="544"/>
        <v>#N/A</v>
      </c>
      <c r="SP33" s="101" t="e">
        <f t="shared" si="544"/>
        <v>#N/A</v>
      </c>
      <c r="SQ33" s="101" t="e">
        <f t="shared" si="544"/>
        <v>#N/A</v>
      </c>
      <c r="SR33" s="101" t="e">
        <f t="shared" si="544"/>
        <v>#N/A</v>
      </c>
      <c r="SS33" s="101" t="e">
        <f t="shared" si="544"/>
        <v>#N/A</v>
      </c>
      <c r="ST33" s="101" t="e">
        <f t="shared" si="544"/>
        <v>#N/A</v>
      </c>
      <c r="SU33" s="101" t="e">
        <f t="shared" si="544"/>
        <v>#N/A</v>
      </c>
      <c r="SV33" s="101" t="e">
        <f t="shared" si="544"/>
        <v>#N/A</v>
      </c>
      <c r="SW33" s="101" t="e">
        <f t="shared" si="544"/>
        <v>#N/A</v>
      </c>
      <c r="SX33" s="101" t="e">
        <f t="shared" si="544"/>
        <v>#N/A</v>
      </c>
      <c r="SY33" s="101" t="e">
        <f t="shared" si="544"/>
        <v>#N/A</v>
      </c>
      <c r="SZ33" s="101" t="e">
        <f t="shared" si="544"/>
        <v>#N/A</v>
      </c>
      <c r="TA33" s="101" t="e">
        <f t="shared" si="544"/>
        <v>#N/A</v>
      </c>
      <c r="TB33" s="101" t="e">
        <f t="shared" si="544"/>
        <v>#N/A</v>
      </c>
      <c r="TC33" s="101" t="e">
        <f t="shared" ref="TC33:VN33" si="545">ROUND(SUMPRODUCT($E$2:$E$26,TC$2:TC$26)*0.6%,0)</f>
        <v>#N/A</v>
      </c>
      <c r="TD33" s="101" t="e">
        <f t="shared" si="545"/>
        <v>#N/A</v>
      </c>
      <c r="TE33" s="101" t="e">
        <f t="shared" si="545"/>
        <v>#N/A</v>
      </c>
      <c r="TF33" s="101" t="e">
        <f t="shared" si="545"/>
        <v>#N/A</v>
      </c>
      <c r="TG33" s="101" t="e">
        <f t="shared" si="545"/>
        <v>#N/A</v>
      </c>
      <c r="TH33" s="101" t="e">
        <f t="shared" si="545"/>
        <v>#N/A</v>
      </c>
      <c r="TI33" s="101" t="e">
        <f t="shared" si="545"/>
        <v>#N/A</v>
      </c>
      <c r="TJ33" s="101" t="e">
        <f t="shared" si="545"/>
        <v>#N/A</v>
      </c>
      <c r="TK33" s="101" t="e">
        <f t="shared" si="545"/>
        <v>#N/A</v>
      </c>
      <c r="TL33" s="101" t="e">
        <f t="shared" si="545"/>
        <v>#N/A</v>
      </c>
      <c r="TM33" s="101" t="e">
        <f t="shared" si="545"/>
        <v>#N/A</v>
      </c>
      <c r="TN33" s="101" t="e">
        <f t="shared" si="545"/>
        <v>#N/A</v>
      </c>
      <c r="TO33" s="101" t="e">
        <f t="shared" si="545"/>
        <v>#N/A</v>
      </c>
      <c r="TP33" s="101" t="e">
        <f t="shared" si="545"/>
        <v>#N/A</v>
      </c>
      <c r="TQ33" s="101" t="e">
        <f t="shared" si="545"/>
        <v>#N/A</v>
      </c>
      <c r="TR33" s="101" t="e">
        <f t="shared" si="545"/>
        <v>#N/A</v>
      </c>
      <c r="TS33" s="101" t="e">
        <f t="shared" si="545"/>
        <v>#N/A</v>
      </c>
      <c r="TT33" s="101" t="e">
        <f t="shared" si="545"/>
        <v>#N/A</v>
      </c>
      <c r="TU33" s="101" t="e">
        <f t="shared" si="545"/>
        <v>#N/A</v>
      </c>
      <c r="TV33" s="101" t="e">
        <f t="shared" si="545"/>
        <v>#N/A</v>
      </c>
      <c r="TW33" s="101" t="e">
        <f t="shared" si="545"/>
        <v>#N/A</v>
      </c>
      <c r="TX33" s="101" t="e">
        <f t="shared" si="545"/>
        <v>#N/A</v>
      </c>
      <c r="TY33" s="101" t="e">
        <f t="shared" si="545"/>
        <v>#N/A</v>
      </c>
      <c r="TZ33" s="101" t="e">
        <f t="shared" si="545"/>
        <v>#N/A</v>
      </c>
      <c r="UA33" s="101" t="e">
        <f t="shared" si="545"/>
        <v>#N/A</v>
      </c>
      <c r="UB33" s="101" t="e">
        <f t="shared" si="545"/>
        <v>#N/A</v>
      </c>
      <c r="UC33" s="101" t="e">
        <f t="shared" si="545"/>
        <v>#N/A</v>
      </c>
      <c r="UD33" s="101" t="e">
        <f t="shared" si="545"/>
        <v>#N/A</v>
      </c>
      <c r="UE33" s="101" t="e">
        <f t="shared" si="545"/>
        <v>#N/A</v>
      </c>
      <c r="UF33" s="101" t="e">
        <f t="shared" si="545"/>
        <v>#N/A</v>
      </c>
      <c r="UG33" s="101" t="e">
        <f t="shared" si="545"/>
        <v>#N/A</v>
      </c>
      <c r="UH33" s="101" t="e">
        <f t="shared" si="545"/>
        <v>#N/A</v>
      </c>
      <c r="UI33" s="101" t="e">
        <f t="shared" si="545"/>
        <v>#N/A</v>
      </c>
      <c r="UJ33" s="101" t="e">
        <f t="shared" si="545"/>
        <v>#N/A</v>
      </c>
      <c r="UK33" s="101" t="e">
        <f t="shared" si="545"/>
        <v>#N/A</v>
      </c>
      <c r="UL33" s="101" t="e">
        <f t="shared" si="545"/>
        <v>#N/A</v>
      </c>
      <c r="UM33" s="101" t="e">
        <f t="shared" si="545"/>
        <v>#N/A</v>
      </c>
      <c r="UN33" s="101" t="e">
        <f t="shared" si="545"/>
        <v>#N/A</v>
      </c>
      <c r="UO33" s="101" t="e">
        <f t="shared" si="545"/>
        <v>#N/A</v>
      </c>
      <c r="UP33" s="101" t="e">
        <f t="shared" si="545"/>
        <v>#N/A</v>
      </c>
      <c r="UQ33" s="101" t="e">
        <f t="shared" si="545"/>
        <v>#N/A</v>
      </c>
      <c r="UR33" s="101" t="e">
        <f t="shared" si="545"/>
        <v>#N/A</v>
      </c>
      <c r="US33" s="101" t="e">
        <f t="shared" si="545"/>
        <v>#N/A</v>
      </c>
      <c r="UT33" s="101" t="e">
        <f t="shared" si="545"/>
        <v>#N/A</v>
      </c>
      <c r="UU33" s="101" t="e">
        <f t="shared" si="545"/>
        <v>#N/A</v>
      </c>
      <c r="UV33" s="101" t="e">
        <f t="shared" si="545"/>
        <v>#N/A</v>
      </c>
      <c r="UW33" s="101" t="e">
        <f t="shared" si="545"/>
        <v>#N/A</v>
      </c>
      <c r="UX33" s="101" t="e">
        <f t="shared" si="545"/>
        <v>#N/A</v>
      </c>
      <c r="UY33" s="101" t="e">
        <f t="shared" si="545"/>
        <v>#N/A</v>
      </c>
      <c r="UZ33" s="101" t="e">
        <f t="shared" si="545"/>
        <v>#N/A</v>
      </c>
      <c r="VA33" s="101" t="e">
        <f t="shared" si="545"/>
        <v>#N/A</v>
      </c>
      <c r="VB33" s="101" t="e">
        <f t="shared" si="545"/>
        <v>#N/A</v>
      </c>
      <c r="VC33" s="101" t="e">
        <f t="shared" si="545"/>
        <v>#N/A</v>
      </c>
      <c r="VD33" s="101" t="e">
        <f t="shared" si="545"/>
        <v>#N/A</v>
      </c>
      <c r="VE33" s="101" t="e">
        <f t="shared" si="545"/>
        <v>#N/A</v>
      </c>
      <c r="VF33" s="101" t="e">
        <f t="shared" si="545"/>
        <v>#N/A</v>
      </c>
      <c r="VG33" s="101" t="e">
        <f t="shared" si="545"/>
        <v>#N/A</v>
      </c>
      <c r="VH33" s="101" t="e">
        <f t="shared" si="545"/>
        <v>#N/A</v>
      </c>
      <c r="VI33" s="101" t="e">
        <f t="shared" si="545"/>
        <v>#N/A</v>
      </c>
      <c r="VJ33" s="101" t="e">
        <f t="shared" si="545"/>
        <v>#N/A</v>
      </c>
      <c r="VK33" s="101" t="e">
        <f t="shared" si="545"/>
        <v>#N/A</v>
      </c>
      <c r="VL33" s="101" t="e">
        <f t="shared" si="545"/>
        <v>#N/A</v>
      </c>
      <c r="VM33" s="101" t="e">
        <f t="shared" si="545"/>
        <v>#N/A</v>
      </c>
      <c r="VN33" s="101" t="e">
        <f t="shared" si="545"/>
        <v>#N/A</v>
      </c>
      <c r="VO33" s="101" t="e">
        <f t="shared" ref="VO33:WF33" si="546">ROUND(SUMPRODUCT($E$2:$E$26,VO$2:VO$26)*0.6%,0)</f>
        <v>#N/A</v>
      </c>
      <c r="VP33" s="101" t="e">
        <f t="shared" si="546"/>
        <v>#N/A</v>
      </c>
      <c r="VQ33" s="101" t="e">
        <f t="shared" si="546"/>
        <v>#N/A</v>
      </c>
      <c r="VR33" s="101" t="e">
        <f t="shared" si="546"/>
        <v>#N/A</v>
      </c>
      <c r="VS33" s="101" t="e">
        <f t="shared" si="546"/>
        <v>#N/A</v>
      </c>
      <c r="VT33" s="101" t="e">
        <f t="shared" si="546"/>
        <v>#N/A</v>
      </c>
      <c r="VU33" s="101" t="e">
        <f t="shared" si="546"/>
        <v>#N/A</v>
      </c>
      <c r="VV33" s="101" t="e">
        <f t="shared" si="546"/>
        <v>#N/A</v>
      </c>
      <c r="VW33" s="101" t="e">
        <f t="shared" si="546"/>
        <v>#N/A</v>
      </c>
      <c r="VX33" s="101" t="e">
        <f t="shared" si="546"/>
        <v>#N/A</v>
      </c>
      <c r="VY33" s="101" t="e">
        <f t="shared" si="546"/>
        <v>#N/A</v>
      </c>
      <c r="VZ33" s="101" t="e">
        <f t="shared" si="546"/>
        <v>#N/A</v>
      </c>
      <c r="WA33" s="101" t="e">
        <f t="shared" si="546"/>
        <v>#N/A</v>
      </c>
      <c r="WB33" s="101" t="e">
        <f t="shared" si="546"/>
        <v>#N/A</v>
      </c>
      <c r="WC33" s="101" t="e">
        <f t="shared" si="546"/>
        <v>#N/A</v>
      </c>
      <c r="WD33" s="101" t="e">
        <f t="shared" si="546"/>
        <v>#N/A</v>
      </c>
      <c r="WE33" s="101" t="e">
        <f t="shared" si="546"/>
        <v>#N/A</v>
      </c>
      <c r="WF33" s="101" t="e">
        <f t="shared" si="546"/>
        <v>#N/A</v>
      </c>
    </row>
    <row r="34" spans="1:604" s="44" customFormat="1" ht="17.25" customHeight="1" x14ac:dyDescent="0.3">
      <c r="A34" s="39" t="e">
        <f>IF(契約詳細價目表!A34="",NA(),契約詳細價目表!A34)</f>
        <v>#N/A</v>
      </c>
      <c r="B34" s="40" t="e">
        <f>IF(契約詳細價目表!B34="",NA(),契約詳細價目表!B34)</f>
        <v>#N/A</v>
      </c>
      <c r="C34" s="39" t="e">
        <f>IF(契約詳細價目表!C34="",NA(),契約詳細價目表!C34)</f>
        <v>#N/A</v>
      </c>
      <c r="D34" s="41" t="e">
        <f>IF(契約詳細價目表!D34="",NA(),契約詳細價目表!D34)</f>
        <v>#N/A</v>
      </c>
      <c r="E34" s="42">
        <f>IF(契約詳細價目表!E34="",NA(),契約詳細價目表!E34)</f>
        <v>0</v>
      </c>
      <c r="F34" s="42">
        <f>IF(契約詳細價目表!F34="",NA(),契約詳細價目表!F34)</f>
        <v>0</v>
      </c>
      <c r="G34" s="106" t="e">
        <f t="shared" si="536"/>
        <v>#N/A</v>
      </c>
      <c r="H34" s="87" t="e">
        <f t="shared" ref="H34:H37" si="547">G34*E34</f>
        <v>#N/A</v>
      </c>
      <c r="I34" s="43" t="e">
        <f t="shared" si="535"/>
        <v>#N/A</v>
      </c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5"/>
      <c r="CP34" s="105"/>
      <c r="CQ34" s="105"/>
      <c r="CR34" s="105"/>
      <c r="CS34" s="105"/>
      <c r="CT34" s="105" t="e">
        <f t="shared" ref="CT34:EH34" si="548">ROUNDUP(SUMPRODUCT($E$2:$E$26,CT$2:CT$26)*1.03214954700103%,0)</f>
        <v>#N/A</v>
      </c>
      <c r="CU34" s="105"/>
      <c r="CV34" s="105"/>
      <c r="CW34" s="105" t="e">
        <f t="shared" si="548"/>
        <v>#N/A</v>
      </c>
      <c r="CX34" s="105"/>
      <c r="CY34" s="105"/>
      <c r="CZ34" s="105"/>
      <c r="DA34" s="105" t="e">
        <f t="shared" si="548"/>
        <v>#N/A</v>
      </c>
      <c r="DB34" s="105"/>
      <c r="DC34" s="105"/>
      <c r="DD34" s="105" t="e">
        <f t="shared" si="548"/>
        <v>#N/A</v>
      </c>
      <c r="DE34" s="105"/>
      <c r="DF34" s="105"/>
      <c r="DG34" s="105"/>
      <c r="DH34" s="105" t="e">
        <f t="shared" si="548"/>
        <v>#N/A</v>
      </c>
      <c r="DI34" s="105" t="e">
        <f t="shared" si="548"/>
        <v>#N/A</v>
      </c>
      <c r="DJ34" s="105" t="e">
        <f t="shared" si="548"/>
        <v>#N/A</v>
      </c>
      <c r="DK34" s="105" t="e">
        <f t="shared" si="548"/>
        <v>#N/A</v>
      </c>
      <c r="DL34" s="105" t="e">
        <f t="shared" si="548"/>
        <v>#N/A</v>
      </c>
      <c r="DM34" s="105" t="e">
        <f t="shared" si="548"/>
        <v>#N/A</v>
      </c>
      <c r="DN34" s="105" t="e">
        <f t="shared" si="548"/>
        <v>#N/A</v>
      </c>
      <c r="DO34" s="105" t="e">
        <f t="shared" si="548"/>
        <v>#N/A</v>
      </c>
      <c r="DP34" s="105" t="e">
        <f t="shared" si="548"/>
        <v>#N/A</v>
      </c>
      <c r="DQ34" s="105" t="e">
        <f t="shared" si="548"/>
        <v>#N/A</v>
      </c>
      <c r="DR34" s="105" t="e">
        <f t="shared" si="548"/>
        <v>#N/A</v>
      </c>
      <c r="DS34" s="105" t="e">
        <f t="shared" si="548"/>
        <v>#N/A</v>
      </c>
      <c r="DT34" s="105" t="e">
        <f t="shared" si="548"/>
        <v>#N/A</v>
      </c>
      <c r="DU34" s="105" t="e">
        <f t="shared" si="548"/>
        <v>#N/A</v>
      </c>
      <c r="DV34" s="105" t="e">
        <f t="shared" si="548"/>
        <v>#N/A</v>
      </c>
      <c r="DW34" s="105" t="e">
        <f t="shared" si="548"/>
        <v>#N/A</v>
      </c>
      <c r="DX34" s="105" t="e">
        <f t="shared" si="548"/>
        <v>#N/A</v>
      </c>
      <c r="DY34" s="105" t="e">
        <f t="shared" si="548"/>
        <v>#N/A</v>
      </c>
      <c r="DZ34" s="105" t="e">
        <f t="shared" si="548"/>
        <v>#N/A</v>
      </c>
      <c r="EA34" s="105" t="e">
        <f t="shared" si="548"/>
        <v>#N/A</v>
      </c>
      <c r="EB34" s="105" t="e">
        <f t="shared" si="548"/>
        <v>#N/A</v>
      </c>
      <c r="EC34" s="105" t="e">
        <f t="shared" si="548"/>
        <v>#N/A</v>
      </c>
      <c r="ED34" s="105" t="e">
        <f t="shared" si="548"/>
        <v>#N/A</v>
      </c>
      <c r="EE34" s="105" t="e">
        <f t="shared" si="548"/>
        <v>#N/A</v>
      </c>
      <c r="EF34" s="105" t="e">
        <f t="shared" si="548"/>
        <v>#N/A</v>
      </c>
      <c r="EG34" s="105" t="e">
        <f t="shared" si="548"/>
        <v>#N/A</v>
      </c>
      <c r="EH34" s="105" t="e">
        <f t="shared" si="548"/>
        <v>#N/A</v>
      </c>
      <c r="EI34" s="105" t="e">
        <f t="shared" ref="EI34:GT34" si="549">ROUNDUP(SUMPRODUCT($E$2:$E$26,EI$2:EI$26)*1.03214954700103%,0)</f>
        <v>#N/A</v>
      </c>
      <c r="EJ34" s="105" t="e">
        <f t="shared" si="549"/>
        <v>#N/A</v>
      </c>
      <c r="EK34" s="105" t="e">
        <f t="shared" si="549"/>
        <v>#N/A</v>
      </c>
      <c r="EL34" s="105" t="e">
        <f t="shared" si="549"/>
        <v>#N/A</v>
      </c>
      <c r="EM34" s="105" t="e">
        <f t="shared" si="549"/>
        <v>#N/A</v>
      </c>
      <c r="EN34" s="105" t="e">
        <f t="shared" si="549"/>
        <v>#N/A</v>
      </c>
      <c r="EO34" s="105" t="e">
        <f t="shared" si="549"/>
        <v>#N/A</v>
      </c>
      <c r="EP34" s="105" t="e">
        <f t="shared" si="549"/>
        <v>#N/A</v>
      </c>
      <c r="EQ34" s="105" t="e">
        <f t="shared" si="549"/>
        <v>#N/A</v>
      </c>
      <c r="ER34" s="105" t="e">
        <f t="shared" si="549"/>
        <v>#N/A</v>
      </c>
      <c r="ES34" s="105" t="e">
        <f t="shared" si="549"/>
        <v>#N/A</v>
      </c>
      <c r="ET34" s="105" t="e">
        <f t="shared" si="549"/>
        <v>#N/A</v>
      </c>
      <c r="EU34" s="105" t="e">
        <f t="shared" si="549"/>
        <v>#N/A</v>
      </c>
      <c r="EV34" s="105" t="e">
        <f t="shared" si="549"/>
        <v>#N/A</v>
      </c>
      <c r="EW34" s="105" t="e">
        <f t="shared" si="549"/>
        <v>#N/A</v>
      </c>
      <c r="EX34" s="105" t="e">
        <f t="shared" si="549"/>
        <v>#N/A</v>
      </c>
      <c r="EY34" s="105" t="e">
        <f t="shared" si="549"/>
        <v>#N/A</v>
      </c>
      <c r="EZ34" s="105" t="e">
        <f t="shared" si="549"/>
        <v>#N/A</v>
      </c>
      <c r="FA34" s="105" t="e">
        <f t="shared" si="549"/>
        <v>#N/A</v>
      </c>
      <c r="FB34" s="105" t="e">
        <f t="shared" si="549"/>
        <v>#N/A</v>
      </c>
      <c r="FC34" s="105" t="e">
        <f t="shared" si="549"/>
        <v>#N/A</v>
      </c>
      <c r="FD34" s="105" t="e">
        <f t="shared" si="549"/>
        <v>#N/A</v>
      </c>
      <c r="FE34" s="105" t="e">
        <f t="shared" si="549"/>
        <v>#N/A</v>
      </c>
      <c r="FF34" s="105" t="e">
        <f t="shared" si="549"/>
        <v>#N/A</v>
      </c>
      <c r="FG34" s="105" t="e">
        <f t="shared" si="549"/>
        <v>#N/A</v>
      </c>
      <c r="FH34" s="105" t="e">
        <f t="shared" si="549"/>
        <v>#N/A</v>
      </c>
      <c r="FI34" s="105" t="e">
        <f t="shared" si="549"/>
        <v>#N/A</v>
      </c>
      <c r="FJ34" s="105" t="e">
        <f t="shared" si="549"/>
        <v>#N/A</v>
      </c>
      <c r="FK34" s="105" t="e">
        <f t="shared" si="549"/>
        <v>#N/A</v>
      </c>
      <c r="FL34" s="105" t="e">
        <f t="shared" si="549"/>
        <v>#N/A</v>
      </c>
      <c r="FM34" s="105" t="e">
        <f t="shared" si="549"/>
        <v>#N/A</v>
      </c>
      <c r="FN34" s="105" t="e">
        <f t="shared" si="549"/>
        <v>#N/A</v>
      </c>
      <c r="FO34" s="105" t="e">
        <f t="shared" si="549"/>
        <v>#N/A</v>
      </c>
      <c r="FP34" s="105" t="e">
        <f t="shared" si="549"/>
        <v>#N/A</v>
      </c>
      <c r="FQ34" s="105" t="e">
        <f t="shared" si="549"/>
        <v>#N/A</v>
      </c>
      <c r="FR34" s="105" t="e">
        <f t="shared" si="549"/>
        <v>#N/A</v>
      </c>
      <c r="FS34" s="105" t="e">
        <f t="shared" si="549"/>
        <v>#N/A</v>
      </c>
      <c r="FT34" s="105" t="e">
        <f t="shared" si="549"/>
        <v>#N/A</v>
      </c>
      <c r="FU34" s="101" t="e">
        <f t="shared" si="549"/>
        <v>#N/A</v>
      </c>
      <c r="FV34" s="101" t="e">
        <f t="shared" si="549"/>
        <v>#N/A</v>
      </c>
      <c r="FW34" s="101" t="e">
        <f t="shared" si="549"/>
        <v>#N/A</v>
      </c>
      <c r="FX34" s="101" t="e">
        <f t="shared" si="549"/>
        <v>#N/A</v>
      </c>
      <c r="FY34" s="101" t="e">
        <f t="shared" si="549"/>
        <v>#N/A</v>
      </c>
      <c r="FZ34" s="101" t="e">
        <f t="shared" si="549"/>
        <v>#N/A</v>
      </c>
      <c r="GA34" s="101" t="e">
        <f t="shared" si="549"/>
        <v>#N/A</v>
      </c>
      <c r="GB34" s="101" t="e">
        <f t="shared" si="549"/>
        <v>#N/A</v>
      </c>
      <c r="GC34" s="101" t="e">
        <f t="shared" si="549"/>
        <v>#N/A</v>
      </c>
      <c r="GD34" s="101" t="e">
        <f t="shared" si="549"/>
        <v>#N/A</v>
      </c>
      <c r="GE34" s="101" t="e">
        <f t="shared" si="549"/>
        <v>#N/A</v>
      </c>
      <c r="GF34" s="101" t="e">
        <f t="shared" si="549"/>
        <v>#N/A</v>
      </c>
      <c r="GG34" s="101" t="e">
        <f t="shared" si="549"/>
        <v>#N/A</v>
      </c>
      <c r="GH34" s="101" t="e">
        <f t="shared" si="549"/>
        <v>#N/A</v>
      </c>
      <c r="GI34" s="101" t="e">
        <f t="shared" si="549"/>
        <v>#N/A</v>
      </c>
      <c r="GJ34" s="101" t="e">
        <f t="shared" si="549"/>
        <v>#N/A</v>
      </c>
      <c r="GK34" s="101" t="e">
        <f t="shared" si="549"/>
        <v>#N/A</v>
      </c>
      <c r="GL34" s="101" t="e">
        <f t="shared" si="549"/>
        <v>#N/A</v>
      </c>
      <c r="GM34" s="101" t="e">
        <f t="shared" si="549"/>
        <v>#N/A</v>
      </c>
      <c r="GN34" s="101" t="e">
        <f t="shared" si="549"/>
        <v>#N/A</v>
      </c>
      <c r="GO34" s="101" t="e">
        <f t="shared" si="549"/>
        <v>#N/A</v>
      </c>
      <c r="GP34" s="101" t="e">
        <f t="shared" si="549"/>
        <v>#N/A</v>
      </c>
      <c r="GQ34" s="101" t="e">
        <f t="shared" si="549"/>
        <v>#N/A</v>
      </c>
      <c r="GR34" s="101" t="e">
        <f t="shared" si="549"/>
        <v>#N/A</v>
      </c>
      <c r="GS34" s="101" t="e">
        <f t="shared" si="549"/>
        <v>#N/A</v>
      </c>
      <c r="GT34" s="101" t="e">
        <f t="shared" si="549"/>
        <v>#N/A</v>
      </c>
      <c r="GU34" s="101" t="e">
        <f t="shared" ref="GU34:JF34" si="550">ROUNDUP(SUMPRODUCT($E$2:$E$26,GU$2:GU$26)*1.03214954700103%,0)</f>
        <v>#N/A</v>
      </c>
      <c r="GV34" s="101" t="e">
        <f t="shared" si="550"/>
        <v>#N/A</v>
      </c>
      <c r="GW34" s="101" t="e">
        <f t="shared" si="550"/>
        <v>#N/A</v>
      </c>
      <c r="GX34" s="101" t="e">
        <f t="shared" si="550"/>
        <v>#N/A</v>
      </c>
      <c r="GY34" s="101" t="e">
        <f t="shared" si="550"/>
        <v>#N/A</v>
      </c>
      <c r="GZ34" s="101" t="e">
        <f t="shared" si="550"/>
        <v>#N/A</v>
      </c>
      <c r="HA34" s="101" t="e">
        <f t="shared" si="550"/>
        <v>#N/A</v>
      </c>
      <c r="HB34" s="101" t="e">
        <f t="shared" si="550"/>
        <v>#N/A</v>
      </c>
      <c r="HC34" s="101" t="e">
        <f t="shared" si="550"/>
        <v>#N/A</v>
      </c>
      <c r="HD34" s="101" t="e">
        <f t="shared" si="550"/>
        <v>#N/A</v>
      </c>
      <c r="HE34" s="101" t="e">
        <f t="shared" si="550"/>
        <v>#N/A</v>
      </c>
      <c r="HF34" s="101" t="e">
        <f t="shared" si="550"/>
        <v>#N/A</v>
      </c>
      <c r="HG34" s="101" t="e">
        <f t="shared" si="550"/>
        <v>#N/A</v>
      </c>
      <c r="HH34" s="101" t="e">
        <f t="shared" si="550"/>
        <v>#N/A</v>
      </c>
      <c r="HI34" s="101" t="e">
        <f t="shared" si="550"/>
        <v>#N/A</v>
      </c>
      <c r="HJ34" s="101" t="e">
        <f t="shared" si="550"/>
        <v>#N/A</v>
      </c>
      <c r="HK34" s="101" t="e">
        <f t="shared" si="550"/>
        <v>#N/A</v>
      </c>
      <c r="HL34" s="101" t="e">
        <f t="shared" si="550"/>
        <v>#N/A</v>
      </c>
      <c r="HM34" s="101" t="e">
        <f t="shared" si="550"/>
        <v>#N/A</v>
      </c>
      <c r="HN34" s="101" t="e">
        <f t="shared" si="550"/>
        <v>#N/A</v>
      </c>
      <c r="HO34" s="101" t="e">
        <f t="shared" si="550"/>
        <v>#N/A</v>
      </c>
      <c r="HP34" s="101" t="e">
        <f t="shared" si="550"/>
        <v>#N/A</v>
      </c>
      <c r="HQ34" s="101" t="e">
        <f t="shared" si="550"/>
        <v>#N/A</v>
      </c>
      <c r="HR34" s="101" t="e">
        <f t="shared" si="550"/>
        <v>#N/A</v>
      </c>
      <c r="HS34" s="101" t="e">
        <f t="shared" si="550"/>
        <v>#N/A</v>
      </c>
      <c r="HT34" s="101" t="e">
        <f t="shared" si="550"/>
        <v>#N/A</v>
      </c>
      <c r="HU34" s="101" t="e">
        <f t="shared" si="550"/>
        <v>#N/A</v>
      </c>
      <c r="HV34" s="101" t="e">
        <f t="shared" si="550"/>
        <v>#N/A</v>
      </c>
      <c r="HW34" s="101" t="e">
        <f t="shared" si="550"/>
        <v>#N/A</v>
      </c>
      <c r="HX34" s="101" t="e">
        <f t="shared" si="550"/>
        <v>#N/A</v>
      </c>
      <c r="HY34" s="101" t="e">
        <f t="shared" si="550"/>
        <v>#N/A</v>
      </c>
      <c r="HZ34" s="101" t="e">
        <f t="shared" si="550"/>
        <v>#N/A</v>
      </c>
      <c r="IA34" s="101" t="e">
        <f t="shared" si="550"/>
        <v>#N/A</v>
      </c>
      <c r="IB34" s="101" t="e">
        <f t="shared" si="550"/>
        <v>#N/A</v>
      </c>
      <c r="IC34" s="101" t="e">
        <f t="shared" si="550"/>
        <v>#N/A</v>
      </c>
      <c r="ID34" s="101" t="e">
        <f t="shared" si="550"/>
        <v>#N/A</v>
      </c>
      <c r="IE34" s="101" t="e">
        <f t="shared" si="550"/>
        <v>#N/A</v>
      </c>
      <c r="IF34" s="101" t="e">
        <f t="shared" si="550"/>
        <v>#N/A</v>
      </c>
      <c r="IG34" s="101" t="e">
        <f t="shared" si="550"/>
        <v>#N/A</v>
      </c>
      <c r="IH34" s="101" t="e">
        <f t="shared" si="550"/>
        <v>#N/A</v>
      </c>
      <c r="II34" s="101" t="e">
        <f t="shared" si="550"/>
        <v>#N/A</v>
      </c>
      <c r="IJ34" s="101" t="e">
        <f t="shared" si="550"/>
        <v>#N/A</v>
      </c>
      <c r="IK34" s="101" t="e">
        <f t="shared" si="550"/>
        <v>#N/A</v>
      </c>
      <c r="IL34" s="101" t="e">
        <f t="shared" si="550"/>
        <v>#N/A</v>
      </c>
      <c r="IM34" s="101" t="e">
        <f t="shared" si="550"/>
        <v>#N/A</v>
      </c>
      <c r="IN34" s="101" t="e">
        <f t="shared" si="550"/>
        <v>#N/A</v>
      </c>
      <c r="IO34" s="101" t="e">
        <f t="shared" si="550"/>
        <v>#N/A</v>
      </c>
      <c r="IP34" s="101" t="e">
        <f t="shared" si="550"/>
        <v>#N/A</v>
      </c>
      <c r="IQ34" s="101" t="e">
        <f t="shared" si="550"/>
        <v>#N/A</v>
      </c>
      <c r="IR34" s="101" t="e">
        <f t="shared" si="550"/>
        <v>#N/A</v>
      </c>
      <c r="IS34" s="101" t="e">
        <f t="shared" si="550"/>
        <v>#N/A</v>
      </c>
      <c r="IT34" s="101" t="e">
        <f t="shared" si="550"/>
        <v>#N/A</v>
      </c>
      <c r="IU34" s="101" t="e">
        <f t="shared" si="550"/>
        <v>#N/A</v>
      </c>
      <c r="IV34" s="101" t="e">
        <f t="shared" si="550"/>
        <v>#N/A</v>
      </c>
      <c r="IW34" s="101" t="e">
        <f t="shared" si="550"/>
        <v>#N/A</v>
      </c>
      <c r="IX34" s="101" t="e">
        <f t="shared" si="550"/>
        <v>#N/A</v>
      </c>
      <c r="IY34" s="101" t="e">
        <f t="shared" si="550"/>
        <v>#N/A</v>
      </c>
      <c r="IZ34" s="101" t="e">
        <f t="shared" si="550"/>
        <v>#N/A</v>
      </c>
      <c r="JA34" s="101" t="e">
        <f t="shared" si="550"/>
        <v>#N/A</v>
      </c>
      <c r="JB34" s="101" t="e">
        <f t="shared" si="550"/>
        <v>#N/A</v>
      </c>
      <c r="JC34" s="101" t="e">
        <f t="shared" si="550"/>
        <v>#N/A</v>
      </c>
      <c r="JD34" s="101" t="e">
        <f t="shared" si="550"/>
        <v>#N/A</v>
      </c>
      <c r="JE34" s="101" t="e">
        <f t="shared" si="550"/>
        <v>#N/A</v>
      </c>
      <c r="JF34" s="101" t="e">
        <f t="shared" si="550"/>
        <v>#N/A</v>
      </c>
      <c r="JG34" s="101" t="e">
        <f t="shared" ref="JG34:LR34" si="551">ROUNDUP(SUMPRODUCT($E$2:$E$26,JG$2:JG$26)*1.03214954700103%,0)</f>
        <v>#N/A</v>
      </c>
      <c r="JH34" s="101" t="e">
        <f t="shared" si="551"/>
        <v>#N/A</v>
      </c>
      <c r="JI34" s="101" t="e">
        <f t="shared" si="551"/>
        <v>#N/A</v>
      </c>
      <c r="JJ34" s="101" t="e">
        <f t="shared" si="551"/>
        <v>#N/A</v>
      </c>
      <c r="JK34" s="101" t="e">
        <f t="shared" si="551"/>
        <v>#N/A</v>
      </c>
      <c r="JL34" s="101" t="e">
        <f t="shared" si="551"/>
        <v>#N/A</v>
      </c>
      <c r="JM34" s="101" t="e">
        <f t="shared" si="551"/>
        <v>#N/A</v>
      </c>
      <c r="JN34" s="101" t="e">
        <f t="shared" si="551"/>
        <v>#N/A</v>
      </c>
      <c r="JO34" s="101" t="e">
        <f t="shared" si="551"/>
        <v>#N/A</v>
      </c>
      <c r="JP34" s="101" t="e">
        <f t="shared" si="551"/>
        <v>#N/A</v>
      </c>
      <c r="JQ34" s="101" t="e">
        <f t="shared" si="551"/>
        <v>#N/A</v>
      </c>
      <c r="JR34" s="101" t="e">
        <f t="shared" si="551"/>
        <v>#N/A</v>
      </c>
      <c r="JS34" s="101" t="e">
        <f t="shared" si="551"/>
        <v>#N/A</v>
      </c>
      <c r="JT34" s="101" t="e">
        <f t="shared" si="551"/>
        <v>#N/A</v>
      </c>
      <c r="JU34" s="101" t="e">
        <f t="shared" si="551"/>
        <v>#N/A</v>
      </c>
      <c r="JV34" s="101" t="e">
        <f t="shared" si="551"/>
        <v>#N/A</v>
      </c>
      <c r="JW34" s="101" t="e">
        <f t="shared" si="551"/>
        <v>#N/A</v>
      </c>
      <c r="JX34" s="101" t="e">
        <f t="shared" si="551"/>
        <v>#N/A</v>
      </c>
      <c r="JY34" s="101" t="e">
        <f t="shared" si="551"/>
        <v>#N/A</v>
      </c>
      <c r="JZ34" s="101" t="e">
        <f t="shared" si="551"/>
        <v>#N/A</v>
      </c>
      <c r="KA34" s="101" t="e">
        <f t="shared" si="551"/>
        <v>#N/A</v>
      </c>
      <c r="KB34" s="101" t="e">
        <f t="shared" si="551"/>
        <v>#N/A</v>
      </c>
      <c r="KC34" s="101" t="e">
        <f t="shared" si="551"/>
        <v>#N/A</v>
      </c>
      <c r="KD34" s="101" t="e">
        <f t="shared" si="551"/>
        <v>#N/A</v>
      </c>
      <c r="KE34" s="101" t="e">
        <f t="shared" si="551"/>
        <v>#N/A</v>
      </c>
      <c r="KF34" s="101" t="e">
        <f t="shared" si="551"/>
        <v>#N/A</v>
      </c>
      <c r="KG34" s="101" t="e">
        <f t="shared" si="551"/>
        <v>#N/A</v>
      </c>
      <c r="KH34" s="101" t="e">
        <f t="shared" si="551"/>
        <v>#N/A</v>
      </c>
      <c r="KI34" s="101" t="e">
        <f t="shared" si="551"/>
        <v>#N/A</v>
      </c>
      <c r="KJ34" s="101" t="e">
        <f t="shared" si="551"/>
        <v>#N/A</v>
      </c>
      <c r="KK34" s="101" t="e">
        <f t="shared" si="551"/>
        <v>#N/A</v>
      </c>
      <c r="KL34" s="101" t="e">
        <f t="shared" si="551"/>
        <v>#N/A</v>
      </c>
      <c r="KM34" s="101" t="e">
        <f t="shared" si="551"/>
        <v>#N/A</v>
      </c>
      <c r="KN34" s="101" t="e">
        <f t="shared" si="551"/>
        <v>#N/A</v>
      </c>
      <c r="KO34" s="101" t="e">
        <f t="shared" si="551"/>
        <v>#N/A</v>
      </c>
      <c r="KP34" s="101" t="e">
        <f t="shared" si="551"/>
        <v>#N/A</v>
      </c>
      <c r="KQ34" s="101" t="e">
        <f t="shared" si="551"/>
        <v>#N/A</v>
      </c>
      <c r="KR34" s="101" t="e">
        <f t="shared" si="551"/>
        <v>#N/A</v>
      </c>
      <c r="KS34" s="101" t="e">
        <f t="shared" si="551"/>
        <v>#N/A</v>
      </c>
      <c r="KT34" s="101" t="e">
        <f t="shared" si="551"/>
        <v>#N/A</v>
      </c>
      <c r="KU34" s="101" t="e">
        <f t="shared" si="551"/>
        <v>#N/A</v>
      </c>
      <c r="KV34" s="101" t="e">
        <f t="shared" si="551"/>
        <v>#N/A</v>
      </c>
      <c r="KW34" s="101" t="e">
        <f t="shared" si="551"/>
        <v>#N/A</v>
      </c>
      <c r="KX34" s="101" t="e">
        <f t="shared" si="551"/>
        <v>#N/A</v>
      </c>
      <c r="KY34" s="101" t="e">
        <f t="shared" si="551"/>
        <v>#N/A</v>
      </c>
      <c r="KZ34" s="101" t="e">
        <f t="shared" si="551"/>
        <v>#N/A</v>
      </c>
      <c r="LA34" s="101" t="e">
        <f t="shared" si="551"/>
        <v>#N/A</v>
      </c>
      <c r="LB34" s="101" t="e">
        <f t="shared" si="551"/>
        <v>#N/A</v>
      </c>
      <c r="LC34" s="101" t="e">
        <f t="shared" si="551"/>
        <v>#N/A</v>
      </c>
      <c r="LD34" s="101" t="e">
        <f t="shared" si="551"/>
        <v>#N/A</v>
      </c>
      <c r="LE34" s="101" t="e">
        <f t="shared" si="551"/>
        <v>#N/A</v>
      </c>
      <c r="LF34" s="101" t="e">
        <f t="shared" si="551"/>
        <v>#N/A</v>
      </c>
      <c r="LG34" s="101" t="e">
        <f t="shared" si="551"/>
        <v>#N/A</v>
      </c>
      <c r="LH34" s="101" t="e">
        <f t="shared" si="551"/>
        <v>#N/A</v>
      </c>
      <c r="LI34" s="101" t="e">
        <f t="shared" si="551"/>
        <v>#N/A</v>
      </c>
      <c r="LJ34" s="101" t="e">
        <f t="shared" si="551"/>
        <v>#N/A</v>
      </c>
      <c r="LK34" s="101" t="e">
        <f t="shared" si="551"/>
        <v>#N/A</v>
      </c>
      <c r="LL34" s="101" t="e">
        <f t="shared" si="551"/>
        <v>#N/A</v>
      </c>
      <c r="LM34" s="101" t="e">
        <f t="shared" si="551"/>
        <v>#N/A</v>
      </c>
      <c r="LN34" s="101" t="e">
        <f t="shared" si="551"/>
        <v>#N/A</v>
      </c>
      <c r="LO34" s="101" t="e">
        <f t="shared" si="551"/>
        <v>#N/A</v>
      </c>
      <c r="LP34" s="101" t="e">
        <f t="shared" si="551"/>
        <v>#N/A</v>
      </c>
      <c r="LQ34" s="101" t="e">
        <f t="shared" si="551"/>
        <v>#N/A</v>
      </c>
      <c r="LR34" s="101" t="e">
        <f t="shared" si="551"/>
        <v>#N/A</v>
      </c>
      <c r="LS34" s="101" t="e">
        <f t="shared" ref="LS34:OD34" si="552">ROUNDUP(SUMPRODUCT($E$2:$E$26,LS$2:LS$26)*1.03214954700103%,0)</f>
        <v>#N/A</v>
      </c>
      <c r="LT34" s="101" t="e">
        <f t="shared" si="552"/>
        <v>#N/A</v>
      </c>
      <c r="LU34" s="101" t="e">
        <f t="shared" si="552"/>
        <v>#N/A</v>
      </c>
      <c r="LV34" s="101" t="e">
        <f t="shared" si="552"/>
        <v>#N/A</v>
      </c>
      <c r="LW34" s="101" t="e">
        <f t="shared" si="552"/>
        <v>#N/A</v>
      </c>
      <c r="LX34" s="101" t="e">
        <f t="shared" si="552"/>
        <v>#N/A</v>
      </c>
      <c r="LY34" s="101" t="e">
        <f t="shared" si="552"/>
        <v>#N/A</v>
      </c>
      <c r="LZ34" s="101" t="e">
        <f t="shared" si="552"/>
        <v>#N/A</v>
      </c>
      <c r="MA34" s="101" t="e">
        <f t="shared" si="552"/>
        <v>#N/A</v>
      </c>
      <c r="MB34" s="101" t="e">
        <f t="shared" si="552"/>
        <v>#N/A</v>
      </c>
      <c r="MC34" s="101" t="e">
        <f t="shared" si="552"/>
        <v>#N/A</v>
      </c>
      <c r="MD34" s="101" t="e">
        <f t="shared" si="552"/>
        <v>#N/A</v>
      </c>
      <c r="ME34" s="101" t="e">
        <f t="shared" si="552"/>
        <v>#N/A</v>
      </c>
      <c r="MF34" s="101" t="e">
        <f t="shared" si="552"/>
        <v>#N/A</v>
      </c>
      <c r="MG34" s="101" t="e">
        <f t="shared" si="552"/>
        <v>#N/A</v>
      </c>
      <c r="MH34" s="101" t="e">
        <f t="shared" si="552"/>
        <v>#N/A</v>
      </c>
      <c r="MI34" s="101" t="e">
        <f t="shared" si="552"/>
        <v>#N/A</v>
      </c>
      <c r="MJ34" s="101" t="e">
        <f t="shared" si="552"/>
        <v>#N/A</v>
      </c>
      <c r="MK34" s="101" t="e">
        <f t="shared" si="552"/>
        <v>#N/A</v>
      </c>
      <c r="ML34" s="101" t="e">
        <f t="shared" si="552"/>
        <v>#N/A</v>
      </c>
      <c r="MM34" s="101" t="e">
        <f t="shared" si="552"/>
        <v>#N/A</v>
      </c>
      <c r="MN34" s="101" t="e">
        <f t="shared" si="552"/>
        <v>#N/A</v>
      </c>
      <c r="MO34" s="101" t="e">
        <f t="shared" si="552"/>
        <v>#N/A</v>
      </c>
      <c r="MP34" s="101" t="e">
        <f t="shared" si="552"/>
        <v>#N/A</v>
      </c>
      <c r="MQ34" s="101" t="e">
        <f t="shared" si="552"/>
        <v>#N/A</v>
      </c>
      <c r="MR34" s="101" t="e">
        <f t="shared" si="552"/>
        <v>#N/A</v>
      </c>
      <c r="MS34" s="101" t="e">
        <f t="shared" si="552"/>
        <v>#N/A</v>
      </c>
      <c r="MT34" s="101" t="e">
        <f t="shared" si="552"/>
        <v>#N/A</v>
      </c>
      <c r="MU34" s="101" t="e">
        <f t="shared" si="552"/>
        <v>#N/A</v>
      </c>
      <c r="MV34" s="101" t="e">
        <f t="shared" si="552"/>
        <v>#N/A</v>
      </c>
      <c r="MW34" s="101" t="e">
        <f t="shared" si="552"/>
        <v>#N/A</v>
      </c>
      <c r="MX34" s="101" t="e">
        <f t="shared" si="552"/>
        <v>#N/A</v>
      </c>
      <c r="MY34" s="101" t="e">
        <f t="shared" si="552"/>
        <v>#N/A</v>
      </c>
      <c r="MZ34" s="101" t="e">
        <f t="shared" si="552"/>
        <v>#N/A</v>
      </c>
      <c r="NA34" s="101" t="e">
        <f t="shared" si="552"/>
        <v>#N/A</v>
      </c>
      <c r="NB34" s="101" t="e">
        <f t="shared" si="552"/>
        <v>#N/A</v>
      </c>
      <c r="NC34" s="101" t="e">
        <f t="shared" si="552"/>
        <v>#N/A</v>
      </c>
      <c r="ND34" s="101" t="e">
        <f t="shared" si="552"/>
        <v>#N/A</v>
      </c>
      <c r="NE34" s="101" t="e">
        <f t="shared" si="552"/>
        <v>#N/A</v>
      </c>
      <c r="NF34" s="101" t="e">
        <f t="shared" si="552"/>
        <v>#N/A</v>
      </c>
      <c r="NG34" s="101" t="e">
        <f t="shared" si="552"/>
        <v>#N/A</v>
      </c>
      <c r="NH34" s="101" t="e">
        <f t="shared" si="552"/>
        <v>#N/A</v>
      </c>
      <c r="NI34" s="101" t="e">
        <f t="shared" si="552"/>
        <v>#N/A</v>
      </c>
      <c r="NJ34" s="101" t="e">
        <f t="shared" si="552"/>
        <v>#N/A</v>
      </c>
      <c r="NK34" s="101" t="e">
        <f t="shared" si="552"/>
        <v>#N/A</v>
      </c>
      <c r="NL34" s="101" t="e">
        <f t="shared" si="552"/>
        <v>#N/A</v>
      </c>
      <c r="NM34" s="101" t="e">
        <f t="shared" si="552"/>
        <v>#N/A</v>
      </c>
      <c r="NN34" s="101" t="e">
        <f t="shared" si="552"/>
        <v>#N/A</v>
      </c>
      <c r="NO34" s="101" t="e">
        <f t="shared" si="552"/>
        <v>#N/A</v>
      </c>
      <c r="NP34" s="101" t="e">
        <f t="shared" si="552"/>
        <v>#N/A</v>
      </c>
      <c r="NQ34" s="101" t="e">
        <f t="shared" si="552"/>
        <v>#N/A</v>
      </c>
      <c r="NR34" s="101" t="e">
        <f t="shared" si="552"/>
        <v>#N/A</v>
      </c>
      <c r="NS34" s="101" t="e">
        <f t="shared" si="552"/>
        <v>#N/A</v>
      </c>
      <c r="NT34" s="101" t="e">
        <f t="shared" si="552"/>
        <v>#N/A</v>
      </c>
      <c r="NU34" s="101" t="e">
        <f t="shared" si="552"/>
        <v>#N/A</v>
      </c>
      <c r="NV34" s="101" t="e">
        <f t="shared" si="552"/>
        <v>#N/A</v>
      </c>
      <c r="NW34" s="101" t="e">
        <f t="shared" si="552"/>
        <v>#N/A</v>
      </c>
      <c r="NX34" s="101" t="e">
        <f t="shared" si="552"/>
        <v>#N/A</v>
      </c>
      <c r="NY34" s="101" t="e">
        <f t="shared" si="552"/>
        <v>#N/A</v>
      </c>
      <c r="NZ34" s="101" t="e">
        <f t="shared" si="552"/>
        <v>#N/A</v>
      </c>
      <c r="OA34" s="101" t="e">
        <f t="shared" si="552"/>
        <v>#N/A</v>
      </c>
      <c r="OB34" s="101" t="e">
        <f t="shared" si="552"/>
        <v>#N/A</v>
      </c>
      <c r="OC34" s="101" t="e">
        <f t="shared" si="552"/>
        <v>#N/A</v>
      </c>
      <c r="OD34" s="101" t="e">
        <f t="shared" si="552"/>
        <v>#N/A</v>
      </c>
      <c r="OE34" s="101" t="e">
        <f t="shared" ref="OE34:QP34" si="553">ROUNDUP(SUMPRODUCT($E$2:$E$26,OE$2:OE$26)*1.03214954700103%,0)</f>
        <v>#N/A</v>
      </c>
      <c r="OF34" s="101" t="e">
        <f t="shared" si="553"/>
        <v>#N/A</v>
      </c>
      <c r="OG34" s="101" t="e">
        <f t="shared" si="553"/>
        <v>#N/A</v>
      </c>
      <c r="OH34" s="101" t="e">
        <f t="shared" si="553"/>
        <v>#N/A</v>
      </c>
      <c r="OI34" s="101" t="e">
        <f t="shared" si="553"/>
        <v>#N/A</v>
      </c>
      <c r="OJ34" s="101" t="e">
        <f t="shared" si="553"/>
        <v>#N/A</v>
      </c>
      <c r="OK34" s="101" t="e">
        <f t="shared" si="553"/>
        <v>#N/A</v>
      </c>
      <c r="OL34" s="101" t="e">
        <f t="shared" si="553"/>
        <v>#N/A</v>
      </c>
      <c r="OM34" s="101" t="e">
        <f t="shared" si="553"/>
        <v>#N/A</v>
      </c>
      <c r="ON34" s="101" t="e">
        <f t="shared" si="553"/>
        <v>#N/A</v>
      </c>
      <c r="OO34" s="101" t="e">
        <f t="shared" si="553"/>
        <v>#N/A</v>
      </c>
      <c r="OP34" s="101" t="e">
        <f t="shared" si="553"/>
        <v>#N/A</v>
      </c>
      <c r="OQ34" s="101" t="e">
        <f t="shared" si="553"/>
        <v>#N/A</v>
      </c>
      <c r="OR34" s="101" t="e">
        <f t="shared" si="553"/>
        <v>#N/A</v>
      </c>
      <c r="OS34" s="101" t="e">
        <f t="shared" si="553"/>
        <v>#N/A</v>
      </c>
      <c r="OT34" s="101" t="e">
        <f t="shared" si="553"/>
        <v>#N/A</v>
      </c>
      <c r="OU34" s="101" t="e">
        <f t="shared" si="553"/>
        <v>#N/A</v>
      </c>
      <c r="OV34" s="101" t="e">
        <f t="shared" si="553"/>
        <v>#N/A</v>
      </c>
      <c r="OW34" s="101" t="e">
        <f t="shared" si="553"/>
        <v>#N/A</v>
      </c>
      <c r="OX34" s="101" t="e">
        <f t="shared" si="553"/>
        <v>#N/A</v>
      </c>
      <c r="OY34" s="101" t="e">
        <f t="shared" si="553"/>
        <v>#N/A</v>
      </c>
      <c r="OZ34" s="101" t="e">
        <f t="shared" si="553"/>
        <v>#N/A</v>
      </c>
      <c r="PA34" s="101" t="e">
        <f t="shared" si="553"/>
        <v>#N/A</v>
      </c>
      <c r="PB34" s="101" t="e">
        <f t="shared" si="553"/>
        <v>#N/A</v>
      </c>
      <c r="PC34" s="101" t="e">
        <f t="shared" si="553"/>
        <v>#N/A</v>
      </c>
      <c r="PD34" s="101" t="e">
        <f t="shared" si="553"/>
        <v>#N/A</v>
      </c>
      <c r="PE34" s="101" t="e">
        <f t="shared" si="553"/>
        <v>#N/A</v>
      </c>
      <c r="PF34" s="101" t="e">
        <f t="shared" si="553"/>
        <v>#N/A</v>
      </c>
      <c r="PG34" s="101" t="e">
        <f t="shared" si="553"/>
        <v>#N/A</v>
      </c>
      <c r="PH34" s="101" t="e">
        <f t="shared" si="553"/>
        <v>#N/A</v>
      </c>
      <c r="PI34" s="101" t="e">
        <f t="shared" si="553"/>
        <v>#N/A</v>
      </c>
      <c r="PJ34" s="101" t="e">
        <f t="shared" si="553"/>
        <v>#N/A</v>
      </c>
      <c r="PK34" s="101" t="e">
        <f t="shared" si="553"/>
        <v>#N/A</v>
      </c>
      <c r="PL34" s="101" t="e">
        <f t="shared" si="553"/>
        <v>#N/A</v>
      </c>
      <c r="PM34" s="101" t="e">
        <f t="shared" si="553"/>
        <v>#N/A</v>
      </c>
      <c r="PN34" s="101" t="e">
        <f t="shared" si="553"/>
        <v>#N/A</v>
      </c>
      <c r="PO34" s="101" t="e">
        <f t="shared" si="553"/>
        <v>#N/A</v>
      </c>
      <c r="PP34" s="101" t="e">
        <f t="shared" si="553"/>
        <v>#N/A</v>
      </c>
      <c r="PQ34" s="101" t="e">
        <f t="shared" si="553"/>
        <v>#N/A</v>
      </c>
      <c r="PR34" s="101" t="e">
        <f t="shared" si="553"/>
        <v>#N/A</v>
      </c>
      <c r="PS34" s="101" t="e">
        <f t="shared" si="553"/>
        <v>#N/A</v>
      </c>
      <c r="PT34" s="101" t="e">
        <f t="shared" si="553"/>
        <v>#N/A</v>
      </c>
      <c r="PU34" s="101" t="e">
        <f t="shared" si="553"/>
        <v>#N/A</v>
      </c>
      <c r="PV34" s="101" t="e">
        <f t="shared" si="553"/>
        <v>#N/A</v>
      </c>
      <c r="PW34" s="101" t="e">
        <f t="shared" si="553"/>
        <v>#N/A</v>
      </c>
      <c r="PX34" s="101" t="e">
        <f t="shared" si="553"/>
        <v>#N/A</v>
      </c>
      <c r="PY34" s="101" t="e">
        <f t="shared" si="553"/>
        <v>#N/A</v>
      </c>
      <c r="PZ34" s="101" t="e">
        <f t="shared" si="553"/>
        <v>#N/A</v>
      </c>
      <c r="QA34" s="101" t="e">
        <f t="shared" si="553"/>
        <v>#N/A</v>
      </c>
      <c r="QB34" s="101" t="e">
        <f t="shared" si="553"/>
        <v>#N/A</v>
      </c>
      <c r="QC34" s="101" t="e">
        <f t="shared" si="553"/>
        <v>#N/A</v>
      </c>
      <c r="QD34" s="101" t="e">
        <f t="shared" si="553"/>
        <v>#N/A</v>
      </c>
      <c r="QE34" s="101" t="e">
        <f t="shared" si="553"/>
        <v>#N/A</v>
      </c>
      <c r="QF34" s="101" t="e">
        <f t="shared" si="553"/>
        <v>#N/A</v>
      </c>
      <c r="QG34" s="101" t="e">
        <f t="shared" si="553"/>
        <v>#N/A</v>
      </c>
      <c r="QH34" s="101" t="e">
        <f t="shared" si="553"/>
        <v>#N/A</v>
      </c>
      <c r="QI34" s="101" t="e">
        <f t="shared" si="553"/>
        <v>#N/A</v>
      </c>
      <c r="QJ34" s="101" t="e">
        <f t="shared" si="553"/>
        <v>#N/A</v>
      </c>
      <c r="QK34" s="101" t="e">
        <f t="shared" si="553"/>
        <v>#N/A</v>
      </c>
      <c r="QL34" s="101" t="e">
        <f t="shared" si="553"/>
        <v>#N/A</v>
      </c>
      <c r="QM34" s="101" t="e">
        <f t="shared" si="553"/>
        <v>#N/A</v>
      </c>
      <c r="QN34" s="101" t="e">
        <f t="shared" si="553"/>
        <v>#N/A</v>
      </c>
      <c r="QO34" s="101" t="e">
        <f t="shared" si="553"/>
        <v>#N/A</v>
      </c>
      <c r="QP34" s="101" t="e">
        <f t="shared" si="553"/>
        <v>#N/A</v>
      </c>
      <c r="QQ34" s="101" t="e">
        <f t="shared" ref="QQ34:TB34" si="554">ROUNDUP(SUMPRODUCT($E$2:$E$26,QQ$2:QQ$26)*1.03214954700103%,0)</f>
        <v>#N/A</v>
      </c>
      <c r="QR34" s="101" t="e">
        <f t="shared" si="554"/>
        <v>#N/A</v>
      </c>
      <c r="QS34" s="101" t="e">
        <f t="shared" si="554"/>
        <v>#N/A</v>
      </c>
      <c r="QT34" s="101" t="e">
        <f t="shared" si="554"/>
        <v>#N/A</v>
      </c>
      <c r="QU34" s="101" t="e">
        <f t="shared" si="554"/>
        <v>#N/A</v>
      </c>
      <c r="QV34" s="101" t="e">
        <f t="shared" si="554"/>
        <v>#N/A</v>
      </c>
      <c r="QW34" s="101" t="e">
        <f t="shared" si="554"/>
        <v>#N/A</v>
      </c>
      <c r="QX34" s="101" t="e">
        <f t="shared" si="554"/>
        <v>#N/A</v>
      </c>
      <c r="QY34" s="101" t="e">
        <f t="shared" si="554"/>
        <v>#N/A</v>
      </c>
      <c r="QZ34" s="101" t="e">
        <f t="shared" si="554"/>
        <v>#N/A</v>
      </c>
      <c r="RA34" s="101" t="e">
        <f t="shared" si="554"/>
        <v>#N/A</v>
      </c>
      <c r="RB34" s="101" t="e">
        <f t="shared" si="554"/>
        <v>#N/A</v>
      </c>
      <c r="RC34" s="101" t="e">
        <f t="shared" si="554"/>
        <v>#N/A</v>
      </c>
      <c r="RD34" s="101" t="e">
        <f t="shared" si="554"/>
        <v>#N/A</v>
      </c>
      <c r="RE34" s="101" t="e">
        <f t="shared" si="554"/>
        <v>#N/A</v>
      </c>
      <c r="RF34" s="101" t="e">
        <f t="shared" si="554"/>
        <v>#N/A</v>
      </c>
      <c r="RG34" s="101" t="e">
        <f t="shared" si="554"/>
        <v>#N/A</v>
      </c>
      <c r="RH34" s="101" t="e">
        <f t="shared" si="554"/>
        <v>#N/A</v>
      </c>
      <c r="RI34" s="101" t="e">
        <f t="shared" si="554"/>
        <v>#N/A</v>
      </c>
      <c r="RJ34" s="101" t="e">
        <f t="shared" si="554"/>
        <v>#N/A</v>
      </c>
      <c r="RK34" s="101" t="e">
        <f t="shared" si="554"/>
        <v>#N/A</v>
      </c>
      <c r="RL34" s="101" t="e">
        <f t="shared" si="554"/>
        <v>#N/A</v>
      </c>
      <c r="RM34" s="101" t="e">
        <f t="shared" si="554"/>
        <v>#N/A</v>
      </c>
      <c r="RN34" s="101" t="e">
        <f t="shared" si="554"/>
        <v>#N/A</v>
      </c>
      <c r="RO34" s="101" t="e">
        <f t="shared" si="554"/>
        <v>#N/A</v>
      </c>
      <c r="RP34" s="101" t="e">
        <f t="shared" si="554"/>
        <v>#N/A</v>
      </c>
      <c r="RQ34" s="101" t="e">
        <f t="shared" si="554"/>
        <v>#N/A</v>
      </c>
      <c r="RR34" s="101" t="e">
        <f t="shared" si="554"/>
        <v>#N/A</v>
      </c>
      <c r="RS34" s="101" t="e">
        <f t="shared" si="554"/>
        <v>#N/A</v>
      </c>
      <c r="RT34" s="101" t="e">
        <f t="shared" si="554"/>
        <v>#N/A</v>
      </c>
      <c r="RU34" s="101" t="e">
        <f t="shared" si="554"/>
        <v>#N/A</v>
      </c>
      <c r="RV34" s="101" t="e">
        <f t="shared" si="554"/>
        <v>#N/A</v>
      </c>
      <c r="RW34" s="101" t="e">
        <f t="shared" si="554"/>
        <v>#N/A</v>
      </c>
      <c r="RX34" s="101" t="e">
        <f t="shared" si="554"/>
        <v>#N/A</v>
      </c>
      <c r="RY34" s="101" t="e">
        <f t="shared" si="554"/>
        <v>#N/A</v>
      </c>
      <c r="RZ34" s="101" t="e">
        <f t="shared" si="554"/>
        <v>#N/A</v>
      </c>
      <c r="SA34" s="101" t="e">
        <f t="shared" si="554"/>
        <v>#N/A</v>
      </c>
      <c r="SB34" s="101" t="e">
        <f t="shared" si="554"/>
        <v>#N/A</v>
      </c>
      <c r="SC34" s="101" t="e">
        <f t="shared" si="554"/>
        <v>#N/A</v>
      </c>
      <c r="SD34" s="101" t="e">
        <f t="shared" si="554"/>
        <v>#N/A</v>
      </c>
      <c r="SE34" s="101" t="e">
        <f t="shared" si="554"/>
        <v>#N/A</v>
      </c>
      <c r="SF34" s="101" t="e">
        <f t="shared" si="554"/>
        <v>#N/A</v>
      </c>
      <c r="SG34" s="101" t="e">
        <f t="shared" si="554"/>
        <v>#N/A</v>
      </c>
      <c r="SH34" s="101" t="e">
        <f t="shared" si="554"/>
        <v>#N/A</v>
      </c>
      <c r="SI34" s="101" t="e">
        <f t="shared" si="554"/>
        <v>#N/A</v>
      </c>
      <c r="SJ34" s="101" t="e">
        <f t="shared" si="554"/>
        <v>#N/A</v>
      </c>
      <c r="SK34" s="101" t="e">
        <f t="shared" si="554"/>
        <v>#N/A</v>
      </c>
      <c r="SL34" s="101" t="e">
        <f t="shared" si="554"/>
        <v>#N/A</v>
      </c>
      <c r="SM34" s="101" t="e">
        <f t="shared" si="554"/>
        <v>#N/A</v>
      </c>
      <c r="SN34" s="101" t="e">
        <f t="shared" si="554"/>
        <v>#N/A</v>
      </c>
      <c r="SO34" s="101" t="e">
        <f t="shared" si="554"/>
        <v>#N/A</v>
      </c>
      <c r="SP34" s="101" t="e">
        <f t="shared" si="554"/>
        <v>#N/A</v>
      </c>
      <c r="SQ34" s="101" t="e">
        <f t="shared" si="554"/>
        <v>#N/A</v>
      </c>
      <c r="SR34" s="101" t="e">
        <f t="shared" si="554"/>
        <v>#N/A</v>
      </c>
      <c r="SS34" s="101" t="e">
        <f t="shared" si="554"/>
        <v>#N/A</v>
      </c>
      <c r="ST34" s="101" t="e">
        <f t="shared" si="554"/>
        <v>#N/A</v>
      </c>
      <c r="SU34" s="101" t="e">
        <f t="shared" si="554"/>
        <v>#N/A</v>
      </c>
      <c r="SV34" s="101" t="e">
        <f t="shared" si="554"/>
        <v>#N/A</v>
      </c>
      <c r="SW34" s="101" t="e">
        <f t="shared" si="554"/>
        <v>#N/A</v>
      </c>
      <c r="SX34" s="101" t="e">
        <f t="shared" si="554"/>
        <v>#N/A</v>
      </c>
      <c r="SY34" s="101" t="e">
        <f t="shared" si="554"/>
        <v>#N/A</v>
      </c>
      <c r="SZ34" s="101" t="e">
        <f t="shared" si="554"/>
        <v>#N/A</v>
      </c>
      <c r="TA34" s="101" t="e">
        <f t="shared" si="554"/>
        <v>#N/A</v>
      </c>
      <c r="TB34" s="101" t="e">
        <f t="shared" si="554"/>
        <v>#N/A</v>
      </c>
      <c r="TC34" s="101" t="e">
        <f t="shared" ref="TC34:VN34" si="555">ROUNDUP(SUMPRODUCT($E$2:$E$26,TC$2:TC$26)*1.03214954700103%,0)</f>
        <v>#N/A</v>
      </c>
      <c r="TD34" s="101" t="e">
        <f t="shared" si="555"/>
        <v>#N/A</v>
      </c>
      <c r="TE34" s="101" t="e">
        <f t="shared" si="555"/>
        <v>#N/A</v>
      </c>
      <c r="TF34" s="101" t="e">
        <f t="shared" si="555"/>
        <v>#N/A</v>
      </c>
      <c r="TG34" s="101" t="e">
        <f t="shared" si="555"/>
        <v>#N/A</v>
      </c>
      <c r="TH34" s="101" t="e">
        <f t="shared" si="555"/>
        <v>#N/A</v>
      </c>
      <c r="TI34" s="101" t="e">
        <f t="shared" si="555"/>
        <v>#N/A</v>
      </c>
      <c r="TJ34" s="101" t="e">
        <f t="shared" si="555"/>
        <v>#N/A</v>
      </c>
      <c r="TK34" s="101" t="e">
        <f t="shared" si="555"/>
        <v>#N/A</v>
      </c>
      <c r="TL34" s="101" t="e">
        <f t="shared" si="555"/>
        <v>#N/A</v>
      </c>
      <c r="TM34" s="101" t="e">
        <f t="shared" si="555"/>
        <v>#N/A</v>
      </c>
      <c r="TN34" s="101" t="e">
        <f t="shared" si="555"/>
        <v>#N/A</v>
      </c>
      <c r="TO34" s="101" t="e">
        <f t="shared" si="555"/>
        <v>#N/A</v>
      </c>
      <c r="TP34" s="101" t="e">
        <f t="shared" si="555"/>
        <v>#N/A</v>
      </c>
      <c r="TQ34" s="101" t="e">
        <f t="shared" si="555"/>
        <v>#N/A</v>
      </c>
      <c r="TR34" s="101" t="e">
        <f t="shared" si="555"/>
        <v>#N/A</v>
      </c>
      <c r="TS34" s="101" t="e">
        <f t="shared" si="555"/>
        <v>#N/A</v>
      </c>
      <c r="TT34" s="101" t="e">
        <f t="shared" si="555"/>
        <v>#N/A</v>
      </c>
      <c r="TU34" s="101" t="e">
        <f t="shared" si="555"/>
        <v>#N/A</v>
      </c>
      <c r="TV34" s="101" t="e">
        <f t="shared" si="555"/>
        <v>#N/A</v>
      </c>
      <c r="TW34" s="101" t="e">
        <f t="shared" si="555"/>
        <v>#N/A</v>
      </c>
      <c r="TX34" s="101" t="e">
        <f t="shared" si="555"/>
        <v>#N/A</v>
      </c>
      <c r="TY34" s="101" t="e">
        <f t="shared" si="555"/>
        <v>#N/A</v>
      </c>
      <c r="TZ34" s="101" t="e">
        <f t="shared" si="555"/>
        <v>#N/A</v>
      </c>
      <c r="UA34" s="101" t="e">
        <f t="shared" si="555"/>
        <v>#N/A</v>
      </c>
      <c r="UB34" s="101" t="e">
        <f t="shared" si="555"/>
        <v>#N/A</v>
      </c>
      <c r="UC34" s="101" t="e">
        <f t="shared" si="555"/>
        <v>#N/A</v>
      </c>
      <c r="UD34" s="101" t="e">
        <f t="shared" si="555"/>
        <v>#N/A</v>
      </c>
      <c r="UE34" s="101" t="e">
        <f t="shared" si="555"/>
        <v>#N/A</v>
      </c>
      <c r="UF34" s="101" t="e">
        <f t="shared" si="555"/>
        <v>#N/A</v>
      </c>
      <c r="UG34" s="101" t="e">
        <f t="shared" si="555"/>
        <v>#N/A</v>
      </c>
      <c r="UH34" s="101" t="e">
        <f t="shared" si="555"/>
        <v>#N/A</v>
      </c>
      <c r="UI34" s="101" t="e">
        <f t="shared" si="555"/>
        <v>#N/A</v>
      </c>
      <c r="UJ34" s="101" t="e">
        <f t="shared" si="555"/>
        <v>#N/A</v>
      </c>
      <c r="UK34" s="101" t="e">
        <f t="shared" si="555"/>
        <v>#N/A</v>
      </c>
      <c r="UL34" s="101" t="e">
        <f t="shared" si="555"/>
        <v>#N/A</v>
      </c>
      <c r="UM34" s="101" t="e">
        <f t="shared" si="555"/>
        <v>#N/A</v>
      </c>
      <c r="UN34" s="101" t="e">
        <f t="shared" si="555"/>
        <v>#N/A</v>
      </c>
      <c r="UO34" s="101" t="e">
        <f t="shared" si="555"/>
        <v>#N/A</v>
      </c>
      <c r="UP34" s="101" t="e">
        <f t="shared" si="555"/>
        <v>#N/A</v>
      </c>
      <c r="UQ34" s="101" t="e">
        <f t="shared" si="555"/>
        <v>#N/A</v>
      </c>
      <c r="UR34" s="101" t="e">
        <f t="shared" si="555"/>
        <v>#N/A</v>
      </c>
      <c r="US34" s="101" t="e">
        <f t="shared" si="555"/>
        <v>#N/A</v>
      </c>
      <c r="UT34" s="101" t="e">
        <f t="shared" si="555"/>
        <v>#N/A</v>
      </c>
      <c r="UU34" s="101" t="e">
        <f t="shared" si="555"/>
        <v>#N/A</v>
      </c>
      <c r="UV34" s="101" t="e">
        <f t="shared" si="555"/>
        <v>#N/A</v>
      </c>
      <c r="UW34" s="101" t="e">
        <f t="shared" si="555"/>
        <v>#N/A</v>
      </c>
      <c r="UX34" s="101" t="e">
        <f t="shared" si="555"/>
        <v>#N/A</v>
      </c>
      <c r="UY34" s="101" t="e">
        <f t="shared" si="555"/>
        <v>#N/A</v>
      </c>
      <c r="UZ34" s="101" t="e">
        <f t="shared" si="555"/>
        <v>#N/A</v>
      </c>
      <c r="VA34" s="101" t="e">
        <f t="shared" si="555"/>
        <v>#N/A</v>
      </c>
      <c r="VB34" s="101" t="e">
        <f t="shared" si="555"/>
        <v>#N/A</v>
      </c>
      <c r="VC34" s="101" t="e">
        <f t="shared" si="555"/>
        <v>#N/A</v>
      </c>
      <c r="VD34" s="101" t="e">
        <f t="shared" si="555"/>
        <v>#N/A</v>
      </c>
      <c r="VE34" s="101" t="e">
        <f t="shared" si="555"/>
        <v>#N/A</v>
      </c>
      <c r="VF34" s="101" t="e">
        <f t="shared" si="555"/>
        <v>#N/A</v>
      </c>
      <c r="VG34" s="101" t="e">
        <f t="shared" si="555"/>
        <v>#N/A</v>
      </c>
      <c r="VH34" s="101" t="e">
        <f t="shared" si="555"/>
        <v>#N/A</v>
      </c>
      <c r="VI34" s="101" t="e">
        <f t="shared" si="555"/>
        <v>#N/A</v>
      </c>
      <c r="VJ34" s="101" t="e">
        <f t="shared" si="555"/>
        <v>#N/A</v>
      </c>
      <c r="VK34" s="101" t="e">
        <f t="shared" si="555"/>
        <v>#N/A</v>
      </c>
      <c r="VL34" s="101" t="e">
        <f t="shared" si="555"/>
        <v>#N/A</v>
      </c>
      <c r="VM34" s="101" t="e">
        <f t="shared" si="555"/>
        <v>#N/A</v>
      </c>
      <c r="VN34" s="101" t="e">
        <f t="shared" si="555"/>
        <v>#N/A</v>
      </c>
      <c r="VO34" s="101" t="e">
        <f t="shared" ref="VO34:WF34" si="556">ROUNDUP(SUMPRODUCT($E$2:$E$26,VO$2:VO$26)*1.03214954700103%,0)</f>
        <v>#N/A</v>
      </c>
      <c r="VP34" s="101" t="e">
        <f t="shared" si="556"/>
        <v>#N/A</v>
      </c>
      <c r="VQ34" s="101" t="e">
        <f t="shared" si="556"/>
        <v>#N/A</v>
      </c>
      <c r="VR34" s="101" t="e">
        <f t="shared" si="556"/>
        <v>#N/A</v>
      </c>
      <c r="VS34" s="101" t="e">
        <f t="shared" si="556"/>
        <v>#N/A</v>
      </c>
      <c r="VT34" s="101" t="e">
        <f t="shared" si="556"/>
        <v>#N/A</v>
      </c>
      <c r="VU34" s="101" t="e">
        <f t="shared" si="556"/>
        <v>#N/A</v>
      </c>
      <c r="VV34" s="101" t="e">
        <f t="shared" si="556"/>
        <v>#N/A</v>
      </c>
      <c r="VW34" s="101" t="e">
        <f t="shared" si="556"/>
        <v>#N/A</v>
      </c>
      <c r="VX34" s="101" t="e">
        <f t="shared" si="556"/>
        <v>#N/A</v>
      </c>
      <c r="VY34" s="101" t="e">
        <f t="shared" si="556"/>
        <v>#N/A</v>
      </c>
      <c r="VZ34" s="101" t="e">
        <f t="shared" si="556"/>
        <v>#N/A</v>
      </c>
      <c r="WA34" s="101" t="e">
        <f t="shared" si="556"/>
        <v>#N/A</v>
      </c>
      <c r="WB34" s="101" t="e">
        <f t="shared" si="556"/>
        <v>#N/A</v>
      </c>
      <c r="WC34" s="101" t="e">
        <f t="shared" si="556"/>
        <v>#N/A</v>
      </c>
      <c r="WD34" s="101" t="e">
        <f t="shared" si="556"/>
        <v>#N/A</v>
      </c>
      <c r="WE34" s="101" t="e">
        <f t="shared" si="556"/>
        <v>#N/A</v>
      </c>
      <c r="WF34" s="101" t="e">
        <f t="shared" si="556"/>
        <v>#N/A</v>
      </c>
    </row>
    <row r="35" spans="1:604" s="44" customFormat="1" ht="17.25" customHeight="1" x14ac:dyDescent="0.3">
      <c r="A35" s="39" t="e">
        <f>IF(契約詳細價目表!A35="",NA(),契約詳細價目表!A35)</f>
        <v>#N/A</v>
      </c>
      <c r="B35" s="40" t="e">
        <f>IF(契約詳細價目表!B35="",NA(),契約詳細價目表!B35)</f>
        <v>#N/A</v>
      </c>
      <c r="C35" s="39" t="e">
        <f>IF(契約詳細價目表!C35="",NA(),契約詳細價目表!C35)</f>
        <v>#N/A</v>
      </c>
      <c r="D35" s="41" t="e">
        <f>IF(契約詳細價目表!D35="",NA(),契約詳細價目表!D35)</f>
        <v>#N/A</v>
      </c>
      <c r="E35" s="42">
        <f>IF(契約詳細價目表!E35="",NA(),契約詳細價目表!E35)</f>
        <v>0</v>
      </c>
      <c r="F35" s="42">
        <f>IF(契約詳細價目表!F35="",NA(),契約詳細價目表!F35)</f>
        <v>0</v>
      </c>
      <c r="G35" s="106" t="e">
        <f t="shared" si="536"/>
        <v>#N/A</v>
      </c>
      <c r="H35" s="87" t="e">
        <f t="shared" si="547"/>
        <v>#N/A</v>
      </c>
      <c r="I35" s="43" t="e">
        <f t="shared" si="535"/>
        <v>#N/A</v>
      </c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5"/>
      <c r="CE35" s="105"/>
      <c r="CF35" s="105"/>
      <c r="CG35" s="105"/>
      <c r="CH35" s="105"/>
      <c r="CI35" s="105"/>
      <c r="CJ35" s="105"/>
      <c r="CK35" s="105"/>
      <c r="CL35" s="105"/>
      <c r="CM35" s="105"/>
      <c r="CN35" s="105"/>
      <c r="CO35" s="105"/>
      <c r="CP35" s="105"/>
      <c r="CQ35" s="105"/>
      <c r="CR35" s="105"/>
      <c r="CS35" s="105"/>
      <c r="CT35" s="105" t="e">
        <f t="shared" ref="CT35:EH35" si="557">ROUND(SUMPRODUCT($E$2:$E$26,CT$2:CT$26)*5%,0)</f>
        <v>#N/A</v>
      </c>
      <c r="CU35" s="105"/>
      <c r="CV35" s="105"/>
      <c r="CW35" s="105" t="e">
        <f t="shared" si="557"/>
        <v>#N/A</v>
      </c>
      <c r="CX35" s="105"/>
      <c r="CY35" s="105"/>
      <c r="CZ35" s="105"/>
      <c r="DA35" s="105" t="e">
        <f t="shared" si="557"/>
        <v>#N/A</v>
      </c>
      <c r="DB35" s="105"/>
      <c r="DC35" s="105"/>
      <c r="DD35" s="105" t="e">
        <f t="shared" si="557"/>
        <v>#N/A</v>
      </c>
      <c r="DE35" s="105"/>
      <c r="DF35" s="105"/>
      <c r="DG35" s="105"/>
      <c r="DH35" s="105" t="e">
        <f t="shared" si="557"/>
        <v>#N/A</v>
      </c>
      <c r="DI35" s="105" t="e">
        <f t="shared" si="557"/>
        <v>#N/A</v>
      </c>
      <c r="DJ35" s="105" t="e">
        <f t="shared" si="557"/>
        <v>#N/A</v>
      </c>
      <c r="DK35" s="105" t="e">
        <f t="shared" si="557"/>
        <v>#N/A</v>
      </c>
      <c r="DL35" s="105" t="e">
        <f t="shared" si="557"/>
        <v>#N/A</v>
      </c>
      <c r="DM35" s="105" t="e">
        <f t="shared" si="557"/>
        <v>#N/A</v>
      </c>
      <c r="DN35" s="105" t="e">
        <f t="shared" si="557"/>
        <v>#N/A</v>
      </c>
      <c r="DO35" s="105" t="e">
        <f t="shared" si="557"/>
        <v>#N/A</v>
      </c>
      <c r="DP35" s="105" t="e">
        <f t="shared" si="557"/>
        <v>#N/A</v>
      </c>
      <c r="DQ35" s="105" t="e">
        <f t="shared" si="557"/>
        <v>#N/A</v>
      </c>
      <c r="DR35" s="105" t="e">
        <f t="shared" si="557"/>
        <v>#N/A</v>
      </c>
      <c r="DS35" s="105" t="e">
        <f t="shared" si="557"/>
        <v>#N/A</v>
      </c>
      <c r="DT35" s="105" t="e">
        <f t="shared" si="557"/>
        <v>#N/A</v>
      </c>
      <c r="DU35" s="105" t="e">
        <f t="shared" si="557"/>
        <v>#N/A</v>
      </c>
      <c r="DV35" s="105" t="e">
        <f t="shared" si="557"/>
        <v>#N/A</v>
      </c>
      <c r="DW35" s="105" t="e">
        <f t="shared" si="557"/>
        <v>#N/A</v>
      </c>
      <c r="DX35" s="105" t="e">
        <f t="shared" si="557"/>
        <v>#N/A</v>
      </c>
      <c r="DY35" s="105" t="e">
        <f t="shared" si="557"/>
        <v>#N/A</v>
      </c>
      <c r="DZ35" s="105" t="e">
        <f t="shared" si="557"/>
        <v>#N/A</v>
      </c>
      <c r="EA35" s="105" t="e">
        <f t="shared" si="557"/>
        <v>#N/A</v>
      </c>
      <c r="EB35" s="105" t="e">
        <f t="shared" si="557"/>
        <v>#N/A</v>
      </c>
      <c r="EC35" s="105" t="e">
        <f t="shared" si="557"/>
        <v>#N/A</v>
      </c>
      <c r="ED35" s="105" t="e">
        <f t="shared" si="557"/>
        <v>#N/A</v>
      </c>
      <c r="EE35" s="105" t="e">
        <f t="shared" si="557"/>
        <v>#N/A</v>
      </c>
      <c r="EF35" s="105" t="e">
        <f t="shared" si="557"/>
        <v>#N/A</v>
      </c>
      <c r="EG35" s="105" t="e">
        <f t="shared" si="557"/>
        <v>#N/A</v>
      </c>
      <c r="EH35" s="105" t="e">
        <f t="shared" si="557"/>
        <v>#N/A</v>
      </c>
      <c r="EI35" s="105" t="e">
        <f t="shared" ref="EI35:GT35" si="558">ROUND(SUMPRODUCT($E$2:$E$26,EI$2:EI$26)*5%,0)</f>
        <v>#N/A</v>
      </c>
      <c r="EJ35" s="105" t="e">
        <f t="shared" si="558"/>
        <v>#N/A</v>
      </c>
      <c r="EK35" s="105" t="e">
        <f t="shared" si="558"/>
        <v>#N/A</v>
      </c>
      <c r="EL35" s="105" t="e">
        <f t="shared" si="558"/>
        <v>#N/A</v>
      </c>
      <c r="EM35" s="105" t="e">
        <f t="shared" si="558"/>
        <v>#N/A</v>
      </c>
      <c r="EN35" s="105" t="e">
        <f t="shared" si="558"/>
        <v>#N/A</v>
      </c>
      <c r="EO35" s="105" t="e">
        <f t="shared" si="558"/>
        <v>#N/A</v>
      </c>
      <c r="EP35" s="105" t="e">
        <f t="shared" si="558"/>
        <v>#N/A</v>
      </c>
      <c r="EQ35" s="105" t="e">
        <f t="shared" si="558"/>
        <v>#N/A</v>
      </c>
      <c r="ER35" s="105" t="e">
        <f t="shared" si="558"/>
        <v>#N/A</v>
      </c>
      <c r="ES35" s="105" t="e">
        <f t="shared" si="558"/>
        <v>#N/A</v>
      </c>
      <c r="ET35" s="105" t="e">
        <f t="shared" si="558"/>
        <v>#N/A</v>
      </c>
      <c r="EU35" s="105" t="e">
        <f t="shared" si="558"/>
        <v>#N/A</v>
      </c>
      <c r="EV35" s="105" t="e">
        <f t="shared" si="558"/>
        <v>#N/A</v>
      </c>
      <c r="EW35" s="105" t="e">
        <f t="shared" si="558"/>
        <v>#N/A</v>
      </c>
      <c r="EX35" s="105" t="e">
        <f t="shared" si="558"/>
        <v>#N/A</v>
      </c>
      <c r="EY35" s="105" t="e">
        <f t="shared" si="558"/>
        <v>#N/A</v>
      </c>
      <c r="EZ35" s="105" t="e">
        <f t="shared" si="558"/>
        <v>#N/A</v>
      </c>
      <c r="FA35" s="105" t="e">
        <f t="shared" si="558"/>
        <v>#N/A</v>
      </c>
      <c r="FB35" s="105" t="e">
        <f t="shared" si="558"/>
        <v>#N/A</v>
      </c>
      <c r="FC35" s="105" t="e">
        <f t="shared" si="558"/>
        <v>#N/A</v>
      </c>
      <c r="FD35" s="105" t="e">
        <f t="shared" si="558"/>
        <v>#N/A</v>
      </c>
      <c r="FE35" s="105" t="e">
        <f t="shared" si="558"/>
        <v>#N/A</v>
      </c>
      <c r="FF35" s="105" t="e">
        <f t="shared" si="558"/>
        <v>#N/A</v>
      </c>
      <c r="FG35" s="105" t="e">
        <f t="shared" si="558"/>
        <v>#N/A</v>
      </c>
      <c r="FH35" s="105" t="e">
        <f t="shared" si="558"/>
        <v>#N/A</v>
      </c>
      <c r="FI35" s="105" t="e">
        <f t="shared" si="558"/>
        <v>#N/A</v>
      </c>
      <c r="FJ35" s="105" t="e">
        <f t="shared" si="558"/>
        <v>#N/A</v>
      </c>
      <c r="FK35" s="105" t="e">
        <f t="shared" si="558"/>
        <v>#N/A</v>
      </c>
      <c r="FL35" s="105" t="e">
        <f t="shared" si="558"/>
        <v>#N/A</v>
      </c>
      <c r="FM35" s="105" t="e">
        <f t="shared" si="558"/>
        <v>#N/A</v>
      </c>
      <c r="FN35" s="105" t="e">
        <f t="shared" si="558"/>
        <v>#N/A</v>
      </c>
      <c r="FO35" s="105" t="e">
        <f t="shared" si="558"/>
        <v>#N/A</v>
      </c>
      <c r="FP35" s="105" t="e">
        <f t="shared" si="558"/>
        <v>#N/A</v>
      </c>
      <c r="FQ35" s="105" t="e">
        <f t="shared" si="558"/>
        <v>#N/A</v>
      </c>
      <c r="FR35" s="105" t="e">
        <f t="shared" si="558"/>
        <v>#N/A</v>
      </c>
      <c r="FS35" s="105" t="e">
        <f t="shared" si="558"/>
        <v>#N/A</v>
      </c>
      <c r="FT35" s="105" t="e">
        <f t="shared" si="558"/>
        <v>#N/A</v>
      </c>
      <c r="FU35" s="101" t="e">
        <f t="shared" si="558"/>
        <v>#N/A</v>
      </c>
      <c r="FV35" s="101" t="e">
        <f t="shared" si="558"/>
        <v>#N/A</v>
      </c>
      <c r="FW35" s="101" t="e">
        <f t="shared" si="558"/>
        <v>#N/A</v>
      </c>
      <c r="FX35" s="101" t="e">
        <f t="shared" si="558"/>
        <v>#N/A</v>
      </c>
      <c r="FY35" s="101" t="e">
        <f t="shared" si="558"/>
        <v>#N/A</v>
      </c>
      <c r="FZ35" s="101" t="e">
        <f t="shared" si="558"/>
        <v>#N/A</v>
      </c>
      <c r="GA35" s="101" t="e">
        <f t="shared" si="558"/>
        <v>#N/A</v>
      </c>
      <c r="GB35" s="101" t="e">
        <f t="shared" si="558"/>
        <v>#N/A</v>
      </c>
      <c r="GC35" s="101" t="e">
        <f t="shared" si="558"/>
        <v>#N/A</v>
      </c>
      <c r="GD35" s="101" t="e">
        <f t="shared" si="558"/>
        <v>#N/A</v>
      </c>
      <c r="GE35" s="101" t="e">
        <f t="shared" si="558"/>
        <v>#N/A</v>
      </c>
      <c r="GF35" s="101" t="e">
        <f t="shared" si="558"/>
        <v>#N/A</v>
      </c>
      <c r="GG35" s="101" t="e">
        <f t="shared" si="558"/>
        <v>#N/A</v>
      </c>
      <c r="GH35" s="101" t="e">
        <f t="shared" si="558"/>
        <v>#N/A</v>
      </c>
      <c r="GI35" s="101" t="e">
        <f t="shared" si="558"/>
        <v>#N/A</v>
      </c>
      <c r="GJ35" s="101" t="e">
        <f t="shared" si="558"/>
        <v>#N/A</v>
      </c>
      <c r="GK35" s="101" t="e">
        <f t="shared" si="558"/>
        <v>#N/A</v>
      </c>
      <c r="GL35" s="101" t="e">
        <f t="shared" si="558"/>
        <v>#N/A</v>
      </c>
      <c r="GM35" s="101" t="e">
        <f t="shared" si="558"/>
        <v>#N/A</v>
      </c>
      <c r="GN35" s="101" t="e">
        <f t="shared" si="558"/>
        <v>#N/A</v>
      </c>
      <c r="GO35" s="101" t="e">
        <f t="shared" si="558"/>
        <v>#N/A</v>
      </c>
      <c r="GP35" s="101" t="e">
        <f t="shared" si="558"/>
        <v>#N/A</v>
      </c>
      <c r="GQ35" s="101" t="e">
        <f t="shared" si="558"/>
        <v>#N/A</v>
      </c>
      <c r="GR35" s="101" t="e">
        <f t="shared" si="558"/>
        <v>#N/A</v>
      </c>
      <c r="GS35" s="101" t="e">
        <f t="shared" si="558"/>
        <v>#N/A</v>
      </c>
      <c r="GT35" s="101" t="e">
        <f t="shared" si="558"/>
        <v>#N/A</v>
      </c>
      <c r="GU35" s="101" t="e">
        <f t="shared" ref="GU35:JF35" si="559">ROUND(SUMPRODUCT($E$2:$E$26,GU$2:GU$26)*5%,0)</f>
        <v>#N/A</v>
      </c>
      <c r="GV35" s="101" t="e">
        <f t="shared" si="559"/>
        <v>#N/A</v>
      </c>
      <c r="GW35" s="101" t="e">
        <f t="shared" si="559"/>
        <v>#N/A</v>
      </c>
      <c r="GX35" s="101" t="e">
        <f t="shared" si="559"/>
        <v>#N/A</v>
      </c>
      <c r="GY35" s="101" t="e">
        <f t="shared" si="559"/>
        <v>#N/A</v>
      </c>
      <c r="GZ35" s="101" t="e">
        <f t="shared" si="559"/>
        <v>#N/A</v>
      </c>
      <c r="HA35" s="101" t="e">
        <f t="shared" si="559"/>
        <v>#N/A</v>
      </c>
      <c r="HB35" s="101" t="e">
        <f t="shared" si="559"/>
        <v>#N/A</v>
      </c>
      <c r="HC35" s="101" t="e">
        <f t="shared" si="559"/>
        <v>#N/A</v>
      </c>
      <c r="HD35" s="101" t="e">
        <f t="shared" si="559"/>
        <v>#N/A</v>
      </c>
      <c r="HE35" s="101" t="e">
        <f t="shared" si="559"/>
        <v>#N/A</v>
      </c>
      <c r="HF35" s="101" t="e">
        <f t="shared" si="559"/>
        <v>#N/A</v>
      </c>
      <c r="HG35" s="101" t="e">
        <f t="shared" si="559"/>
        <v>#N/A</v>
      </c>
      <c r="HH35" s="101" t="e">
        <f t="shared" si="559"/>
        <v>#N/A</v>
      </c>
      <c r="HI35" s="101" t="e">
        <f t="shared" si="559"/>
        <v>#N/A</v>
      </c>
      <c r="HJ35" s="101" t="e">
        <f t="shared" si="559"/>
        <v>#N/A</v>
      </c>
      <c r="HK35" s="101" t="e">
        <f t="shared" si="559"/>
        <v>#N/A</v>
      </c>
      <c r="HL35" s="101" t="e">
        <f t="shared" si="559"/>
        <v>#N/A</v>
      </c>
      <c r="HM35" s="101" t="e">
        <f t="shared" si="559"/>
        <v>#N/A</v>
      </c>
      <c r="HN35" s="101" t="e">
        <f t="shared" si="559"/>
        <v>#N/A</v>
      </c>
      <c r="HO35" s="101" t="e">
        <f t="shared" si="559"/>
        <v>#N/A</v>
      </c>
      <c r="HP35" s="101" t="e">
        <f t="shared" si="559"/>
        <v>#N/A</v>
      </c>
      <c r="HQ35" s="101" t="e">
        <f t="shared" si="559"/>
        <v>#N/A</v>
      </c>
      <c r="HR35" s="101" t="e">
        <f t="shared" si="559"/>
        <v>#N/A</v>
      </c>
      <c r="HS35" s="101" t="e">
        <f t="shared" si="559"/>
        <v>#N/A</v>
      </c>
      <c r="HT35" s="101" t="e">
        <f t="shared" si="559"/>
        <v>#N/A</v>
      </c>
      <c r="HU35" s="101" t="e">
        <f t="shared" si="559"/>
        <v>#N/A</v>
      </c>
      <c r="HV35" s="101" t="e">
        <f t="shared" si="559"/>
        <v>#N/A</v>
      </c>
      <c r="HW35" s="101" t="e">
        <f t="shared" si="559"/>
        <v>#N/A</v>
      </c>
      <c r="HX35" s="101" t="e">
        <f t="shared" si="559"/>
        <v>#N/A</v>
      </c>
      <c r="HY35" s="101" t="e">
        <f t="shared" si="559"/>
        <v>#N/A</v>
      </c>
      <c r="HZ35" s="101" t="e">
        <f t="shared" si="559"/>
        <v>#N/A</v>
      </c>
      <c r="IA35" s="101" t="e">
        <f t="shared" si="559"/>
        <v>#N/A</v>
      </c>
      <c r="IB35" s="101" t="e">
        <f t="shared" si="559"/>
        <v>#N/A</v>
      </c>
      <c r="IC35" s="101" t="e">
        <f t="shared" si="559"/>
        <v>#N/A</v>
      </c>
      <c r="ID35" s="101" t="e">
        <f t="shared" si="559"/>
        <v>#N/A</v>
      </c>
      <c r="IE35" s="101" t="e">
        <f t="shared" si="559"/>
        <v>#N/A</v>
      </c>
      <c r="IF35" s="101" t="e">
        <f t="shared" si="559"/>
        <v>#N/A</v>
      </c>
      <c r="IG35" s="101" t="e">
        <f t="shared" si="559"/>
        <v>#N/A</v>
      </c>
      <c r="IH35" s="101" t="e">
        <f t="shared" si="559"/>
        <v>#N/A</v>
      </c>
      <c r="II35" s="101" t="e">
        <f t="shared" si="559"/>
        <v>#N/A</v>
      </c>
      <c r="IJ35" s="101" t="e">
        <f t="shared" si="559"/>
        <v>#N/A</v>
      </c>
      <c r="IK35" s="101" t="e">
        <f t="shared" si="559"/>
        <v>#N/A</v>
      </c>
      <c r="IL35" s="101" t="e">
        <f t="shared" si="559"/>
        <v>#N/A</v>
      </c>
      <c r="IM35" s="101" t="e">
        <f t="shared" si="559"/>
        <v>#N/A</v>
      </c>
      <c r="IN35" s="101" t="e">
        <f t="shared" si="559"/>
        <v>#N/A</v>
      </c>
      <c r="IO35" s="101" t="e">
        <f t="shared" si="559"/>
        <v>#N/A</v>
      </c>
      <c r="IP35" s="101" t="e">
        <f t="shared" si="559"/>
        <v>#N/A</v>
      </c>
      <c r="IQ35" s="101" t="e">
        <f t="shared" si="559"/>
        <v>#N/A</v>
      </c>
      <c r="IR35" s="101" t="e">
        <f t="shared" si="559"/>
        <v>#N/A</v>
      </c>
      <c r="IS35" s="101" t="e">
        <f t="shared" si="559"/>
        <v>#N/A</v>
      </c>
      <c r="IT35" s="101" t="e">
        <f t="shared" si="559"/>
        <v>#N/A</v>
      </c>
      <c r="IU35" s="101" t="e">
        <f t="shared" si="559"/>
        <v>#N/A</v>
      </c>
      <c r="IV35" s="101" t="e">
        <f t="shared" si="559"/>
        <v>#N/A</v>
      </c>
      <c r="IW35" s="101" t="e">
        <f t="shared" si="559"/>
        <v>#N/A</v>
      </c>
      <c r="IX35" s="101" t="e">
        <f t="shared" si="559"/>
        <v>#N/A</v>
      </c>
      <c r="IY35" s="101" t="e">
        <f t="shared" si="559"/>
        <v>#N/A</v>
      </c>
      <c r="IZ35" s="101" t="e">
        <f t="shared" si="559"/>
        <v>#N/A</v>
      </c>
      <c r="JA35" s="101" t="e">
        <f t="shared" si="559"/>
        <v>#N/A</v>
      </c>
      <c r="JB35" s="101" t="e">
        <f t="shared" si="559"/>
        <v>#N/A</v>
      </c>
      <c r="JC35" s="101" t="e">
        <f t="shared" si="559"/>
        <v>#N/A</v>
      </c>
      <c r="JD35" s="101" t="e">
        <f t="shared" si="559"/>
        <v>#N/A</v>
      </c>
      <c r="JE35" s="101" t="e">
        <f t="shared" si="559"/>
        <v>#N/A</v>
      </c>
      <c r="JF35" s="101" t="e">
        <f t="shared" si="559"/>
        <v>#N/A</v>
      </c>
      <c r="JG35" s="101" t="e">
        <f t="shared" ref="JG35:LR35" si="560">ROUND(SUMPRODUCT($E$2:$E$26,JG$2:JG$26)*5%,0)</f>
        <v>#N/A</v>
      </c>
      <c r="JH35" s="101" t="e">
        <f t="shared" si="560"/>
        <v>#N/A</v>
      </c>
      <c r="JI35" s="101" t="e">
        <f t="shared" si="560"/>
        <v>#N/A</v>
      </c>
      <c r="JJ35" s="101" t="e">
        <f t="shared" si="560"/>
        <v>#N/A</v>
      </c>
      <c r="JK35" s="101" t="e">
        <f t="shared" si="560"/>
        <v>#N/A</v>
      </c>
      <c r="JL35" s="101" t="e">
        <f t="shared" si="560"/>
        <v>#N/A</v>
      </c>
      <c r="JM35" s="101" t="e">
        <f t="shared" si="560"/>
        <v>#N/A</v>
      </c>
      <c r="JN35" s="101" t="e">
        <f t="shared" si="560"/>
        <v>#N/A</v>
      </c>
      <c r="JO35" s="101" t="e">
        <f t="shared" si="560"/>
        <v>#N/A</v>
      </c>
      <c r="JP35" s="101" t="e">
        <f t="shared" si="560"/>
        <v>#N/A</v>
      </c>
      <c r="JQ35" s="101" t="e">
        <f t="shared" si="560"/>
        <v>#N/A</v>
      </c>
      <c r="JR35" s="101" t="e">
        <f t="shared" si="560"/>
        <v>#N/A</v>
      </c>
      <c r="JS35" s="101" t="e">
        <f t="shared" si="560"/>
        <v>#N/A</v>
      </c>
      <c r="JT35" s="101" t="e">
        <f t="shared" si="560"/>
        <v>#N/A</v>
      </c>
      <c r="JU35" s="101" t="e">
        <f t="shared" si="560"/>
        <v>#N/A</v>
      </c>
      <c r="JV35" s="101" t="e">
        <f t="shared" si="560"/>
        <v>#N/A</v>
      </c>
      <c r="JW35" s="101" t="e">
        <f t="shared" si="560"/>
        <v>#N/A</v>
      </c>
      <c r="JX35" s="101" t="e">
        <f t="shared" si="560"/>
        <v>#N/A</v>
      </c>
      <c r="JY35" s="101" t="e">
        <f t="shared" si="560"/>
        <v>#N/A</v>
      </c>
      <c r="JZ35" s="101" t="e">
        <f t="shared" si="560"/>
        <v>#N/A</v>
      </c>
      <c r="KA35" s="101" t="e">
        <f t="shared" si="560"/>
        <v>#N/A</v>
      </c>
      <c r="KB35" s="101" t="e">
        <f t="shared" si="560"/>
        <v>#N/A</v>
      </c>
      <c r="KC35" s="101" t="e">
        <f t="shared" si="560"/>
        <v>#N/A</v>
      </c>
      <c r="KD35" s="101" t="e">
        <f t="shared" si="560"/>
        <v>#N/A</v>
      </c>
      <c r="KE35" s="101" t="e">
        <f t="shared" si="560"/>
        <v>#N/A</v>
      </c>
      <c r="KF35" s="101" t="e">
        <f t="shared" si="560"/>
        <v>#N/A</v>
      </c>
      <c r="KG35" s="101" t="e">
        <f t="shared" si="560"/>
        <v>#N/A</v>
      </c>
      <c r="KH35" s="101" t="e">
        <f t="shared" si="560"/>
        <v>#N/A</v>
      </c>
      <c r="KI35" s="101" t="e">
        <f t="shared" si="560"/>
        <v>#N/A</v>
      </c>
      <c r="KJ35" s="101" t="e">
        <f t="shared" si="560"/>
        <v>#N/A</v>
      </c>
      <c r="KK35" s="101" t="e">
        <f t="shared" si="560"/>
        <v>#N/A</v>
      </c>
      <c r="KL35" s="101" t="e">
        <f t="shared" si="560"/>
        <v>#N/A</v>
      </c>
      <c r="KM35" s="101" t="e">
        <f t="shared" si="560"/>
        <v>#N/A</v>
      </c>
      <c r="KN35" s="101" t="e">
        <f t="shared" si="560"/>
        <v>#N/A</v>
      </c>
      <c r="KO35" s="101" t="e">
        <f t="shared" si="560"/>
        <v>#N/A</v>
      </c>
      <c r="KP35" s="101" t="e">
        <f t="shared" si="560"/>
        <v>#N/A</v>
      </c>
      <c r="KQ35" s="101" t="e">
        <f t="shared" si="560"/>
        <v>#N/A</v>
      </c>
      <c r="KR35" s="101" t="e">
        <f t="shared" si="560"/>
        <v>#N/A</v>
      </c>
      <c r="KS35" s="101" t="e">
        <f t="shared" si="560"/>
        <v>#N/A</v>
      </c>
      <c r="KT35" s="101" t="e">
        <f t="shared" si="560"/>
        <v>#N/A</v>
      </c>
      <c r="KU35" s="101" t="e">
        <f t="shared" si="560"/>
        <v>#N/A</v>
      </c>
      <c r="KV35" s="101" t="e">
        <f t="shared" si="560"/>
        <v>#N/A</v>
      </c>
      <c r="KW35" s="101" t="e">
        <f t="shared" si="560"/>
        <v>#N/A</v>
      </c>
      <c r="KX35" s="101" t="e">
        <f t="shared" si="560"/>
        <v>#N/A</v>
      </c>
      <c r="KY35" s="101" t="e">
        <f t="shared" si="560"/>
        <v>#N/A</v>
      </c>
      <c r="KZ35" s="101" t="e">
        <f t="shared" si="560"/>
        <v>#N/A</v>
      </c>
      <c r="LA35" s="101" t="e">
        <f t="shared" si="560"/>
        <v>#N/A</v>
      </c>
      <c r="LB35" s="101" t="e">
        <f t="shared" si="560"/>
        <v>#N/A</v>
      </c>
      <c r="LC35" s="101" t="e">
        <f t="shared" si="560"/>
        <v>#N/A</v>
      </c>
      <c r="LD35" s="101" t="e">
        <f t="shared" si="560"/>
        <v>#N/A</v>
      </c>
      <c r="LE35" s="101" t="e">
        <f t="shared" si="560"/>
        <v>#N/A</v>
      </c>
      <c r="LF35" s="101" t="e">
        <f t="shared" si="560"/>
        <v>#N/A</v>
      </c>
      <c r="LG35" s="101" t="e">
        <f t="shared" si="560"/>
        <v>#N/A</v>
      </c>
      <c r="LH35" s="101" t="e">
        <f t="shared" si="560"/>
        <v>#N/A</v>
      </c>
      <c r="LI35" s="101" t="e">
        <f t="shared" si="560"/>
        <v>#N/A</v>
      </c>
      <c r="LJ35" s="101" t="e">
        <f t="shared" si="560"/>
        <v>#N/A</v>
      </c>
      <c r="LK35" s="101" t="e">
        <f t="shared" si="560"/>
        <v>#N/A</v>
      </c>
      <c r="LL35" s="101" t="e">
        <f t="shared" si="560"/>
        <v>#N/A</v>
      </c>
      <c r="LM35" s="101" t="e">
        <f t="shared" si="560"/>
        <v>#N/A</v>
      </c>
      <c r="LN35" s="101" t="e">
        <f t="shared" si="560"/>
        <v>#N/A</v>
      </c>
      <c r="LO35" s="101" t="e">
        <f t="shared" si="560"/>
        <v>#N/A</v>
      </c>
      <c r="LP35" s="101" t="e">
        <f t="shared" si="560"/>
        <v>#N/A</v>
      </c>
      <c r="LQ35" s="101" t="e">
        <f t="shared" si="560"/>
        <v>#N/A</v>
      </c>
      <c r="LR35" s="101" t="e">
        <f t="shared" si="560"/>
        <v>#N/A</v>
      </c>
      <c r="LS35" s="101" t="e">
        <f t="shared" ref="LS35:OD35" si="561">ROUND(SUMPRODUCT($E$2:$E$26,LS$2:LS$26)*5%,0)</f>
        <v>#N/A</v>
      </c>
      <c r="LT35" s="101" t="e">
        <f t="shared" si="561"/>
        <v>#N/A</v>
      </c>
      <c r="LU35" s="101" t="e">
        <f t="shared" si="561"/>
        <v>#N/A</v>
      </c>
      <c r="LV35" s="101" t="e">
        <f t="shared" si="561"/>
        <v>#N/A</v>
      </c>
      <c r="LW35" s="101" t="e">
        <f t="shared" si="561"/>
        <v>#N/A</v>
      </c>
      <c r="LX35" s="101" t="e">
        <f t="shared" si="561"/>
        <v>#N/A</v>
      </c>
      <c r="LY35" s="101" t="e">
        <f t="shared" si="561"/>
        <v>#N/A</v>
      </c>
      <c r="LZ35" s="101" t="e">
        <f t="shared" si="561"/>
        <v>#N/A</v>
      </c>
      <c r="MA35" s="101" t="e">
        <f t="shared" si="561"/>
        <v>#N/A</v>
      </c>
      <c r="MB35" s="101" t="e">
        <f t="shared" si="561"/>
        <v>#N/A</v>
      </c>
      <c r="MC35" s="101" t="e">
        <f t="shared" si="561"/>
        <v>#N/A</v>
      </c>
      <c r="MD35" s="101" t="e">
        <f t="shared" si="561"/>
        <v>#N/A</v>
      </c>
      <c r="ME35" s="101" t="e">
        <f t="shared" si="561"/>
        <v>#N/A</v>
      </c>
      <c r="MF35" s="101" t="e">
        <f t="shared" si="561"/>
        <v>#N/A</v>
      </c>
      <c r="MG35" s="101" t="e">
        <f t="shared" si="561"/>
        <v>#N/A</v>
      </c>
      <c r="MH35" s="101" t="e">
        <f t="shared" si="561"/>
        <v>#N/A</v>
      </c>
      <c r="MI35" s="101" t="e">
        <f t="shared" si="561"/>
        <v>#N/A</v>
      </c>
      <c r="MJ35" s="101" t="e">
        <f t="shared" si="561"/>
        <v>#N/A</v>
      </c>
      <c r="MK35" s="101" t="e">
        <f t="shared" si="561"/>
        <v>#N/A</v>
      </c>
      <c r="ML35" s="101" t="e">
        <f t="shared" si="561"/>
        <v>#N/A</v>
      </c>
      <c r="MM35" s="101" t="e">
        <f t="shared" si="561"/>
        <v>#N/A</v>
      </c>
      <c r="MN35" s="101" t="e">
        <f t="shared" si="561"/>
        <v>#N/A</v>
      </c>
      <c r="MO35" s="101" t="e">
        <f t="shared" si="561"/>
        <v>#N/A</v>
      </c>
      <c r="MP35" s="101" t="e">
        <f t="shared" si="561"/>
        <v>#N/A</v>
      </c>
      <c r="MQ35" s="101" t="e">
        <f t="shared" si="561"/>
        <v>#N/A</v>
      </c>
      <c r="MR35" s="101" t="e">
        <f t="shared" si="561"/>
        <v>#N/A</v>
      </c>
      <c r="MS35" s="101" t="e">
        <f t="shared" si="561"/>
        <v>#N/A</v>
      </c>
      <c r="MT35" s="101" t="e">
        <f t="shared" si="561"/>
        <v>#N/A</v>
      </c>
      <c r="MU35" s="101" t="e">
        <f t="shared" si="561"/>
        <v>#N/A</v>
      </c>
      <c r="MV35" s="101" t="e">
        <f t="shared" si="561"/>
        <v>#N/A</v>
      </c>
      <c r="MW35" s="101" t="e">
        <f t="shared" si="561"/>
        <v>#N/A</v>
      </c>
      <c r="MX35" s="101" t="e">
        <f t="shared" si="561"/>
        <v>#N/A</v>
      </c>
      <c r="MY35" s="101" t="e">
        <f t="shared" si="561"/>
        <v>#N/A</v>
      </c>
      <c r="MZ35" s="101" t="e">
        <f t="shared" si="561"/>
        <v>#N/A</v>
      </c>
      <c r="NA35" s="101" t="e">
        <f t="shared" si="561"/>
        <v>#N/A</v>
      </c>
      <c r="NB35" s="101" t="e">
        <f t="shared" si="561"/>
        <v>#N/A</v>
      </c>
      <c r="NC35" s="101" t="e">
        <f t="shared" si="561"/>
        <v>#N/A</v>
      </c>
      <c r="ND35" s="101" t="e">
        <f t="shared" si="561"/>
        <v>#N/A</v>
      </c>
      <c r="NE35" s="101" t="e">
        <f t="shared" si="561"/>
        <v>#N/A</v>
      </c>
      <c r="NF35" s="101" t="e">
        <f t="shared" si="561"/>
        <v>#N/A</v>
      </c>
      <c r="NG35" s="101" t="e">
        <f t="shared" si="561"/>
        <v>#N/A</v>
      </c>
      <c r="NH35" s="101" t="e">
        <f t="shared" si="561"/>
        <v>#N/A</v>
      </c>
      <c r="NI35" s="101" t="e">
        <f t="shared" si="561"/>
        <v>#N/A</v>
      </c>
      <c r="NJ35" s="101" t="e">
        <f t="shared" si="561"/>
        <v>#N/A</v>
      </c>
      <c r="NK35" s="101" t="e">
        <f t="shared" si="561"/>
        <v>#N/A</v>
      </c>
      <c r="NL35" s="101" t="e">
        <f t="shared" si="561"/>
        <v>#N/A</v>
      </c>
      <c r="NM35" s="101" t="e">
        <f t="shared" si="561"/>
        <v>#N/A</v>
      </c>
      <c r="NN35" s="101" t="e">
        <f t="shared" si="561"/>
        <v>#N/A</v>
      </c>
      <c r="NO35" s="101" t="e">
        <f t="shared" si="561"/>
        <v>#N/A</v>
      </c>
      <c r="NP35" s="101" t="e">
        <f t="shared" si="561"/>
        <v>#N/A</v>
      </c>
      <c r="NQ35" s="101" t="e">
        <f t="shared" si="561"/>
        <v>#N/A</v>
      </c>
      <c r="NR35" s="101" t="e">
        <f t="shared" si="561"/>
        <v>#N/A</v>
      </c>
      <c r="NS35" s="101" t="e">
        <f t="shared" si="561"/>
        <v>#N/A</v>
      </c>
      <c r="NT35" s="101" t="e">
        <f t="shared" si="561"/>
        <v>#N/A</v>
      </c>
      <c r="NU35" s="101" t="e">
        <f t="shared" si="561"/>
        <v>#N/A</v>
      </c>
      <c r="NV35" s="101" t="e">
        <f t="shared" si="561"/>
        <v>#N/A</v>
      </c>
      <c r="NW35" s="101" t="e">
        <f t="shared" si="561"/>
        <v>#N/A</v>
      </c>
      <c r="NX35" s="101" t="e">
        <f t="shared" si="561"/>
        <v>#N/A</v>
      </c>
      <c r="NY35" s="101" t="e">
        <f t="shared" si="561"/>
        <v>#N/A</v>
      </c>
      <c r="NZ35" s="101" t="e">
        <f t="shared" si="561"/>
        <v>#N/A</v>
      </c>
      <c r="OA35" s="101" t="e">
        <f t="shared" si="561"/>
        <v>#N/A</v>
      </c>
      <c r="OB35" s="101" t="e">
        <f t="shared" si="561"/>
        <v>#N/A</v>
      </c>
      <c r="OC35" s="101" t="e">
        <f t="shared" si="561"/>
        <v>#N/A</v>
      </c>
      <c r="OD35" s="101" t="e">
        <f t="shared" si="561"/>
        <v>#N/A</v>
      </c>
      <c r="OE35" s="101" t="e">
        <f t="shared" ref="OE35:QP35" si="562">ROUND(SUMPRODUCT($E$2:$E$26,OE$2:OE$26)*5%,0)</f>
        <v>#N/A</v>
      </c>
      <c r="OF35" s="101" t="e">
        <f t="shared" si="562"/>
        <v>#N/A</v>
      </c>
      <c r="OG35" s="101" t="e">
        <f t="shared" si="562"/>
        <v>#N/A</v>
      </c>
      <c r="OH35" s="101" t="e">
        <f t="shared" si="562"/>
        <v>#N/A</v>
      </c>
      <c r="OI35" s="101" t="e">
        <f t="shared" si="562"/>
        <v>#N/A</v>
      </c>
      <c r="OJ35" s="101" t="e">
        <f t="shared" si="562"/>
        <v>#N/A</v>
      </c>
      <c r="OK35" s="101" t="e">
        <f t="shared" si="562"/>
        <v>#N/A</v>
      </c>
      <c r="OL35" s="101" t="e">
        <f t="shared" si="562"/>
        <v>#N/A</v>
      </c>
      <c r="OM35" s="101" t="e">
        <f t="shared" si="562"/>
        <v>#N/A</v>
      </c>
      <c r="ON35" s="101" t="e">
        <f t="shared" si="562"/>
        <v>#N/A</v>
      </c>
      <c r="OO35" s="101" t="e">
        <f t="shared" si="562"/>
        <v>#N/A</v>
      </c>
      <c r="OP35" s="101" t="e">
        <f t="shared" si="562"/>
        <v>#N/A</v>
      </c>
      <c r="OQ35" s="101" t="e">
        <f t="shared" si="562"/>
        <v>#N/A</v>
      </c>
      <c r="OR35" s="101" t="e">
        <f t="shared" si="562"/>
        <v>#N/A</v>
      </c>
      <c r="OS35" s="101" t="e">
        <f t="shared" si="562"/>
        <v>#N/A</v>
      </c>
      <c r="OT35" s="101" t="e">
        <f t="shared" si="562"/>
        <v>#N/A</v>
      </c>
      <c r="OU35" s="101" t="e">
        <f t="shared" si="562"/>
        <v>#N/A</v>
      </c>
      <c r="OV35" s="101" t="e">
        <f t="shared" si="562"/>
        <v>#N/A</v>
      </c>
      <c r="OW35" s="101" t="e">
        <f t="shared" si="562"/>
        <v>#N/A</v>
      </c>
      <c r="OX35" s="101" t="e">
        <f t="shared" si="562"/>
        <v>#N/A</v>
      </c>
      <c r="OY35" s="101" t="e">
        <f t="shared" si="562"/>
        <v>#N/A</v>
      </c>
      <c r="OZ35" s="101" t="e">
        <f t="shared" si="562"/>
        <v>#N/A</v>
      </c>
      <c r="PA35" s="101" t="e">
        <f t="shared" si="562"/>
        <v>#N/A</v>
      </c>
      <c r="PB35" s="101" t="e">
        <f t="shared" si="562"/>
        <v>#N/A</v>
      </c>
      <c r="PC35" s="101" t="e">
        <f t="shared" si="562"/>
        <v>#N/A</v>
      </c>
      <c r="PD35" s="101" t="e">
        <f t="shared" si="562"/>
        <v>#N/A</v>
      </c>
      <c r="PE35" s="101" t="e">
        <f t="shared" si="562"/>
        <v>#N/A</v>
      </c>
      <c r="PF35" s="101" t="e">
        <f t="shared" si="562"/>
        <v>#N/A</v>
      </c>
      <c r="PG35" s="101" t="e">
        <f t="shared" si="562"/>
        <v>#N/A</v>
      </c>
      <c r="PH35" s="101" t="e">
        <f t="shared" si="562"/>
        <v>#N/A</v>
      </c>
      <c r="PI35" s="101" t="e">
        <f t="shared" si="562"/>
        <v>#N/A</v>
      </c>
      <c r="PJ35" s="101" t="e">
        <f t="shared" si="562"/>
        <v>#N/A</v>
      </c>
      <c r="PK35" s="101" t="e">
        <f t="shared" si="562"/>
        <v>#N/A</v>
      </c>
      <c r="PL35" s="101" t="e">
        <f t="shared" si="562"/>
        <v>#N/A</v>
      </c>
      <c r="PM35" s="101" t="e">
        <f t="shared" si="562"/>
        <v>#N/A</v>
      </c>
      <c r="PN35" s="101" t="e">
        <f t="shared" si="562"/>
        <v>#N/A</v>
      </c>
      <c r="PO35" s="101" t="e">
        <f t="shared" si="562"/>
        <v>#N/A</v>
      </c>
      <c r="PP35" s="101" t="e">
        <f t="shared" si="562"/>
        <v>#N/A</v>
      </c>
      <c r="PQ35" s="101" t="e">
        <f t="shared" si="562"/>
        <v>#N/A</v>
      </c>
      <c r="PR35" s="101" t="e">
        <f t="shared" si="562"/>
        <v>#N/A</v>
      </c>
      <c r="PS35" s="101" t="e">
        <f t="shared" si="562"/>
        <v>#N/A</v>
      </c>
      <c r="PT35" s="101" t="e">
        <f t="shared" si="562"/>
        <v>#N/A</v>
      </c>
      <c r="PU35" s="101" t="e">
        <f t="shared" si="562"/>
        <v>#N/A</v>
      </c>
      <c r="PV35" s="101" t="e">
        <f t="shared" si="562"/>
        <v>#N/A</v>
      </c>
      <c r="PW35" s="101" t="e">
        <f t="shared" si="562"/>
        <v>#N/A</v>
      </c>
      <c r="PX35" s="101" t="e">
        <f t="shared" si="562"/>
        <v>#N/A</v>
      </c>
      <c r="PY35" s="101" t="e">
        <f t="shared" si="562"/>
        <v>#N/A</v>
      </c>
      <c r="PZ35" s="101" t="e">
        <f t="shared" si="562"/>
        <v>#N/A</v>
      </c>
      <c r="QA35" s="101" t="e">
        <f t="shared" si="562"/>
        <v>#N/A</v>
      </c>
      <c r="QB35" s="101" t="e">
        <f t="shared" si="562"/>
        <v>#N/A</v>
      </c>
      <c r="QC35" s="101" t="e">
        <f t="shared" si="562"/>
        <v>#N/A</v>
      </c>
      <c r="QD35" s="101" t="e">
        <f t="shared" si="562"/>
        <v>#N/A</v>
      </c>
      <c r="QE35" s="101" t="e">
        <f t="shared" si="562"/>
        <v>#N/A</v>
      </c>
      <c r="QF35" s="101" t="e">
        <f t="shared" si="562"/>
        <v>#N/A</v>
      </c>
      <c r="QG35" s="101" t="e">
        <f t="shared" si="562"/>
        <v>#N/A</v>
      </c>
      <c r="QH35" s="101" t="e">
        <f t="shared" si="562"/>
        <v>#N/A</v>
      </c>
      <c r="QI35" s="101" t="e">
        <f t="shared" si="562"/>
        <v>#N/A</v>
      </c>
      <c r="QJ35" s="101" t="e">
        <f t="shared" si="562"/>
        <v>#N/A</v>
      </c>
      <c r="QK35" s="101" t="e">
        <f t="shared" si="562"/>
        <v>#N/A</v>
      </c>
      <c r="QL35" s="101" t="e">
        <f t="shared" si="562"/>
        <v>#N/A</v>
      </c>
      <c r="QM35" s="101" t="e">
        <f t="shared" si="562"/>
        <v>#N/A</v>
      </c>
      <c r="QN35" s="101" t="e">
        <f t="shared" si="562"/>
        <v>#N/A</v>
      </c>
      <c r="QO35" s="101" t="e">
        <f t="shared" si="562"/>
        <v>#N/A</v>
      </c>
      <c r="QP35" s="101" t="e">
        <f t="shared" si="562"/>
        <v>#N/A</v>
      </c>
      <c r="QQ35" s="101" t="e">
        <f t="shared" ref="QQ35:TB35" si="563">ROUND(SUMPRODUCT($E$2:$E$26,QQ$2:QQ$26)*5%,0)</f>
        <v>#N/A</v>
      </c>
      <c r="QR35" s="101" t="e">
        <f t="shared" si="563"/>
        <v>#N/A</v>
      </c>
      <c r="QS35" s="101" t="e">
        <f t="shared" si="563"/>
        <v>#N/A</v>
      </c>
      <c r="QT35" s="101" t="e">
        <f t="shared" si="563"/>
        <v>#N/A</v>
      </c>
      <c r="QU35" s="101" t="e">
        <f t="shared" si="563"/>
        <v>#N/A</v>
      </c>
      <c r="QV35" s="101" t="e">
        <f t="shared" si="563"/>
        <v>#N/A</v>
      </c>
      <c r="QW35" s="101" t="e">
        <f t="shared" si="563"/>
        <v>#N/A</v>
      </c>
      <c r="QX35" s="101" t="e">
        <f t="shared" si="563"/>
        <v>#N/A</v>
      </c>
      <c r="QY35" s="101" t="e">
        <f t="shared" si="563"/>
        <v>#N/A</v>
      </c>
      <c r="QZ35" s="101" t="e">
        <f t="shared" si="563"/>
        <v>#N/A</v>
      </c>
      <c r="RA35" s="101" t="e">
        <f t="shared" si="563"/>
        <v>#N/A</v>
      </c>
      <c r="RB35" s="101" t="e">
        <f t="shared" si="563"/>
        <v>#N/A</v>
      </c>
      <c r="RC35" s="101" t="e">
        <f t="shared" si="563"/>
        <v>#N/A</v>
      </c>
      <c r="RD35" s="101" t="e">
        <f t="shared" si="563"/>
        <v>#N/A</v>
      </c>
      <c r="RE35" s="101" t="e">
        <f t="shared" si="563"/>
        <v>#N/A</v>
      </c>
      <c r="RF35" s="101" t="e">
        <f t="shared" si="563"/>
        <v>#N/A</v>
      </c>
      <c r="RG35" s="101" t="e">
        <f t="shared" si="563"/>
        <v>#N/A</v>
      </c>
      <c r="RH35" s="101" t="e">
        <f t="shared" si="563"/>
        <v>#N/A</v>
      </c>
      <c r="RI35" s="101" t="e">
        <f t="shared" si="563"/>
        <v>#N/A</v>
      </c>
      <c r="RJ35" s="101" t="e">
        <f t="shared" si="563"/>
        <v>#N/A</v>
      </c>
      <c r="RK35" s="101" t="e">
        <f t="shared" si="563"/>
        <v>#N/A</v>
      </c>
      <c r="RL35" s="101" t="e">
        <f t="shared" si="563"/>
        <v>#N/A</v>
      </c>
      <c r="RM35" s="101" t="e">
        <f t="shared" si="563"/>
        <v>#N/A</v>
      </c>
      <c r="RN35" s="101" t="e">
        <f t="shared" si="563"/>
        <v>#N/A</v>
      </c>
      <c r="RO35" s="101" t="e">
        <f t="shared" si="563"/>
        <v>#N/A</v>
      </c>
      <c r="RP35" s="101" t="e">
        <f t="shared" si="563"/>
        <v>#N/A</v>
      </c>
      <c r="RQ35" s="101" t="e">
        <f t="shared" si="563"/>
        <v>#N/A</v>
      </c>
      <c r="RR35" s="101" t="e">
        <f t="shared" si="563"/>
        <v>#N/A</v>
      </c>
      <c r="RS35" s="101" t="e">
        <f t="shared" si="563"/>
        <v>#N/A</v>
      </c>
      <c r="RT35" s="101" t="e">
        <f t="shared" si="563"/>
        <v>#N/A</v>
      </c>
      <c r="RU35" s="101" t="e">
        <f t="shared" si="563"/>
        <v>#N/A</v>
      </c>
      <c r="RV35" s="101" t="e">
        <f t="shared" si="563"/>
        <v>#N/A</v>
      </c>
      <c r="RW35" s="101" t="e">
        <f t="shared" si="563"/>
        <v>#N/A</v>
      </c>
      <c r="RX35" s="101" t="e">
        <f t="shared" si="563"/>
        <v>#N/A</v>
      </c>
      <c r="RY35" s="101" t="e">
        <f t="shared" si="563"/>
        <v>#N/A</v>
      </c>
      <c r="RZ35" s="101" t="e">
        <f t="shared" si="563"/>
        <v>#N/A</v>
      </c>
      <c r="SA35" s="101" t="e">
        <f t="shared" si="563"/>
        <v>#N/A</v>
      </c>
      <c r="SB35" s="101" t="e">
        <f t="shared" si="563"/>
        <v>#N/A</v>
      </c>
      <c r="SC35" s="101" t="e">
        <f t="shared" si="563"/>
        <v>#N/A</v>
      </c>
      <c r="SD35" s="101" t="e">
        <f t="shared" si="563"/>
        <v>#N/A</v>
      </c>
      <c r="SE35" s="101" t="e">
        <f t="shared" si="563"/>
        <v>#N/A</v>
      </c>
      <c r="SF35" s="101" t="e">
        <f t="shared" si="563"/>
        <v>#N/A</v>
      </c>
      <c r="SG35" s="101" t="e">
        <f t="shared" si="563"/>
        <v>#N/A</v>
      </c>
      <c r="SH35" s="101" t="e">
        <f t="shared" si="563"/>
        <v>#N/A</v>
      </c>
      <c r="SI35" s="101" t="e">
        <f t="shared" si="563"/>
        <v>#N/A</v>
      </c>
      <c r="SJ35" s="101" t="e">
        <f t="shared" si="563"/>
        <v>#N/A</v>
      </c>
      <c r="SK35" s="101" t="e">
        <f t="shared" si="563"/>
        <v>#N/A</v>
      </c>
      <c r="SL35" s="101" t="e">
        <f t="shared" si="563"/>
        <v>#N/A</v>
      </c>
      <c r="SM35" s="101" t="e">
        <f t="shared" si="563"/>
        <v>#N/A</v>
      </c>
      <c r="SN35" s="101" t="e">
        <f t="shared" si="563"/>
        <v>#N/A</v>
      </c>
      <c r="SO35" s="101" t="e">
        <f t="shared" si="563"/>
        <v>#N/A</v>
      </c>
      <c r="SP35" s="101" t="e">
        <f t="shared" si="563"/>
        <v>#N/A</v>
      </c>
      <c r="SQ35" s="101" t="e">
        <f t="shared" si="563"/>
        <v>#N/A</v>
      </c>
      <c r="SR35" s="101" t="e">
        <f t="shared" si="563"/>
        <v>#N/A</v>
      </c>
      <c r="SS35" s="101" t="e">
        <f t="shared" si="563"/>
        <v>#N/A</v>
      </c>
      <c r="ST35" s="101" t="e">
        <f t="shared" si="563"/>
        <v>#N/A</v>
      </c>
      <c r="SU35" s="101" t="e">
        <f t="shared" si="563"/>
        <v>#N/A</v>
      </c>
      <c r="SV35" s="101" t="e">
        <f t="shared" si="563"/>
        <v>#N/A</v>
      </c>
      <c r="SW35" s="101" t="e">
        <f t="shared" si="563"/>
        <v>#N/A</v>
      </c>
      <c r="SX35" s="101" t="e">
        <f t="shared" si="563"/>
        <v>#N/A</v>
      </c>
      <c r="SY35" s="101" t="e">
        <f t="shared" si="563"/>
        <v>#N/A</v>
      </c>
      <c r="SZ35" s="101" t="e">
        <f t="shared" si="563"/>
        <v>#N/A</v>
      </c>
      <c r="TA35" s="101" t="e">
        <f t="shared" si="563"/>
        <v>#N/A</v>
      </c>
      <c r="TB35" s="101" t="e">
        <f t="shared" si="563"/>
        <v>#N/A</v>
      </c>
      <c r="TC35" s="101" t="e">
        <f t="shared" ref="TC35:VN35" si="564">ROUND(SUMPRODUCT($E$2:$E$26,TC$2:TC$26)*5%,0)</f>
        <v>#N/A</v>
      </c>
      <c r="TD35" s="101" t="e">
        <f t="shared" si="564"/>
        <v>#N/A</v>
      </c>
      <c r="TE35" s="101" t="e">
        <f t="shared" si="564"/>
        <v>#N/A</v>
      </c>
      <c r="TF35" s="101" t="e">
        <f t="shared" si="564"/>
        <v>#N/A</v>
      </c>
      <c r="TG35" s="101" t="e">
        <f t="shared" si="564"/>
        <v>#N/A</v>
      </c>
      <c r="TH35" s="101" t="e">
        <f t="shared" si="564"/>
        <v>#N/A</v>
      </c>
      <c r="TI35" s="101" t="e">
        <f t="shared" si="564"/>
        <v>#N/A</v>
      </c>
      <c r="TJ35" s="101" t="e">
        <f t="shared" si="564"/>
        <v>#N/A</v>
      </c>
      <c r="TK35" s="101" t="e">
        <f t="shared" si="564"/>
        <v>#N/A</v>
      </c>
      <c r="TL35" s="101" t="e">
        <f t="shared" si="564"/>
        <v>#N/A</v>
      </c>
      <c r="TM35" s="101" t="e">
        <f t="shared" si="564"/>
        <v>#N/A</v>
      </c>
      <c r="TN35" s="101" t="e">
        <f t="shared" si="564"/>
        <v>#N/A</v>
      </c>
      <c r="TO35" s="101" t="e">
        <f t="shared" si="564"/>
        <v>#N/A</v>
      </c>
      <c r="TP35" s="101" t="e">
        <f t="shared" si="564"/>
        <v>#N/A</v>
      </c>
      <c r="TQ35" s="101" t="e">
        <f t="shared" si="564"/>
        <v>#N/A</v>
      </c>
      <c r="TR35" s="101" t="e">
        <f t="shared" si="564"/>
        <v>#N/A</v>
      </c>
      <c r="TS35" s="101" t="e">
        <f t="shared" si="564"/>
        <v>#N/A</v>
      </c>
      <c r="TT35" s="101" t="e">
        <f t="shared" si="564"/>
        <v>#N/A</v>
      </c>
      <c r="TU35" s="101" t="e">
        <f t="shared" si="564"/>
        <v>#N/A</v>
      </c>
      <c r="TV35" s="101" t="e">
        <f t="shared" si="564"/>
        <v>#N/A</v>
      </c>
      <c r="TW35" s="101" t="e">
        <f t="shared" si="564"/>
        <v>#N/A</v>
      </c>
      <c r="TX35" s="101" t="e">
        <f t="shared" si="564"/>
        <v>#N/A</v>
      </c>
      <c r="TY35" s="101" t="e">
        <f t="shared" si="564"/>
        <v>#N/A</v>
      </c>
      <c r="TZ35" s="101" t="e">
        <f t="shared" si="564"/>
        <v>#N/A</v>
      </c>
      <c r="UA35" s="101" t="e">
        <f t="shared" si="564"/>
        <v>#N/A</v>
      </c>
      <c r="UB35" s="101" t="e">
        <f t="shared" si="564"/>
        <v>#N/A</v>
      </c>
      <c r="UC35" s="101" t="e">
        <f t="shared" si="564"/>
        <v>#N/A</v>
      </c>
      <c r="UD35" s="101" t="e">
        <f t="shared" si="564"/>
        <v>#N/A</v>
      </c>
      <c r="UE35" s="101" t="e">
        <f t="shared" si="564"/>
        <v>#N/A</v>
      </c>
      <c r="UF35" s="101" t="e">
        <f t="shared" si="564"/>
        <v>#N/A</v>
      </c>
      <c r="UG35" s="101" t="e">
        <f t="shared" si="564"/>
        <v>#N/A</v>
      </c>
      <c r="UH35" s="101" t="e">
        <f t="shared" si="564"/>
        <v>#N/A</v>
      </c>
      <c r="UI35" s="101" t="e">
        <f t="shared" si="564"/>
        <v>#N/A</v>
      </c>
      <c r="UJ35" s="101" t="e">
        <f t="shared" si="564"/>
        <v>#N/A</v>
      </c>
      <c r="UK35" s="101" t="e">
        <f t="shared" si="564"/>
        <v>#N/A</v>
      </c>
      <c r="UL35" s="101" t="e">
        <f t="shared" si="564"/>
        <v>#N/A</v>
      </c>
      <c r="UM35" s="101" t="e">
        <f t="shared" si="564"/>
        <v>#N/A</v>
      </c>
      <c r="UN35" s="101" t="e">
        <f t="shared" si="564"/>
        <v>#N/A</v>
      </c>
      <c r="UO35" s="101" t="e">
        <f t="shared" si="564"/>
        <v>#N/A</v>
      </c>
      <c r="UP35" s="101" t="e">
        <f t="shared" si="564"/>
        <v>#N/A</v>
      </c>
      <c r="UQ35" s="101" t="e">
        <f t="shared" si="564"/>
        <v>#N/A</v>
      </c>
      <c r="UR35" s="101" t="e">
        <f t="shared" si="564"/>
        <v>#N/A</v>
      </c>
      <c r="US35" s="101" t="e">
        <f t="shared" si="564"/>
        <v>#N/A</v>
      </c>
      <c r="UT35" s="101" t="e">
        <f t="shared" si="564"/>
        <v>#N/A</v>
      </c>
      <c r="UU35" s="101" t="e">
        <f t="shared" si="564"/>
        <v>#N/A</v>
      </c>
      <c r="UV35" s="101" t="e">
        <f t="shared" si="564"/>
        <v>#N/A</v>
      </c>
      <c r="UW35" s="101" t="e">
        <f t="shared" si="564"/>
        <v>#N/A</v>
      </c>
      <c r="UX35" s="101" t="e">
        <f t="shared" si="564"/>
        <v>#N/A</v>
      </c>
      <c r="UY35" s="101" t="e">
        <f t="shared" si="564"/>
        <v>#N/A</v>
      </c>
      <c r="UZ35" s="101" t="e">
        <f t="shared" si="564"/>
        <v>#N/A</v>
      </c>
      <c r="VA35" s="101" t="e">
        <f t="shared" si="564"/>
        <v>#N/A</v>
      </c>
      <c r="VB35" s="101" t="e">
        <f t="shared" si="564"/>
        <v>#N/A</v>
      </c>
      <c r="VC35" s="101" t="e">
        <f t="shared" si="564"/>
        <v>#N/A</v>
      </c>
      <c r="VD35" s="101" t="e">
        <f t="shared" si="564"/>
        <v>#N/A</v>
      </c>
      <c r="VE35" s="101" t="e">
        <f t="shared" si="564"/>
        <v>#N/A</v>
      </c>
      <c r="VF35" s="101" t="e">
        <f t="shared" si="564"/>
        <v>#N/A</v>
      </c>
      <c r="VG35" s="101" t="e">
        <f t="shared" si="564"/>
        <v>#N/A</v>
      </c>
      <c r="VH35" s="101" t="e">
        <f t="shared" si="564"/>
        <v>#N/A</v>
      </c>
      <c r="VI35" s="101" t="e">
        <f t="shared" si="564"/>
        <v>#N/A</v>
      </c>
      <c r="VJ35" s="101" t="e">
        <f t="shared" si="564"/>
        <v>#N/A</v>
      </c>
      <c r="VK35" s="101" t="e">
        <f t="shared" si="564"/>
        <v>#N/A</v>
      </c>
      <c r="VL35" s="101" t="e">
        <f t="shared" si="564"/>
        <v>#N/A</v>
      </c>
      <c r="VM35" s="101" t="e">
        <f t="shared" si="564"/>
        <v>#N/A</v>
      </c>
      <c r="VN35" s="101" t="e">
        <f t="shared" si="564"/>
        <v>#N/A</v>
      </c>
      <c r="VO35" s="101" t="e">
        <f t="shared" ref="VO35:WF35" si="565">ROUND(SUMPRODUCT($E$2:$E$26,VO$2:VO$26)*5%,0)</f>
        <v>#N/A</v>
      </c>
      <c r="VP35" s="101" t="e">
        <f t="shared" si="565"/>
        <v>#N/A</v>
      </c>
      <c r="VQ35" s="101" t="e">
        <f t="shared" si="565"/>
        <v>#N/A</v>
      </c>
      <c r="VR35" s="101" t="e">
        <f t="shared" si="565"/>
        <v>#N/A</v>
      </c>
      <c r="VS35" s="101" t="e">
        <f t="shared" si="565"/>
        <v>#N/A</v>
      </c>
      <c r="VT35" s="101" t="e">
        <f t="shared" si="565"/>
        <v>#N/A</v>
      </c>
      <c r="VU35" s="101" t="e">
        <f t="shared" si="565"/>
        <v>#N/A</v>
      </c>
      <c r="VV35" s="101" t="e">
        <f t="shared" si="565"/>
        <v>#N/A</v>
      </c>
      <c r="VW35" s="101" t="e">
        <f t="shared" si="565"/>
        <v>#N/A</v>
      </c>
      <c r="VX35" s="101" t="e">
        <f t="shared" si="565"/>
        <v>#N/A</v>
      </c>
      <c r="VY35" s="101" t="e">
        <f t="shared" si="565"/>
        <v>#N/A</v>
      </c>
      <c r="VZ35" s="101" t="e">
        <f t="shared" si="565"/>
        <v>#N/A</v>
      </c>
      <c r="WA35" s="101" t="e">
        <f t="shared" si="565"/>
        <v>#N/A</v>
      </c>
      <c r="WB35" s="101" t="e">
        <f t="shared" si="565"/>
        <v>#N/A</v>
      </c>
      <c r="WC35" s="101" t="e">
        <f t="shared" si="565"/>
        <v>#N/A</v>
      </c>
      <c r="WD35" s="101" t="e">
        <f t="shared" si="565"/>
        <v>#N/A</v>
      </c>
      <c r="WE35" s="101" t="e">
        <f t="shared" si="565"/>
        <v>#N/A</v>
      </c>
      <c r="WF35" s="101" t="e">
        <f t="shared" si="565"/>
        <v>#N/A</v>
      </c>
    </row>
    <row r="36" spans="1:604" s="44" customFormat="1" ht="17.25" customHeight="1" x14ac:dyDescent="0.3">
      <c r="A36" s="39" t="e">
        <f>IF(契約詳細價目表!A36="",NA(),契約詳細價目表!A36)</f>
        <v>#N/A</v>
      </c>
      <c r="B36" s="40" t="e">
        <f>IF(契約詳細價目表!B36="",NA(),契約詳細價目表!B36)</f>
        <v>#N/A</v>
      </c>
      <c r="C36" s="39" t="e">
        <f>IF(契約詳細價目表!C36="",NA(),契約詳細價目表!C36)</f>
        <v>#N/A</v>
      </c>
      <c r="D36" s="41" t="e">
        <f>IF(契約詳細價目表!D36="",NA(),契約詳細價目表!D36)</f>
        <v>#N/A</v>
      </c>
      <c r="E36" s="42">
        <f>IF(契約詳細價目表!E36="",NA(),契約詳細價目表!E36)</f>
        <v>0</v>
      </c>
      <c r="F36" s="42">
        <f>IF(契約詳細價目表!F36="",NA(),契約詳細價目表!F36)</f>
        <v>0</v>
      </c>
      <c r="G36" s="41" t="e">
        <f t="shared" si="536"/>
        <v>#N/A</v>
      </c>
      <c r="H36" s="87" t="e">
        <f t="shared" si="547"/>
        <v>#N/A</v>
      </c>
      <c r="I36" s="43" t="e">
        <f t="shared" si="535"/>
        <v>#N/A</v>
      </c>
      <c r="J36" s="101"/>
      <c r="K36" s="101"/>
      <c r="L36" s="105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1"/>
      <c r="AL36" s="101"/>
      <c r="AM36" s="101"/>
      <c r="AN36" s="101"/>
      <c r="AO36" s="101"/>
      <c r="AP36" s="101"/>
      <c r="AQ36" s="101"/>
      <c r="AR36" s="101"/>
      <c r="AS36" s="101"/>
      <c r="AT36" s="101"/>
      <c r="AU36" s="101"/>
      <c r="AV36" s="101"/>
      <c r="AW36" s="101"/>
      <c r="AX36" s="101"/>
      <c r="AY36" s="101"/>
      <c r="AZ36" s="101"/>
      <c r="BA36" s="101"/>
      <c r="BB36" s="101"/>
      <c r="BC36" s="101"/>
      <c r="BD36" s="101"/>
      <c r="BE36" s="101"/>
      <c r="BF36" s="101"/>
      <c r="BG36" s="101"/>
      <c r="BH36" s="101"/>
      <c r="BI36" s="101"/>
      <c r="BJ36" s="101"/>
      <c r="BK36" s="101"/>
      <c r="BL36" s="101"/>
      <c r="BM36" s="101"/>
      <c r="BN36" s="101"/>
      <c r="BO36" s="101"/>
      <c r="BP36" s="101"/>
      <c r="BQ36" s="101"/>
      <c r="BR36" s="101"/>
      <c r="BS36" s="101"/>
      <c r="BT36" s="101"/>
      <c r="BU36" s="101"/>
      <c r="BV36" s="101"/>
      <c r="BW36" s="101"/>
      <c r="BX36" s="101"/>
      <c r="BY36" s="101"/>
      <c r="BZ36" s="101"/>
      <c r="CA36" s="101"/>
      <c r="CB36" s="101"/>
      <c r="CC36" s="101"/>
      <c r="CD36" s="101"/>
      <c r="CE36" s="101"/>
      <c r="CF36" s="101"/>
      <c r="CG36" s="101"/>
      <c r="CH36" s="101"/>
      <c r="CI36" s="101"/>
      <c r="CJ36" s="101"/>
      <c r="CK36" s="101"/>
      <c r="CL36" s="101"/>
      <c r="CM36" s="101"/>
      <c r="CN36" s="101"/>
      <c r="CO36" s="101"/>
      <c r="CP36" s="101"/>
      <c r="CQ36" s="101"/>
      <c r="CR36" s="101"/>
      <c r="CS36" s="101"/>
      <c r="CT36" s="101" t="e">
        <f t="shared" ref="CT36:EH36" si="566">ROUND(SUMPRODUCT($E$2:$E$26,CT$2:CT$26)*0.229375334505696%,0)</f>
        <v>#N/A</v>
      </c>
      <c r="CU36" s="101"/>
      <c r="CV36" s="101"/>
      <c r="CW36" s="101" t="e">
        <f t="shared" si="566"/>
        <v>#N/A</v>
      </c>
      <c r="CX36" s="101"/>
      <c r="CY36" s="101"/>
      <c r="CZ36" s="101"/>
      <c r="DA36" s="101" t="e">
        <f t="shared" si="566"/>
        <v>#N/A</v>
      </c>
      <c r="DB36" s="101"/>
      <c r="DC36" s="101"/>
      <c r="DD36" s="101" t="e">
        <f t="shared" si="566"/>
        <v>#N/A</v>
      </c>
      <c r="DE36" s="101"/>
      <c r="DF36" s="101"/>
      <c r="DG36" s="101"/>
      <c r="DH36" s="101" t="e">
        <f t="shared" si="566"/>
        <v>#N/A</v>
      </c>
      <c r="DI36" s="101" t="e">
        <f t="shared" si="566"/>
        <v>#N/A</v>
      </c>
      <c r="DJ36" s="101" t="e">
        <f t="shared" si="566"/>
        <v>#N/A</v>
      </c>
      <c r="DK36" s="101" t="e">
        <f t="shared" si="566"/>
        <v>#N/A</v>
      </c>
      <c r="DL36" s="101" t="e">
        <f t="shared" si="566"/>
        <v>#N/A</v>
      </c>
      <c r="DM36" s="101" t="e">
        <f t="shared" si="566"/>
        <v>#N/A</v>
      </c>
      <c r="DN36" s="101" t="e">
        <f t="shared" si="566"/>
        <v>#N/A</v>
      </c>
      <c r="DO36" s="101" t="e">
        <f t="shared" si="566"/>
        <v>#N/A</v>
      </c>
      <c r="DP36" s="101" t="e">
        <f t="shared" si="566"/>
        <v>#N/A</v>
      </c>
      <c r="DQ36" s="101" t="e">
        <f t="shared" si="566"/>
        <v>#N/A</v>
      </c>
      <c r="DR36" s="101" t="e">
        <f t="shared" si="566"/>
        <v>#N/A</v>
      </c>
      <c r="DS36" s="101" t="e">
        <f t="shared" si="566"/>
        <v>#N/A</v>
      </c>
      <c r="DT36" s="101" t="e">
        <f t="shared" si="566"/>
        <v>#N/A</v>
      </c>
      <c r="DU36" s="101" t="e">
        <f t="shared" si="566"/>
        <v>#N/A</v>
      </c>
      <c r="DV36" s="101" t="e">
        <f t="shared" si="566"/>
        <v>#N/A</v>
      </c>
      <c r="DW36" s="101" t="e">
        <f t="shared" si="566"/>
        <v>#N/A</v>
      </c>
      <c r="DX36" s="101" t="e">
        <f t="shared" si="566"/>
        <v>#N/A</v>
      </c>
      <c r="DY36" s="101" t="e">
        <f t="shared" si="566"/>
        <v>#N/A</v>
      </c>
      <c r="DZ36" s="101" t="e">
        <f t="shared" si="566"/>
        <v>#N/A</v>
      </c>
      <c r="EA36" s="101" t="e">
        <f t="shared" si="566"/>
        <v>#N/A</v>
      </c>
      <c r="EB36" s="101" t="e">
        <f t="shared" si="566"/>
        <v>#N/A</v>
      </c>
      <c r="EC36" s="101" t="e">
        <f t="shared" si="566"/>
        <v>#N/A</v>
      </c>
      <c r="ED36" s="101" t="e">
        <f t="shared" si="566"/>
        <v>#N/A</v>
      </c>
      <c r="EE36" s="101" t="e">
        <f t="shared" si="566"/>
        <v>#N/A</v>
      </c>
      <c r="EF36" s="101" t="e">
        <f t="shared" si="566"/>
        <v>#N/A</v>
      </c>
      <c r="EG36" s="101" t="e">
        <f t="shared" si="566"/>
        <v>#N/A</v>
      </c>
      <c r="EH36" s="101" t="e">
        <f t="shared" si="566"/>
        <v>#N/A</v>
      </c>
      <c r="EI36" s="101" t="e">
        <f t="shared" ref="EI36:GT36" si="567">ROUND(SUMPRODUCT($E$2:$E$26,EI$2:EI$26)*0.229375334505696%,0)</f>
        <v>#N/A</v>
      </c>
      <c r="EJ36" s="101" t="e">
        <f t="shared" si="567"/>
        <v>#N/A</v>
      </c>
      <c r="EK36" s="101" t="e">
        <f t="shared" si="567"/>
        <v>#N/A</v>
      </c>
      <c r="EL36" s="101" t="e">
        <f t="shared" si="567"/>
        <v>#N/A</v>
      </c>
      <c r="EM36" s="101" t="e">
        <f t="shared" si="567"/>
        <v>#N/A</v>
      </c>
      <c r="EN36" s="101" t="e">
        <f t="shared" si="567"/>
        <v>#N/A</v>
      </c>
      <c r="EO36" s="101" t="e">
        <f t="shared" si="567"/>
        <v>#N/A</v>
      </c>
      <c r="EP36" s="101" t="e">
        <f t="shared" si="567"/>
        <v>#N/A</v>
      </c>
      <c r="EQ36" s="101" t="e">
        <f t="shared" si="567"/>
        <v>#N/A</v>
      </c>
      <c r="ER36" s="101" t="e">
        <f t="shared" si="567"/>
        <v>#N/A</v>
      </c>
      <c r="ES36" s="101" t="e">
        <f t="shared" si="567"/>
        <v>#N/A</v>
      </c>
      <c r="ET36" s="101" t="e">
        <f t="shared" si="567"/>
        <v>#N/A</v>
      </c>
      <c r="EU36" s="101" t="e">
        <f t="shared" si="567"/>
        <v>#N/A</v>
      </c>
      <c r="EV36" s="101" t="e">
        <f t="shared" si="567"/>
        <v>#N/A</v>
      </c>
      <c r="EW36" s="101" t="e">
        <f t="shared" si="567"/>
        <v>#N/A</v>
      </c>
      <c r="EX36" s="101" t="e">
        <f t="shared" si="567"/>
        <v>#N/A</v>
      </c>
      <c r="EY36" s="101" t="e">
        <f t="shared" si="567"/>
        <v>#N/A</v>
      </c>
      <c r="EZ36" s="101" t="e">
        <f t="shared" si="567"/>
        <v>#N/A</v>
      </c>
      <c r="FA36" s="101" t="e">
        <f t="shared" si="567"/>
        <v>#N/A</v>
      </c>
      <c r="FB36" s="101" t="e">
        <f t="shared" si="567"/>
        <v>#N/A</v>
      </c>
      <c r="FC36" s="101" t="e">
        <f t="shared" si="567"/>
        <v>#N/A</v>
      </c>
      <c r="FD36" s="101" t="e">
        <f t="shared" si="567"/>
        <v>#N/A</v>
      </c>
      <c r="FE36" s="101" t="e">
        <f t="shared" si="567"/>
        <v>#N/A</v>
      </c>
      <c r="FF36" s="101" t="e">
        <f t="shared" si="567"/>
        <v>#N/A</v>
      </c>
      <c r="FG36" s="101" t="e">
        <f t="shared" si="567"/>
        <v>#N/A</v>
      </c>
      <c r="FH36" s="101" t="e">
        <f t="shared" si="567"/>
        <v>#N/A</v>
      </c>
      <c r="FI36" s="101" t="e">
        <f t="shared" si="567"/>
        <v>#N/A</v>
      </c>
      <c r="FJ36" s="101" t="e">
        <f t="shared" si="567"/>
        <v>#N/A</v>
      </c>
      <c r="FK36" s="101" t="e">
        <f t="shared" si="567"/>
        <v>#N/A</v>
      </c>
      <c r="FL36" s="101" t="e">
        <f t="shared" si="567"/>
        <v>#N/A</v>
      </c>
      <c r="FM36" s="101" t="e">
        <f t="shared" si="567"/>
        <v>#N/A</v>
      </c>
      <c r="FN36" s="101" t="e">
        <f t="shared" si="567"/>
        <v>#N/A</v>
      </c>
      <c r="FO36" s="101" t="e">
        <f t="shared" si="567"/>
        <v>#N/A</v>
      </c>
      <c r="FP36" s="101" t="e">
        <f t="shared" si="567"/>
        <v>#N/A</v>
      </c>
      <c r="FQ36" s="101" t="e">
        <f t="shared" si="567"/>
        <v>#N/A</v>
      </c>
      <c r="FR36" s="101" t="e">
        <f t="shared" si="567"/>
        <v>#N/A</v>
      </c>
      <c r="FS36" s="101" t="e">
        <f t="shared" si="567"/>
        <v>#N/A</v>
      </c>
      <c r="FT36" s="101" t="e">
        <f t="shared" si="567"/>
        <v>#N/A</v>
      </c>
      <c r="FU36" s="101" t="e">
        <f t="shared" si="567"/>
        <v>#N/A</v>
      </c>
      <c r="FV36" s="101" t="e">
        <f t="shared" si="567"/>
        <v>#N/A</v>
      </c>
      <c r="FW36" s="101" t="e">
        <f t="shared" si="567"/>
        <v>#N/A</v>
      </c>
      <c r="FX36" s="101" t="e">
        <f t="shared" si="567"/>
        <v>#N/A</v>
      </c>
      <c r="FY36" s="101" t="e">
        <f t="shared" si="567"/>
        <v>#N/A</v>
      </c>
      <c r="FZ36" s="101" t="e">
        <f t="shared" si="567"/>
        <v>#N/A</v>
      </c>
      <c r="GA36" s="101" t="e">
        <f t="shared" si="567"/>
        <v>#N/A</v>
      </c>
      <c r="GB36" s="101" t="e">
        <f t="shared" si="567"/>
        <v>#N/A</v>
      </c>
      <c r="GC36" s="101" t="e">
        <f t="shared" si="567"/>
        <v>#N/A</v>
      </c>
      <c r="GD36" s="101" t="e">
        <f t="shared" si="567"/>
        <v>#N/A</v>
      </c>
      <c r="GE36" s="101" t="e">
        <f t="shared" si="567"/>
        <v>#N/A</v>
      </c>
      <c r="GF36" s="101" t="e">
        <f t="shared" si="567"/>
        <v>#N/A</v>
      </c>
      <c r="GG36" s="101" t="e">
        <f t="shared" si="567"/>
        <v>#N/A</v>
      </c>
      <c r="GH36" s="101" t="e">
        <f t="shared" si="567"/>
        <v>#N/A</v>
      </c>
      <c r="GI36" s="101" t="e">
        <f t="shared" si="567"/>
        <v>#N/A</v>
      </c>
      <c r="GJ36" s="101" t="e">
        <f t="shared" si="567"/>
        <v>#N/A</v>
      </c>
      <c r="GK36" s="101" t="e">
        <f t="shared" si="567"/>
        <v>#N/A</v>
      </c>
      <c r="GL36" s="101" t="e">
        <f t="shared" si="567"/>
        <v>#N/A</v>
      </c>
      <c r="GM36" s="101" t="e">
        <f t="shared" si="567"/>
        <v>#N/A</v>
      </c>
      <c r="GN36" s="101" t="e">
        <f t="shared" si="567"/>
        <v>#N/A</v>
      </c>
      <c r="GO36" s="101" t="e">
        <f t="shared" si="567"/>
        <v>#N/A</v>
      </c>
      <c r="GP36" s="101" t="e">
        <f t="shared" si="567"/>
        <v>#N/A</v>
      </c>
      <c r="GQ36" s="101" t="e">
        <f t="shared" si="567"/>
        <v>#N/A</v>
      </c>
      <c r="GR36" s="101" t="e">
        <f t="shared" si="567"/>
        <v>#N/A</v>
      </c>
      <c r="GS36" s="101" t="e">
        <f t="shared" si="567"/>
        <v>#N/A</v>
      </c>
      <c r="GT36" s="101" t="e">
        <f t="shared" si="567"/>
        <v>#N/A</v>
      </c>
      <c r="GU36" s="101" t="e">
        <f t="shared" ref="GU36:JF36" si="568">ROUND(SUMPRODUCT($E$2:$E$26,GU$2:GU$26)*0.229375334505696%,0)</f>
        <v>#N/A</v>
      </c>
      <c r="GV36" s="101" t="e">
        <f t="shared" si="568"/>
        <v>#N/A</v>
      </c>
      <c r="GW36" s="101" t="e">
        <f t="shared" si="568"/>
        <v>#N/A</v>
      </c>
      <c r="GX36" s="101" t="e">
        <f t="shared" si="568"/>
        <v>#N/A</v>
      </c>
      <c r="GY36" s="101" t="e">
        <f t="shared" si="568"/>
        <v>#N/A</v>
      </c>
      <c r="GZ36" s="101" t="e">
        <f t="shared" si="568"/>
        <v>#N/A</v>
      </c>
      <c r="HA36" s="101" t="e">
        <f t="shared" si="568"/>
        <v>#N/A</v>
      </c>
      <c r="HB36" s="101" t="e">
        <f t="shared" si="568"/>
        <v>#N/A</v>
      </c>
      <c r="HC36" s="101" t="e">
        <f t="shared" si="568"/>
        <v>#N/A</v>
      </c>
      <c r="HD36" s="101" t="e">
        <f t="shared" si="568"/>
        <v>#N/A</v>
      </c>
      <c r="HE36" s="101" t="e">
        <f t="shared" si="568"/>
        <v>#N/A</v>
      </c>
      <c r="HF36" s="101" t="e">
        <f t="shared" si="568"/>
        <v>#N/A</v>
      </c>
      <c r="HG36" s="101" t="e">
        <f t="shared" si="568"/>
        <v>#N/A</v>
      </c>
      <c r="HH36" s="101" t="e">
        <f t="shared" si="568"/>
        <v>#N/A</v>
      </c>
      <c r="HI36" s="101" t="e">
        <f t="shared" si="568"/>
        <v>#N/A</v>
      </c>
      <c r="HJ36" s="101" t="e">
        <f t="shared" si="568"/>
        <v>#N/A</v>
      </c>
      <c r="HK36" s="101" t="e">
        <f t="shared" si="568"/>
        <v>#N/A</v>
      </c>
      <c r="HL36" s="101" t="e">
        <f t="shared" si="568"/>
        <v>#N/A</v>
      </c>
      <c r="HM36" s="101" t="e">
        <f t="shared" si="568"/>
        <v>#N/A</v>
      </c>
      <c r="HN36" s="101" t="e">
        <f t="shared" si="568"/>
        <v>#N/A</v>
      </c>
      <c r="HO36" s="101" t="e">
        <f t="shared" si="568"/>
        <v>#N/A</v>
      </c>
      <c r="HP36" s="101" t="e">
        <f t="shared" si="568"/>
        <v>#N/A</v>
      </c>
      <c r="HQ36" s="101" t="e">
        <f t="shared" si="568"/>
        <v>#N/A</v>
      </c>
      <c r="HR36" s="101" t="e">
        <f t="shared" si="568"/>
        <v>#N/A</v>
      </c>
      <c r="HS36" s="101" t="e">
        <f t="shared" si="568"/>
        <v>#N/A</v>
      </c>
      <c r="HT36" s="101" t="e">
        <f t="shared" si="568"/>
        <v>#N/A</v>
      </c>
      <c r="HU36" s="101" t="e">
        <f t="shared" si="568"/>
        <v>#N/A</v>
      </c>
      <c r="HV36" s="101" t="e">
        <f t="shared" si="568"/>
        <v>#N/A</v>
      </c>
      <c r="HW36" s="101" t="e">
        <f t="shared" si="568"/>
        <v>#N/A</v>
      </c>
      <c r="HX36" s="101" t="e">
        <f t="shared" si="568"/>
        <v>#N/A</v>
      </c>
      <c r="HY36" s="101" t="e">
        <f t="shared" si="568"/>
        <v>#N/A</v>
      </c>
      <c r="HZ36" s="101" t="e">
        <f t="shared" si="568"/>
        <v>#N/A</v>
      </c>
      <c r="IA36" s="101" t="e">
        <f t="shared" si="568"/>
        <v>#N/A</v>
      </c>
      <c r="IB36" s="101" t="e">
        <f t="shared" si="568"/>
        <v>#N/A</v>
      </c>
      <c r="IC36" s="101" t="e">
        <f t="shared" si="568"/>
        <v>#N/A</v>
      </c>
      <c r="ID36" s="101" t="e">
        <f t="shared" si="568"/>
        <v>#N/A</v>
      </c>
      <c r="IE36" s="101" t="e">
        <f t="shared" si="568"/>
        <v>#N/A</v>
      </c>
      <c r="IF36" s="101" t="e">
        <f t="shared" si="568"/>
        <v>#N/A</v>
      </c>
      <c r="IG36" s="101" t="e">
        <f t="shared" si="568"/>
        <v>#N/A</v>
      </c>
      <c r="IH36" s="101" t="e">
        <f t="shared" si="568"/>
        <v>#N/A</v>
      </c>
      <c r="II36" s="101" t="e">
        <f t="shared" si="568"/>
        <v>#N/A</v>
      </c>
      <c r="IJ36" s="101" t="e">
        <f t="shared" si="568"/>
        <v>#N/A</v>
      </c>
      <c r="IK36" s="101" t="e">
        <f t="shared" si="568"/>
        <v>#N/A</v>
      </c>
      <c r="IL36" s="101" t="e">
        <f t="shared" si="568"/>
        <v>#N/A</v>
      </c>
      <c r="IM36" s="101" t="e">
        <f t="shared" si="568"/>
        <v>#N/A</v>
      </c>
      <c r="IN36" s="101" t="e">
        <f t="shared" si="568"/>
        <v>#N/A</v>
      </c>
      <c r="IO36" s="101" t="e">
        <f t="shared" si="568"/>
        <v>#N/A</v>
      </c>
      <c r="IP36" s="101" t="e">
        <f t="shared" si="568"/>
        <v>#N/A</v>
      </c>
      <c r="IQ36" s="101" t="e">
        <f t="shared" si="568"/>
        <v>#N/A</v>
      </c>
      <c r="IR36" s="101" t="e">
        <f t="shared" si="568"/>
        <v>#N/A</v>
      </c>
      <c r="IS36" s="101" t="e">
        <f t="shared" si="568"/>
        <v>#N/A</v>
      </c>
      <c r="IT36" s="101" t="e">
        <f t="shared" si="568"/>
        <v>#N/A</v>
      </c>
      <c r="IU36" s="101" t="e">
        <f t="shared" si="568"/>
        <v>#N/A</v>
      </c>
      <c r="IV36" s="101" t="e">
        <f t="shared" si="568"/>
        <v>#N/A</v>
      </c>
      <c r="IW36" s="101" t="e">
        <f t="shared" si="568"/>
        <v>#N/A</v>
      </c>
      <c r="IX36" s="101" t="e">
        <f t="shared" si="568"/>
        <v>#N/A</v>
      </c>
      <c r="IY36" s="101" t="e">
        <f t="shared" si="568"/>
        <v>#N/A</v>
      </c>
      <c r="IZ36" s="101" t="e">
        <f t="shared" si="568"/>
        <v>#N/A</v>
      </c>
      <c r="JA36" s="101" t="e">
        <f t="shared" si="568"/>
        <v>#N/A</v>
      </c>
      <c r="JB36" s="101" t="e">
        <f t="shared" si="568"/>
        <v>#N/A</v>
      </c>
      <c r="JC36" s="101" t="e">
        <f t="shared" si="568"/>
        <v>#N/A</v>
      </c>
      <c r="JD36" s="101" t="e">
        <f t="shared" si="568"/>
        <v>#N/A</v>
      </c>
      <c r="JE36" s="101" t="e">
        <f t="shared" si="568"/>
        <v>#N/A</v>
      </c>
      <c r="JF36" s="101" t="e">
        <f t="shared" si="568"/>
        <v>#N/A</v>
      </c>
      <c r="JG36" s="101" t="e">
        <f t="shared" ref="JG36:LR36" si="569">ROUND(SUMPRODUCT($E$2:$E$26,JG$2:JG$26)*0.229375334505696%,0)</f>
        <v>#N/A</v>
      </c>
      <c r="JH36" s="101" t="e">
        <f t="shared" si="569"/>
        <v>#N/A</v>
      </c>
      <c r="JI36" s="101" t="e">
        <f t="shared" si="569"/>
        <v>#N/A</v>
      </c>
      <c r="JJ36" s="101" t="e">
        <f t="shared" si="569"/>
        <v>#N/A</v>
      </c>
      <c r="JK36" s="101" t="e">
        <f t="shared" si="569"/>
        <v>#N/A</v>
      </c>
      <c r="JL36" s="101" t="e">
        <f t="shared" si="569"/>
        <v>#N/A</v>
      </c>
      <c r="JM36" s="101" t="e">
        <f t="shared" si="569"/>
        <v>#N/A</v>
      </c>
      <c r="JN36" s="101" t="e">
        <f t="shared" si="569"/>
        <v>#N/A</v>
      </c>
      <c r="JO36" s="101" t="e">
        <f t="shared" si="569"/>
        <v>#N/A</v>
      </c>
      <c r="JP36" s="101" t="e">
        <f t="shared" si="569"/>
        <v>#N/A</v>
      </c>
      <c r="JQ36" s="101" t="e">
        <f t="shared" si="569"/>
        <v>#N/A</v>
      </c>
      <c r="JR36" s="101" t="e">
        <f t="shared" si="569"/>
        <v>#N/A</v>
      </c>
      <c r="JS36" s="101" t="e">
        <f t="shared" si="569"/>
        <v>#N/A</v>
      </c>
      <c r="JT36" s="101" t="e">
        <f t="shared" si="569"/>
        <v>#N/A</v>
      </c>
      <c r="JU36" s="101" t="e">
        <f t="shared" si="569"/>
        <v>#N/A</v>
      </c>
      <c r="JV36" s="101" t="e">
        <f t="shared" si="569"/>
        <v>#N/A</v>
      </c>
      <c r="JW36" s="101" t="e">
        <f t="shared" si="569"/>
        <v>#N/A</v>
      </c>
      <c r="JX36" s="101" t="e">
        <f t="shared" si="569"/>
        <v>#N/A</v>
      </c>
      <c r="JY36" s="101" t="e">
        <f t="shared" si="569"/>
        <v>#N/A</v>
      </c>
      <c r="JZ36" s="101" t="e">
        <f t="shared" si="569"/>
        <v>#N/A</v>
      </c>
      <c r="KA36" s="101" t="e">
        <f t="shared" si="569"/>
        <v>#N/A</v>
      </c>
      <c r="KB36" s="101" t="e">
        <f t="shared" si="569"/>
        <v>#N/A</v>
      </c>
      <c r="KC36" s="101" t="e">
        <f t="shared" si="569"/>
        <v>#N/A</v>
      </c>
      <c r="KD36" s="101" t="e">
        <f t="shared" si="569"/>
        <v>#N/A</v>
      </c>
      <c r="KE36" s="101" t="e">
        <f t="shared" si="569"/>
        <v>#N/A</v>
      </c>
      <c r="KF36" s="101" t="e">
        <f t="shared" si="569"/>
        <v>#N/A</v>
      </c>
      <c r="KG36" s="101" t="e">
        <f t="shared" si="569"/>
        <v>#N/A</v>
      </c>
      <c r="KH36" s="101" t="e">
        <f t="shared" si="569"/>
        <v>#N/A</v>
      </c>
      <c r="KI36" s="101" t="e">
        <f t="shared" si="569"/>
        <v>#N/A</v>
      </c>
      <c r="KJ36" s="101" t="e">
        <f t="shared" si="569"/>
        <v>#N/A</v>
      </c>
      <c r="KK36" s="101" t="e">
        <f t="shared" si="569"/>
        <v>#N/A</v>
      </c>
      <c r="KL36" s="101" t="e">
        <f t="shared" si="569"/>
        <v>#N/A</v>
      </c>
      <c r="KM36" s="101" t="e">
        <f t="shared" si="569"/>
        <v>#N/A</v>
      </c>
      <c r="KN36" s="101" t="e">
        <f t="shared" si="569"/>
        <v>#N/A</v>
      </c>
      <c r="KO36" s="101" t="e">
        <f t="shared" si="569"/>
        <v>#N/A</v>
      </c>
      <c r="KP36" s="101" t="e">
        <f t="shared" si="569"/>
        <v>#N/A</v>
      </c>
      <c r="KQ36" s="101" t="e">
        <f t="shared" si="569"/>
        <v>#N/A</v>
      </c>
      <c r="KR36" s="101" t="e">
        <f t="shared" si="569"/>
        <v>#N/A</v>
      </c>
      <c r="KS36" s="101" t="e">
        <f t="shared" si="569"/>
        <v>#N/A</v>
      </c>
      <c r="KT36" s="101" t="e">
        <f t="shared" si="569"/>
        <v>#N/A</v>
      </c>
      <c r="KU36" s="101" t="e">
        <f t="shared" si="569"/>
        <v>#N/A</v>
      </c>
      <c r="KV36" s="101" t="e">
        <f t="shared" si="569"/>
        <v>#N/A</v>
      </c>
      <c r="KW36" s="101" t="e">
        <f t="shared" si="569"/>
        <v>#N/A</v>
      </c>
      <c r="KX36" s="101" t="e">
        <f t="shared" si="569"/>
        <v>#N/A</v>
      </c>
      <c r="KY36" s="101" t="e">
        <f t="shared" si="569"/>
        <v>#N/A</v>
      </c>
      <c r="KZ36" s="101" t="e">
        <f t="shared" si="569"/>
        <v>#N/A</v>
      </c>
      <c r="LA36" s="101" t="e">
        <f t="shared" si="569"/>
        <v>#N/A</v>
      </c>
      <c r="LB36" s="101" t="e">
        <f t="shared" si="569"/>
        <v>#N/A</v>
      </c>
      <c r="LC36" s="101" t="e">
        <f t="shared" si="569"/>
        <v>#N/A</v>
      </c>
      <c r="LD36" s="101" t="e">
        <f t="shared" si="569"/>
        <v>#N/A</v>
      </c>
      <c r="LE36" s="101" t="e">
        <f t="shared" si="569"/>
        <v>#N/A</v>
      </c>
      <c r="LF36" s="101" t="e">
        <f t="shared" si="569"/>
        <v>#N/A</v>
      </c>
      <c r="LG36" s="101" t="e">
        <f t="shared" si="569"/>
        <v>#N/A</v>
      </c>
      <c r="LH36" s="101" t="e">
        <f t="shared" si="569"/>
        <v>#N/A</v>
      </c>
      <c r="LI36" s="101" t="e">
        <f t="shared" si="569"/>
        <v>#N/A</v>
      </c>
      <c r="LJ36" s="101" t="e">
        <f t="shared" si="569"/>
        <v>#N/A</v>
      </c>
      <c r="LK36" s="101" t="e">
        <f t="shared" si="569"/>
        <v>#N/A</v>
      </c>
      <c r="LL36" s="101" t="e">
        <f t="shared" si="569"/>
        <v>#N/A</v>
      </c>
      <c r="LM36" s="101" t="e">
        <f t="shared" si="569"/>
        <v>#N/A</v>
      </c>
      <c r="LN36" s="101" t="e">
        <f t="shared" si="569"/>
        <v>#N/A</v>
      </c>
      <c r="LO36" s="101" t="e">
        <f t="shared" si="569"/>
        <v>#N/A</v>
      </c>
      <c r="LP36" s="101" t="e">
        <f t="shared" si="569"/>
        <v>#N/A</v>
      </c>
      <c r="LQ36" s="101" t="e">
        <f t="shared" si="569"/>
        <v>#N/A</v>
      </c>
      <c r="LR36" s="101" t="e">
        <f t="shared" si="569"/>
        <v>#N/A</v>
      </c>
      <c r="LS36" s="101" t="e">
        <f t="shared" ref="LS36:OD36" si="570">ROUND(SUMPRODUCT($E$2:$E$26,LS$2:LS$26)*0.229375334505696%,0)</f>
        <v>#N/A</v>
      </c>
      <c r="LT36" s="101" t="e">
        <f t="shared" si="570"/>
        <v>#N/A</v>
      </c>
      <c r="LU36" s="101" t="e">
        <f t="shared" si="570"/>
        <v>#N/A</v>
      </c>
      <c r="LV36" s="101" t="e">
        <f t="shared" si="570"/>
        <v>#N/A</v>
      </c>
      <c r="LW36" s="101" t="e">
        <f t="shared" si="570"/>
        <v>#N/A</v>
      </c>
      <c r="LX36" s="101" t="e">
        <f t="shared" si="570"/>
        <v>#N/A</v>
      </c>
      <c r="LY36" s="101" t="e">
        <f t="shared" si="570"/>
        <v>#N/A</v>
      </c>
      <c r="LZ36" s="101" t="e">
        <f t="shared" si="570"/>
        <v>#N/A</v>
      </c>
      <c r="MA36" s="101" t="e">
        <f t="shared" si="570"/>
        <v>#N/A</v>
      </c>
      <c r="MB36" s="101" t="e">
        <f t="shared" si="570"/>
        <v>#N/A</v>
      </c>
      <c r="MC36" s="101" t="e">
        <f t="shared" si="570"/>
        <v>#N/A</v>
      </c>
      <c r="MD36" s="101" t="e">
        <f t="shared" si="570"/>
        <v>#N/A</v>
      </c>
      <c r="ME36" s="101" t="e">
        <f t="shared" si="570"/>
        <v>#N/A</v>
      </c>
      <c r="MF36" s="101" t="e">
        <f t="shared" si="570"/>
        <v>#N/A</v>
      </c>
      <c r="MG36" s="101" t="e">
        <f t="shared" si="570"/>
        <v>#N/A</v>
      </c>
      <c r="MH36" s="101" t="e">
        <f t="shared" si="570"/>
        <v>#N/A</v>
      </c>
      <c r="MI36" s="101" t="e">
        <f t="shared" si="570"/>
        <v>#N/A</v>
      </c>
      <c r="MJ36" s="101" t="e">
        <f t="shared" si="570"/>
        <v>#N/A</v>
      </c>
      <c r="MK36" s="101" t="e">
        <f t="shared" si="570"/>
        <v>#N/A</v>
      </c>
      <c r="ML36" s="101" t="e">
        <f t="shared" si="570"/>
        <v>#N/A</v>
      </c>
      <c r="MM36" s="101" t="e">
        <f t="shared" si="570"/>
        <v>#N/A</v>
      </c>
      <c r="MN36" s="101" t="e">
        <f t="shared" si="570"/>
        <v>#N/A</v>
      </c>
      <c r="MO36" s="101" t="e">
        <f t="shared" si="570"/>
        <v>#N/A</v>
      </c>
      <c r="MP36" s="101" t="e">
        <f t="shared" si="570"/>
        <v>#N/A</v>
      </c>
      <c r="MQ36" s="101" t="e">
        <f t="shared" si="570"/>
        <v>#N/A</v>
      </c>
      <c r="MR36" s="101" t="e">
        <f t="shared" si="570"/>
        <v>#N/A</v>
      </c>
      <c r="MS36" s="101" t="e">
        <f t="shared" si="570"/>
        <v>#N/A</v>
      </c>
      <c r="MT36" s="101" t="e">
        <f t="shared" si="570"/>
        <v>#N/A</v>
      </c>
      <c r="MU36" s="101" t="e">
        <f t="shared" si="570"/>
        <v>#N/A</v>
      </c>
      <c r="MV36" s="101" t="e">
        <f t="shared" si="570"/>
        <v>#N/A</v>
      </c>
      <c r="MW36" s="101" t="e">
        <f t="shared" si="570"/>
        <v>#N/A</v>
      </c>
      <c r="MX36" s="101" t="e">
        <f t="shared" si="570"/>
        <v>#N/A</v>
      </c>
      <c r="MY36" s="101" t="e">
        <f t="shared" si="570"/>
        <v>#N/A</v>
      </c>
      <c r="MZ36" s="101" t="e">
        <f t="shared" si="570"/>
        <v>#N/A</v>
      </c>
      <c r="NA36" s="101" t="e">
        <f t="shared" si="570"/>
        <v>#N/A</v>
      </c>
      <c r="NB36" s="101" t="e">
        <f t="shared" si="570"/>
        <v>#N/A</v>
      </c>
      <c r="NC36" s="101" t="e">
        <f t="shared" si="570"/>
        <v>#N/A</v>
      </c>
      <c r="ND36" s="101" t="e">
        <f t="shared" si="570"/>
        <v>#N/A</v>
      </c>
      <c r="NE36" s="101" t="e">
        <f t="shared" si="570"/>
        <v>#N/A</v>
      </c>
      <c r="NF36" s="101" t="e">
        <f t="shared" si="570"/>
        <v>#N/A</v>
      </c>
      <c r="NG36" s="101" t="e">
        <f t="shared" si="570"/>
        <v>#N/A</v>
      </c>
      <c r="NH36" s="101" t="e">
        <f t="shared" si="570"/>
        <v>#N/A</v>
      </c>
      <c r="NI36" s="101" t="e">
        <f t="shared" si="570"/>
        <v>#N/A</v>
      </c>
      <c r="NJ36" s="101" t="e">
        <f t="shared" si="570"/>
        <v>#N/A</v>
      </c>
      <c r="NK36" s="101" t="e">
        <f t="shared" si="570"/>
        <v>#N/A</v>
      </c>
      <c r="NL36" s="101" t="e">
        <f t="shared" si="570"/>
        <v>#N/A</v>
      </c>
      <c r="NM36" s="101" t="e">
        <f t="shared" si="570"/>
        <v>#N/A</v>
      </c>
      <c r="NN36" s="101" t="e">
        <f t="shared" si="570"/>
        <v>#N/A</v>
      </c>
      <c r="NO36" s="101" t="e">
        <f t="shared" si="570"/>
        <v>#N/A</v>
      </c>
      <c r="NP36" s="101" t="e">
        <f t="shared" si="570"/>
        <v>#N/A</v>
      </c>
      <c r="NQ36" s="101" t="e">
        <f t="shared" si="570"/>
        <v>#N/A</v>
      </c>
      <c r="NR36" s="101" t="e">
        <f t="shared" si="570"/>
        <v>#N/A</v>
      </c>
      <c r="NS36" s="101" t="e">
        <f t="shared" si="570"/>
        <v>#N/A</v>
      </c>
      <c r="NT36" s="101" t="e">
        <f t="shared" si="570"/>
        <v>#N/A</v>
      </c>
      <c r="NU36" s="101" t="e">
        <f t="shared" si="570"/>
        <v>#N/A</v>
      </c>
      <c r="NV36" s="101" t="e">
        <f t="shared" si="570"/>
        <v>#N/A</v>
      </c>
      <c r="NW36" s="101" t="e">
        <f t="shared" si="570"/>
        <v>#N/A</v>
      </c>
      <c r="NX36" s="101" t="e">
        <f t="shared" si="570"/>
        <v>#N/A</v>
      </c>
      <c r="NY36" s="101" t="e">
        <f t="shared" si="570"/>
        <v>#N/A</v>
      </c>
      <c r="NZ36" s="101" t="e">
        <f t="shared" si="570"/>
        <v>#N/A</v>
      </c>
      <c r="OA36" s="101" t="e">
        <f t="shared" si="570"/>
        <v>#N/A</v>
      </c>
      <c r="OB36" s="101" t="e">
        <f t="shared" si="570"/>
        <v>#N/A</v>
      </c>
      <c r="OC36" s="101" t="e">
        <f t="shared" si="570"/>
        <v>#N/A</v>
      </c>
      <c r="OD36" s="101" t="e">
        <f t="shared" si="570"/>
        <v>#N/A</v>
      </c>
      <c r="OE36" s="101" t="e">
        <f t="shared" ref="OE36:QP36" si="571">ROUND(SUMPRODUCT($E$2:$E$26,OE$2:OE$26)*0.229375334505696%,0)</f>
        <v>#N/A</v>
      </c>
      <c r="OF36" s="101" t="e">
        <f t="shared" si="571"/>
        <v>#N/A</v>
      </c>
      <c r="OG36" s="101" t="e">
        <f t="shared" si="571"/>
        <v>#N/A</v>
      </c>
      <c r="OH36" s="101" t="e">
        <f t="shared" si="571"/>
        <v>#N/A</v>
      </c>
      <c r="OI36" s="101" t="e">
        <f t="shared" si="571"/>
        <v>#N/A</v>
      </c>
      <c r="OJ36" s="101" t="e">
        <f t="shared" si="571"/>
        <v>#N/A</v>
      </c>
      <c r="OK36" s="101" t="e">
        <f t="shared" si="571"/>
        <v>#N/A</v>
      </c>
      <c r="OL36" s="101" t="e">
        <f t="shared" si="571"/>
        <v>#N/A</v>
      </c>
      <c r="OM36" s="101" t="e">
        <f t="shared" si="571"/>
        <v>#N/A</v>
      </c>
      <c r="ON36" s="101" t="e">
        <f t="shared" si="571"/>
        <v>#N/A</v>
      </c>
      <c r="OO36" s="101" t="e">
        <f t="shared" si="571"/>
        <v>#N/A</v>
      </c>
      <c r="OP36" s="101" t="e">
        <f t="shared" si="571"/>
        <v>#N/A</v>
      </c>
      <c r="OQ36" s="101" t="e">
        <f t="shared" si="571"/>
        <v>#N/A</v>
      </c>
      <c r="OR36" s="101" t="e">
        <f t="shared" si="571"/>
        <v>#N/A</v>
      </c>
      <c r="OS36" s="101" t="e">
        <f t="shared" si="571"/>
        <v>#N/A</v>
      </c>
      <c r="OT36" s="101" t="e">
        <f t="shared" si="571"/>
        <v>#N/A</v>
      </c>
      <c r="OU36" s="101" t="e">
        <f t="shared" si="571"/>
        <v>#N/A</v>
      </c>
      <c r="OV36" s="101" t="e">
        <f t="shared" si="571"/>
        <v>#N/A</v>
      </c>
      <c r="OW36" s="101" t="e">
        <f t="shared" si="571"/>
        <v>#N/A</v>
      </c>
      <c r="OX36" s="101" t="e">
        <f t="shared" si="571"/>
        <v>#N/A</v>
      </c>
      <c r="OY36" s="101" t="e">
        <f t="shared" si="571"/>
        <v>#N/A</v>
      </c>
      <c r="OZ36" s="101" t="e">
        <f t="shared" si="571"/>
        <v>#N/A</v>
      </c>
      <c r="PA36" s="101" t="e">
        <f t="shared" si="571"/>
        <v>#N/A</v>
      </c>
      <c r="PB36" s="101" t="e">
        <f t="shared" si="571"/>
        <v>#N/A</v>
      </c>
      <c r="PC36" s="101" t="e">
        <f t="shared" si="571"/>
        <v>#N/A</v>
      </c>
      <c r="PD36" s="101" t="e">
        <f t="shared" si="571"/>
        <v>#N/A</v>
      </c>
      <c r="PE36" s="101" t="e">
        <f t="shared" si="571"/>
        <v>#N/A</v>
      </c>
      <c r="PF36" s="101" t="e">
        <f t="shared" si="571"/>
        <v>#N/A</v>
      </c>
      <c r="PG36" s="101" t="e">
        <f t="shared" si="571"/>
        <v>#N/A</v>
      </c>
      <c r="PH36" s="101" t="e">
        <f t="shared" si="571"/>
        <v>#N/A</v>
      </c>
      <c r="PI36" s="101" t="e">
        <f t="shared" si="571"/>
        <v>#N/A</v>
      </c>
      <c r="PJ36" s="101" t="e">
        <f t="shared" si="571"/>
        <v>#N/A</v>
      </c>
      <c r="PK36" s="101" t="e">
        <f t="shared" si="571"/>
        <v>#N/A</v>
      </c>
      <c r="PL36" s="101" t="e">
        <f t="shared" si="571"/>
        <v>#N/A</v>
      </c>
      <c r="PM36" s="101" t="e">
        <f t="shared" si="571"/>
        <v>#N/A</v>
      </c>
      <c r="PN36" s="101" t="e">
        <f t="shared" si="571"/>
        <v>#N/A</v>
      </c>
      <c r="PO36" s="101" t="e">
        <f t="shared" si="571"/>
        <v>#N/A</v>
      </c>
      <c r="PP36" s="101" t="e">
        <f t="shared" si="571"/>
        <v>#N/A</v>
      </c>
      <c r="PQ36" s="101" t="e">
        <f t="shared" si="571"/>
        <v>#N/A</v>
      </c>
      <c r="PR36" s="101" t="e">
        <f t="shared" si="571"/>
        <v>#N/A</v>
      </c>
      <c r="PS36" s="101" t="e">
        <f t="shared" si="571"/>
        <v>#N/A</v>
      </c>
      <c r="PT36" s="101" t="e">
        <f t="shared" si="571"/>
        <v>#N/A</v>
      </c>
      <c r="PU36" s="101" t="e">
        <f t="shared" si="571"/>
        <v>#N/A</v>
      </c>
      <c r="PV36" s="101" t="e">
        <f t="shared" si="571"/>
        <v>#N/A</v>
      </c>
      <c r="PW36" s="101" t="e">
        <f t="shared" si="571"/>
        <v>#N/A</v>
      </c>
      <c r="PX36" s="101" t="e">
        <f t="shared" si="571"/>
        <v>#N/A</v>
      </c>
      <c r="PY36" s="101" t="e">
        <f t="shared" si="571"/>
        <v>#N/A</v>
      </c>
      <c r="PZ36" s="101" t="e">
        <f t="shared" si="571"/>
        <v>#N/A</v>
      </c>
      <c r="QA36" s="101" t="e">
        <f t="shared" si="571"/>
        <v>#N/A</v>
      </c>
      <c r="QB36" s="101" t="e">
        <f t="shared" si="571"/>
        <v>#N/A</v>
      </c>
      <c r="QC36" s="101" t="e">
        <f t="shared" si="571"/>
        <v>#N/A</v>
      </c>
      <c r="QD36" s="101" t="e">
        <f t="shared" si="571"/>
        <v>#N/A</v>
      </c>
      <c r="QE36" s="101" t="e">
        <f t="shared" si="571"/>
        <v>#N/A</v>
      </c>
      <c r="QF36" s="101" t="e">
        <f t="shared" si="571"/>
        <v>#N/A</v>
      </c>
      <c r="QG36" s="101" t="e">
        <f t="shared" si="571"/>
        <v>#N/A</v>
      </c>
      <c r="QH36" s="101" t="e">
        <f t="shared" si="571"/>
        <v>#N/A</v>
      </c>
      <c r="QI36" s="101" t="e">
        <f t="shared" si="571"/>
        <v>#N/A</v>
      </c>
      <c r="QJ36" s="101" t="e">
        <f t="shared" si="571"/>
        <v>#N/A</v>
      </c>
      <c r="QK36" s="101" t="e">
        <f t="shared" si="571"/>
        <v>#N/A</v>
      </c>
      <c r="QL36" s="101" t="e">
        <f t="shared" si="571"/>
        <v>#N/A</v>
      </c>
      <c r="QM36" s="101" t="e">
        <f t="shared" si="571"/>
        <v>#N/A</v>
      </c>
      <c r="QN36" s="101" t="e">
        <f t="shared" si="571"/>
        <v>#N/A</v>
      </c>
      <c r="QO36" s="101" t="e">
        <f t="shared" si="571"/>
        <v>#N/A</v>
      </c>
      <c r="QP36" s="101" t="e">
        <f t="shared" si="571"/>
        <v>#N/A</v>
      </c>
      <c r="QQ36" s="101" t="e">
        <f t="shared" ref="QQ36:TB36" si="572">ROUND(SUMPRODUCT($E$2:$E$26,QQ$2:QQ$26)*0.229375334505696%,0)</f>
        <v>#N/A</v>
      </c>
      <c r="QR36" s="101" t="e">
        <f t="shared" si="572"/>
        <v>#N/A</v>
      </c>
      <c r="QS36" s="101" t="e">
        <f t="shared" si="572"/>
        <v>#N/A</v>
      </c>
      <c r="QT36" s="101" t="e">
        <f t="shared" si="572"/>
        <v>#N/A</v>
      </c>
      <c r="QU36" s="101" t="e">
        <f t="shared" si="572"/>
        <v>#N/A</v>
      </c>
      <c r="QV36" s="101" t="e">
        <f t="shared" si="572"/>
        <v>#N/A</v>
      </c>
      <c r="QW36" s="101" t="e">
        <f t="shared" si="572"/>
        <v>#N/A</v>
      </c>
      <c r="QX36" s="101" t="e">
        <f t="shared" si="572"/>
        <v>#N/A</v>
      </c>
      <c r="QY36" s="101" t="e">
        <f t="shared" si="572"/>
        <v>#N/A</v>
      </c>
      <c r="QZ36" s="101" t="e">
        <f t="shared" si="572"/>
        <v>#N/A</v>
      </c>
      <c r="RA36" s="101" t="e">
        <f t="shared" si="572"/>
        <v>#N/A</v>
      </c>
      <c r="RB36" s="101" t="e">
        <f t="shared" si="572"/>
        <v>#N/A</v>
      </c>
      <c r="RC36" s="101" t="e">
        <f t="shared" si="572"/>
        <v>#N/A</v>
      </c>
      <c r="RD36" s="101" t="e">
        <f t="shared" si="572"/>
        <v>#N/A</v>
      </c>
      <c r="RE36" s="101" t="e">
        <f t="shared" si="572"/>
        <v>#N/A</v>
      </c>
      <c r="RF36" s="101" t="e">
        <f t="shared" si="572"/>
        <v>#N/A</v>
      </c>
      <c r="RG36" s="101" t="e">
        <f t="shared" si="572"/>
        <v>#N/A</v>
      </c>
      <c r="RH36" s="101" t="e">
        <f t="shared" si="572"/>
        <v>#N/A</v>
      </c>
      <c r="RI36" s="101" t="e">
        <f t="shared" si="572"/>
        <v>#N/A</v>
      </c>
      <c r="RJ36" s="101" t="e">
        <f t="shared" si="572"/>
        <v>#N/A</v>
      </c>
      <c r="RK36" s="101" t="e">
        <f t="shared" si="572"/>
        <v>#N/A</v>
      </c>
      <c r="RL36" s="101" t="e">
        <f t="shared" si="572"/>
        <v>#N/A</v>
      </c>
      <c r="RM36" s="101" t="e">
        <f t="shared" si="572"/>
        <v>#N/A</v>
      </c>
      <c r="RN36" s="101" t="e">
        <f t="shared" si="572"/>
        <v>#N/A</v>
      </c>
      <c r="RO36" s="101" t="e">
        <f t="shared" si="572"/>
        <v>#N/A</v>
      </c>
      <c r="RP36" s="101" t="e">
        <f t="shared" si="572"/>
        <v>#N/A</v>
      </c>
      <c r="RQ36" s="101" t="e">
        <f t="shared" si="572"/>
        <v>#N/A</v>
      </c>
      <c r="RR36" s="101" t="e">
        <f t="shared" si="572"/>
        <v>#N/A</v>
      </c>
      <c r="RS36" s="101" t="e">
        <f t="shared" si="572"/>
        <v>#N/A</v>
      </c>
      <c r="RT36" s="101" t="e">
        <f t="shared" si="572"/>
        <v>#N/A</v>
      </c>
      <c r="RU36" s="101" t="e">
        <f t="shared" si="572"/>
        <v>#N/A</v>
      </c>
      <c r="RV36" s="101" t="e">
        <f t="shared" si="572"/>
        <v>#N/A</v>
      </c>
      <c r="RW36" s="101" t="e">
        <f t="shared" si="572"/>
        <v>#N/A</v>
      </c>
      <c r="RX36" s="101" t="e">
        <f t="shared" si="572"/>
        <v>#N/A</v>
      </c>
      <c r="RY36" s="101" t="e">
        <f t="shared" si="572"/>
        <v>#N/A</v>
      </c>
      <c r="RZ36" s="101" t="e">
        <f t="shared" si="572"/>
        <v>#N/A</v>
      </c>
      <c r="SA36" s="101" t="e">
        <f t="shared" si="572"/>
        <v>#N/A</v>
      </c>
      <c r="SB36" s="101" t="e">
        <f t="shared" si="572"/>
        <v>#N/A</v>
      </c>
      <c r="SC36" s="101" t="e">
        <f t="shared" si="572"/>
        <v>#N/A</v>
      </c>
      <c r="SD36" s="101" t="e">
        <f t="shared" si="572"/>
        <v>#N/A</v>
      </c>
      <c r="SE36" s="101" t="e">
        <f t="shared" si="572"/>
        <v>#N/A</v>
      </c>
      <c r="SF36" s="101" t="e">
        <f t="shared" si="572"/>
        <v>#N/A</v>
      </c>
      <c r="SG36" s="101" t="e">
        <f t="shared" si="572"/>
        <v>#N/A</v>
      </c>
      <c r="SH36" s="101" t="e">
        <f t="shared" si="572"/>
        <v>#N/A</v>
      </c>
      <c r="SI36" s="101" t="e">
        <f t="shared" si="572"/>
        <v>#N/A</v>
      </c>
      <c r="SJ36" s="101" t="e">
        <f t="shared" si="572"/>
        <v>#N/A</v>
      </c>
      <c r="SK36" s="101" t="e">
        <f t="shared" si="572"/>
        <v>#N/A</v>
      </c>
      <c r="SL36" s="101" t="e">
        <f t="shared" si="572"/>
        <v>#N/A</v>
      </c>
      <c r="SM36" s="101" t="e">
        <f t="shared" si="572"/>
        <v>#N/A</v>
      </c>
      <c r="SN36" s="101" t="e">
        <f t="shared" si="572"/>
        <v>#N/A</v>
      </c>
      <c r="SO36" s="101" t="e">
        <f t="shared" si="572"/>
        <v>#N/A</v>
      </c>
      <c r="SP36" s="101" t="e">
        <f t="shared" si="572"/>
        <v>#N/A</v>
      </c>
      <c r="SQ36" s="101" t="e">
        <f t="shared" si="572"/>
        <v>#N/A</v>
      </c>
      <c r="SR36" s="101" t="e">
        <f t="shared" si="572"/>
        <v>#N/A</v>
      </c>
      <c r="SS36" s="101" t="e">
        <f t="shared" si="572"/>
        <v>#N/A</v>
      </c>
      <c r="ST36" s="101" t="e">
        <f t="shared" si="572"/>
        <v>#N/A</v>
      </c>
      <c r="SU36" s="101" t="e">
        <f t="shared" si="572"/>
        <v>#N/A</v>
      </c>
      <c r="SV36" s="101" t="e">
        <f t="shared" si="572"/>
        <v>#N/A</v>
      </c>
      <c r="SW36" s="101" t="e">
        <f t="shared" si="572"/>
        <v>#N/A</v>
      </c>
      <c r="SX36" s="101" t="e">
        <f t="shared" si="572"/>
        <v>#N/A</v>
      </c>
      <c r="SY36" s="101" t="e">
        <f t="shared" si="572"/>
        <v>#N/A</v>
      </c>
      <c r="SZ36" s="101" t="e">
        <f t="shared" si="572"/>
        <v>#N/A</v>
      </c>
      <c r="TA36" s="101" t="e">
        <f t="shared" si="572"/>
        <v>#N/A</v>
      </c>
      <c r="TB36" s="101" t="e">
        <f t="shared" si="572"/>
        <v>#N/A</v>
      </c>
      <c r="TC36" s="101" t="e">
        <f t="shared" ref="TC36:VN36" si="573">ROUND(SUMPRODUCT($E$2:$E$26,TC$2:TC$26)*0.229375334505696%,0)</f>
        <v>#N/A</v>
      </c>
      <c r="TD36" s="101" t="e">
        <f t="shared" si="573"/>
        <v>#N/A</v>
      </c>
      <c r="TE36" s="101" t="e">
        <f t="shared" si="573"/>
        <v>#N/A</v>
      </c>
      <c r="TF36" s="101" t="e">
        <f t="shared" si="573"/>
        <v>#N/A</v>
      </c>
      <c r="TG36" s="101" t="e">
        <f t="shared" si="573"/>
        <v>#N/A</v>
      </c>
      <c r="TH36" s="101" t="e">
        <f t="shared" si="573"/>
        <v>#N/A</v>
      </c>
      <c r="TI36" s="101" t="e">
        <f t="shared" si="573"/>
        <v>#N/A</v>
      </c>
      <c r="TJ36" s="101" t="e">
        <f t="shared" si="573"/>
        <v>#N/A</v>
      </c>
      <c r="TK36" s="101" t="e">
        <f t="shared" si="573"/>
        <v>#N/A</v>
      </c>
      <c r="TL36" s="101" t="e">
        <f t="shared" si="573"/>
        <v>#N/A</v>
      </c>
      <c r="TM36" s="101" t="e">
        <f t="shared" si="573"/>
        <v>#N/A</v>
      </c>
      <c r="TN36" s="101" t="e">
        <f t="shared" si="573"/>
        <v>#N/A</v>
      </c>
      <c r="TO36" s="101" t="e">
        <f t="shared" si="573"/>
        <v>#N/A</v>
      </c>
      <c r="TP36" s="101" t="e">
        <f t="shared" si="573"/>
        <v>#N/A</v>
      </c>
      <c r="TQ36" s="101" t="e">
        <f t="shared" si="573"/>
        <v>#N/A</v>
      </c>
      <c r="TR36" s="101" t="e">
        <f t="shared" si="573"/>
        <v>#N/A</v>
      </c>
      <c r="TS36" s="101" t="e">
        <f t="shared" si="573"/>
        <v>#N/A</v>
      </c>
      <c r="TT36" s="101" t="e">
        <f t="shared" si="573"/>
        <v>#N/A</v>
      </c>
      <c r="TU36" s="101" t="e">
        <f t="shared" si="573"/>
        <v>#N/A</v>
      </c>
      <c r="TV36" s="101" t="e">
        <f t="shared" si="573"/>
        <v>#N/A</v>
      </c>
      <c r="TW36" s="101" t="e">
        <f t="shared" si="573"/>
        <v>#N/A</v>
      </c>
      <c r="TX36" s="101" t="e">
        <f t="shared" si="573"/>
        <v>#N/A</v>
      </c>
      <c r="TY36" s="101" t="e">
        <f t="shared" si="573"/>
        <v>#N/A</v>
      </c>
      <c r="TZ36" s="101" t="e">
        <f t="shared" si="573"/>
        <v>#N/A</v>
      </c>
      <c r="UA36" s="101" t="e">
        <f t="shared" si="573"/>
        <v>#N/A</v>
      </c>
      <c r="UB36" s="101" t="e">
        <f t="shared" si="573"/>
        <v>#N/A</v>
      </c>
      <c r="UC36" s="101" t="e">
        <f t="shared" si="573"/>
        <v>#N/A</v>
      </c>
      <c r="UD36" s="101" t="e">
        <f t="shared" si="573"/>
        <v>#N/A</v>
      </c>
      <c r="UE36" s="101" t="e">
        <f t="shared" si="573"/>
        <v>#N/A</v>
      </c>
      <c r="UF36" s="101" t="e">
        <f t="shared" si="573"/>
        <v>#N/A</v>
      </c>
      <c r="UG36" s="101" t="e">
        <f t="shared" si="573"/>
        <v>#N/A</v>
      </c>
      <c r="UH36" s="101" t="e">
        <f t="shared" si="573"/>
        <v>#N/A</v>
      </c>
      <c r="UI36" s="101" t="e">
        <f t="shared" si="573"/>
        <v>#N/A</v>
      </c>
      <c r="UJ36" s="101" t="e">
        <f t="shared" si="573"/>
        <v>#N/A</v>
      </c>
      <c r="UK36" s="101" t="e">
        <f t="shared" si="573"/>
        <v>#N/A</v>
      </c>
      <c r="UL36" s="101" t="e">
        <f t="shared" si="573"/>
        <v>#N/A</v>
      </c>
      <c r="UM36" s="101" t="e">
        <f t="shared" si="573"/>
        <v>#N/A</v>
      </c>
      <c r="UN36" s="101" t="e">
        <f t="shared" si="573"/>
        <v>#N/A</v>
      </c>
      <c r="UO36" s="101" t="e">
        <f t="shared" si="573"/>
        <v>#N/A</v>
      </c>
      <c r="UP36" s="101" t="e">
        <f t="shared" si="573"/>
        <v>#N/A</v>
      </c>
      <c r="UQ36" s="101" t="e">
        <f t="shared" si="573"/>
        <v>#N/A</v>
      </c>
      <c r="UR36" s="101" t="e">
        <f t="shared" si="573"/>
        <v>#N/A</v>
      </c>
      <c r="US36" s="101" t="e">
        <f t="shared" si="573"/>
        <v>#N/A</v>
      </c>
      <c r="UT36" s="101" t="e">
        <f t="shared" si="573"/>
        <v>#N/A</v>
      </c>
      <c r="UU36" s="101" t="e">
        <f t="shared" si="573"/>
        <v>#N/A</v>
      </c>
      <c r="UV36" s="101" t="e">
        <f t="shared" si="573"/>
        <v>#N/A</v>
      </c>
      <c r="UW36" s="101" t="e">
        <f t="shared" si="573"/>
        <v>#N/A</v>
      </c>
      <c r="UX36" s="101" t="e">
        <f t="shared" si="573"/>
        <v>#N/A</v>
      </c>
      <c r="UY36" s="101" t="e">
        <f t="shared" si="573"/>
        <v>#N/A</v>
      </c>
      <c r="UZ36" s="101" t="e">
        <f t="shared" si="573"/>
        <v>#N/A</v>
      </c>
      <c r="VA36" s="101" t="e">
        <f t="shared" si="573"/>
        <v>#N/A</v>
      </c>
      <c r="VB36" s="101" t="e">
        <f t="shared" si="573"/>
        <v>#N/A</v>
      </c>
      <c r="VC36" s="101" t="e">
        <f t="shared" si="573"/>
        <v>#N/A</v>
      </c>
      <c r="VD36" s="101" t="e">
        <f t="shared" si="573"/>
        <v>#N/A</v>
      </c>
      <c r="VE36" s="101" t="e">
        <f t="shared" si="573"/>
        <v>#N/A</v>
      </c>
      <c r="VF36" s="101" t="e">
        <f t="shared" si="573"/>
        <v>#N/A</v>
      </c>
      <c r="VG36" s="101" t="e">
        <f t="shared" si="573"/>
        <v>#N/A</v>
      </c>
      <c r="VH36" s="101" t="e">
        <f t="shared" si="573"/>
        <v>#N/A</v>
      </c>
      <c r="VI36" s="101" t="e">
        <f t="shared" si="573"/>
        <v>#N/A</v>
      </c>
      <c r="VJ36" s="101" t="e">
        <f t="shared" si="573"/>
        <v>#N/A</v>
      </c>
      <c r="VK36" s="101" t="e">
        <f t="shared" si="573"/>
        <v>#N/A</v>
      </c>
      <c r="VL36" s="101" t="e">
        <f t="shared" si="573"/>
        <v>#N/A</v>
      </c>
      <c r="VM36" s="101" t="e">
        <f t="shared" si="573"/>
        <v>#N/A</v>
      </c>
      <c r="VN36" s="101" t="e">
        <f t="shared" si="573"/>
        <v>#N/A</v>
      </c>
      <c r="VO36" s="101" t="e">
        <f t="shared" ref="VO36:WF36" si="574">ROUND(SUMPRODUCT($E$2:$E$26,VO$2:VO$26)*0.229375334505696%,0)</f>
        <v>#N/A</v>
      </c>
      <c r="VP36" s="101" t="e">
        <f t="shared" si="574"/>
        <v>#N/A</v>
      </c>
      <c r="VQ36" s="101" t="e">
        <f t="shared" si="574"/>
        <v>#N/A</v>
      </c>
      <c r="VR36" s="101" t="e">
        <f t="shared" si="574"/>
        <v>#N/A</v>
      </c>
      <c r="VS36" s="101" t="e">
        <f t="shared" si="574"/>
        <v>#N/A</v>
      </c>
      <c r="VT36" s="101" t="e">
        <f t="shared" si="574"/>
        <v>#N/A</v>
      </c>
      <c r="VU36" s="101" t="e">
        <f t="shared" si="574"/>
        <v>#N/A</v>
      </c>
      <c r="VV36" s="101" t="e">
        <f t="shared" si="574"/>
        <v>#N/A</v>
      </c>
      <c r="VW36" s="101" t="e">
        <f t="shared" si="574"/>
        <v>#N/A</v>
      </c>
      <c r="VX36" s="101" t="e">
        <f t="shared" si="574"/>
        <v>#N/A</v>
      </c>
      <c r="VY36" s="101" t="e">
        <f t="shared" si="574"/>
        <v>#N/A</v>
      </c>
      <c r="VZ36" s="101" t="e">
        <f t="shared" si="574"/>
        <v>#N/A</v>
      </c>
      <c r="WA36" s="101" t="e">
        <f t="shared" si="574"/>
        <v>#N/A</v>
      </c>
      <c r="WB36" s="101" t="e">
        <f t="shared" si="574"/>
        <v>#N/A</v>
      </c>
      <c r="WC36" s="101" t="e">
        <f t="shared" si="574"/>
        <v>#N/A</v>
      </c>
      <c r="WD36" s="101" t="e">
        <f t="shared" si="574"/>
        <v>#N/A</v>
      </c>
      <c r="WE36" s="101" t="e">
        <f t="shared" si="574"/>
        <v>#N/A</v>
      </c>
      <c r="WF36" s="101" t="e">
        <f t="shared" si="574"/>
        <v>#N/A</v>
      </c>
    </row>
    <row r="37" spans="1:604" s="44" customFormat="1" ht="17.25" customHeight="1" x14ac:dyDescent="0.3">
      <c r="A37" s="39" t="e">
        <f>IF(契約詳細價目表!A37="",NA(),契約詳細價目表!A37)</f>
        <v>#N/A</v>
      </c>
      <c r="B37" s="40" t="e">
        <f>IF(契約詳細價目表!B37="",NA(),契約詳細價目表!B37)</f>
        <v>#N/A</v>
      </c>
      <c r="C37" s="39" t="e">
        <f>IF(契約詳細價目表!C37="",NA(),契約詳細價目表!C37)</f>
        <v>#N/A</v>
      </c>
      <c r="D37" s="41" t="e">
        <f>IF(契約詳細價目表!D37="",NA(),契約詳細價目表!D37)</f>
        <v>#N/A</v>
      </c>
      <c r="E37" s="42">
        <f>IF(契約詳細價目表!E37="",NA(),契約詳細價目表!E37)</f>
        <v>0</v>
      </c>
      <c r="F37" s="42">
        <f>IF(契約詳細價目表!F37="",NA(),契約詳細價目表!F37)</f>
        <v>0</v>
      </c>
      <c r="G37" s="106" t="e">
        <f t="shared" si="536"/>
        <v>#N/A</v>
      </c>
      <c r="H37" s="87" t="e">
        <f t="shared" si="547"/>
        <v>#N/A</v>
      </c>
      <c r="I37" s="43" t="e">
        <f t="shared" si="535"/>
        <v>#N/A</v>
      </c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BM37" s="105"/>
      <c r="BN37" s="105"/>
      <c r="BO37" s="105"/>
      <c r="BP37" s="105"/>
      <c r="BQ37" s="105"/>
      <c r="BR37" s="105"/>
      <c r="BS37" s="105"/>
      <c r="BT37" s="105"/>
      <c r="BU37" s="105"/>
      <c r="BV37" s="105"/>
      <c r="BW37" s="105"/>
      <c r="BX37" s="105"/>
      <c r="BY37" s="105"/>
      <c r="BZ37" s="105"/>
      <c r="CA37" s="105"/>
      <c r="CB37" s="105"/>
      <c r="CC37" s="105"/>
      <c r="CD37" s="105"/>
      <c r="CE37" s="105"/>
      <c r="CF37" s="105"/>
      <c r="CG37" s="105"/>
      <c r="CH37" s="105"/>
      <c r="CI37" s="105"/>
      <c r="CJ37" s="105"/>
      <c r="CK37" s="105"/>
      <c r="CL37" s="105"/>
      <c r="CM37" s="105"/>
      <c r="CN37" s="105"/>
      <c r="CO37" s="105"/>
      <c r="CP37" s="105"/>
      <c r="CQ37" s="105"/>
      <c r="CR37" s="105"/>
      <c r="CS37" s="105"/>
      <c r="CT37" s="105" t="e">
        <f t="shared" ref="CT37:EV37" si="575">ROUND(SUM(SUMPRODUCT($E$2:$E$26,CT$2:CT$26),CT$33:CT$36)*5%,0)</f>
        <v>#N/A</v>
      </c>
      <c r="CU37" s="105"/>
      <c r="CV37" s="105"/>
      <c r="CW37" s="105" t="e">
        <f t="shared" si="575"/>
        <v>#N/A</v>
      </c>
      <c r="CX37" s="105"/>
      <c r="CY37" s="105"/>
      <c r="CZ37" s="105"/>
      <c r="DA37" s="105" t="e">
        <f t="shared" si="575"/>
        <v>#N/A</v>
      </c>
      <c r="DB37" s="105"/>
      <c r="DC37" s="105"/>
      <c r="DD37" s="105" t="e">
        <f t="shared" si="575"/>
        <v>#N/A</v>
      </c>
      <c r="DE37" s="105"/>
      <c r="DF37" s="105"/>
      <c r="DG37" s="105"/>
      <c r="DH37" s="105" t="e">
        <f t="shared" si="575"/>
        <v>#N/A</v>
      </c>
      <c r="DI37" s="105" t="e">
        <f t="shared" si="575"/>
        <v>#N/A</v>
      </c>
      <c r="DJ37" s="105" t="e">
        <f t="shared" si="575"/>
        <v>#N/A</v>
      </c>
      <c r="DK37" s="105" t="e">
        <f t="shared" si="575"/>
        <v>#N/A</v>
      </c>
      <c r="DL37" s="105" t="e">
        <f t="shared" si="575"/>
        <v>#N/A</v>
      </c>
      <c r="DM37" s="105" t="e">
        <f t="shared" si="575"/>
        <v>#N/A</v>
      </c>
      <c r="DN37" s="105" t="e">
        <f t="shared" si="575"/>
        <v>#N/A</v>
      </c>
      <c r="DO37" s="105" t="e">
        <f t="shared" si="575"/>
        <v>#N/A</v>
      </c>
      <c r="DP37" s="105" t="e">
        <f t="shared" si="575"/>
        <v>#N/A</v>
      </c>
      <c r="DQ37" s="105" t="e">
        <f t="shared" si="575"/>
        <v>#N/A</v>
      </c>
      <c r="DR37" s="105" t="e">
        <f t="shared" si="575"/>
        <v>#N/A</v>
      </c>
      <c r="DS37" s="105" t="e">
        <f t="shared" si="575"/>
        <v>#N/A</v>
      </c>
      <c r="DT37" s="105" t="e">
        <f t="shared" si="575"/>
        <v>#N/A</v>
      </c>
      <c r="DU37" s="105" t="e">
        <f t="shared" si="575"/>
        <v>#N/A</v>
      </c>
      <c r="DV37" s="105" t="e">
        <f t="shared" si="575"/>
        <v>#N/A</v>
      </c>
      <c r="DW37" s="105" t="e">
        <f t="shared" si="575"/>
        <v>#N/A</v>
      </c>
      <c r="DX37" s="105" t="e">
        <f t="shared" si="575"/>
        <v>#N/A</v>
      </c>
      <c r="DY37" s="105" t="e">
        <f t="shared" si="575"/>
        <v>#N/A</v>
      </c>
      <c r="DZ37" s="105" t="e">
        <f t="shared" si="575"/>
        <v>#N/A</v>
      </c>
      <c r="EA37" s="105" t="e">
        <f t="shared" si="575"/>
        <v>#N/A</v>
      </c>
      <c r="EB37" s="105" t="e">
        <f t="shared" si="575"/>
        <v>#N/A</v>
      </c>
      <c r="EC37" s="105" t="e">
        <f t="shared" si="575"/>
        <v>#N/A</v>
      </c>
      <c r="ED37" s="105" t="e">
        <f t="shared" si="575"/>
        <v>#N/A</v>
      </c>
      <c r="EE37" s="105" t="e">
        <f t="shared" si="575"/>
        <v>#N/A</v>
      </c>
      <c r="EF37" s="105" t="e">
        <f t="shared" si="575"/>
        <v>#N/A</v>
      </c>
      <c r="EG37" s="105" t="e">
        <f t="shared" si="575"/>
        <v>#N/A</v>
      </c>
      <c r="EH37" s="105" t="e">
        <f t="shared" si="575"/>
        <v>#N/A</v>
      </c>
      <c r="EI37" s="105" t="e">
        <f t="shared" si="575"/>
        <v>#N/A</v>
      </c>
      <c r="EJ37" s="105" t="e">
        <f t="shared" si="575"/>
        <v>#N/A</v>
      </c>
      <c r="EK37" s="105" t="e">
        <f t="shared" si="575"/>
        <v>#N/A</v>
      </c>
      <c r="EL37" s="105" t="e">
        <f t="shared" si="575"/>
        <v>#N/A</v>
      </c>
      <c r="EM37" s="105" t="e">
        <f t="shared" si="575"/>
        <v>#N/A</v>
      </c>
      <c r="EN37" s="105" t="e">
        <f t="shared" si="575"/>
        <v>#N/A</v>
      </c>
      <c r="EO37" s="105" t="e">
        <f t="shared" si="575"/>
        <v>#N/A</v>
      </c>
      <c r="EP37" s="105" t="e">
        <f t="shared" si="575"/>
        <v>#N/A</v>
      </c>
      <c r="EQ37" s="105" t="e">
        <f t="shared" si="575"/>
        <v>#N/A</v>
      </c>
      <c r="ER37" s="105" t="e">
        <f t="shared" si="575"/>
        <v>#N/A</v>
      </c>
      <c r="ES37" s="105" t="e">
        <f t="shared" si="575"/>
        <v>#N/A</v>
      </c>
      <c r="ET37" s="105" t="e">
        <f t="shared" si="575"/>
        <v>#N/A</v>
      </c>
      <c r="EU37" s="105" t="e">
        <f t="shared" si="575"/>
        <v>#N/A</v>
      </c>
      <c r="EV37" s="105" t="e">
        <f t="shared" si="575"/>
        <v>#N/A</v>
      </c>
      <c r="EW37" s="105" t="e">
        <f t="shared" ref="EW37:HH37" si="576">ROUND(SUM(SUMPRODUCT($E$2:$E$26,EW$2:EW$26),EW$33:EW$36)*5%,0)</f>
        <v>#N/A</v>
      </c>
      <c r="EX37" s="105" t="e">
        <f t="shared" si="576"/>
        <v>#N/A</v>
      </c>
      <c r="EY37" s="105" t="e">
        <f t="shared" si="576"/>
        <v>#N/A</v>
      </c>
      <c r="EZ37" s="105" t="e">
        <f t="shared" si="576"/>
        <v>#N/A</v>
      </c>
      <c r="FA37" s="105" t="e">
        <f t="shared" si="576"/>
        <v>#N/A</v>
      </c>
      <c r="FB37" s="105" t="e">
        <f t="shared" si="576"/>
        <v>#N/A</v>
      </c>
      <c r="FC37" s="105" t="e">
        <f t="shared" si="576"/>
        <v>#N/A</v>
      </c>
      <c r="FD37" s="105" t="e">
        <f t="shared" si="576"/>
        <v>#N/A</v>
      </c>
      <c r="FE37" s="105" t="e">
        <f t="shared" si="576"/>
        <v>#N/A</v>
      </c>
      <c r="FF37" s="105" t="e">
        <f t="shared" si="576"/>
        <v>#N/A</v>
      </c>
      <c r="FG37" s="105" t="e">
        <f t="shared" si="576"/>
        <v>#N/A</v>
      </c>
      <c r="FH37" s="105" t="e">
        <f t="shared" si="576"/>
        <v>#N/A</v>
      </c>
      <c r="FI37" s="105" t="e">
        <f t="shared" si="576"/>
        <v>#N/A</v>
      </c>
      <c r="FJ37" s="105" t="e">
        <f t="shared" si="576"/>
        <v>#N/A</v>
      </c>
      <c r="FK37" s="105" t="e">
        <f t="shared" si="576"/>
        <v>#N/A</v>
      </c>
      <c r="FL37" s="105" t="e">
        <f t="shared" si="576"/>
        <v>#N/A</v>
      </c>
      <c r="FM37" s="105" t="e">
        <f t="shared" si="576"/>
        <v>#N/A</v>
      </c>
      <c r="FN37" s="105" t="e">
        <f t="shared" si="576"/>
        <v>#N/A</v>
      </c>
      <c r="FO37" s="105" t="e">
        <f t="shared" si="576"/>
        <v>#N/A</v>
      </c>
      <c r="FP37" s="105" t="e">
        <f t="shared" si="576"/>
        <v>#N/A</v>
      </c>
      <c r="FQ37" s="105" t="e">
        <f t="shared" si="576"/>
        <v>#N/A</v>
      </c>
      <c r="FR37" s="105" t="e">
        <f t="shared" si="576"/>
        <v>#N/A</v>
      </c>
      <c r="FS37" s="105" t="e">
        <f t="shared" si="576"/>
        <v>#N/A</v>
      </c>
      <c r="FT37" s="105" t="e">
        <f t="shared" si="576"/>
        <v>#N/A</v>
      </c>
      <c r="FU37" s="101" t="e">
        <f t="shared" si="576"/>
        <v>#N/A</v>
      </c>
      <c r="FV37" s="101" t="e">
        <f t="shared" si="576"/>
        <v>#N/A</v>
      </c>
      <c r="FW37" s="101" t="e">
        <f t="shared" si="576"/>
        <v>#N/A</v>
      </c>
      <c r="FX37" s="101" t="e">
        <f t="shared" si="576"/>
        <v>#N/A</v>
      </c>
      <c r="FY37" s="101" t="e">
        <f t="shared" si="576"/>
        <v>#N/A</v>
      </c>
      <c r="FZ37" s="101" t="e">
        <f t="shared" si="576"/>
        <v>#N/A</v>
      </c>
      <c r="GA37" s="101" t="e">
        <f t="shared" si="576"/>
        <v>#N/A</v>
      </c>
      <c r="GB37" s="101" t="e">
        <f t="shared" si="576"/>
        <v>#N/A</v>
      </c>
      <c r="GC37" s="101" t="e">
        <f t="shared" si="576"/>
        <v>#N/A</v>
      </c>
      <c r="GD37" s="101" t="e">
        <f t="shared" si="576"/>
        <v>#N/A</v>
      </c>
      <c r="GE37" s="101" t="e">
        <f t="shared" si="576"/>
        <v>#N/A</v>
      </c>
      <c r="GF37" s="101" t="e">
        <f t="shared" si="576"/>
        <v>#N/A</v>
      </c>
      <c r="GG37" s="101" t="e">
        <f t="shared" si="576"/>
        <v>#N/A</v>
      </c>
      <c r="GH37" s="101" t="e">
        <f t="shared" si="576"/>
        <v>#N/A</v>
      </c>
      <c r="GI37" s="101" t="e">
        <f t="shared" si="576"/>
        <v>#N/A</v>
      </c>
      <c r="GJ37" s="101" t="e">
        <f t="shared" si="576"/>
        <v>#N/A</v>
      </c>
      <c r="GK37" s="101" t="e">
        <f t="shared" si="576"/>
        <v>#N/A</v>
      </c>
      <c r="GL37" s="101" t="e">
        <f t="shared" si="576"/>
        <v>#N/A</v>
      </c>
      <c r="GM37" s="101" t="e">
        <f t="shared" si="576"/>
        <v>#N/A</v>
      </c>
      <c r="GN37" s="101" t="e">
        <f t="shared" si="576"/>
        <v>#N/A</v>
      </c>
      <c r="GO37" s="101" t="e">
        <f t="shared" si="576"/>
        <v>#N/A</v>
      </c>
      <c r="GP37" s="101" t="e">
        <f t="shared" si="576"/>
        <v>#N/A</v>
      </c>
      <c r="GQ37" s="101" t="e">
        <f t="shared" si="576"/>
        <v>#N/A</v>
      </c>
      <c r="GR37" s="101" t="e">
        <f t="shared" si="576"/>
        <v>#N/A</v>
      </c>
      <c r="GS37" s="101" t="e">
        <f t="shared" si="576"/>
        <v>#N/A</v>
      </c>
      <c r="GT37" s="101" t="e">
        <f t="shared" si="576"/>
        <v>#N/A</v>
      </c>
      <c r="GU37" s="101" t="e">
        <f t="shared" si="576"/>
        <v>#N/A</v>
      </c>
      <c r="GV37" s="101" t="e">
        <f t="shared" si="576"/>
        <v>#N/A</v>
      </c>
      <c r="GW37" s="101" t="e">
        <f t="shared" si="576"/>
        <v>#N/A</v>
      </c>
      <c r="GX37" s="101" t="e">
        <f t="shared" si="576"/>
        <v>#N/A</v>
      </c>
      <c r="GY37" s="101" t="e">
        <f t="shared" si="576"/>
        <v>#N/A</v>
      </c>
      <c r="GZ37" s="101" t="e">
        <f t="shared" si="576"/>
        <v>#N/A</v>
      </c>
      <c r="HA37" s="101" t="e">
        <f t="shared" si="576"/>
        <v>#N/A</v>
      </c>
      <c r="HB37" s="101" t="e">
        <f t="shared" si="576"/>
        <v>#N/A</v>
      </c>
      <c r="HC37" s="101" t="e">
        <f t="shared" si="576"/>
        <v>#N/A</v>
      </c>
      <c r="HD37" s="101" t="e">
        <f t="shared" si="576"/>
        <v>#N/A</v>
      </c>
      <c r="HE37" s="101" t="e">
        <f t="shared" si="576"/>
        <v>#N/A</v>
      </c>
      <c r="HF37" s="101" t="e">
        <f t="shared" si="576"/>
        <v>#N/A</v>
      </c>
      <c r="HG37" s="101" t="e">
        <f t="shared" si="576"/>
        <v>#N/A</v>
      </c>
      <c r="HH37" s="101" t="e">
        <f t="shared" si="576"/>
        <v>#N/A</v>
      </c>
      <c r="HI37" s="101" t="e">
        <f t="shared" ref="HI37:JT37" si="577">ROUND(SUM(SUMPRODUCT($E$2:$E$26,HI$2:HI$26),HI$33:HI$36)*5%,0)</f>
        <v>#N/A</v>
      </c>
      <c r="HJ37" s="101" t="e">
        <f t="shared" si="577"/>
        <v>#N/A</v>
      </c>
      <c r="HK37" s="101" t="e">
        <f t="shared" si="577"/>
        <v>#N/A</v>
      </c>
      <c r="HL37" s="101" t="e">
        <f t="shared" si="577"/>
        <v>#N/A</v>
      </c>
      <c r="HM37" s="101" t="e">
        <f t="shared" si="577"/>
        <v>#N/A</v>
      </c>
      <c r="HN37" s="101" t="e">
        <f t="shared" si="577"/>
        <v>#N/A</v>
      </c>
      <c r="HO37" s="101" t="e">
        <f t="shared" si="577"/>
        <v>#N/A</v>
      </c>
      <c r="HP37" s="101" t="e">
        <f t="shared" si="577"/>
        <v>#N/A</v>
      </c>
      <c r="HQ37" s="101" t="e">
        <f t="shared" si="577"/>
        <v>#N/A</v>
      </c>
      <c r="HR37" s="101" t="e">
        <f t="shared" si="577"/>
        <v>#N/A</v>
      </c>
      <c r="HS37" s="101" t="e">
        <f t="shared" si="577"/>
        <v>#N/A</v>
      </c>
      <c r="HT37" s="101" t="e">
        <f t="shared" si="577"/>
        <v>#N/A</v>
      </c>
      <c r="HU37" s="101" t="e">
        <f t="shared" si="577"/>
        <v>#N/A</v>
      </c>
      <c r="HV37" s="101" t="e">
        <f t="shared" si="577"/>
        <v>#N/A</v>
      </c>
      <c r="HW37" s="101" t="e">
        <f t="shared" si="577"/>
        <v>#N/A</v>
      </c>
      <c r="HX37" s="101" t="e">
        <f t="shared" si="577"/>
        <v>#N/A</v>
      </c>
      <c r="HY37" s="101" t="e">
        <f t="shared" si="577"/>
        <v>#N/A</v>
      </c>
      <c r="HZ37" s="101" t="e">
        <f t="shared" si="577"/>
        <v>#N/A</v>
      </c>
      <c r="IA37" s="101" t="e">
        <f t="shared" si="577"/>
        <v>#N/A</v>
      </c>
      <c r="IB37" s="101" t="e">
        <f t="shared" si="577"/>
        <v>#N/A</v>
      </c>
      <c r="IC37" s="101" t="e">
        <f t="shared" si="577"/>
        <v>#N/A</v>
      </c>
      <c r="ID37" s="101" t="e">
        <f t="shared" si="577"/>
        <v>#N/A</v>
      </c>
      <c r="IE37" s="101" t="e">
        <f t="shared" si="577"/>
        <v>#N/A</v>
      </c>
      <c r="IF37" s="101" t="e">
        <f t="shared" si="577"/>
        <v>#N/A</v>
      </c>
      <c r="IG37" s="101" t="e">
        <f t="shared" si="577"/>
        <v>#N/A</v>
      </c>
      <c r="IH37" s="101" t="e">
        <f t="shared" si="577"/>
        <v>#N/A</v>
      </c>
      <c r="II37" s="101" t="e">
        <f t="shared" si="577"/>
        <v>#N/A</v>
      </c>
      <c r="IJ37" s="101" t="e">
        <f t="shared" si="577"/>
        <v>#N/A</v>
      </c>
      <c r="IK37" s="101" t="e">
        <f t="shared" si="577"/>
        <v>#N/A</v>
      </c>
      <c r="IL37" s="101" t="e">
        <f t="shared" si="577"/>
        <v>#N/A</v>
      </c>
      <c r="IM37" s="101" t="e">
        <f t="shared" si="577"/>
        <v>#N/A</v>
      </c>
      <c r="IN37" s="101" t="e">
        <f t="shared" si="577"/>
        <v>#N/A</v>
      </c>
      <c r="IO37" s="101" t="e">
        <f t="shared" si="577"/>
        <v>#N/A</v>
      </c>
      <c r="IP37" s="101" t="e">
        <f t="shared" si="577"/>
        <v>#N/A</v>
      </c>
      <c r="IQ37" s="101" t="e">
        <f t="shared" si="577"/>
        <v>#N/A</v>
      </c>
      <c r="IR37" s="101" t="e">
        <f t="shared" si="577"/>
        <v>#N/A</v>
      </c>
      <c r="IS37" s="101" t="e">
        <f t="shared" si="577"/>
        <v>#N/A</v>
      </c>
      <c r="IT37" s="101" t="e">
        <f t="shared" si="577"/>
        <v>#N/A</v>
      </c>
      <c r="IU37" s="101" t="e">
        <f t="shared" si="577"/>
        <v>#N/A</v>
      </c>
      <c r="IV37" s="101" t="e">
        <f t="shared" si="577"/>
        <v>#N/A</v>
      </c>
      <c r="IW37" s="101" t="e">
        <f t="shared" si="577"/>
        <v>#N/A</v>
      </c>
      <c r="IX37" s="101" t="e">
        <f t="shared" si="577"/>
        <v>#N/A</v>
      </c>
      <c r="IY37" s="101" t="e">
        <f t="shared" si="577"/>
        <v>#N/A</v>
      </c>
      <c r="IZ37" s="101" t="e">
        <f t="shared" si="577"/>
        <v>#N/A</v>
      </c>
      <c r="JA37" s="101" t="e">
        <f t="shared" si="577"/>
        <v>#N/A</v>
      </c>
      <c r="JB37" s="101" t="e">
        <f t="shared" si="577"/>
        <v>#N/A</v>
      </c>
      <c r="JC37" s="101" t="e">
        <f t="shared" si="577"/>
        <v>#N/A</v>
      </c>
      <c r="JD37" s="101" t="e">
        <f t="shared" si="577"/>
        <v>#N/A</v>
      </c>
      <c r="JE37" s="101" t="e">
        <f t="shared" si="577"/>
        <v>#N/A</v>
      </c>
      <c r="JF37" s="101" t="e">
        <f t="shared" si="577"/>
        <v>#N/A</v>
      </c>
      <c r="JG37" s="101" t="e">
        <f t="shared" si="577"/>
        <v>#N/A</v>
      </c>
      <c r="JH37" s="101" t="e">
        <f t="shared" si="577"/>
        <v>#N/A</v>
      </c>
      <c r="JI37" s="101" t="e">
        <f t="shared" si="577"/>
        <v>#N/A</v>
      </c>
      <c r="JJ37" s="101" t="e">
        <f t="shared" si="577"/>
        <v>#N/A</v>
      </c>
      <c r="JK37" s="101" t="e">
        <f t="shared" si="577"/>
        <v>#N/A</v>
      </c>
      <c r="JL37" s="101" t="e">
        <f t="shared" si="577"/>
        <v>#N/A</v>
      </c>
      <c r="JM37" s="101" t="e">
        <f t="shared" si="577"/>
        <v>#N/A</v>
      </c>
      <c r="JN37" s="101" t="e">
        <f t="shared" si="577"/>
        <v>#N/A</v>
      </c>
      <c r="JO37" s="101" t="e">
        <f t="shared" si="577"/>
        <v>#N/A</v>
      </c>
      <c r="JP37" s="101" t="e">
        <f t="shared" si="577"/>
        <v>#N/A</v>
      </c>
      <c r="JQ37" s="101" t="e">
        <f t="shared" si="577"/>
        <v>#N/A</v>
      </c>
      <c r="JR37" s="101" t="e">
        <f t="shared" si="577"/>
        <v>#N/A</v>
      </c>
      <c r="JS37" s="101" t="e">
        <f t="shared" si="577"/>
        <v>#N/A</v>
      </c>
      <c r="JT37" s="101" t="e">
        <f t="shared" si="577"/>
        <v>#N/A</v>
      </c>
      <c r="JU37" s="101" t="e">
        <f t="shared" ref="JU37:MF37" si="578">ROUND(SUM(SUMPRODUCT($E$2:$E$26,JU$2:JU$26),JU$33:JU$36)*5%,0)</f>
        <v>#N/A</v>
      </c>
      <c r="JV37" s="101" t="e">
        <f t="shared" si="578"/>
        <v>#N/A</v>
      </c>
      <c r="JW37" s="101" t="e">
        <f t="shared" si="578"/>
        <v>#N/A</v>
      </c>
      <c r="JX37" s="101" t="e">
        <f t="shared" si="578"/>
        <v>#N/A</v>
      </c>
      <c r="JY37" s="101" t="e">
        <f t="shared" si="578"/>
        <v>#N/A</v>
      </c>
      <c r="JZ37" s="101" t="e">
        <f t="shared" si="578"/>
        <v>#N/A</v>
      </c>
      <c r="KA37" s="101" t="e">
        <f t="shared" si="578"/>
        <v>#N/A</v>
      </c>
      <c r="KB37" s="101" t="e">
        <f t="shared" si="578"/>
        <v>#N/A</v>
      </c>
      <c r="KC37" s="101" t="e">
        <f t="shared" si="578"/>
        <v>#N/A</v>
      </c>
      <c r="KD37" s="101" t="e">
        <f t="shared" si="578"/>
        <v>#N/A</v>
      </c>
      <c r="KE37" s="101" t="e">
        <f t="shared" si="578"/>
        <v>#N/A</v>
      </c>
      <c r="KF37" s="101" t="e">
        <f t="shared" si="578"/>
        <v>#N/A</v>
      </c>
      <c r="KG37" s="101" t="e">
        <f t="shared" si="578"/>
        <v>#N/A</v>
      </c>
      <c r="KH37" s="101" t="e">
        <f t="shared" si="578"/>
        <v>#N/A</v>
      </c>
      <c r="KI37" s="101" t="e">
        <f t="shared" si="578"/>
        <v>#N/A</v>
      </c>
      <c r="KJ37" s="101" t="e">
        <f t="shared" si="578"/>
        <v>#N/A</v>
      </c>
      <c r="KK37" s="101" t="e">
        <f t="shared" si="578"/>
        <v>#N/A</v>
      </c>
      <c r="KL37" s="101" t="e">
        <f t="shared" si="578"/>
        <v>#N/A</v>
      </c>
      <c r="KM37" s="101" t="e">
        <f t="shared" si="578"/>
        <v>#N/A</v>
      </c>
      <c r="KN37" s="101" t="e">
        <f t="shared" si="578"/>
        <v>#N/A</v>
      </c>
      <c r="KO37" s="101" t="e">
        <f t="shared" si="578"/>
        <v>#N/A</v>
      </c>
      <c r="KP37" s="101" t="e">
        <f t="shared" si="578"/>
        <v>#N/A</v>
      </c>
      <c r="KQ37" s="101" t="e">
        <f t="shared" si="578"/>
        <v>#N/A</v>
      </c>
      <c r="KR37" s="101" t="e">
        <f t="shared" si="578"/>
        <v>#N/A</v>
      </c>
      <c r="KS37" s="101" t="e">
        <f t="shared" si="578"/>
        <v>#N/A</v>
      </c>
      <c r="KT37" s="101" t="e">
        <f t="shared" si="578"/>
        <v>#N/A</v>
      </c>
      <c r="KU37" s="101" t="e">
        <f t="shared" si="578"/>
        <v>#N/A</v>
      </c>
      <c r="KV37" s="101" t="e">
        <f t="shared" si="578"/>
        <v>#N/A</v>
      </c>
      <c r="KW37" s="101" t="e">
        <f t="shared" si="578"/>
        <v>#N/A</v>
      </c>
      <c r="KX37" s="101" t="e">
        <f t="shared" si="578"/>
        <v>#N/A</v>
      </c>
      <c r="KY37" s="101" t="e">
        <f t="shared" si="578"/>
        <v>#N/A</v>
      </c>
      <c r="KZ37" s="101" t="e">
        <f t="shared" si="578"/>
        <v>#N/A</v>
      </c>
      <c r="LA37" s="101" t="e">
        <f t="shared" si="578"/>
        <v>#N/A</v>
      </c>
      <c r="LB37" s="101" t="e">
        <f t="shared" si="578"/>
        <v>#N/A</v>
      </c>
      <c r="LC37" s="101" t="e">
        <f t="shared" si="578"/>
        <v>#N/A</v>
      </c>
      <c r="LD37" s="101" t="e">
        <f t="shared" si="578"/>
        <v>#N/A</v>
      </c>
      <c r="LE37" s="101" t="e">
        <f t="shared" si="578"/>
        <v>#N/A</v>
      </c>
      <c r="LF37" s="101" t="e">
        <f t="shared" si="578"/>
        <v>#N/A</v>
      </c>
      <c r="LG37" s="101" t="e">
        <f t="shared" si="578"/>
        <v>#N/A</v>
      </c>
      <c r="LH37" s="101" t="e">
        <f t="shared" si="578"/>
        <v>#N/A</v>
      </c>
      <c r="LI37" s="101" t="e">
        <f t="shared" si="578"/>
        <v>#N/A</v>
      </c>
      <c r="LJ37" s="101" t="e">
        <f t="shared" si="578"/>
        <v>#N/A</v>
      </c>
      <c r="LK37" s="101" t="e">
        <f t="shared" si="578"/>
        <v>#N/A</v>
      </c>
      <c r="LL37" s="101" t="e">
        <f t="shared" si="578"/>
        <v>#N/A</v>
      </c>
      <c r="LM37" s="101" t="e">
        <f t="shared" si="578"/>
        <v>#N/A</v>
      </c>
      <c r="LN37" s="101" t="e">
        <f t="shared" si="578"/>
        <v>#N/A</v>
      </c>
      <c r="LO37" s="101" t="e">
        <f t="shared" si="578"/>
        <v>#N/A</v>
      </c>
      <c r="LP37" s="101" t="e">
        <f t="shared" si="578"/>
        <v>#N/A</v>
      </c>
      <c r="LQ37" s="101" t="e">
        <f t="shared" si="578"/>
        <v>#N/A</v>
      </c>
      <c r="LR37" s="101" t="e">
        <f t="shared" si="578"/>
        <v>#N/A</v>
      </c>
      <c r="LS37" s="101" t="e">
        <f t="shared" si="578"/>
        <v>#N/A</v>
      </c>
      <c r="LT37" s="101" t="e">
        <f t="shared" si="578"/>
        <v>#N/A</v>
      </c>
      <c r="LU37" s="101" t="e">
        <f t="shared" si="578"/>
        <v>#N/A</v>
      </c>
      <c r="LV37" s="101" t="e">
        <f t="shared" si="578"/>
        <v>#N/A</v>
      </c>
      <c r="LW37" s="101" t="e">
        <f t="shared" si="578"/>
        <v>#N/A</v>
      </c>
      <c r="LX37" s="101" t="e">
        <f t="shared" si="578"/>
        <v>#N/A</v>
      </c>
      <c r="LY37" s="101" t="e">
        <f t="shared" si="578"/>
        <v>#N/A</v>
      </c>
      <c r="LZ37" s="101" t="e">
        <f t="shared" si="578"/>
        <v>#N/A</v>
      </c>
      <c r="MA37" s="101" t="e">
        <f t="shared" si="578"/>
        <v>#N/A</v>
      </c>
      <c r="MB37" s="101" t="e">
        <f t="shared" si="578"/>
        <v>#N/A</v>
      </c>
      <c r="MC37" s="101" t="e">
        <f t="shared" si="578"/>
        <v>#N/A</v>
      </c>
      <c r="MD37" s="101" t="e">
        <f t="shared" si="578"/>
        <v>#N/A</v>
      </c>
      <c r="ME37" s="101" t="e">
        <f t="shared" si="578"/>
        <v>#N/A</v>
      </c>
      <c r="MF37" s="101" t="e">
        <f t="shared" si="578"/>
        <v>#N/A</v>
      </c>
      <c r="MG37" s="101" t="e">
        <f t="shared" ref="MG37:OR37" si="579">ROUND(SUM(SUMPRODUCT($E$2:$E$26,MG$2:MG$26),MG$33:MG$36)*5%,0)</f>
        <v>#N/A</v>
      </c>
      <c r="MH37" s="101" t="e">
        <f t="shared" si="579"/>
        <v>#N/A</v>
      </c>
      <c r="MI37" s="101" t="e">
        <f t="shared" si="579"/>
        <v>#N/A</v>
      </c>
      <c r="MJ37" s="101" t="e">
        <f t="shared" si="579"/>
        <v>#N/A</v>
      </c>
      <c r="MK37" s="101" t="e">
        <f t="shared" si="579"/>
        <v>#N/A</v>
      </c>
      <c r="ML37" s="101" t="e">
        <f t="shared" si="579"/>
        <v>#N/A</v>
      </c>
      <c r="MM37" s="101" t="e">
        <f t="shared" si="579"/>
        <v>#N/A</v>
      </c>
      <c r="MN37" s="101" t="e">
        <f t="shared" si="579"/>
        <v>#N/A</v>
      </c>
      <c r="MO37" s="101" t="e">
        <f t="shared" si="579"/>
        <v>#N/A</v>
      </c>
      <c r="MP37" s="101" t="e">
        <f t="shared" si="579"/>
        <v>#N/A</v>
      </c>
      <c r="MQ37" s="101" t="e">
        <f t="shared" si="579"/>
        <v>#N/A</v>
      </c>
      <c r="MR37" s="101" t="e">
        <f t="shared" si="579"/>
        <v>#N/A</v>
      </c>
      <c r="MS37" s="101" t="e">
        <f t="shared" si="579"/>
        <v>#N/A</v>
      </c>
      <c r="MT37" s="101" t="e">
        <f t="shared" si="579"/>
        <v>#N/A</v>
      </c>
      <c r="MU37" s="101" t="e">
        <f t="shared" si="579"/>
        <v>#N/A</v>
      </c>
      <c r="MV37" s="101" t="e">
        <f t="shared" si="579"/>
        <v>#N/A</v>
      </c>
      <c r="MW37" s="101" t="e">
        <f t="shared" si="579"/>
        <v>#N/A</v>
      </c>
      <c r="MX37" s="101" t="e">
        <f t="shared" si="579"/>
        <v>#N/A</v>
      </c>
      <c r="MY37" s="101" t="e">
        <f t="shared" si="579"/>
        <v>#N/A</v>
      </c>
      <c r="MZ37" s="101" t="e">
        <f t="shared" si="579"/>
        <v>#N/A</v>
      </c>
      <c r="NA37" s="101" t="e">
        <f t="shared" si="579"/>
        <v>#N/A</v>
      </c>
      <c r="NB37" s="101" t="e">
        <f t="shared" si="579"/>
        <v>#N/A</v>
      </c>
      <c r="NC37" s="101" t="e">
        <f t="shared" si="579"/>
        <v>#N/A</v>
      </c>
      <c r="ND37" s="101" t="e">
        <f t="shared" si="579"/>
        <v>#N/A</v>
      </c>
      <c r="NE37" s="101" t="e">
        <f t="shared" si="579"/>
        <v>#N/A</v>
      </c>
      <c r="NF37" s="101" t="e">
        <f t="shared" si="579"/>
        <v>#N/A</v>
      </c>
      <c r="NG37" s="101" t="e">
        <f t="shared" si="579"/>
        <v>#N/A</v>
      </c>
      <c r="NH37" s="101" t="e">
        <f t="shared" si="579"/>
        <v>#N/A</v>
      </c>
      <c r="NI37" s="101" t="e">
        <f t="shared" si="579"/>
        <v>#N/A</v>
      </c>
      <c r="NJ37" s="101" t="e">
        <f t="shared" si="579"/>
        <v>#N/A</v>
      </c>
      <c r="NK37" s="101" t="e">
        <f t="shared" si="579"/>
        <v>#N/A</v>
      </c>
      <c r="NL37" s="101" t="e">
        <f t="shared" si="579"/>
        <v>#N/A</v>
      </c>
      <c r="NM37" s="101" t="e">
        <f t="shared" si="579"/>
        <v>#N/A</v>
      </c>
      <c r="NN37" s="101" t="e">
        <f t="shared" si="579"/>
        <v>#N/A</v>
      </c>
      <c r="NO37" s="101" t="e">
        <f t="shared" si="579"/>
        <v>#N/A</v>
      </c>
      <c r="NP37" s="101" t="e">
        <f t="shared" si="579"/>
        <v>#N/A</v>
      </c>
      <c r="NQ37" s="101" t="e">
        <f t="shared" si="579"/>
        <v>#N/A</v>
      </c>
      <c r="NR37" s="101" t="e">
        <f t="shared" si="579"/>
        <v>#N/A</v>
      </c>
      <c r="NS37" s="101" t="e">
        <f t="shared" si="579"/>
        <v>#N/A</v>
      </c>
      <c r="NT37" s="101" t="e">
        <f t="shared" si="579"/>
        <v>#N/A</v>
      </c>
      <c r="NU37" s="101" t="e">
        <f t="shared" si="579"/>
        <v>#N/A</v>
      </c>
      <c r="NV37" s="101" t="e">
        <f t="shared" si="579"/>
        <v>#N/A</v>
      </c>
      <c r="NW37" s="101" t="e">
        <f t="shared" si="579"/>
        <v>#N/A</v>
      </c>
      <c r="NX37" s="101" t="e">
        <f t="shared" si="579"/>
        <v>#N/A</v>
      </c>
      <c r="NY37" s="101" t="e">
        <f t="shared" si="579"/>
        <v>#N/A</v>
      </c>
      <c r="NZ37" s="101" t="e">
        <f t="shared" si="579"/>
        <v>#N/A</v>
      </c>
      <c r="OA37" s="101" t="e">
        <f t="shared" si="579"/>
        <v>#N/A</v>
      </c>
      <c r="OB37" s="101" t="e">
        <f t="shared" si="579"/>
        <v>#N/A</v>
      </c>
      <c r="OC37" s="101" t="e">
        <f t="shared" si="579"/>
        <v>#N/A</v>
      </c>
      <c r="OD37" s="101" t="e">
        <f t="shared" si="579"/>
        <v>#N/A</v>
      </c>
      <c r="OE37" s="101" t="e">
        <f t="shared" si="579"/>
        <v>#N/A</v>
      </c>
      <c r="OF37" s="101" t="e">
        <f t="shared" si="579"/>
        <v>#N/A</v>
      </c>
      <c r="OG37" s="101" t="e">
        <f t="shared" si="579"/>
        <v>#N/A</v>
      </c>
      <c r="OH37" s="101" t="e">
        <f t="shared" si="579"/>
        <v>#N/A</v>
      </c>
      <c r="OI37" s="101" t="e">
        <f t="shared" si="579"/>
        <v>#N/A</v>
      </c>
      <c r="OJ37" s="101" t="e">
        <f t="shared" si="579"/>
        <v>#N/A</v>
      </c>
      <c r="OK37" s="101" t="e">
        <f t="shared" si="579"/>
        <v>#N/A</v>
      </c>
      <c r="OL37" s="101" t="e">
        <f t="shared" si="579"/>
        <v>#N/A</v>
      </c>
      <c r="OM37" s="101" t="e">
        <f t="shared" si="579"/>
        <v>#N/A</v>
      </c>
      <c r="ON37" s="101" t="e">
        <f t="shared" si="579"/>
        <v>#N/A</v>
      </c>
      <c r="OO37" s="101" t="e">
        <f t="shared" si="579"/>
        <v>#N/A</v>
      </c>
      <c r="OP37" s="101" t="e">
        <f t="shared" si="579"/>
        <v>#N/A</v>
      </c>
      <c r="OQ37" s="101" t="e">
        <f t="shared" si="579"/>
        <v>#N/A</v>
      </c>
      <c r="OR37" s="101" t="e">
        <f t="shared" si="579"/>
        <v>#N/A</v>
      </c>
      <c r="OS37" s="101" t="e">
        <f t="shared" ref="OS37:RD37" si="580">ROUND(SUM(SUMPRODUCT($E$2:$E$26,OS$2:OS$26),OS$33:OS$36)*5%,0)</f>
        <v>#N/A</v>
      </c>
      <c r="OT37" s="101" t="e">
        <f t="shared" si="580"/>
        <v>#N/A</v>
      </c>
      <c r="OU37" s="101" t="e">
        <f t="shared" si="580"/>
        <v>#N/A</v>
      </c>
      <c r="OV37" s="101" t="e">
        <f t="shared" si="580"/>
        <v>#N/A</v>
      </c>
      <c r="OW37" s="101" t="e">
        <f t="shared" si="580"/>
        <v>#N/A</v>
      </c>
      <c r="OX37" s="101" t="e">
        <f t="shared" si="580"/>
        <v>#N/A</v>
      </c>
      <c r="OY37" s="101" t="e">
        <f t="shared" si="580"/>
        <v>#N/A</v>
      </c>
      <c r="OZ37" s="101" t="e">
        <f t="shared" si="580"/>
        <v>#N/A</v>
      </c>
      <c r="PA37" s="101" t="e">
        <f t="shared" si="580"/>
        <v>#N/A</v>
      </c>
      <c r="PB37" s="101" t="e">
        <f t="shared" si="580"/>
        <v>#N/A</v>
      </c>
      <c r="PC37" s="101" t="e">
        <f t="shared" si="580"/>
        <v>#N/A</v>
      </c>
      <c r="PD37" s="101" t="e">
        <f t="shared" si="580"/>
        <v>#N/A</v>
      </c>
      <c r="PE37" s="101" t="e">
        <f t="shared" si="580"/>
        <v>#N/A</v>
      </c>
      <c r="PF37" s="101" t="e">
        <f t="shared" si="580"/>
        <v>#N/A</v>
      </c>
      <c r="PG37" s="101" t="e">
        <f t="shared" si="580"/>
        <v>#N/A</v>
      </c>
      <c r="PH37" s="101" t="e">
        <f t="shared" si="580"/>
        <v>#N/A</v>
      </c>
      <c r="PI37" s="101" t="e">
        <f t="shared" si="580"/>
        <v>#N/A</v>
      </c>
      <c r="PJ37" s="101" t="e">
        <f t="shared" si="580"/>
        <v>#N/A</v>
      </c>
      <c r="PK37" s="101" t="e">
        <f t="shared" si="580"/>
        <v>#N/A</v>
      </c>
      <c r="PL37" s="101" t="e">
        <f t="shared" si="580"/>
        <v>#N/A</v>
      </c>
      <c r="PM37" s="101" t="e">
        <f t="shared" si="580"/>
        <v>#N/A</v>
      </c>
      <c r="PN37" s="101" t="e">
        <f t="shared" si="580"/>
        <v>#N/A</v>
      </c>
      <c r="PO37" s="101" t="e">
        <f t="shared" si="580"/>
        <v>#N/A</v>
      </c>
      <c r="PP37" s="101" t="e">
        <f t="shared" si="580"/>
        <v>#N/A</v>
      </c>
      <c r="PQ37" s="101" t="e">
        <f t="shared" si="580"/>
        <v>#N/A</v>
      </c>
      <c r="PR37" s="101" t="e">
        <f t="shared" si="580"/>
        <v>#N/A</v>
      </c>
      <c r="PS37" s="101" t="e">
        <f t="shared" si="580"/>
        <v>#N/A</v>
      </c>
      <c r="PT37" s="101" t="e">
        <f t="shared" si="580"/>
        <v>#N/A</v>
      </c>
      <c r="PU37" s="101" t="e">
        <f t="shared" si="580"/>
        <v>#N/A</v>
      </c>
      <c r="PV37" s="101" t="e">
        <f t="shared" si="580"/>
        <v>#N/A</v>
      </c>
      <c r="PW37" s="101" t="e">
        <f t="shared" si="580"/>
        <v>#N/A</v>
      </c>
      <c r="PX37" s="101" t="e">
        <f t="shared" si="580"/>
        <v>#N/A</v>
      </c>
      <c r="PY37" s="101" t="e">
        <f t="shared" si="580"/>
        <v>#N/A</v>
      </c>
      <c r="PZ37" s="101" t="e">
        <f t="shared" si="580"/>
        <v>#N/A</v>
      </c>
      <c r="QA37" s="101" t="e">
        <f t="shared" si="580"/>
        <v>#N/A</v>
      </c>
      <c r="QB37" s="101" t="e">
        <f t="shared" si="580"/>
        <v>#N/A</v>
      </c>
      <c r="QC37" s="101" t="e">
        <f t="shared" si="580"/>
        <v>#N/A</v>
      </c>
      <c r="QD37" s="101" t="e">
        <f t="shared" si="580"/>
        <v>#N/A</v>
      </c>
      <c r="QE37" s="101" t="e">
        <f t="shared" si="580"/>
        <v>#N/A</v>
      </c>
      <c r="QF37" s="101" t="e">
        <f t="shared" si="580"/>
        <v>#N/A</v>
      </c>
      <c r="QG37" s="101" t="e">
        <f t="shared" si="580"/>
        <v>#N/A</v>
      </c>
      <c r="QH37" s="101" t="e">
        <f t="shared" si="580"/>
        <v>#N/A</v>
      </c>
      <c r="QI37" s="101" t="e">
        <f t="shared" si="580"/>
        <v>#N/A</v>
      </c>
      <c r="QJ37" s="101" t="e">
        <f t="shared" si="580"/>
        <v>#N/A</v>
      </c>
      <c r="QK37" s="101" t="e">
        <f t="shared" si="580"/>
        <v>#N/A</v>
      </c>
      <c r="QL37" s="101" t="e">
        <f t="shared" si="580"/>
        <v>#N/A</v>
      </c>
      <c r="QM37" s="101" t="e">
        <f t="shared" si="580"/>
        <v>#N/A</v>
      </c>
      <c r="QN37" s="101" t="e">
        <f t="shared" si="580"/>
        <v>#N/A</v>
      </c>
      <c r="QO37" s="101" t="e">
        <f t="shared" si="580"/>
        <v>#N/A</v>
      </c>
      <c r="QP37" s="101" t="e">
        <f t="shared" si="580"/>
        <v>#N/A</v>
      </c>
      <c r="QQ37" s="101" t="e">
        <f t="shared" si="580"/>
        <v>#N/A</v>
      </c>
      <c r="QR37" s="101" t="e">
        <f t="shared" si="580"/>
        <v>#N/A</v>
      </c>
      <c r="QS37" s="101" t="e">
        <f t="shared" si="580"/>
        <v>#N/A</v>
      </c>
      <c r="QT37" s="101" t="e">
        <f t="shared" si="580"/>
        <v>#N/A</v>
      </c>
      <c r="QU37" s="101" t="e">
        <f t="shared" si="580"/>
        <v>#N/A</v>
      </c>
      <c r="QV37" s="101" t="e">
        <f t="shared" si="580"/>
        <v>#N/A</v>
      </c>
      <c r="QW37" s="101" t="e">
        <f t="shared" si="580"/>
        <v>#N/A</v>
      </c>
      <c r="QX37" s="101" t="e">
        <f t="shared" si="580"/>
        <v>#N/A</v>
      </c>
      <c r="QY37" s="101" t="e">
        <f t="shared" si="580"/>
        <v>#N/A</v>
      </c>
      <c r="QZ37" s="101" t="e">
        <f t="shared" si="580"/>
        <v>#N/A</v>
      </c>
      <c r="RA37" s="101" t="e">
        <f t="shared" si="580"/>
        <v>#N/A</v>
      </c>
      <c r="RB37" s="101" t="e">
        <f t="shared" si="580"/>
        <v>#N/A</v>
      </c>
      <c r="RC37" s="101" t="e">
        <f t="shared" si="580"/>
        <v>#N/A</v>
      </c>
      <c r="RD37" s="101" t="e">
        <f t="shared" si="580"/>
        <v>#N/A</v>
      </c>
      <c r="RE37" s="101" t="e">
        <f t="shared" ref="RE37:TP37" si="581">ROUND(SUM(SUMPRODUCT($E$2:$E$26,RE$2:RE$26),RE$33:RE$36)*5%,0)</f>
        <v>#N/A</v>
      </c>
      <c r="RF37" s="101" t="e">
        <f t="shared" si="581"/>
        <v>#N/A</v>
      </c>
      <c r="RG37" s="101" t="e">
        <f t="shared" si="581"/>
        <v>#N/A</v>
      </c>
      <c r="RH37" s="101" t="e">
        <f t="shared" si="581"/>
        <v>#N/A</v>
      </c>
      <c r="RI37" s="101" t="e">
        <f t="shared" si="581"/>
        <v>#N/A</v>
      </c>
      <c r="RJ37" s="101" t="e">
        <f t="shared" si="581"/>
        <v>#N/A</v>
      </c>
      <c r="RK37" s="101" t="e">
        <f t="shared" si="581"/>
        <v>#N/A</v>
      </c>
      <c r="RL37" s="101" t="e">
        <f t="shared" si="581"/>
        <v>#N/A</v>
      </c>
      <c r="RM37" s="101" t="e">
        <f t="shared" si="581"/>
        <v>#N/A</v>
      </c>
      <c r="RN37" s="101" t="e">
        <f t="shared" si="581"/>
        <v>#N/A</v>
      </c>
      <c r="RO37" s="101" t="e">
        <f t="shared" si="581"/>
        <v>#N/A</v>
      </c>
      <c r="RP37" s="101" t="e">
        <f t="shared" si="581"/>
        <v>#N/A</v>
      </c>
      <c r="RQ37" s="101" t="e">
        <f t="shared" si="581"/>
        <v>#N/A</v>
      </c>
      <c r="RR37" s="101" t="e">
        <f t="shared" si="581"/>
        <v>#N/A</v>
      </c>
      <c r="RS37" s="101" t="e">
        <f t="shared" si="581"/>
        <v>#N/A</v>
      </c>
      <c r="RT37" s="101" t="e">
        <f t="shared" si="581"/>
        <v>#N/A</v>
      </c>
      <c r="RU37" s="101" t="e">
        <f t="shared" si="581"/>
        <v>#N/A</v>
      </c>
      <c r="RV37" s="101" t="e">
        <f t="shared" si="581"/>
        <v>#N/A</v>
      </c>
      <c r="RW37" s="101" t="e">
        <f t="shared" si="581"/>
        <v>#N/A</v>
      </c>
      <c r="RX37" s="101" t="e">
        <f t="shared" si="581"/>
        <v>#N/A</v>
      </c>
      <c r="RY37" s="101" t="e">
        <f t="shared" si="581"/>
        <v>#N/A</v>
      </c>
      <c r="RZ37" s="101" t="e">
        <f t="shared" si="581"/>
        <v>#N/A</v>
      </c>
      <c r="SA37" s="101" t="e">
        <f t="shared" si="581"/>
        <v>#N/A</v>
      </c>
      <c r="SB37" s="101" t="e">
        <f t="shared" si="581"/>
        <v>#N/A</v>
      </c>
      <c r="SC37" s="101" t="e">
        <f t="shared" si="581"/>
        <v>#N/A</v>
      </c>
      <c r="SD37" s="101" t="e">
        <f t="shared" si="581"/>
        <v>#N/A</v>
      </c>
      <c r="SE37" s="101" t="e">
        <f t="shared" si="581"/>
        <v>#N/A</v>
      </c>
      <c r="SF37" s="101" t="e">
        <f t="shared" si="581"/>
        <v>#N/A</v>
      </c>
      <c r="SG37" s="101" t="e">
        <f t="shared" si="581"/>
        <v>#N/A</v>
      </c>
      <c r="SH37" s="101" t="e">
        <f t="shared" si="581"/>
        <v>#N/A</v>
      </c>
      <c r="SI37" s="101" t="e">
        <f t="shared" si="581"/>
        <v>#N/A</v>
      </c>
      <c r="SJ37" s="101" t="e">
        <f t="shared" si="581"/>
        <v>#N/A</v>
      </c>
      <c r="SK37" s="101" t="e">
        <f t="shared" si="581"/>
        <v>#N/A</v>
      </c>
      <c r="SL37" s="101" t="e">
        <f t="shared" si="581"/>
        <v>#N/A</v>
      </c>
      <c r="SM37" s="101" t="e">
        <f t="shared" si="581"/>
        <v>#N/A</v>
      </c>
      <c r="SN37" s="101" t="e">
        <f t="shared" si="581"/>
        <v>#N/A</v>
      </c>
      <c r="SO37" s="101" t="e">
        <f t="shared" si="581"/>
        <v>#N/A</v>
      </c>
      <c r="SP37" s="101" t="e">
        <f t="shared" si="581"/>
        <v>#N/A</v>
      </c>
      <c r="SQ37" s="101" t="e">
        <f t="shared" si="581"/>
        <v>#N/A</v>
      </c>
      <c r="SR37" s="101" t="e">
        <f t="shared" si="581"/>
        <v>#N/A</v>
      </c>
      <c r="SS37" s="101" t="e">
        <f t="shared" si="581"/>
        <v>#N/A</v>
      </c>
      <c r="ST37" s="101" t="e">
        <f t="shared" si="581"/>
        <v>#N/A</v>
      </c>
      <c r="SU37" s="101" t="e">
        <f t="shared" si="581"/>
        <v>#N/A</v>
      </c>
      <c r="SV37" s="101" t="e">
        <f t="shared" si="581"/>
        <v>#N/A</v>
      </c>
      <c r="SW37" s="101" t="e">
        <f t="shared" si="581"/>
        <v>#N/A</v>
      </c>
      <c r="SX37" s="101" t="e">
        <f t="shared" si="581"/>
        <v>#N/A</v>
      </c>
      <c r="SY37" s="101" t="e">
        <f t="shared" si="581"/>
        <v>#N/A</v>
      </c>
      <c r="SZ37" s="101" t="e">
        <f t="shared" si="581"/>
        <v>#N/A</v>
      </c>
      <c r="TA37" s="101" t="e">
        <f t="shared" si="581"/>
        <v>#N/A</v>
      </c>
      <c r="TB37" s="101" t="e">
        <f t="shared" si="581"/>
        <v>#N/A</v>
      </c>
      <c r="TC37" s="101" t="e">
        <f t="shared" si="581"/>
        <v>#N/A</v>
      </c>
      <c r="TD37" s="101" t="e">
        <f t="shared" si="581"/>
        <v>#N/A</v>
      </c>
      <c r="TE37" s="101" t="e">
        <f t="shared" si="581"/>
        <v>#N/A</v>
      </c>
      <c r="TF37" s="101" t="e">
        <f t="shared" si="581"/>
        <v>#N/A</v>
      </c>
      <c r="TG37" s="101" t="e">
        <f t="shared" si="581"/>
        <v>#N/A</v>
      </c>
      <c r="TH37" s="101" t="e">
        <f t="shared" si="581"/>
        <v>#N/A</v>
      </c>
      <c r="TI37" s="101" t="e">
        <f t="shared" si="581"/>
        <v>#N/A</v>
      </c>
      <c r="TJ37" s="101" t="e">
        <f t="shared" si="581"/>
        <v>#N/A</v>
      </c>
      <c r="TK37" s="101" t="e">
        <f t="shared" si="581"/>
        <v>#N/A</v>
      </c>
      <c r="TL37" s="101" t="e">
        <f t="shared" si="581"/>
        <v>#N/A</v>
      </c>
      <c r="TM37" s="101" t="e">
        <f t="shared" si="581"/>
        <v>#N/A</v>
      </c>
      <c r="TN37" s="101" t="e">
        <f t="shared" si="581"/>
        <v>#N/A</v>
      </c>
      <c r="TO37" s="101" t="e">
        <f t="shared" si="581"/>
        <v>#N/A</v>
      </c>
      <c r="TP37" s="101" t="e">
        <f t="shared" si="581"/>
        <v>#N/A</v>
      </c>
      <c r="TQ37" s="101" t="e">
        <f t="shared" ref="TQ37:WF37" si="582">ROUND(SUM(SUMPRODUCT($E$2:$E$26,TQ$2:TQ$26),TQ$33:TQ$36)*5%,0)</f>
        <v>#N/A</v>
      </c>
      <c r="TR37" s="101" t="e">
        <f t="shared" si="582"/>
        <v>#N/A</v>
      </c>
      <c r="TS37" s="101" t="e">
        <f t="shared" si="582"/>
        <v>#N/A</v>
      </c>
      <c r="TT37" s="101" t="e">
        <f t="shared" si="582"/>
        <v>#N/A</v>
      </c>
      <c r="TU37" s="101" t="e">
        <f t="shared" si="582"/>
        <v>#N/A</v>
      </c>
      <c r="TV37" s="101" t="e">
        <f t="shared" si="582"/>
        <v>#N/A</v>
      </c>
      <c r="TW37" s="101" t="e">
        <f t="shared" si="582"/>
        <v>#N/A</v>
      </c>
      <c r="TX37" s="101" t="e">
        <f t="shared" si="582"/>
        <v>#N/A</v>
      </c>
      <c r="TY37" s="101" t="e">
        <f t="shared" si="582"/>
        <v>#N/A</v>
      </c>
      <c r="TZ37" s="101" t="e">
        <f t="shared" si="582"/>
        <v>#N/A</v>
      </c>
      <c r="UA37" s="101" t="e">
        <f t="shared" si="582"/>
        <v>#N/A</v>
      </c>
      <c r="UB37" s="101" t="e">
        <f t="shared" si="582"/>
        <v>#N/A</v>
      </c>
      <c r="UC37" s="101" t="e">
        <f t="shared" si="582"/>
        <v>#N/A</v>
      </c>
      <c r="UD37" s="101" t="e">
        <f t="shared" si="582"/>
        <v>#N/A</v>
      </c>
      <c r="UE37" s="101" t="e">
        <f t="shared" si="582"/>
        <v>#N/A</v>
      </c>
      <c r="UF37" s="101" t="e">
        <f t="shared" si="582"/>
        <v>#N/A</v>
      </c>
      <c r="UG37" s="101" t="e">
        <f t="shared" si="582"/>
        <v>#N/A</v>
      </c>
      <c r="UH37" s="101" t="e">
        <f t="shared" si="582"/>
        <v>#N/A</v>
      </c>
      <c r="UI37" s="101" t="e">
        <f t="shared" si="582"/>
        <v>#N/A</v>
      </c>
      <c r="UJ37" s="101" t="e">
        <f t="shared" si="582"/>
        <v>#N/A</v>
      </c>
      <c r="UK37" s="101" t="e">
        <f t="shared" si="582"/>
        <v>#N/A</v>
      </c>
      <c r="UL37" s="101" t="e">
        <f t="shared" si="582"/>
        <v>#N/A</v>
      </c>
      <c r="UM37" s="101" t="e">
        <f t="shared" si="582"/>
        <v>#N/A</v>
      </c>
      <c r="UN37" s="101" t="e">
        <f t="shared" si="582"/>
        <v>#N/A</v>
      </c>
      <c r="UO37" s="101" t="e">
        <f t="shared" si="582"/>
        <v>#N/A</v>
      </c>
      <c r="UP37" s="101" t="e">
        <f t="shared" si="582"/>
        <v>#N/A</v>
      </c>
      <c r="UQ37" s="101" t="e">
        <f t="shared" si="582"/>
        <v>#N/A</v>
      </c>
      <c r="UR37" s="101" t="e">
        <f t="shared" si="582"/>
        <v>#N/A</v>
      </c>
      <c r="US37" s="101" t="e">
        <f t="shared" si="582"/>
        <v>#N/A</v>
      </c>
      <c r="UT37" s="101" t="e">
        <f t="shared" si="582"/>
        <v>#N/A</v>
      </c>
      <c r="UU37" s="101" t="e">
        <f t="shared" si="582"/>
        <v>#N/A</v>
      </c>
      <c r="UV37" s="101" t="e">
        <f t="shared" si="582"/>
        <v>#N/A</v>
      </c>
      <c r="UW37" s="101" t="e">
        <f t="shared" si="582"/>
        <v>#N/A</v>
      </c>
      <c r="UX37" s="101" t="e">
        <f t="shared" si="582"/>
        <v>#N/A</v>
      </c>
      <c r="UY37" s="101" t="e">
        <f t="shared" si="582"/>
        <v>#N/A</v>
      </c>
      <c r="UZ37" s="101" t="e">
        <f t="shared" si="582"/>
        <v>#N/A</v>
      </c>
      <c r="VA37" s="101" t="e">
        <f t="shared" si="582"/>
        <v>#N/A</v>
      </c>
      <c r="VB37" s="101" t="e">
        <f t="shared" si="582"/>
        <v>#N/A</v>
      </c>
      <c r="VC37" s="101" t="e">
        <f t="shared" si="582"/>
        <v>#N/A</v>
      </c>
      <c r="VD37" s="101" t="e">
        <f t="shared" si="582"/>
        <v>#N/A</v>
      </c>
      <c r="VE37" s="101" t="e">
        <f t="shared" si="582"/>
        <v>#N/A</v>
      </c>
      <c r="VF37" s="101" t="e">
        <f t="shared" si="582"/>
        <v>#N/A</v>
      </c>
      <c r="VG37" s="101" t="e">
        <f t="shared" si="582"/>
        <v>#N/A</v>
      </c>
      <c r="VH37" s="101" t="e">
        <f t="shared" si="582"/>
        <v>#N/A</v>
      </c>
      <c r="VI37" s="101" t="e">
        <f t="shared" si="582"/>
        <v>#N/A</v>
      </c>
      <c r="VJ37" s="101" t="e">
        <f t="shared" si="582"/>
        <v>#N/A</v>
      </c>
      <c r="VK37" s="101" t="e">
        <f t="shared" si="582"/>
        <v>#N/A</v>
      </c>
      <c r="VL37" s="101" t="e">
        <f t="shared" si="582"/>
        <v>#N/A</v>
      </c>
      <c r="VM37" s="101" t="e">
        <f t="shared" si="582"/>
        <v>#N/A</v>
      </c>
      <c r="VN37" s="101" t="e">
        <f t="shared" si="582"/>
        <v>#N/A</v>
      </c>
      <c r="VO37" s="101" t="e">
        <f t="shared" si="582"/>
        <v>#N/A</v>
      </c>
      <c r="VP37" s="101" t="e">
        <f t="shared" si="582"/>
        <v>#N/A</v>
      </c>
      <c r="VQ37" s="101" t="e">
        <f t="shared" si="582"/>
        <v>#N/A</v>
      </c>
      <c r="VR37" s="101" t="e">
        <f t="shared" si="582"/>
        <v>#N/A</v>
      </c>
      <c r="VS37" s="101" t="e">
        <f t="shared" si="582"/>
        <v>#N/A</v>
      </c>
      <c r="VT37" s="101" t="e">
        <f t="shared" si="582"/>
        <v>#N/A</v>
      </c>
      <c r="VU37" s="101" t="e">
        <f t="shared" si="582"/>
        <v>#N/A</v>
      </c>
      <c r="VV37" s="101" t="e">
        <f t="shared" si="582"/>
        <v>#N/A</v>
      </c>
      <c r="VW37" s="101" t="e">
        <f t="shared" si="582"/>
        <v>#N/A</v>
      </c>
      <c r="VX37" s="101" t="e">
        <f t="shared" si="582"/>
        <v>#N/A</v>
      </c>
      <c r="VY37" s="101" t="e">
        <f t="shared" si="582"/>
        <v>#N/A</v>
      </c>
      <c r="VZ37" s="101" t="e">
        <f t="shared" si="582"/>
        <v>#N/A</v>
      </c>
      <c r="WA37" s="101" t="e">
        <f t="shared" si="582"/>
        <v>#N/A</v>
      </c>
      <c r="WB37" s="101" t="e">
        <f t="shared" si="582"/>
        <v>#N/A</v>
      </c>
      <c r="WC37" s="101" t="e">
        <f t="shared" si="582"/>
        <v>#N/A</v>
      </c>
      <c r="WD37" s="101" t="e">
        <f t="shared" si="582"/>
        <v>#N/A</v>
      </c>
      <c r="WE37" s="101" t="e">
        <f t="shared" si="582"/>
        <v>#N/A</v>
      </c>
      <c r="WF37" s="101" t="e">
        <f t="shared" si="582"/>
        <v>#N/A</v>
      </c>
    </row>
    <row r="38" spans="1:604" ht="17.25" hidden="1" customHeight="1" x14ac:dyDescent="0.3">
      <c r="A38" s="25"/>
      <c r="B38" s="26"/>
      <c r="C38" s="25"/>
      <c r="D38" s="27"/>
      <c r="E38" s="28"/>
      <c r="F38" s="28"/>
      <c r="G38" s="27"/>
      <c r="H38" s="28"/>
      <c r="I38" s="47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</row>
    <row r="39" spans="1:604" ht="17.25" hidden="1" customHeight="1" x14ac:dyDescent="0.3">
      <c r="A39" s="25"/>
      <c r="B39" s="26"/>
      <c r="C39" s="25"/>
      <c r="D39" s="27"/>
      <c r="E39" s="28"/>
      <c r="F39" s="28"/>
      <c r="G39" s="27"/>
      <c r="H39" s="28"/>
      <c r="I39" s="47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</row>
    <row r="40" spans="1:604" ht="17.25" hidden="1" customHeight="1" x14ac:dyDescent="0.3">
      <c r="A40" s="25"/>
      <c r="B40" s="26"/>
      <c r="C40" s="25"/>
      <c r="D40" s="27"/>
      <c r="E40" s="28"/>
      <c r="F40" s="28"/>
      <c r="G40" s="27"/>
      <c r="H40" s="28"/>
      <c r="I40" s="47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</row>
    <row r="41" spans="1:604" ht="17.25" hidden="1" customHeight="1" x14ac:dyDescent="0.3">
      <c r="A41" s="25"/>
      <c r="B41" s="26"/>
      <c r="C41" s="25"/>
      <c r="D41" s="27"/>
      <c r="E41" s="28"/>
      <c r="F41" s="28"/>
      <c r="G41" s="27"/>
      <c r="H41" s="28"/>
      <c r="I41" s="47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</row>
    <row r="42" spans="1:604" ht="17.25" hidden="1" customHeight="1" x14ac:dyDescent="0.3">
      <c r="A42" s="25"/>
      <c r="B42" s="26"/>
      <c r="C42" s="25"/>
      <c r="D42" s="27"/>
      <c r="E42" s="28"/>
      <c r="F42" s="28"/>
      <c r="G42" s="27"/>
      <c r="H42" s="28"/>
      <c r="I42" s="29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</row>
    <row r="43" spans="1:604" ht="17.25" hidden="1" customHeight="1" x14ac:dyDescent="0.3">
      <c r="A43" s="25"/>
      <c r="B43" s="26"/>
      <c r="C43" s="25"/>
      <c r="D43" s="27"/>
      <c r="E43" s="28"/>
      <c r="F43" s="28"/>
      <c r="G43" s="27"/>
      <c r="H43" s="28"/>
      <c r="I43" s="29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</row>
    <row r="44" spans="1:604" ht="17.25" hidden="1" customHeight="1" x14ac:dyDescent="0.3">
      <c r="A44" s="25"/>
      <c r="B44" s="26"/>
      <c r="C44" s="25"/>
      <c r="D44" s="27"/>
      <c r="E44" s="28"/>
      <c r="F44" s="28"/>
      <c r="G44" s="27"/>
      <c r="H44" s="28"/>
      <c r="I44" s="29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</row>
    <row r="45" spans="1:604" ht="17.25" hidden="1" customHeight="1" x14ac:dyDescent="0.3">
      <c r="A45" s="25"/>
      <c r="B45" s="26"/>
      <c r="C45" s="25"/>
      <c r="D45" s="27"/>
      <c r="E45" s="28"/>
      <c r="F45" s="28"/>
      <c r="G45" s="27"/>
      <c r="H45" s="28"/>
      <c r="I45" s="29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</row>
    <row r="46" spans="1:604" ht="17.25" hidden="1" customHeight="1" x14ac:dyDescent="0.3">
      <c r="A46" s="25"/>
      <c r="B46" s="26"/>
      <c r="C46" s="25"/>
      <c r="D46" s="27"/>
      <c r="E46" s="28"/>
      <c r="F46" s="28"/>
      <c r="G46" s="27"/>
      <c r="H46" s="28"/>
      <c r="I46" s="29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</row>
    <row r="47" spans="1:604" ht="17.25" hidden="1" customHeight="1" x14ac:dyDescent="0.3">
      <c r="A47" s="25"/>
      <c r="B47" s="26"/>
      <c r="C47" s="25"/>
      <c r="D47" s="27"/>
      <c r="E47" s="28"/>
      <c r="F47" s="28"/>
      <c r="G47" s="27"/>
      <c r="H47" s="28"/>
      <c r="I47" s="29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</row>
    <row r="48" spans="1:604" ht="17.25" hidden="1" customHeight="1" x14ac:dyDescent="0.3">
      <c r="A48" s="25"/>
      <c r="B48" s="26"/>
      <c r="C48" s="25"/>
      <c r="D48" s="27"/>
      <c r="E48" s="28"/>
      <c r="F48" s="28"/>
      <c r="G48" s="27"/>
      <c r="H48" s="28"/>
      <c r="I48" s="2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</row>
    <row r="49" spans="1:604" ht="17.25" hidden="1" customHeight="1" x14ac:dyDescent="0.3">
      <c r="A49" s="25"/>
      <c r="B49" s="26"/>
      <c r="C49" s="25"/>
      <c r="D49" s="27"/>
      <c r="E49" s="28"/>
      <c r="F49" s="28"/>
      <c r="G49" s="27"/>
      <c r="H49" s="28"/>
      <c r="I49" s="29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</row>
    <row r="50" spans="1:604" ht="17.25" hidden="1" customHeight="1" x14ac:dyDescent="0.3">
      <c r="A50" s="25"/>
      <c r="B50" s="26"/>
      <c r="C50" s="25"/>
      <c r="D50" s="27"/>
      <c r="E50" s="28"/>
      <c r="F50" s="28"/>
      <c r="G50" s="27"/>
      <c r="H50" s="28"/>
      <c r="I50" s="29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</row>
    <row r="51" spans="1:604" ht="17.25" hidden="1" customHeight="1" x14ac:dyDescent="0.3">
      <c r="A51" s="25"/>
      <c r="B51" s="26"/>
      <c r="C51" s="25"/>
      <c r="D51" s="27"/>
      <c r="E51" s="28"/>
      <c r="F51" s="28"/>
      <c r="G51" s="27"/>
      <c r="H51" s="28"/>
      <c r="I51" s="29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</row>
    <row r="52" spans="1:604" ht="17.25" hidden="1" customHeight="1" x14ac:dyDescent="0.3">
      <c r="A52" s="25"/>
      <c r="B52" s="26"/>
      <c r="C52" s="25"/>
      <c r="D52" s="27"/>
      <c r="E52" s="28"/>
      <c r="F52" s="28"/>
      <c r="G52" s="27"/>
      <c r="H52" s="28"/>
      <c r="I52" s="29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</row>
    <row r="53" spans="1:604" ht="17.25" hidden="1" customHeight="1" x14ac:dyDescent="0.3">
      <c r="A53" s="25"/>
      <c r="B53" s="26"/>
      <c r="C53" s="25"/>
      <c r="D53" s="27"/>
      <c r="E53" s="28"/>
      <c r="F53" s="28"/>
      <c r="G53" s="27"/>
      <c r="H53" s="28"/>
      <c r="I53" s="29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</row>
    <row r="54" spans="1:604" ht="17.25" hidden="1" customHeight="1" x14ac:dyDescent="0.3">
      <c r="A54" s="25"/>
      <c r="B54" s="26"/>
      <c r="C54" s="25"/>
      <c r="D54" s="27"/>
      <c r="E54" s="28"/>
      <c r="F54" s="28"/>
      <c r="G54" s="27"/>
      <c r="H54" s="28"/>
      <c r="I54" s="29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</row>
    <row r="55" spans="1:604" ht="17.25" hidden="1" customHeight="1" x14ac:dyDescent="0.3">
      <c r="A55" s="25"/>
      <c r="B55" s="26"/>
      <c r="C55" s="25"/>
      <c r="D55" s="27"/>
      <c r="E55" s="28"/>
      <c r="F55" s="28"/>
      <c r="G55" s="27"/>
      <c r="H55" s="28"/>
      <c r="I55" s="29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</row>
    <row r="56" spans="1:604" ht="17.25" hidden="1" customHeight="1" x14ac:dyDescent="0.3">
      <c r="A56" s="25"/>
      <c r="B56" s="26"/>
      <c r="C56" s="25"/>
      <c r="D56" s="27"/>
      <c r="E56" s="28"/>
      <c r="F56" s="28"/>
      <c r="G56" s="27"/>
      <c r="H56" s="28"/>
      <c r="I56" s="29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</row>
    <row r="57" spans="1:604" ht="17.25" hidden="1" customHeight="1" x14ac:dyDescent="0.3">
      <c r="A57" s="25"/>
      <c r="B57" s="26"/>
      <c r="C57" s="25"/>
      <c r="D57" s="27"/>
      <c r="E57" s="28"/>
      <c r="F57" s="28"/>
      <c r="G57" s="27"/>
      <c r="H57" s="28"/>
      <c r="I57" s="29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</row>
    <row r="58" spans="1:604" ht="17.25" hidden="1" customHeight="1" x14ac:dyDescent="0.3">
      <c r="A58" s="25"/>
      <c r="B58" s="26"/>
      <c r="C58" s="25"/>
      <c r="D58" s="27"/>
      <c r="E58" s="28"/>
      <c r="F58" s="28"/>
      <c r="G58" s="27"/>
      <c r="H58" s="28"/>
      <c r="I58" s="29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</row>
    <row r="59" spans="1:604" ht="17.25" hidden="1" customHeight="1" x14ac:dyDescent="0.3">
      <c r="A59" s="25"/>
      <c r="B59" s="26"/>
      <c r="C59" s="25"/>
      <c r="D59" s="27"/>
      <c r="E59" s="28"/>
      <c r="F59" s="28"/>
      <c r="G59" s="27"/>
      <c r="H59" s="28"/>
      <c r="I59" s="29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</row>
    <row r="60" spans="1:604" ht="17.25" hidden="1" customHeight="1" x14ac:dyDescent="0.3">
      <c r="A60" s="25"/>
      <c r="B60" s="26"/>
      <c r="C60" s="25"/>
      <c r="D60" s="27"/>
      <c r="E60" s="28"/>
      <c r="F60" s="28"/>
      <c r="G60" s="27"/>
      <c r="H60" s="28"/>
      <c r="I60" s="29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</row>
    <row r="61" spans="1:604" ht="17.25" hidden="1" customHeight="1" x14ac:dyDescent="0.3">
      <c r="A61" s="25"/>
      <c r="B61" s="26"/>
      <c r="C61" s="25"/>
      <c r="D61" s="27"/>
      <c r="E61" s="28"/>
      <c r="F61" s="28"/>
      <c r="G61" s="27"/>
      <c r="H61" s="28"/>
      <c r="I61" s="29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</row>
    <row r="62" spans="1:604" ht="17.25" hidden="1" customHeight="1" x14ac:dyDescent="0.3">
      <c r="A62" s="25"/>
      <c r="B62" s="26"/>
      <c r="C62" s="25"/>
      <c r="D62" s="27"/>
      <c r="E62" s="28"/>
      <c r="F62" s="28"/>
      <c r="G62" s="27"/>
      <c r="H62" s="28"/>
      <c r="I62" s="29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</row>
    <row r="63" spans="1:604" ht="17.25" hidden="1" customHeight="1" x14ac:dyDescent="0.3">
      <c r="A63" s="25"/>
      <c r="B63" s="26"/>
      <c r="C63" s="25"/>
      <c r="D63" s="27"/>
      <c r="E63" s="28"/>
      <c r="F63" s="28"/>
      <c r="G63" s="27"/>
      <c r="H63" s="28"/>
      <c r="I63" s="29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</row>
    <row r="64" spans="1:604" ht="17.25" hidden="1" customHeight="1" x14ac:dyDescent="0.3">
      <c r="A64" s="25"/>
      <c r="B64" s="26"/>
      <c r="C64" s="25"/>
      <c r="D64" s="27"/>
      <c r="E64" s="28"/>
      <c r="F64" s="28"/>
      <c r="G64" s="27"/>
      <c r="H64" s="28"/>
      <c r="I64" s="29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</row>
    <row r="65" spans="1:604" ht="17.25" hidden="1" customHeight="1" x14ac:dyDescent="0.3">
      <c r="A65" s="25"/>
      <c r="B65" s="26"/>
      <c r="C65" s="25"/>
      <c r="D65" s="27"/>
      <c r="E65" s="28"/>
      <c r="F65" s="28"/>
      <c r="G65" s="27"/>
      <c r="H65" s="28"/>
      <c r="I65" s="29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</row>
    <row r="66" spans="1:604" ht="17.25" hidden="1" customHeight="1" x14ac:dyDescent="0.3">
      <c r="A66" s="25"/>
      <c r="B66" s="26"/>
      <c r="C66" s="25"/>
      <c r="D66" s="27"/>
      <c r="E66" s="28"/>
      <c r="F66" s="28"/>
      <c r="G66" s="27"/>
      <c r="H66" s="28"/>
      <c r="I66" s="29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</row>
    <row r="67" spans="1:604" ht="17.25" hidden="1" customHeight="1" x14ac:dyDescent="0.3">
      <c r="A67" s="25"/>
      <c r="B67" s="26"/>
      <c r="C67" s="25"/>
      <c r="D67" s="27"/>
      <c r="E67" s="28"/>
      <c r="F67" s="28"/>
      <c r="G67" s="27"/>
      <c r="H67" s="28"/>
      <c r="I67" s="29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</row>
    <row r="68" spans="1:604" ht="17.25" hidden="1" customHeight="1" x14ac:dyDescent="0.3">
      <c r="A68" s="25"/>
      <c r="B68" s="26"/>
      <c r="C68" s="25"/>
      <c r="D68" s="27"/>
      <c r="E68" s="28"/>
      <c r="F68" s="28"/>
      <c r="G68" s="27"/>
      <c r="H68" s="28"/>
      <c r="I68" s="29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</row>
    <row r="69" spans="1:604" ht="17.25" hidden="1" customHeight="1" x14ac:dyDescent="0.3">
      <c r="A69" s="25"/>
      <c r="B69" s="26"/>
      <c r="C69" s="25"/>
      <c r="D69" s="27"/>
      <c r="E69" s="28"/>
      <c r="F69" s="28"/>
      <c r="G69" s="27"/>
      <c r="H69" s="28"/>
      <c r="I69" s="29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</row>
    <row r="70" spans="1:604" ht="17.25" hidden="1" customHeight="1" x14ac:dyDescent="0.3">
      <c r="A70" s="25"/>
      <c r="B70" s="26"/>
      <c r="C70" s="25"/>
      <c r="D70" s="27"/>
      <c r="E70" s="28"/>
      <c r="F70" s="28"/>
      <c r="G70" s="27"/>
      <c r="H70" s="28"/>
      <c r="I70" s="29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</row>
    <row r="71" spans="1:604" ht="17.25" hidden="1" customHeight="1" x14ac:dyDescent="0.3">
      <c r="A71" s="25"/>
      <c r="B71" s="26"/>
      <c r="C71" s="25"/>
      <c r="D71" s="27"/>
      <c r="E71" s="28"/>
      <c r="F71" s="28"/>
      <c r="G71" s="27"/>
      <c r="H71" s="28"/>
      <c r="I71" s="29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</row>
    <row r="72" spans="1:604" ht="17.25" hidden="1" customHeight="1" x14ac:dyDescent="0.3">
      <c r="A72" s="25"/>
      <c r="B72" s="26"/>
      <c r="C72" s="25"/>
      <c r="D72" s="27"/>
      <c r="E72" s="28"/>
      <c r="F72" s="28"/>
      <c r="G72" s="27"/>
      <c r="H72" s="28"/>
      <c r="I72" s="29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</row>
    <row r="73" spans="1:604" ht="17.25" hidden="1" customHeight="1" x14ac:dyDescent="0.3">
      <c r="A73" s="25"/>
      <c r="B73" s="26"/>
      <c r="C73" s="25"/>
      <c r="D73" s="27"/>
      <c r="E73" s="28"/>
      <c r="F73" s="28"/>
      <c r="G73" s="27"/>
      <c r="H73" s="28"/>
      <c r="I73" s="29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</row>
    <row r="74" spans="1:604" ht="17.25" hidden="1" customHeight="1" x14ac:dyDescent="0.3">
      <c r="A74" s="25"/>
      <c r="B74" s="26"/>
      <c r="C74" s="25"/>
      <c r="D74" s="27"/>
      <c r="E74" s="28"/>
      <c r="F74" s="28"/>
      <c r="G74" s="27"/>
      <c r="H74" s="28"/>
      <c r="I74" s="29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</row>
    <row r="75" spans="1:604" ht="17.25" hidden="1" customHeight="1" x14ac:dyDescent="0.3">
      <c r="A75" s="25"/>
      <c r="B75" s="26"/>
      <c r="C75" s="25"/>
      <c r="D75" s="27"/>
      <c r="E75" s="28"/>
      <c r="F75" s="28"/>
      <c r="G75" s="27"/>
      <c r="H75" s="28"/>
      <c r="I75" s="29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</row>
    <row r="76" spans="1:604" ht="17.25" hidden="1" customHeight="1" x14ac:dyDescent="0.3">
      <c r="A76" s="25"/>
      <c r="B76" s="26"/>
      <c r="C76" s="25"/>
      <c r="D76" s="27"/>
      <c r="E76" s="28"/>
      <c r="F76" s="28"/>
      <c r="G76" s="27"/>
      <c r="H76" s="28"/>
      <c r="I76" s="29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</row>
    <row r="77" spans="1:604" ht="17.25" hidden="1" customHeight="1" x14ac:dyDescent="0.3">
      <c r="A77" s="25"/>
      <c r="B77" s="26"/>
      <c r="C77" s="25"/>
      <c r="D77" s="27"/>
      <c r="E77" s="28"/>
      <c r="F77" s="28"/>
      <c r="G77" s="27"/>
      <c r="H77" s="28"/>
      <c r="I77" s="29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</row>
    <row r="78" spans="1:604" ht="17.25" hidden="1" customHeight="1" x14ac:dyDescent="0.3">
      <c r="A78" s="25"/>
      <c r="B78" s="26"/>
      <c r="C78" s="25"/>
      <c r="D78" s="27"/>
      <c r="E78" s="28"/>
      <c r="F78" s="28"/>
      <c r="G78" s="27"/>
      <c r="H78" s="28"/>
      <c r="I78" s="29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</row>
    <row r="79" spans="1:604" ht="17.25" hidden="1" customHeight="1" x14ac:dyDescent="0.3">
      <c r="A79" s="25"/>
      <c r="B79" s="26"/>
      <c r="C79" s="25"/>
      <c r="D79" s="27"/>
      <c r="E79" s="28"/>
      <c r="F79" s="28"/>
      <c r="G79" s="27"/>
      <c r="H79" s="28"/>
      <c r="I79" s="29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</row>
    <row r="80" spans="1:604" ht="17.25" hidden="1" customHeight="1" x14ac:dyDescent="0.3">
      <c r="A80" s="25"/>
      <c r="B80" s="26"/>
      <c r="C80" s="25"/>
      <c r="D80" s="27"/>
      <c r="E80" s="28"/>
      <c r="F80" s="28"/>
      <c r="G80" s="27"/>
      <c r="H80" s="28"/>
      <c r="I80" s="29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</row>
    <row r="81" spans="1:604" ht="17.25" hidden="1" customHeight="1" x14ac:dyDescent="0.3">
      <c r="A81" s="25"/>
      <c r="B81" s="26"/>
      <c r="C81" s="25"/>
      <c r="D81" s="27"/>
      <c r="E81" s="28"/>
      <c r="F81" s="28"/>
      <c r="G81" s="27"/>
      <c r="H81" s="28"/>
      <c r="I81" s="29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</row>
    <row r="82" spans="1:604" ht="17.25" hidden="1" customHeight="1" x14ac:dyDescent="0.3">
      <c r="A82" s="25"/>
      <c r="B82" s="26"/>
      <c r="C82" s="25"/>
      <c r="D82" s="27"/>
      <c r="E82" s="28"/>
      <c r="F82" s="28"/>
      <c r="G82" s="27"/>
      <c r="H82" s="28"/>
      <c r="I82" s="29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</row>
    <row r="83" spans="1:604" ht="17.25" hidden="1" customHeight="1" x14ac:dyDescent="0.3">
      <c r="A83" s="25"/>
      <c r="B83" s="26"/>
      <c r="C83" s="25"/>
      <c r="D83" s="27"/>
      <c r="E83" s="28"/>
      <c r="F83" s="28"/>
      <c r="G83" s="27"/>
      <c r="H83" s="28"/>
      <c r="I83" s="29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</row>
    <row r="84" spans="1:604" ht="17.25" hidden="1" customHeight="1" x14ac:dyDescent="0.3">
      <c r="A84" s="25"/>
      <c r="B84" s="26"/>
      <c r="C84" s="25"/>
      <c r="D84" s="27"/>
      <c r="E84" s="28"/>
      <c r="F84" s="28"/>
      <c r="G84" s="27"/>
      <c r="H84" s="28"/>
      <c r="I84" s="29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</row>
    <row r="85" spans="1:604" ht="17.25" hidden="1" customHeight="1" x14ac:dyDescent="0.3">
      <c r="A85" s="25"/>
      <c r="B85" s="26"/>
      <c r="C85" s="25"/>
      <c r="D85" s="27"/>
      <c r="E85" s="28"/>
      <c r="F85" s="28"/>
      <c r="G85" s="27"/>
      <c r="H85" s="28"/>
      <c r="I85" s="29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</row>
    <row r="86" spans="1:604" ht="17.25" hidden="1" customHeight="1" x14ac:dyDescent="0.3">
      <c r="A86" s="25"/>
      <c r="B86" s="26"/>
      <c r="C86" s="25"/>
      <c r="D86" s="27"/>
      <c r="E86" s="28"/>
      <c r="F86" s="28"/>
      <c r="G86" s="27"/>
      <c r="H86" s="28"/>
      <c r="I86" s="29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</row>
    <row r="87" spans="1:604" ht="17.25" hidden="1" customHeight="1" x14ac:dyDescent="0.3">
      <c r="A87" s="25"/>
      <c r="B87" s="26"/>
      <c r="C87" s="25"/>
      <c r="D87" s="27"/>
      <c r="E87" s="28"/>
      <c r="F87" s="28"/>
      <c r="G87" s="27"/>
      <c r="H87" s="28"/>
      <c r="I87" s="29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</row>
    <row r="88" spans="1:604" ht="17.25" hidden="1" customHeight="1" x14ac:dyDescent="0.3">
      <c r="A88" s="25"/>
      <c r="B88" s="26"/>
      <c r="C88" s="25"/>
      <c r="D88" s="27"/>
      <c r="E88" s="28"/>
      <c r="F88" s="28"/>
      <c r="G88" s="27"/>
      <c r="H88" s="28"/>
      <c r="I88" s="29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</row>
    <row r="89" spans="1:604" ht="17.25" hidden="1" customHeight="1" x14ac:dyDescent="0.3">
      <c r="A89" s="25"/>
      <c r="B89" s="26"/>
      <c r="C89" s="25"/>
      <c r="D89" s="27"/>
      <c r="E89" s="28"/>
      <c r="F89" s="28"/>
      <c r="G89" s="27"/>
      <c r="H89" s="28"/>
      <c r="I89" s="29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</row>
    <row r="90" spans="1:604" ht="17.25" hidden="1" customHeight="1" x14ac:dyDescent="0.3">
      <c r="A90" s="25"/>
      <c r="B90" s="26"/>
      <c r="C90" s="25"/>
      <c r="D90" s="27"/>
      <c r="E90" s="28"/>
      <c r="F90" s="28"/>
      <c r="G90" s="27"/>
      <c r="H90" s="28"/>
      <c r="I90" s="29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</row>
    <row r="91" spans="1:604" ht="17.25" hidden="1" customHeight="1" x14ac:dyDescent="0.3">
      <c r="A91" s="25"/>
      <c r="B91" s="26"/>
      <c r="C91" s="25"/>
      <c r="D91" s="27"/>
      <c r="E91" s="28"/>
      <c r="F91" s="28"/>
      <c r="G91" s="27"/>
      <c r="H91" s="28"/>
      <c r="I91" s="29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</row>
    <row r="92" spans="1:604" ht="17.25" hidden="1" customHeight="1" x14ac:dyDescent="0.3">
      <c r="A92" s="25"/>
      <c r="B92" s="26"/>
      <c r="C92" s="25"/>
      <c r="D92" s="27"/>
      <c r="E92" s="28"/>
      <c r="F92" s="28"/>
      <c r="G92" s="27"/>
      <c r="H92" s="28"/>
      <c r="I92" s="29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</row>
    <row r="93" spans="1:604" ht="17.25" hidden="1" customHeight="1" x14ac:dyDescent="0.3">
      <c r="A93" s="25"/>
      <c r="B93" s="26"/>
      <c r="C93" s="25"/>
      <c r="D93" s="27"/>
      <c r="E93" s="28"/>
      <c r="F93" s="28"/>
      <c r="G93" s="27"/>
      <c r="H93" s="28"/>
      <c r="I93" s="29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</row>
    <row r="94" spans="1:604" ht="17.25" hidden="1" customHeight="1" x14ac:dyDescent="0.3">
      <c r="A94" s="25"/>
      <c r="B94" s="26"/>
      <c r="C94" s="25"/>
      <c r="D94" s="27"/>
      <c r="E94" s="28"/>
      <c r="F94" s="28"/>
      <c r="G94" s="27"/>
      <c r="H94" s="28"/>
      <c r="I94" s="29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</row>
    <row r="95" spans="1:604" ht="17.25" hidden="1" customHeight="1" x14ac:dyDescent="0.3">
      <c r="A95" s="25"/>
      <c r="B95" s="26"/>
      <c r="C95" s="25"/>
      <c r="D95" s="27"/>
      <c r="E95" s="28"/>
      <c r="F95" s="28"/>
      <c r="G95" s="27"/>
      <c r="H95" s="28"/>
      <c r="I95" s="29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</row>
    <row r="96" spans="1:604" ht="17.25" hidden="1" customHeight="1" x14ac:dyDescent="0.3">
      <c r="A96" s="25"/>
      <c r="B96" s="26"/>
      <c r="C96" s="25"/>
      <c r="D96" s="27"/>
      <c r="E96" s="28"/>
      <c r="F96" s="28"/>
      <c r="G96" s="27"/>
      <c r="H96" s="28"/>
      <c r="I96" s="29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</row>
    <row r="97" spans="1:604" ht="17.25" hidden="1" customHeight="1" x14ac:dyDescent="0.3">
      <c r="A97" s="25"/>
      <c r="B97" s="26"/>
      <c r="C97" s="25"/>
      <c r="D97" s="27"/>
      <c r="E97" s="28"/>
      <c r="F97" s="28"/>
      <c r="G97" s="27"/>
      <c r="H97" s="28"/>
      <c r="I97" s="29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</row>
    <row r="98" spans="1:604" ht="17.25" hidden="1" customHeight="1" x14ac:dyDescent="0.3">
      <c r="A98" s="25"/>
      <c r="B98" s="26"/>
      <c r="C98" s="25"/>
      <c r="D98" s="27"/>
      <c r="E98" s="28"/>
      <c r="F98" s="28"/>
      <c r="G98" s="27"/>
      <c r="H98" s="28"/>
      <c r="I98" s="29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</row>
    <row r="99" spans="1:604" ht="17.25" hidden="1" customHeight="1" x14ac:dyDescent="0.3">
      <c r="A99" s="25"/>
      <c r="B99" s="26"/>
      <c r="C99" s="25"/>
      <c r="D99" s="27"/>
      <c r="E99" s="28"/>
      <c r="F99" s="28"/>
      <c r="G99" s="27"/>
      <c r="H99" s="28"/>
      <c r="I99" s="29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</row>
    <row r="100" spans="1:604" ht="17.25" hidden="1" customHeight="1" x14ac:dyDescent="0.3">
      <c r="A100" s="25"/>
      <c r="B100" s="26"/>
      <c r="C100" s="25"/>
      <c r="D100" s="27"/>
      <c r="E100" s="28"/>
      <c r="F100" s="28"/>
      <c r="G100" s="27"/>
      <c r="H100" s="28"/>
      <c r="I100" s="29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</row>
    <row r="101" spans="1:604" ht="17.25" hidden="1" customHeight="1" x14ac:dyDescent="0.3">
      <c r="A101" s="25"/>
      <c r="B101" s="26"/>
      <c r="C101" s="25"/>
      <c r="D101" s="27"/>
      <c r="E101" s="28"/>
      <c r="F101" s="28"/>
      <c r="G101" s="27"/>
      <c r="H101" s="28"/>
      <c r="I101" s="29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</row>
    <row r="102" spans="1:604" ht="17.25" hidden="1" customHeight="1" x14ac:dyDescent="0.3">
      <c r="A102" s="25"/>
      <c r="B102" s="26"/>
      <c r="C102" s="25"/>
      <c r="D102" s="27"/>
      <c r="E102" s="28"/>
      <c r="F102" s="28"/>
      <c r="G102" s="27"/>
      <c r="H102" s="28"/>
      <c r="I102" s="29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</row>
    <row r="103" spans="1:604" ht="17.25" hidden="1" customHeight="1" x14ac:dyDescent="0.3">
      <c r="A103" s="25"/>
      <c r="B103" s="26"/>
      <c r="C103" s="25"/>
      <c r="D103" s="27"/>
      <c r="E103" s="28"/>
      <c r="F103" s="28"/>
      <c r="G103" s="27"/>
      <c r="H103" s="28"/>
      <c r="I103" s="29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</row>
    <row r="104" spans="1:604" ht="17.25" hidden="1" customHeight="1" x14ac:dyDescent="0.3">
      <c r="A104" s="25"/>
      <c r="B104" s="26"/>
      <c r="C104" s="25"/>
      <c r="D104" s="27"/>
      <c r="E104" s="28"/>
      <c r="F104" s="28"/>
      <c r="G104" s="27"/>
      <c r="H104" s="28"/>
      <c r="I104" s="29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</row>
    <row r="105" spans="1:604" ht="17.25" hidden="1" customHeight="1" x14ac:dyDescent="0.3">
      <c r="A105" s="25"/>
      <c r="B105" s="26"/>
      <c r="C105" s="25"/>
      <c r="D105" s="27"/>
      <c r="E105" s="28"/>
      <c r="F105" s="28"/>
      <c r="G105" s="27"/>
      <c r="H105" s="28"/>
      <c r="I105" s="29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</row>
    <row r="106" spans="1:604" ht="17.25" hidden="1" customHeight="1" x14ac:dyDescent="0.3">
      <c r="A106" s="25"/>
      <c r="B106" s="26"/>
      <c r="C106" s="25"/>
      <c r="D106" s="27"/>
      <c r="E106" s="28"/>
      <c r="F106" s="28"/>
      <c r="G106" s="27"/>
      <c r="H106" s="28"/>
      <c r="I106" s="29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</row>
    <row r="107" spans="1:604" ht="17.25" hidden="1" customHeight="1" x14ac:dyDescent="0.3">
      <c r="A107" s="25"/>
      <c r="B107" s="26"/>
      <c r="C107" s="25"/>
      <c r="D107" s="27"/>
      <c r="E107" s="28"/>
      <c r="F107" s="28"/>
      <c r="G107" s="27"/>
      <c r="H107" s="28"/>
      <c r="I107" s="29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</row>
    <row r="108" spans="1:604" ht="17.25" hidden="1" customHeight="1" x14ac:dyDescent="0.3">
      <c r="A108" s="25"/>
      <c r="B108" s="26"/>
      <c r="C108" s="25"/>
      <c r="D108" s="27"/>
      <c r="E108" s="28"/>
      <c r="F108" s="28"/>
      <c r="G108" s="27"/>
      <c r="H108" s="28"/>
      <c r="I108" s="29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</row>
    <row r="109" spans="1:604" ht="17.25" hidden="1" customHeight="1" x14ac:dyDescent="0.3">
      <c r="A109" s="25"/>
      <c r="B109" s="26"/>
      <c r="C109" s="25"/>
      <c r="D109" s="27"/>
      <c r="E109" s="28"/>
      <c r="F109" s="28"/>
      <c r="G109" s="27"/>
      <c r="H109" s="28"/>
      <c r="I109" s="29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</row>
    <row r="110" spans="1:604" ht="17.25" hidden="1" customHeight="1" x14ac:dyDescent="0.3">
      <c r="A110" s="25"/>
      <c r="B110" s="26"/>
      <c r="C110" s="25"/>
      <c r="D110" s="27"/>
      <c r="E110" s="28"/>
      <c r="F110" s="28"/>
      <c r="G110" s="27"/>
      <c r="H110" s="28"/>
      <c r="I110" s="29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</row>
    <row r="111" spans="1:604" ht="17.25" hidden="1" customHeight="1" x14ac:dyDescent="0.3">
      <c r="A111" s="25"/>
      <c r="B111" s="26"/>
      <c r="C111" s="25"/>
      <c r="D111" s="27"/>
      <c r="E111" s="28"/>
      <c r="F111" s="28"/>
      <c r="G111" s="27"/>
      <c r="H111" s="28"/>
      <c r="I111" s="29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</row>
    <row r="112" spans="1:604" ht="17.25" hidden="1" customHeight="1" x14ac:dyDescent="0.3">
      <c r="A112" s="25"/>
      <c r="B112" s="26"/>
      <c r="C112" s="25"/>
      <c r="D112" s="27"/>
      <c r="E112" s="28"/>
      <c r="F112" s="28"/>
      <c r="G112" s="27"/>
      <c r="H112" s="28"/>
      <c r="I112" s="29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</row>
    <row r="113" spans="1:604" ht="17.25" hidden="1" customHeight="1" x14ac:dyDescent="0.3">
      <c r="A113" s="25"/>
      <c r="B113" s="26"/>
      <c r="C113" s="25"/>
      <c r="D113" s="27"/>
      <c r="E113" s="28"/>
      <c r="F113" s="28"/>
      <c r="G113" s="27"/>
      <c r="H113" s="28"/>
      <c r="I113" s="29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</row>
    <row r="114" spans="1:604" ht="17.25" hidden="1" customHeight="1" x14ac:dyDescent="0.3">
      <c r="A114" s="25"/>
      <c r="B114" s="26"/>
      <c r="C114" s="25"/>
      <c r="D114" s="27"/>
      <c r="E114" s="28"/>
      <c r="F114" s="28"/>
      <c r="G114" s="27"/>
      <c r="H114" s="28"/>
      <c r="I114" s="29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</row>
    <row r="115" spans="1:604" ht="17.25" hidden="1" customHeight="1" x14ac:dyDescent="0.3">
      <c r="A115" s="25"/>
      <c r="B115" s="26"/>
      <c r="C115" s="25"/>
      <c r="D115" s="27"/>
      <c r="E115" s="28"/>
      <c r="F115" s="28"/>
      <c r="G115" s="27"/>
      <c r="H115" s="28"/>
      <c r="I115" s="29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</row>
    <row r="116" spans="1:604" ht="17.25" hidden="1" customHeight="1" x14ac:dyDescent="0.3">
      <c r="A116" s="25"/>
      <c r="B116" s="26"/>
      <c r="C116" s="25"/>
      <c r="D116" s="27"/>
      <c r="E116" s="28"/>
      <c r="F116" s="28"/>
      <c r="G116" s="27"/>
      <c r="H116" s="28"/>
      <c r="I116" s="29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</row>
    <row r="117" spans="1:604" ht="17.25" hidden="1" customHeight="1" x14ac:dyDescent="0.3">
      <c r="A117" s="25"/>
      <c r="B117" s="26"/>
      <c r="C117" s="25"/>
      <c r="D117" s="27"/>
      <c r="E117" s="28"/>
      <c r="F117" s="28"/>
      <c r="G117" s="27"/>
      <c r="H117" s="28"/>
      <c r="I117" s="29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</row>
    <row r="118" spans="1:604" ht="17.25" hidden="1" customHeight="1" x14ac:dyDescent="0.3">
      <c r="A118" s="25"/>
      <c r="B118" s="26"/>
      <c r="C118" s="25"/>
      <c r="D118" s="27"/>
      <c r="E118" s="28"/>
      <c r="F118" s="28"/>
      <c r="G118" s="27"/>
      <c r="H118" s="28"/>
      <c r="I118" s="29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</row>
    <row r="119" spans="1:604" ht="17.25" hidden="1" customHeight="1" x14ac:dyDescent="0.3">
      <c r="A119" s="25"/>
      <c r="B119" s="26"/>
      <c r="C119" s="25"/>
      <c r="D119" s="27"/>
      <c r="E119" s="28"/>
      <c r="F119" s="28"/>
      <c r="G119" s="27"/>
      <c r="H119" s="28"/>
      <c r="I119" s="29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</row>
    <row r="120" spans="1:604" ht="17.25" hidden="1" customHeight="1" x14ac:dyDescent="0.3">
      <c r="A120" s="25"/>
      <c r="B120" s="26"/>
      <c r="C120" s="25"/>
      <c r="D120" s="27"/>
      <c r="E120" s="28"/>
      <c r="F120" s="28"/>
      <c r="G120" s="27"/>
      <c r="H120" s="28"/>
      <c r="I120" s="29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</row>
    <row r="121" spans="1:604" ht="17.25" hidden="1" customHeight="1" x14ac:dyDescent="0.3">
      <c r="A121" s="25"/>
      <c r="B121" s="26"/>
      <c r="C121" s="25"/>
      <c r="D121" s="27"/>
      <c r="E121" s="28"/>
      <c r="F121" s="28"/>
      <c r="G121" s="27"/>
      <c r="H121" s="28"/>
      <c r="I121" s="29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</row>
    <row r="122" spans="1:604" ht="17.25" hidden="1" customHeight="1" x14ac:dyDescent="0.3">
      <c r="A122" s="25"/>
      <c r="B122" s="26"/>
      <c r="C122" s="25"/>
      <c r="D122" s="27"/>
      <c r="E122" s="28"/>
      <c r="F122" s="28"/>
      <c r="G122" s="27"/>
      <c r="H122" s="28"/>
      <c r="I122" s="29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</row>
    <row r="123" spans="1:604" ht="17.25" hidden="1" customHeight="1" x14ac:dyDescent="0.3">
      <c r="A123" s="25"/>
      <c r="B123" s="26"/>
      <c r="C123" s="25"/>
      <c r="D123" s="27"/>
      <c r="E123" s="28"/>
      <c r="F123" s="28"/>
      <c r="G123" s="27"/>
      <c r="H123" s="28"/>
      <c r="I123" s="29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</row>
    <row r="124" spans="1:604" ht="17.25" hidden="1" customHeight="1" x14ac:dyDescent="0.3">
      <c r="A124" s="25"/>
      <c r="B124" s="26"/>
      <c r="C124" s="25"/>
      <c r="D124" s="27"/>
      <c r="E124" s="28"/>
      <c r="F124" s="28"/>
      <c r="G124" s="27"/>
      <c r="H124" s="28"/>
      <c r="I124" s="29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</row>
    <row r="125" spans="1:604" ht="17.25" hidden="1" customHeight="1" x14ac:dyDescent="0.3">
      <c r="A125" s="25"/>
      <c r="B125" s="26"/>
      <c r="C125" s="25"/>
      <c r="D125" s="27"/>
      <c r="E125" s="28"/>
      <c r="F125" s="28"/>
      <c r="G125" s="27"/>
      <c r="H125" s="28"/>
      <c r="I125" s="29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</row>
    <row r="126" spans="1:604" ht="17.25" hidden="1" customHeight="1" x14ac:dyDescent="0.3">
      <c r="A126" s="25"/>
      <c r="B126" s="26"/>
      <c r="C126" s="25"/>
      <c r="D126" s="27"/>
      <c r="E126" s="28"/>
      <c r="F126" s="28"/>
      <c r="G126" s="27"/>
      <c r="H126" s="28"/>
      <c r="I126" s="29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</row>
    <row r="127" spans="1:604" ht="17.25" hidden="1" customHeight="1" x14ac:dyDescent="0.3">
      <c r="A127" s="25"/>
      <c r="B127" s="26"/>
      <c r="C127" s="25"/>
      <c r="D127" s="27"/>
      <c r="E127" s="28"/>
      <c r="F127" s="28"/>
      <c r="G127" s="27"/>
      <c r="H127" s="28"/>
      <c r="I127" s="29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</row>
    <row r="128" spans="1:604" ht="17.25" hidden="1" customHeight="1" x14ac:dyDescent="0.3">
      <c r="A128" s="25"/>
      <c r="B128" s="26"/>
      <c r="C128" s="25"/>
      <c r="D128" s="27"/>
      <c r="E128" s="28"/>
      <c r="F128" s="28"/>
      <c r="G128" s="27"/>
      <c r="H128" s="28"/>
      <c r="I128" s="29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</row>
    <row r="129" spans="1:604" ht="17.25" hidden="1" customHeight="1" x14ac:dyDescent="0.3">
      <c r="A129" s="25"/>
      <c r="B129" s="26"/>
      <c r="C129" s="25"/>
      <c r="D129" s="27"/>
      <c r="E129" s="28"/>
      <c r="F129" s="28"/>
      <c r="G129" s="27"/>
      <c r="H129" s="28"/>
      <c r="I129" s="29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</row>
    <row r="130" spans="1:604" ht="17.25" hidden="1" customHeight="1" x14ac:dyDescent="0.3">
      <c r="A130" s="25"/>
      <c r="B130" s="26"/>
      <c r="C130" s="25"/>
      <c r="D130" s="27"/>
      <c r="E130" s="28"/>
      <c r="F130" s="28"/>
      <c r="G130" s="27"/>
      <c r="H130" s="28"/>
      <c r="I130" s="29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</row>
    <row r="131" spans="1:604" ht="17.25" hidden="1" customHeight="1" x14ac:dyDescent="0.3">
      <c r="A131" s="25"/>
      <c r="B131" s="26"/>
      <c r="C131" s="25"/>
      <c r="D131" s="27"/>
      <c r="E131" s="28"/>
      <c r="F131" s="28"/>
      <c r="G131" s="27"/>
      <c r="H131" s="28"/>
      <c r="I131" s="29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</row>
    <row r="132" spans="1:604" ht="17.25" hidden="1" customHeight="1" x14ac:dyDescent="0.3">
      <c r="A132" s="25"/>
      <c r="B132" s="26"/>
      <c r="C132" s="25"/>
      <c r="D132" s="27"/>
      <c r="E132" s="28"/>
      <c r="F132" s="28"/>
      <c r="G132" s="27"/>
      <c r="H132" s="28"/>
      <c r="I132" s="29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</row>
    <row r="133" spans="1:604" ht="17.25" hidden="1" customHeight="1" x14ac:dyDescent="0.3">
      <c r="A133" s="25"/>
      <c r="B133" s="26"/>
      <c r="C133" s="25"/>
      <c r="D133" s="27"/>
      <c r="E133" s="28"/>
      <c r="F133" s="28"/>
      <c r="G133" s="27"/>
      <c r="H133" s="28"/>
      <c r="I133" s="29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</row>
    <row r="134" spans="1:604" ht="17.25" hidden="1" customHeight="1" x14ac:dyDescent="0.3">
      <c r="A134" s="25"/>
      <c r="B134" s="26"/>
      <c r="C134" s="25"/>
      <c r="D134" s="27"/>
      <c r="E134" s="28"/>
      <c r="F134" s="28"/>
      <c r="G134" s="27"/>
      <c r="H134" s="28"/>
      <c r="I134" s="29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</row>
    <row r="135" spans="1:604" ht="17.25" hidden="1" customHeight="1" x14ac:dyDescent="0.3">
      <c r="A135" s="25"/>
      <c r="B135" s="26"/>
      <c r="C135" s="25"/>
      <c r="D135" s="27"/>
      <c r="E135" s="28"/>
      <c r="F135" s="28"/>
      <c r="G135" s="27"/>
      <c r="H135" s="28"/>
      <c r="I135" s="29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</row>
    <row r="136" spans="1:604" ht="17.25" hidden="1" customHeight="1" x14ac:dyDescent="0.3">
      <c r="A136" s="25"/>
      <c r="B136" s="26"/>
      <c r="C136" s="25"/>
      <c r="D136" s="27"/>
      <c r="E136" s="28"/>
      <c r="F136" s="28"/>
      <c r="G136" s="27"/>
      <c r="H136" s="28"/>
      <c r="I136" s="29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</row>
    <row r="137" spans="1:604" ht="17.25" hidden="1" customHeight="1" x14ac:dyDescent="0.3">
      <c r="A137" s="25"/>
      <c r="B137" s="26"/>
      <c r="C137" s="25"/>
      <c r="D137" s="27"/>
      <c r="E137" s="28"/>
      <c r="F137" s="28"/>
      <c r="G137" s="27"/>
      <c r="H137" s="28"/>
      <c r="I137" s="29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</row>
    <row r="138" spans="1:604" ht="17.25" hidden="1" customHeight="1" x14ac:dyDescent="0.3">
      <c r="A138" s="25"/>
      <c r="B138" s="26"/>
      <c r="C138" s="25"/>
      <c r="D138" s="27"/>
      <c r="E138" s="28"/>
      <c r="F138" s="28"/>
      <c r="G138" s="27"/>
      <c r="H138" s="28"/>
      <c r="I138" s="29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</row>
    <row r="139" spans="1:604" ht="17.25" hidden="1" customHeight="1" x14ac:dyDescent="0.3">
      <c r="A139" s="25"/>
      <c r="B139" s="26"/>
      <c r="C139" s="25"/>
      <c r="D139" s="27"/>
      <c r="E139" s="28"/>
      <c r="F139" s="28"/>
      <c r="G139" s="27"/>
      <c r="H139" s="28"/>
      <c r="I139" s="29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</row>
    <row r="140" spans="1:604" ht="17.25" hidden="1" customHeight="1" x14ac:dyDescent="0.3">
      <c r="A140" s="25"/>
      <c r="B140" s="26"/>
      <c r="C140" s="25"/>
      <c r="D140" s="27"/>
      <c r="E140" s="28"/>
      <c r="F140" s="28"/>
      <c r="G140" s="27"/>
      <c r="H140" s="28"/>
      <c r="I140" s="29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</row>
    <row r="141" spans="1:604" ht="17.25" hidden="1" customHeight="1" x14ac:dyDescent="0.3">
      <c r="A141" s="25"/>
      <c r="B141" s="26"/>
      <c r="C141" s="25"/>
      <c r="D141" s="27"/>
      <c r="E141" s="28"/>
      <c r="F141" s="28"/>
      <c r="G141" s="27"/>
      <c r="H141" s="28"/>
      <c r="I141" s="29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</row>
    <row r="142" spans="1:604" ht="17.25" hidden="1" customHeight="1" x14ac:dyDescent="0.3">
      <c r="A142" s="25"/>
      <c r="B142" s="26"/>
      <c r="C142" s="25"/>
      <c r="D142" s="27"/>
      <c r="E142" s="28"/>
      <c r="F142" s="28"/>
      <c r="G142" s="27"/>
      <c r="H142" s="28"/>
      <c r="I142" s="29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</row>
    <row r="143" spans="1:604" ht="17.25" hidden="1" customHeight="1" x14ac:dyDescent="0.3">
      <c r="A143" s="25"/>
      <c r="B143" s="26"/>
      <c r="C143" s="25"/>
      <c r="D143" s="27"/>
      <c r="E143" s="28"/>
      <c r="F143" s="28"/>
      <c r="G143" s="27"/>
      <c r="H143" s="28"/>
      <c r="I143" s="29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</row>
    <row r="144" spans="1:604" ht="17.25" hidden="1" customHeight="1" x14ac:dyDescent="0.3">
      <c r="A144" s="25"/>
      <c r="B144" s="26"/>
      <c r="C144" s="25"/>
      <c r="D144" s="27"/>
      <c r="E144" s="28"/>
      <c r="F144" s="28"/>
      <c r="G144" s="27"/>
      <c r="H144" s="28"/>
      <c r="I144" s="29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</row>
    <row r="145" spans="1:604" ht="17.25" hidden="1" customHeight="1" x14ac:dyDescent="0.3">
      <c r="A145" s="25"/>
      <c r="B145" s="26"/>
      <c r="C145" s="25"/>
      <c r="D145" s="27"/>
      <c r="E145" s="28"/>
      <c r="F145" s="28"/>
      <c r="G145" s="27"/>
      <c r="H145" s="28"/>
      <c r="I145" s="29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</row>
    <row r="146" spans="1:604" ht="17.25" hidden="1" customHeight="1" x14ac:dyDescent="0.3">
      <c r="A146" s="25"/>
      <c r="B146" s="26"/>
      <c r="C146" s="25"/>
      <c r="D146" s="27"/>
      <c r="E146" s="28"/>
      <c r="F146" s="28"/>
      <c r="G146" s="27"/>
      <c r="H146" s="28"/>
      <c r="I146" s="29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</row>
    <row r="147" spans="1:604" ht="17.25" hidden="1" customHeight="1" x14ac:dyDescent="0.3">
      <c r="A147" s="25"/>
      <c r="B147" s="26"/>
      <c r="C147" s="25"/>
      <c r="D147" s="27"/>
      <c r="E147" s="28"/>
      <c r="F147" s="28"/>
      <c r="G147" s="27"/>
      <c r="H147" s="28"/>
      <c r="I147" s="29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</row>
    <row r="148" spans="1:604" ht="17.25" hidden="1" customHeight="1" x14ac:dyDescent="0.3">
      <c r="A148" s="25"/>
      <c r="B148" s="26"/>
      <c r="C148" s="25"/>
      <c r="D148" s="27"/>
      <c r="E148" s="28"/>
      <c r="F148" s="28"/>
      <c r="G148" s="27"/>
      <c r="H148" s="28"/>
      <c r="I148" s="29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</row>
    <row r="149" spans="1:604" ht="17.25" hidden="1" customHeight="1" x14ac:dyDescent="0.3">
      <c r="A149" s="25"/>
      <c r="B149" s="26"/>
      <c r="C149" s="25"/>
      <c r="D149" s="27"/>
      <c r="E149" s="28"/>
      <c r="F149" s="28"/>
      <c r="G149" s="27"/>
      <c r="H149" s="28"/>
      <c r="I149" s="29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</row>
    <row r="150" spans="1:604" ht="17.25" hidden="1" customHeight="1" x14ac:dyDescent="0.3">
      <c r="A150" s="25"/>
      <c r="B150" s="26"/>
      <c r="C150" s="25"/>
      <c r="D150" s="27"/>
      <c r="E150" s="28"/>
      <c r="F150" s="28"/>
      <c r="G150" s="27"/>
      <c r="H150" s="28"/>
      <c r="I150" s="29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</row>
    <row r="151" spans="1:604" ht="17.25" hidden="1" customHeight="1" x14ac:dyDescent="0.3">
      <c r="A151" s="25"/>
      <c r="B151" s="26"/>
      <c r="C151" s="25"/>
      <c r="D151" s="27"/>
      <c r="E151" s="28"/>
      <c r="F151" s="28"/>
      <c r="G151" s="27"/>
      <c r="H151" s="28"/>
      <c r="I151" s="29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</row>
    <row r="152" spans="1:604" ht="17.25" hidden="1" customHeight="1" x14ac:dyDescent="0.3">
      <c r="A152" s="25"/>
      <c r="B152" s="26"/>
      <c r="C152" s="25"/>
      <c r="D152" s="27"/>
      <c r="E152" s="28"/>
      <c r="F152" s="28"/>
      <c r="G152" s="27"/>
      <c r="H152" s="28"/>
      <c r="I152" s="29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</row>
    <row r="153" spans="1:604" ht="17.25" hidden="1" customHeight="1" x14ac:dyDescent="0.3">
      <c r="A153" s="25"/>
      <c r="B153" s="26"/>
      <c r="C153" s="25"/>
      <c r="D153" s="27"/>
      <c r="E153" s="28"/>
      <c r="F153" s="28"/>
      <c r="G153" s="27"/>
      <c r="H153" s="28"/>
      <c r="I153" s="29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</row>
    <row r="154" spans="1:604" ht="17.25" hidden="1" customHeight="1" x14ac:dyDescent="0.3">
      <c r="A154" s="25"/>
      <c r="B154" s="26"/>
      <c r="C154" s="25"/>
      <c r="D154" s="27"/>
      <c r="E154" s="28"/>
      <c r="F154" s="28"/>
      <c r="G154" s="27"/>
      <c r="H154" s="28"/>
      <c r="I154" s="29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</row>
    <row r="155" spans="1:604" ht="17.25" hidden="1" customHeight="1" x14ac:dyDescent="0.3">
      <c r="A155" s="25"/>
      <c r="B155" s="26"/>
      <c r="C155" s="25"/>
      <c r="D155" s="27"/>
      <c r="E155" s="28"/>
      <c r="F155" s="28"/>
      <c r="G155" s="27"/>
      <c r="H155" s="28"/>
      <c r="I155" s="29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</row>
    <row r="156" spans="1:604" ht="17.25" hidden="1" customHeight="1" x14ac:dyDescent="0.3">
      <c r="A156" s="25"/>
      <c r="B156" s="26"/>
      <c r="C156" s="25"/>
      <c r="D156" s="27"/>
      <c r="E156" s="28"/>
      <c r="F156" s="28"/>
      <c r="G156" s="27"/>
      <c r="H156" s="28"/>
      <c r="I156" s="29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</row>
    <row r="157" spans="1:604" ht="17.25" hidden="1" customHeight="1" x14ac:dyDescent="0.3">
      <c r="A157" s="25"/>
      <c r="B157" s="26"/>
      <c r="C157" s="25"/>
      <c r="D157" s="27"/>
      <c r="E157" s="28"/>
      <c r="F157" s="28"/>
      <c r="G157" s="27"/>
      <c r="H157" s="28"/>
      <c r="I157" s="29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</row>
    <row r="158" spans="1:604" ht="17.25" hidden="1" customHeight="1" x14ac:dyDescent="0.3">
      <c r="A158" s="25"/>
      <c r="B158" s="26"/>
      <c r="C158" s="25"/>
      <c r="D158" s="27"/>
      <c r="E158" s="28"/>
      <c r="F158" s="28"/>
      <c r="G158" s="27"/>
      <c r="H158" s="28"/>
      <c r="I158" s="29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</row>
    <row r="159" spans="1:604" ht="17.25" hidden="1" customHeight="1" x14ac:dyDescent="0.3">
      <c r="A159" s="25"/>
      <c r="B159" s="26"/>
      <c r="C159" s="25"/>
      <c r="D159" s="27"/>
      <c r="E159" s="28"/>
      <c r="F159" s="28"/>
      <c r="G159" s="27"/>
      <c r="H159" s="28"/>
      <c r="I159" s="29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</row>
    <row r="160" spans="1:604" ht="17.25" hidden="1" customHeight="1" x14ac:dyDescent="0.3">
      <c r="A160" s="25"/>
      <c r="B160" s="26"/>
      <c r="C160" s="25"/>
      <c r="D160" s="27"/>
      <c r="E160" s="28"/>
      <c r="F160" s="28"/>
      <c r="G160" s="27"/>
      <c r="H160" s="28"/>
      <c r="I160" s="29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</row>
    <row r="161" spans="1:604" ht="17.25" hidden="1" customHeight="1" x14ac:dyDescent="0.3">
      <c r="A161" s="25"/>
      <c r="B161" s="26"/>
      <c r="C161" s="25"/>
      <c r="D161" s="27"/>
      <c r="E161" s="28"/>
      <c r="F161" s="28"/>
      <c r="G161" s="27"/>
      <c r="H161" s="28"/>
      <c r="I161" s="29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</row>
    <row r="162" spans="1:604" ht="17.25" hidden="1" customHeight="1" x14ac:dyDescent="0.3">
      <c r="A162" s="25"/>
      <c r="B162" s="26"/>
      <c r="C162" s="25"/>
      <c r="D162" s="27"/>
      <c r="E162" s="28"/>
      <c r="F162" s="28"/>
      <c r="G162" s="27"/>
      <c r="H162" s="28"/>
      <c r="I162" s="29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</row>
    <row r="163" spans="1:604" ht="17.25" hidden="1" customHeight="1" x14ac:dyDescent="0.3">
      <c r="A163" s="25"/>
      <c r="B163" s="26"/>
      <c r="C163" s="25"/>
      <c r="D163" s="27"/>
      <c r="E163" s="28"/>
      <c r="F163" s="28"/>
      <c r="G163" s="27"/>
      <c r="H163" s="28"/>
      <c r="I163" s="29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</row>
    <row r="164" spans="1:604" ht="17.25" hidden="1" customHeight="1" x14ac:dyDescent="0.3">
      <c r="A164" s="25"/>
      <c r="B164" s="26"/>
      <c r="C164" s="25"/>
      <c r="D164" s="27"/>
      <c r="E164" s="28"/>
      <c r="F164" s="28"/>
      <c r="G164" s="27"/>
      <c r="H164" s="28"/>
      <c r="I164" s="29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</row>
    <row r="165" spans="1:604" ht="17.25" hidden="1" customHeight="1" x14ac:dyDescent="0.3">
      <c r="A165" s="25"/>
      <c r="B165" s="26"/>
      <c r="C165" s="25"/>
      <c r="D165" s="27"/>
      <c r="E165" s="28"/>
      <c r="F165" s="28"/>
      <c r="G165" s="27"/>
      <c r="H165" s="28"/>
      <c r="I165" s="29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</row>
    <row r="166" spans="1:604" ht="17.25" hidden="1" customHeight="1" x14ac:dyDescent="0.3">
      <c r="A166" s="25"/>
      <c r="B166" s="26"/>
      <c r="C166" s="25"/>
      <c r="D166" s="27"/>
      <c r="E166" s="28"/>
      <c r="F166" s="28"/>
      <c r="G166" s="27"/>
      <c r="H166" s="28"/>
      <c r="I166" s="29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</row>
    <row r="167" spans="1:604" ht="17.25" hidden="1" customHeight="1" x14ac:dyDescent="0.3">
      <c r="A167" s="25"/>
      <c r="B167" s="26"/>
      <c r="C167" s="25"/>
      <c r="D167" s="27"/>
      <c r="E167" s="28"/>
      <c r="F167" s="28"/>
      <c r="G167" s="27"/>
      <c r="H167" s="28"/>
      <c r="I167" s="29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</row>
    <row r="168" spans="1:604" ht="17.25" hidden="1" customHeight="1" x14ac:dyDescent="0.3">
      <c r="A168" s="25"/>
      <c r="B168" s="26"/>
      <c r="C168" s="25"/>
      <c r="D168" s="27"/>
      <c r="E168" s="28"/>
      <c r="F168" s="28"/>
      <c r="G168" s="27"/>
      <c r="H168" s="28"/>
      <c r="I168" s="29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</row>
    <row r="169" spans="1:604" ht="17.25" hidden="1" customHeight="1" x14ac:dyDescent="0.3">
      <c r="A169" s="25"/>
      <c r="B169" s="26"/>
      <c r="C169" s="25"/>
      <c r="D169" s="27"/>
      <c r="E169" s="28"/>
      <c r="F169" s="28"/>
      <c r="G169" s="27"/>
      <c r="H169" s="28"/>
      <c r="I169" s="29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</row>
    <row r="170" spans="1:604" ht="17.25" hidden="1" customHeight="1" x14ac:dyDescent="0.3">
      <c r="A170" s="25"/>
      <c r="B170" s="26"/>
      <c r="C170" s="25"/>
      <c r="D170" s="27"/>
      <c r="E170" s="28"/>
      <c r="F170" s="28"/>
      <c r="G170" s="27"/>
      <c r="H170" s="28"/>
      <c r="I170" s="29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</row>
    <row r="171" spans="1:604" ht="17.25" hidden="1" customHeight="1" x14ac:dyDescent="0.3">
      <c r="A171" s="25"/>
      <c r="B171" s="26"/>
      <c r="C171" s="25"/>
      <c r="D171" s="27"/>
      <c r="E171" s="28"/>
      <c r="F171" s="28"/>
      <c r="G171" s="27"/>
      <c r="H171" s="28"/>
      <c r="I171" s="29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</row>
    <row r="172" spans="1:604" ht="17.25" hidden="1" customHeight="1" x14ac:dyDescent="0.3">
      <c r="A172" s="25"/>
      <c r="B172" s="26"/>
      <c r="C172" s="25"/>
      <c r="D172" s="27"/>
      <c r="E172" s="28"/>
      <c r="F172" s="28"/>
      <c r="G172" s="27"/>
      <c r="H172" s="28"/>
      <c r="I172" s="29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</row>
    <row r="173" spans="1:604" ht="17.25" hidden="1" customHeight="1" x14ac:dyDescent="0.3">
      <c r="A173" s="25"/>
      <c r="B173" s="26"/>
      <c r="C173" s="25"/>
      <c r="D173" s="27"/>
      <c r="E173" s="28"/>
      <c r="F173" s="28"/>
      <c r="G173" s="27"/>
      <c r="H173" s="28"/>
      <c r="I173" s="29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</row>
    <row r="174" spans="1:604" ht="17.25" hidden="1" customHeight="1" x14ac:dyDescent="0.3">
      <c r="A174" s="25"/>
      <c r="B174" s="26"/>
      <c r="C174" s="25"/>
      <c r="D174" s="27"/>
      <c r="E174" s="28"/>
      <c r="F174" s="28"/>
      <c r="G174" s="27"/>
      <c r="H174" s="28"/>
      <c r="I174" s="29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</row>
    <row r="175" spans="1:604" ht="17.25" hidden="1" customHeight="1" x14ac:dyDescent="0.3">
      <c r="A175" s="25"/>
      <c r="B175" s="26"/>
      <c r="C175" s="25"/>
      <c r="D175" s="27"/>
      <c r="E175" s="28"/>
      <c r="F175" s="28"/>
      <c r="G175" s="27"/>
      <c r="H175" s="28"/>
      <c r="I175" s="29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</row>
    <row r="176" spans="1:604" ht="17.25" hidden="1" customHeight="1" x14ac:dyDescent="0.3">
      <c r="A176" s="25"/>
      <c r="B176" s="26"/>
      <c r="C176" s="25"/>
      <c r="D176" s="27"/>
      <c r="E176" s="28"/>
      <c r="F176" s="28"/>
      <c r="G176" s="27"/>
      <c r="H176" s="28"/>
      <c r="I176" s="29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</row>
    <row r="177" spans="1:604" ht="17.25" hidden="1" customHeight="1" x14ac:dyDescent="0.3">
      <c r="A177" s="25"/>
      <c r="B177" s="26"/>
      <c r="C177" s="25"/>
      <c r="D177" s="27"/>
      <c r="E177" s="28"/>
      <c r="F177" s="28"/>
      <c r="G177" s="27"/>
      <c r="H177" s="28"/>
      <c r="I177" s="29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</row>
    <row r="178" spans="1:604" ht="17.25" hidden="1" customHeight="1" x14ac:dyDescent="0.3">
      <c r="A178" s="25"/>
      <c r="B178" s="26"/>
      <c r="C178" s="25"/>
      <c r="D178" s="27"/>
      <c r="E178" s="28"/>
      <c r="F178" s="28"/>
      <c r="G178" s="27"/>
      <c r="H178" s="28"/>
      <c r="I178" s="29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</row>
    <row r="179" spans="1:604" ht="17.25" hidden="1" customHeight="1" x14ac:dyDescent="0.3">
      <c r="A179" s="25"/>
      <c r="B179" s="26"/>
      <c r="C179" s="25"/>
      <c r="D179" s="27"/>
      <c r="E179" s="28"/>
      <c r="F179" s="28"/>
      <c r="G179" s="27"/>
      <c r="H179" s="28"/>
      <c r="I179" s="29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</row>
    <row r="180" spans="1:604" ht="17.25" hidden="1" customHeight="1" x14ac:dyDescent="0.3">
      <c r="A180" s="25"/>
      <c r="B180" s="26"/>
      <c r="C180" s="25"/>
      <c r="D180" s="27"/>
      <c r="E180" s="28"/>
      <c r="F180" s="28"/>
      <c r="G180" s="27"/>
      <c r="H180" s="28"/>
      <c r="I180" s="29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</row>
    <row r="181" spans="1:604" ht="17.25" hidden="1" customHeight="1" x14ac:dyDescent="0.3">
      <c r="A181" s="25"/>
      <c r="B181" s="26"/>
      <c r="C181" s="25"/>
      <c r="D181" s="27"/>
      <c r="E181" s="28"/>
      <c r="F181" s="28"/>
      <c r="G181" s="27"/>
      <c r="H181" s="28"/>
      <c r="I181" s="29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</row>
    <row r="182" spans="1:604" ht="17.25" hidden="1" customHeight="1" x14ac:dyDescent="0.3">
      <c r="A182" s="25"/>
      <c r="B182" s="26"/>
      <c r="C182" s="25"/>
      <c r="D182" s="27"/>
      <c r="E182" s="28"/>
      <c r="F182" s="28"/>
      <c r="G182" s="27"/>
      <c r="H182" s="28"/>
      <c r="I182" s="29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</row>
    <row r="183" spans="1:604" ht="17.25" hidden="1" customHeight="1" x14ac:dyDescent="0.3">
      <c r="A183" s="25"/>
      <c r="B183" s="26"/>
      <c r="C183" s="25"/>
      <c r="D183" s="27"/>
      <c r="E183" s="28"/>
      <c r="F183" s="28"/>
      <c r="G183" s="27"/>
      <c r="H183" s="28"/>
      <c r="I183" s="29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</row>
    <row r="184" spans="1:604" ht="17.25" hidden="1" customHeight="1" x14ac:dyDescent="0.3">
      <c r="A184" s="25"/>
      <c r="B184" s="26"/>
      <c r="C184" s="25"/>
      <c r="D184" s="27"/>
      <c r="E184" s="28"/>
      <c r="F184" s="28"/>
      <c r="G184" s="27"/>
      <c r="H184" s="28"/>
      <c r="I184" s="29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</row>
    <row r="185" spans="1:604" ht="17.25" hidden="1" customHeight="1" x14ac:dyDescent="0.3">
      <c r="A185" s="25"/>
      <c r="B185" s="26"/>
      <c r="C185" s="25"/>
      <c r="D185" s="27"/>
      <c r="E185" s="28"/>
      <c r="F185" s="28"/>
      <c r="G185" s="27"/>
      <c r="H185" s="28"/>
      <c r="I185" s="29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</row>
    <row r="186" spans="1:604" ht="17.25" hidden="1" customHeight="1" x14ac:dyDescent="0.3">
      <c r="A186" s="25"/>
      <c r="B186" s="26"/>
      <c r="C186" s="25"/>
      <c r="D186" s="27"/>
      <c r="E186" s="28"/>
      <c r="F186" s="28"/>
      <c r="G186" s="27"/>
      <c r="H186" s="28"/>
      <c r="I186" s="29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</row>
    <row r="187" spans="1:604" ht="17.25" hidden="1" customHeight="1" x14ac:dyDescent="0.3">
      <c r="A187" s="25"/>
      <c r="B187" s="26"/>
      <c r="C187" s="25"/>
      <c r="D187" s="27"/>
      <c r="E187" s="28"/>
      <c r="F187" s="28"/>
      <c r="G187" s="27"/>
      <c r="H187" s="28"/>
      <c r="I187" s="29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</row>
    <row r="188" spans="1:604" ht="17.25" hidden="1" customHeight="1" x14ac:dyDescent="0.3">
      <c r="A188" s="25"/>
      <c r="B188" s="26"/>
      <c r="C188" s="25"/>
      <c r="D188" s="27"/>
      <c r="E188" s="28"/>
      <c r="F188" s="28"/>
      <c r="G188" s="27"/>
      <c r="H188" s="28"/>
      <c r="I188" s="29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</row>
    <row r="189" spans="1:604" ht="17.25" hidden="1" customHeight="1" x14ac:dyDescent="0.3">
      <c r="A189" s="25"/>
      <c r="B189" s="26"/>
      <c r="C189" s="25"/>
      <c r="D189" s="27"/>
      <c r="E189" s="28"/>
      <c r="F189" s="28"/>
      <c r="G189" s="27"/>
      <c r="H189" s="28"/>
      <c r="I189" s="29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</row>
    <row r="190" spans="1:604" ht="17.25" hidden="1" customHeight="1" x14ac:dyDescent="0.3">
      <c r="A190" s="25"/>
      <c r="B190" s="26"/>
      <c r="C190" s="25"/>
      <c r="D190" s="27"/>
      <c r="E190" s="28"/>
      <c r="F190" s="28"/>
      <c r="G190" s="27"/>
      <c r="H190" s="28"/>
      <c r="I190" s="29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</row>
    <row r="191" spans="1:604" ht="17.25" hidden="1" customHeight="1" x14ac:dyDescent="0.3">
      <c r="A191" s="25"/>
      <c r="B191" s="26"/>
      <c r="C191" s="25"/>
      <c r="D191" s="27"/>
      <c r="E191" s="28"/>
      <c r="F191" s="28"/>
      <c r="G191" s="27"/>
      <c r="H191" s="28"/>
      <c r="I191" s="29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</row>
    <row r="192" spans="1:604" ht="17.25" hidden="1" customHeight="1" x14ac:dyDescent="0.3">
      <c r="A192" s="25"/>
      <c r="B192" s="26"/>
      <c r="C192" s="25"/>
      <c r="D192" s="27"/>
      <c r="E192" s="28"/>
      <c r="F192" s="28"/>
      <c r="G192" s="27"/>
      <c r="H192" s="28"/>
      <c r="I192" s="29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</row>
    <row r="193" spans="1:604" ht="17.25" hidden="1" customHeight="1" x14ac:dyDescent="0.3">
      <c r="A193" s="25"/>
      <c r="B193" s="26"/>
      <c r="C193" s="25"/>
      <c r="D193" s="27"/>
      <c r="E193" s="28"/>
      <c r="F193" s="28"/>
      <c r="G193" s="27"/>
      <c r="H193" s="28"/>
      <c r="I193" s="29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</row>
    <row r="194" spans="1:604" ht="17.25" hidden="1" customHeight="1" x14ac:dyDescent="0.3">
      <c r="A194" s="25"/>
      <c r="B194" s="26"/>
      <c r="C194" s="25"/>
      <c r="D194" s="27"/>
      <c r="E194" s="28"/>
      <c r="F194" s="28"/>
      <c r="G194" s="27"/>
      <c r="H194" s="28"/>
      <c r="I194" s="29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</row>
    <row r="195" spans="1:604" ht="17.25" hidden="1" customHeight="1" x14ac:dyDescent="0.3">
      <c r="A195" s="25"/>
      <c r="B195" s="26"/>
      <c r="C195" s="25"/>
      <c r="D195" s="27"/>
      <c r="E195" s="28"/>
      <c r="F195" s="28"/>
      <c r="G195" s="27"/>
      <c r="H195" s="28"/>
      <c r="I195" s="29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</row>
    <row r="196" spans="1:604" ht="17.25" hidden="1" customHeight="1" x14ac:dyDescent="0.3">
      <c r="A196" s="25"/>
      <c r="B196" s="26"/>
      <c r="C196" s="25"/>
      <c r="D196" s="27"/>
      <c r="E196" s="28"/>
      <c r="F196" s="28"/>
      <c r="G196" s="27"/>
      <c r="H196" s="28"/>
      <c r="I196" s="29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</row>
    <row r="197" spans="1:604" ht="17.25" hidden="1" customHeight="1" x14ac:dyDescent="0.3">
      <c r="A197" s="25"/>
      <c r="B197" s="26"/>
      <c r="C197" s="25"/>
      <c r="D197" s="27"/>
      <c r="E197" s="28"/>
      <c r="F197" s="28"/>
      <c r="G197" s="27"/>
      <c r="H197" s="28"/>
      <c r="I197" s="29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</row>
    <row r="198" spans="1:604" ht="17.25" hidden="1" customHeight="1" x14ac:dyDescent="0.3">
      <c r="A198" s="25"/>
      <c r="B198" s="26"/>
      <c r="C198" s="25"/>
      <c r="D198" s="27"/>
      <c r="E198" s="28"/>
      <c r="F198" s="28"/>
      <c r="G198" s="27"/>
      <c r="H198" s="28"/>
      <c r="I198" s="29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</row>
    <row r="199" spans="1:604" ht="17.25" hidden="1" customHeight="1" x14ac:dyDescent="0.3">
      <c r="A199" s="25"/>
      <c r="B199" s="26"/>
      <c r="C199" s="25"/>
      <c r="D199" s="27"/>
      <c r="E199" s="28"/>
      <c r="F199" s="28"/>
      <c r="G199" s="27"/>
      <c r="H199" s="28"/>
      <c r="I199" s="29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</row>
    <row r="200" spans="1:604" ht="17.25" hidden="1" customHeight="1" x14ac:dyDescent="0.3">
      <c r="A200" s="25"/>
      <c r="B200" s="26"/>
      <c r="C200" s="25"/>
      <c r="D200" s="27"/>
      <c r="E200" s="28"/>
      <c r="F200" s="28"/>
      <c r="G200" s="27"/>
      <c r="H200" s="28"/>
      <c r="I200" s="29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</row>
    <row r="201" spans="1:604" ht="17.25" hidden="1" customHeight="1" x14ac:dyDescent="0.3">
      <c r="A201" s="25"/>
      <c r="B201" s="26"/>
      <c r="C201" s="25"/>
      <c r="D201" s="27"/>
      <c r="E201" s="28"/>
      <c r="F201" s="28"/>
      <c r="G201" s="27"/>
      <c r="H201" s="28"/>
      <c r="I201" s="29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</row>
    <row r="202" spans="1:604" ht="17.25" hidden="1" customHeight="1" x14ac:dyDescent="0.3">
      <c r="A202" s="25"/>
      <c r="B202" s="26"/>
      <c r="C202" s="25"/>
      <c r="D202" s="27"/>
      <c r="E202" s="28"/>
      <c r="F202" s="28"/>
      <c r="G202" s="27"/>
      <c r="H202" s="28"/>
      <c r="I202" s="29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</row>
    <row r="203" spans="1:604" ht="17.25" hidden="1" customHeight="1" x14ac:dyDescent="0.3">
      <c r="A203" s="25"/>
      <c r="B203" s="26"/>
      <c r="C203" s="25"/>
      <c r="D203" s="27"/>
      <c r="E203" s="28"/>
      <c r="F203" s="28"/>
      <c r="G203" s="27"/>
      <c r="H203" s="28"/>
      <c r="I203" s="29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</row>
    <row r="204" spans="1:604" ht="17.25" hidden="1" customHeight="1" x14ac:dyDescent="0.3">
      <c r="A204" s="25"/>
      <c r="B204" s="26"/>
      <c r="C204" s="25"/>
      <c r="D204" s="27"/>
      <c r="E204" s="28"/>
      <c r="F204" s="28"/>
      <c r="G204" s="27"/>
      <c r="H204" s="28"/>
      <c r="I204" s="29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</row>
    <row r="205" spans="1:604" ht="17.25" hidden="1" customHeight="1" x14ac:dyDescent="0.3">
      <c r="A205" s="25"/>
      <c r="B205" s="26"/>
      <c r="C205" s="25"/>
      <c r="D205" s="27"/>
      <c r="E205" s="28"/>
      <c r="F205" s="28"/>
      <c r="G205" s="27"/>
      <c r="H205" s="28"/>
      <c r="I205" s="29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</row>
    <row r="206" spans="1:604" ht="17.25" hidden="1" customHeight="1" x14ac:dyDescent="0.3">
      <c r="A206" s="25"/>
      <c r="B206" s="26"/>
      <c r="C206" s="25"/>
      <c r="D206" s="27"/>
      <c r="E206" s="28"/>
      <c r="F206" s="28"/>
      <c r="G206" s="27"/>
      <c r="H206" s="28"/>
      <c r="I206" s="29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</row>
    <row r="207" spans="1:604" ht="17.25" hidden="1" customHeight="1" x14ac:dyDescent="0.3">
      <c r="A207" s="25"/>
      <c r="B207" s="26"/>
      <c r="C207" s="25"/>
      <c r="D207" s="27"/>
      <c r="E207" s="28"/>
      <c r="F207" s="28"/>
      <c r="G207" s="27"/>
      <c r="H207" s="28"/>
      <c r="I207" s="29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</row>
    <row r="208" spans="1:604" ht="17.25" hidden="1" customHeight="1" x14ac:dyDescent="0.3">
      <c r="A208" s="25"/>
      <c r="B208" s="26"/>
      <c r="C208" s="25"/>
      <c r="D208" s="27"/>
      <c r="E208" s="28"/>
      <c r="F208" s="28"/>
      <c r="G208" s="27"/>
      <c r="H208" s="28"/>
      <c r="I208" s="29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</row>
    <row r="209" spans="1:604" ht="17.25" hidden="1" customHeight="1" x14ac:dyDescent="0.3">
      <c r="A209" s="25"/>
      <c r="B209" s="26"/>
      <c r="C209" s="25"/>
      <c r="D209" s="27"/>
      <c r="E209" s="28"/>
      <c r="F209" s="28"/>
      <c r="G209" s="27"/>
      <c r="H209" s="28"/>
      <c r="I209" s="29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</row>
    <row r="210" spans="1:604" ht="17.25" hidden="1" customHeight="1" x14ac:dyDescent="0.3">
      <c r="A210" s="25"/>
      <c r="B210" s="26"/>
      <c r="C210" s="25"/>
      <c r="D210" s="27"/>
      <c r="E210" s="28"/>
      <c r="F210" s="28"/>
      <c r="G210" s="27"/>
      <c r="H210" s="28"/>
      <c r="I210" s="29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</row>
    <row r="211" spans="1:604" ht="17.25" hidden="1" customHeight="1" x14ac:dyDescent="0.3">
      <c r="A211" s="25"/>
      <c r="B211" s="26"/>
      <c r="C211" s="25"/>
      <c r="D211" s="27"/>
      <c r="E211" s="28"/>
      <c r="F211" s="28"/>
      <c r="G211" s="27"/>
      <c r="H211" s="28"/>
      <c r="I211" s="29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</row>
    <row r="212" spans="1:604" ht="17.25" hidden="1" customHeight="1" x14ac:dyDescent="0.3">
      <c r="A212" s="25"/>
      <c r="B212" s="26"/>
      <c r="C212" s="25"/>
      <c r="D212" s="27"/>
      <c r="E212" s="28"/>
      <c r="F212" s="28"/>
      <c r="G212" s="27"/>
      <c r="H212" s="28"/>
      <c r="I212" s="29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</row>
    <row r="213" spans="1:604" ht="17.25" hidden="1" customHeight="1" x14ac:dyDescent="0.3">
      <c r="A213" s="25"/>
      <c r="B213" s="26"/>
      <c r="C213" s="25"/>
      <c r="D213" s="27"/>
      <c r="E213" s="28"/>
      <c r="F213" s="28"/>
      <c r="G213" s="27"/>
      <c r="H213" s="28"/>
      <c r="I213" s="29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</row>
    <row r="214" spans="1:604" ht="17.25" hidden="1" customHeight="1" x14ac:dyDescent="0.3">
      <c r="A214" s="25"/>
      <c r="B214" s="26"/>
      <c r="C214" s="25"/>
      <c r="D214" s="27"/>
      <c r="E214" s="28"/>
      <c r="F214" s="28"/>
      <c r="G214" s="27"/>
      <c r="H214" s="28"/>
      <c r="I214" s="29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</row>
    <row r="215" spans="1:604" ht="17.25" hidden="1" customHeight="1" x14ac:dyDescent="0.3">
      <c r="A215" s="25"/>
      <c r="B215" s="26"/>
      <c r="C215" s="25"/>
      <c r="D215" s="27"/>
      <c r="E215" s="28"/>
      <c r="F215" s="28"/>
      <c r="G215" s="27"/>
      <c r="H215" s="28"/>
      <c r="I215" s="29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</row>
    <row r="216" spans="1:604" ht="17.25" hidden="1" customHeight="1" x14ac:dyDescent="0.3">
      <c r="A216" s="25"/>
      <c r="B216" s="26"/>
      <c r="C216" s="25"/>
      <c r="D216" s="27"/>
      <c r="E216" s="28"/>
      <c r="F216" s="28"/>
      <c r="G216" s="27"/>
      <c r="H216" s="28"/>
      <c r="I216" s="29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</row>
    <row r="217" spans="1:604" ht="17.25" hidden="1" customHeight="1" x14ac:dyDescent="0.3">
      <c r="A217" s="25"/>
      <c r="B217" s="26"/>
      <c r="C217" s="25"/>
      <c r="D217" s="27"/>
      <c r="E217" s="28"/>
      <c r="F217" s="28"/>
      <c r="G217" s="27"/>
      <c r="H217" s="28"/>
      <c r="I217" s="29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</row>
    <row r="218" spans="1:604" ht="17.25" hidden="1" customHeight="1" x14ac:dyDescent="0.3">
      <c r="A218" s="25"/>
      <c r="B218" s="26"/>
      <c r="C218" s="25"/>
      <c r="D218" s="27"/>
      <c r="E218" s="28"/>
      <c r="F218" s="28"/>
      <c r="G218" s="27"/>
      <c r="H218" s="28"/>
      <c r="I218" s="29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</row>
    <row r="219" spans="1:604" ht="17.25" hidden="1" customHeight="1" x14ac:dyDescent="0.3">
      <c r="A219" s="25"/>
      <c r="B219" s="26"/>
      <c r="C219" s="25"/>
      <c r="D219" s="27"/>
      <c r="E219" s="28"/>
      <c r="F219" s="28"/>
      <c r="G219" s="27"/>
      <c r="H219" s="28"/>
      <c r="I219" s="29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</row>
    <row r="220" spans="1:604" ht="17.25" hidden="1" customHeight="1" x14ac:dyDescent="0.3">
      <c r="A220" s="25"/>
      <c r="B220" s="26"/>
      <c r="C220" s="25"/>
      <c r="D220" s="27"/>
      <c r="E220" s="28"/>
      <c r="F220" s="28"/>
      <c r="G220" s="27"/>
      <c r="H220" s="28"/>
      <c r="I220" s="29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</row>
    <row r="221" spans="1:604" ht="17.25" hidden="1" customHeight="1" x14ac:dyDescent="0.3">
      <c r="A221" s="25"/>
      <c r="B221" s="26"/>
      <c r="C221" s="25"/>
      <c r="D221" s="27"/>
      <c r="E221" s="28"/>
      <c r="F221" s="28"/>
      <c r="G221" s="27"/>
      <c r="H221" s="28"/>
      <c r="I221" s="29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</row>
    <row r="222" spans="1:604" ht="17.25" hidden="1" customHeight="1" x14ac:dyDescent="0.3">
      <c r="A222" s="25"/>
      <c r="B222" s="26"/>
      <c r="C222" s="25"/>
      <c r="D222" s="27"/>
      <c r="E222" s="28"/>
      <c r="F222" s="28"/>
      <c r="G222" s="27"/>
      <c r="H222" s="28"/>
      <c r="I222" s="29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</row>
    <row r="223" spans="1:604" ht="17.25" hidden="1" customHeight="1" x14ac:dyDescent="0.3">
      <c r="A223" s="25"/>
      <c r="B223" s="26"/>
      <c r="C223" s="25"/>
      <c r="D223" s="27"/>
      <c r="E223" s="28"/>
      <c r="F223" s="28"/>
      <c r="G223" s="27"/>
      <c r="H223" s="28"/>
      <c r="I223" s="29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</row>
    <row r="224" spans="1:604" ht="17.25" hidden="1" customHeight="1" x14ac:dyDescent="0.3">
      <c r="A224" s="25"/>
      <c r="B224" s="26"/>
      <c r="C224" s="25"/>
      <c r="D224" s="27"/>
      <c r="E224" s="28"/>
      <c r="F224" s="28"/>
      <c r="G224" s="27"/>
      <c r="H224" s="28"/>
      <c r="I224" s="29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</row>
    <row r="225" spans="1:604" ht="17.25" hidden="1" customHeight="1" x14ac:dyDescent="0.3">
      <c r="A225" s="25"/>
      <c r="B225" s="26"/>
      <c r="C225" s="25"/>
      <c r="D225" s="27"/>
      <c r="E225" s="28"/>
      <c r="F225" s="28"/>
      <c r="G225" s="27"/>
      <c r="H225" s="28"/>
      <c r="I225" s="29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</row>
    <row r="226" spans="1:604" ht="17.25" hidden="1" customHeight="1" x14ac:dyDescent="0.3">
      <c r="A226" s="25"/>
      <c r="B226" s="26"/>
      <c r="C226" s="25"/>
      <c r="D226" s="27"/>
      <c r="E226" s="28"/>
      <c r="F226" s="28"/>
      <c r="G226" s="27"/>
      <c r="H226" s="28"/>
      <c r="I226" s="29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</row>
    <row r="227" spans="1:604" ht="17.25" hidden="1" customHeight="1" x14ac:dyDescent="0.3">
      <c r="A227" s="25"/>
      <c r="B227" s="26"/>
      <c r="C227" s="25"/>
      <c r="D227" s="27"/>
      <c r="E227" s="28"/>
      <c r="F227" s="28"/>
      <c r="G227" s="27"/>
      <c r="H227" s="28"/>
      <c r="I227" s="29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</row>
    <row r="228" spans="1:604" ht="17.25" hidden="1" customHeight="1" x14ac:dyDescent="0.3">
      <c r="A228" s="25"/>
      <c r="B228" s="26"/>
      <c r="C228" s="25"/>
      <c r="D228" s="27"/>
      <c r="E228" s="28"/>
      <c r="F228" s="28"/>
      <c r="G228" s="27"/>
      <c r="H228" s="28"/>
      <c r="I228" s="29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</row>
    <row r="229" spans="1:604" ht="17.25" hidden="1" customHeight="1" x14ac:dyDescent="0.3">
      <c r="A229" s="25"/>
      <c r="B229" s="26"/>
      <c r="C229" s="25"/>
      <c r="D229" s="27"/>
      <c r="E229" s="28"/>
      <c r="F229" s="28"/>
      <c r="G229" s="27"/>
      <c r="H229" s="28"/>
      <c r="I229" s="29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</row>
    <row r="230" spans="1:604" ht="17.25" hidden="1" customHeight="1" x14ac:dyDescent="0.3">
      <c r="A230" s="25"/>
      <c r="B230" s="26"/>
      <c r="C230" s="25"/>
      <c r="D230" s="27"/>
      <c r="E230" s="28"/>
      <c r="F230" s="28"/>
      <c r="G230" s="27"/>
      <c r="H230" s="28"/>
      <c r="I230" s="29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</row>
    <row r="231" spans="1:604" ht="17.25" hidden="1" customHeight="1" x14ac:dyDescent="0.3">
      <c r="A231" s="25"/>
      <c r="B231" s="26"/>
      <c r="C231" s="25"/>
      <c r="D231" s="27"/>
      <c r="E231" s="28"/>
      <c r="F231" s="28"/>
      <c r="G231" s="27"/>
      <c r="H231" s="28"/>
      <c r="I231" s="29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</row>
    <row r="232" spans="1:604" ht="17.25" hidden="1" customHeight="1" x14ac:dyDescent="0.3">
      <c r="A232" s="25"/>
      <c r="B232" s="26"/>
      <c r="C232" s="25"/>
      <c r="D232" s="27"/>
      <c r="E232" s="28"/>
      <c r="F232" s="28"/>
      <c r="G232" s="27"/>
      <c r="H232" s="28"/>
      <c r="I232" s="29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</row>
    <row r="233" spans="1:604" ht="17.25" hidden="1" customHeight="1" x14ac:dyDescent="0.3">
      <c r="A233" s="25"/>
      <c r="B233" s="26"/>
      <c r="C233" s="25"/>
      <c r="D233" s="27"/>
      <c r="E233" s="28"/>
      <c r="F233" s="28"/>
      <c r="G233" s="27"/>
      <c r="H233" s="28"/>
      <c r="I233" s="29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</row>
    <row r="234" spans="1:604" ht="17.25" hidden="1" customHeight="1" x14ac:dyDescent="0.3">
      <c r="A234" s="25"/>
      <c r="B234" s="26"/>
      <c r="C234" s="25"/>
      <c r="D234" s="27"/>
      <c r="E234" s="28"/>
      <c r="F234" s="28"/>
      <c r="G234" s="27"/>
      <c r="H234" s="28"/>
      <c r="I234" s="29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</row>
    <row r="235" spans="1:604" ht="17.25" hidden="1" customHeight="1" x14ac:dyDescent="0.3">
      <c r="A235" s="25"/>
      <c r="B235" s="26"/>
      <c r="C235" s="25"/>
      <c r="D235" s="27"/>
      <c r="E235" s="28"/>
      <c r="F235" s="28"/>
      <c r="G235" s="27"/>
      <c r="H235" s="28"/>
      <c r="I235" s="29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</row>
    <row r="236" spans="1:604" ht="17.25" hidden="1" customHeight="1" x14ac:dyDescent="0.3">
      <c r="A236" s="25"/>
      <c r="B236" s="26"/>
      <c r="C236" s="25"/>
      <c r="D236" s="27"/>
      <c r="E236" s="28"/>
      <c r="F236" s="28"/>
      <c r="G236" s="27"/>
      <c r="H236" s="28"/>
      <c r="I236" s="29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</row>
    <row r="237" spans="1:604" ht="17.25" hidden="1" customHeight="1" x14ac:dyDescent="0.3">
      <c r="A237" s="25"/>
      <c r="B237" s="26"/>
      <c r="C237" s="25"/>
      <c r="D237" s="27"/>
      <c r="E237" s="28"/>
      <c r="F237" s="28"/>
      <c r="G237" s="27"/>
      <c r="H237" s="28"/>
      <c r="I237" s="29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</row>
    <row r="238" spans="1:604" ht="17.25" hidden="1" customHeight="1" x14ac:dyDescent="0.3">
      <c r="A238" s="25"/>
      <c r="B238" s="26"/>
      <c r="C238" s="25"/>
      <c r="D238" s="27"/>
      <c r="E238" s="28"/>
      <c r="F238" s="28"/>
      <c r="G238" s="27"/>
      <c r="H238" s="28"/>
      <c r="I238" s="29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</row>
    <row r="239" spans="1:604" ht="17.25" hidden="1" customHeight="1" x14ac:dyDescent="0.3">
      <c r="A239" s="25"/>
      <c r="B239" s="26"/>
      <c r="C239" s="25"/>
      <c r="D239" s="27"/>
      <c r="E239" s="28"/>
      <c r="F239" s="28"/>
      <c r="G239" s="27"/>
      <c r="H239" s="28"/>
      <c r="I239" s="29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</row>
    <row r="240" spans="1:604" ht="17.25" hidden="1" customHeight="1" x14ac:dyDescent="0.3">
      <c r="A240" s="25"/>
      <c r="B240" s="26"/>
      <c r="C240" s="25"/>
      <c r="D240" s="27"/>
      <c r="E240" s="28"/>
      <c r="F240" s="28"/>
      <c r="G240" s="27"/>
      <c r="H240" s="28"/>
      <c r="I240" s="29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</row>
    <row r="241" spans="1:604" ht="17.25" hidden="1" customHeight="1" x14ac:dyDescent="0.3">
      <c r="A241" s="25"/>
      <c r="B241" s="26"/>
      <c r="C241" s="25"/>
      <c r="D241" s="27"/>
      <c r="E241" s="28"/>
      <c r="F241" s="28"/>
      <c r="G241" s="27"/>
      <c r="H241" s="28"/>
      <c r="I241" s="29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</row>
    <row r="242" spans="1:604" ht="17.25" hidden="1" customHeight="1" x14ac:dyDescent="0.3">
      <c r="A242" s="25"/>
      <c r="B242" s="26"/>
      <c r="C242" s="25"/>
      <c r="D242" s="27"/>
      <c r="E242" s="28"/>
      <c r="F242" s="28"/>
      <c r="G242" s="27"/>
      <c r="H242" s="28"/>
      <c r="I242" s="29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</row>
    <row r="243" spans="1:604" ht="17.25" hidden="1" customHeight="1" x14ac:dyDescent="0.3">
      <c r="A243" s="25"/>
      <c r="B243" s="26"/>
      <c r="C243" s="25"/>
      <c r="D243" s="27"/>
      <c r="E243" s="28"/>
      <c r="F243" s="28"/>
      <c r="G243" s="27"/>
      <c r="H243" s="28"/>
      <c r="I243" s="29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</row>
    <row r="244" spans="1:604" ht="17.25" hidden="1" customHeight="1" x14ac:dyDescent="0.3">
      <c r="A244" s="25"/>
      <c r="B244" s="26"/>
      <c r="C244" s="25"/>
      <c r="D244" s="27"/>
      <c r="E244" s="28"/>
      <c r="F244" s="28"/>
      <c r="G244" s="27"/>
      <c r="H244" s="28"/>
      <c r="I244" s="29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</row>
    <row r="245" spans="1:604" ht="17.25" hidden="1" customHeight="1" x14ac:dyDescent="0.3">
      <c r="A245" s="25"/>
      <c r="B245" s="26"/>
      <c r="C245" s="25"/>
      <c r="D245" s="27"/>
      <c r="E245" s="28"/>
      <c r="F245" s="28"/>
      <c r="G245" s="27"/>
      <c r="H245" s="28"/>
      <c r="I245" s="29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</row>
    <row r="246" spans="1:604" ht="17.25" hidden="1" customHeight="1" x14ac:dyDescent="0.3">
      <c r="A246" s="25"/>
      <c r="B246" s="26"/>
      <c r="C246" s="25"/>
      <c r="D246" s="27"/>
      <c r="E246" s="28"/>
      <c r="F246" s="28"/>
      <c r="G246" s="27"/>
      <c r="H246" s="28"/>
      <c r="I246" s="29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</row>
    <row r="247" spans="1:604" ht="17.25" hidden="1" customHeight="1" x14ac:dyDescent="0.3">
      <c r="A247" s="25"/>
      <c r="B247" s="26"/>
      <c r="C247" s="25"/>
      <c r="D247" s="27"/>
      <c r="E247" s="28"/>
      <c r="F247" s="28"/>
      <c r="G247" s="27"/>
      <c r="H247" s="28"/>
      <c r="I247" s="29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</row>
    <row r="248" spans="1:604" ht="17.25" hidden="1" customHeight="1" x14ac:dyDescent="0.3">
      <c r="A248" s="25"/>
      <c r="B248" s="26"/>
      <c r="C248" s="25"/>
      <c r="D248" s="27"/>
      <c r="E248" s="28"/>
      <c r="F248" s="28"/>
      <c r="G248" s="27"/>
      <c r="H248" s="28"/>
      <c r="I248" s="29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</row>
    <row r="249" spans="1:604" ht="17.25" hidden="1" customHeight="1" x14ac:dyDescent="0.3">
      <c r="A249" s="25"/>
      <c r="B249" s="26"/>
      <c r="C249" s="25"/>
      <c r="D249" s="27"/>
      <c r="E249" s="28"/>
      <c r="F249" s="28"/>
      <c r="G249" s="27"/>
      <c r="H249" s="28"/>
      <c r="I249" s="29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</row>
    <row r="250" spans="1:604" ht="17.25" hidden="1" customHeight="1" x14ac:dyDescent="0.3">
      <c r="A250" s="25"/>
      <c r="B250" s="26"/>
      <c r="C250" s="25"/>
      <c r="D250" s="27"/>
      <c r="E250" s="28"/>
      <c r="F250" s="28"/>
      <c r="G250" s="27"/>
      <c r="H250" s="28"/>
      <c r="I250" s="29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</row>
    <row r="251" spans="1:604" ht="17.25" hidden="1" customHeight="1" x14ac:dyDescent="0.3">
      <c r="A251" s="25"/>
      <c r="B251" s="26"/>
      <c r="C251" s="25"/>
      <c r="D251" s="27"/>
      <c r="E251" s="28"/>
      <c r="F251" s="28"/>
      <c r="G251" s="27"/>
      <c r="H251" s="28"/>
      <c r="I251" s="29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</row>
    <row r="252" spans="1:604" ht="17.25" hidden="1" customHeight="1" x14ac:dyDescent="0.3">
      <c r="A252" s="25"/>
      <c r="B252" s="26"/>
      <c r="C252" s="25"/>
      <c r="D252" s="27"/>
      <c r="E252" s="28"/>
      <c r="F252" s="28"/>
      <c r="G252" s="27"/>
      <c r="H252" s="28"/>
      <c r="I252" s="29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</row>
    <row r="253" spans="1:604" ht="17.25" hidden="1" customHeight="1" x14ac:dyDescent="0.3">
      <c r="A253" s="25"/>
      <c r="B253" s="26"/>
      <c r="C253" s="25"/>
      <c r="D253" s="27"/>
      <c r="E253" s="28"/>
      <c r="F253" s="28"/>
      <c r="G253" s="27"/>
      <c r="H253" s="28"/>
      <c r="I253" s="29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</row>
    <row r="254" spans="1:604" ht="17.25" hidden="1" customHeight="1" x14ac:dyDescent="0.3">
      <c r="A254" s="25"/>
      <c r="B254" s="26"/>
      <c r="C254" s="25"/>
      <c r="D254" s="27"/>
      <c r="E254" s="28"/>
      <c r="F254" s="28"/>
      <c r="G254" s="27"/>
      <c r="H254" s="28"/>
      <c r="I254" s="29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</row>
    <row r="255" spans="1:604" ht="17.25" hidden="1" customHeight="1" x14ac:dyDescent="0.3">
      <c r="A255" s="25"/>
      <c r="B255" s="26"/>
      <c r="C255" s="25"/>
      <c r="D255" s="27"/>
      <c r="E255" s="28"/>
      <c r="F255" s="28"/>
      <c r="G255" s="27"/>
      <c r="H255" s="28"/>
      <c r="I255" s="29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</row>
    <row r="256" spans="1:604" ht="17.25" hidden="1" customHeight="1" x14ac:dyDescent="0.3">
      <c r="A256" s="25"/>
      <c r="B256" s="26"/>
      <c r="C256" s="25"/>
      <c r="D256" s="27"/>
      <c r="E256" s="28"/>
      <c r="F256" s="28"/>
      <c r="G256" s="27"/>
      <c r="H256" s="28"/>
      <c r="I256" s="29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</row>
    <row r="257" spans="1:604" ht="17.25" hidden="1" customHeight="1" x14ac:dyDescent="0.3">
      <c r="A257" s="25"/>
      <c r="B257" s="26"/>
      <c r="C257" s="25"/>
      <c r="D257" s="27"/>
      <c r="E257" s="28"/>
      <c r="F257" s="28"/>
      <c r="G257" s="27"/>
      <c r="H257" s="28"/>
      <c r="I257" s="29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</row>
    <row r="258" spans="1:604" ht="17.25" hidden="1" customHeight="1" x14ac:dyDescent="0.3">
      <c r="A258" s="25"/>
      <c r="B258" s="26"/>
      <c r="C258" s="25"/>
      <c r="D258" s="27"/>
      <c r="E258" s="28"/>
      <c r="F258" s="28"/>
      <c r="G258" s="27"/>
      <c r="H258" s="28"/>
      <c r="I258" s="29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</row>
    <row r="259" spans="1:604" ht="17.25" hidden="1" customHeight="1" x14ac:dyDescent="0.3">
      <c r="A259" s="25"/>
      <c r="B259" s="26"/>
      <c r="C259" s="25"/>
      <c r="D259" s="27"/>
      <c r="E259" s="28"/>
      <c r="F259" s="28"/>
      <c r="G259" s="27"/>
      <c r="H259" s="28"/>
      <c r="I259" s="29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</row>
    <row r="260" spans="1:604" ht="17.25" hidden="1" customHeight="1" x14ac:dyDescent="0.3">
      <c r="A260" s="25"/>
      <c r="B260" s="26"/>
      <c r="C260" s="25"/>
      <c r="D260" s="27"/>
      <c r="E260" s="28"/>
      <c r="F260" s="28"/>
      <c r="G260" s="27"/>
      <c r="H260" s="28"/>
      <c r="I260" s="29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</row>
    <row r="261" spans="1:604" ht="17.25" hidden="1" customHeight="1" x14ac:dyDescent="0.3">
      <c r="A261" s="25"/>
      <c r="B261" s="26"/>
      <c r="C261" s="25"/>
      <c r="D261" s="27"/>
      <c r="E261" s="28"/>
      <c r="F261" s="28"/>
      <c r="G261" s="27"/>
      <c r="H261" s="28"/>
      <c r="I261" s="29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</row>
    <row r="262" spans="1:604" ht="17.25" hidden="1" customHeight="1" x14ac:dyDescent="0.3">
      <c r="A262" s="25"/>
      <c r="B262" s="26"/>
      <c r="C262" s="25"/>
      <c r="D262" s="27"/>
      <c r="E262" s="28"/>
      <c r="F262" s="28"/>
      <c r="G262" s="27"/>
      <c r="H262" s="28"/>
      <c r="I262" s="29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</row>
    <row r="263" spans="1:604" ht="17.25" hidden="1" customHeight="1" x14ac:dyDescent="0.3">
      <c r="A263" s="25"/>
      <c r="B263" s="26"/>
      <c r="C263" s="25"/>
      <c r="D263" s="27"/>
      <c r="E263" s="28"/>
      <c r="F263" s="28"/>
      <c r="G263" s="27"/>
      <c r="H263" s="28"/>
      <c r="I263" s="29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</row>
    <row r="264" spans="1:604" ht="17.25" hidden="1" customHeight="1" x14ac:dyDescent="0.3">
      <c r="A264" s="25"/>
      <c r="B264" s="26"/>
      <c r="C264" s="25"/>
      <c r="D264" s="27"/>
      <c r="E264" s="28"/>
      <c r="F264" s="28"/>
      <c r="G264" s="27"/>
      <c r="H264" s="28"/>
      <c r="I264" s="29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</row>
    <row r="265" spans="1:604" ht="17.25" hidden="1" customHeight="1" x14ac:dyDescent="0.3">
      <c r="A265" s="25"/>
      <c r="B265" s="26"/>
      <c r="C265" s="25"/>
      <c r="D265" s="27"/>
      <c r="E265" s="28"/>
      <c r="F265" s="28"/>
      <c r="G265" s="27"/>
      <c r="H265" s="28"/>
      <c r="I265" s="29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</row>
    <row r="266" spans="1:604" ht="17.25" hidden="1" customHeight="1" x14ac:dyDescent="0.3">
      <c r="A266" s="25"/>
      <c r="B266" s="26"/>
      <c r="C266" s="25"/>
      <c r="D266" s="27"/>
      <c r="E266" s="28"/>
      <c r="F266" s="28"/>
      <c r="G266" s="27"/>
      <c r="H266" s="28"/>
      <c r="I266" s="29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</row>
    <row r="267" spans="1:604" ht="17.25" hidden="1" customHeight="1" x14ac:dyDescent="0.3">
      <c r="A267" s="25"/>
      <c r="B267" s="26"/>
      <c r="C267" s="25"/>
      <c r="D267" s="27"/>
      <c r="E267" s="28"/>
      <c r="F267" s="28"/>
      <c r="G267" s="27"/>
      <c r="H267" s="28"/>
      <c r="I267" s="29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</row>
    <row r="268" spans="1:604" ht="17.25" hidden="1" customHeight="1" x14ac:dyDescent="0.3">
      <c r="A268" s="25"/>
      <c r="B268" s="26"/>
      <c r="C268" s="25"/>
      <c r="D268" s="27"/>
      <c r="E268" s="28"/>
      <c r="F268" s="28"/>
      <c r="G268" s="27"/>
      <c r="H268" s="28"/>
      <c r="I268" s="29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</row>
    <row r="269" spans="1:604" ht="17.25" hidden="1" customHeight="1" x14ac:dyDescent="0.3">
      <c r="A269" s="25"/>
      <c r="B269" s="26"/>
      <c r="C269" s="25"/>
      <c r="D269" s="27"/>
      <c r="E269" s="28"/>
      <c r="F269" s="28"/>
      <c r="G269" s="27"/>
      <c r="H269" s="28"/>
      <c r="I269" s="29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</row>
    <row r="270" spans="1:604" ht="17.25" hidden="1" customHeight="1" x14ac:dyDescent="0.3">
      <c r="A270" s="25"/>
      <c r="B270" s="26"/>
      <c r="C270" s="25"/>
      <c r="D270" s="27"/>
      <c r="E270" s="28"/>
      <c r="F270" s="28"/>
      <c r="G270" s="27"/>
      <c r="H270" s="28"/>
      <c r="I270" s="29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</row>
    <row r="271" spans="1:604" ht="17.25" hidden="1" customHeight="1" x14ac:dyDescent="0.3">
      <c r="A271" s="25"/>
      <c r="B271" s="26"/>
      <c r="C271" s="25"/>
      <c r="D271" s="27"/>
      <c r="E271" s="28"/>
      <c r="F271" s="28"/>
      <c r="G271" s="27"/>
      <c r="H271" s="28"/>
      <c r="I271" s="29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</row>
    <row r="272" spans="1:604" ht="17.25" hidden="1" customHeight="1" x14ac:dyDescent="0.3">
      <c r="A272" s="25"/>
      <c r="B272" s="26"/>
      <c r="C272" s="25"/>
      <c r="D272" s="27"/>
      <c r="E272" s="28"/>
      <c r="F272" s="28"/>
      <c r="G272" s="27"/>
      <c r="H272" s="28"/>
      <c r="I272" s="29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</row>
    <row r="273" spans="1:604" ht="17.25" hidden="1" customHeight="1" x14ac:dyDescent="0.3">
      <c r="A273" s="25"/>
      <c r="B273" s="26"/>
      <c r="C273" s="25"/>
      <c r="D273" s="27"/>
      <c r="E273" s="28"/>
      <c r="F273" s="28"/>
      <c r="G273" s="27"/>
      <c r="H273" s="28"/>
      <c r="I273" s="29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</row>
    <row r="274" spans="1:604" ht="17.25" hidden="1" customHeight="1" x14ac:dyDescent="0.3">
      <c r="A274" s="25"/>
      <c r="B274" s="26"/>
      <c r="C274" s="25"/>
      <c r="D274" s="27"/>
      <c r="E274" s="28"/>
      <c r="F274" s="28"/>
      <c r="G274" s="27"/>
      <c r="H274" s="28"/>
      <c r="I274" s="29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</row>
    <row r="275" spans="1:604" ht="17.25" hidden="1" customHeight="1" x14ac:dyDescent="0.3">
      <c r="A275" s="25"/>
      <c r="B275" s="26"/>
      <c r="C275" s="25"/>
      <c r="D275" s="27"/>
      <c r="E275" s="28"/>
      <c r="F275" s="28"/>
      <c r="G275" s="27"/>
      <c r="H275" s="28"/>
      <c r="I275" s="29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</row>
    <row r="276" spans="1:604" ht="17.25" hidden="1" customHeight="1" x14ac:dyDescent="0.3">
      <c r="A276" s="25"/>
      <c r="B276" s="26"/>
      <c r="C276" s="25"/>
      <c r="D276" s="27"/>
      <c r="E276" s="28"/>
      <c r="F276" s="28"/>
      <c r="G276" s="27"/>
      <c r="H276" s="28"/>
      <c r="I276" s="29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</row>
    <row r="277" spans="1:604" ht="17.25" hidden="1" customHeight="1" x14ac:dyDescent="0.3">
      <c r="A277" s="25"/>
      <c r="B277" s="26"/>
      <c r="C277" s="25"/>
      <c r="D277" s="27"/>
      <c r="E277" s="28"/>
      <c r="F277" s="28"/>
      <c r="G277" s="27"/>
      <c r="H277" s="28"/>
      <c r="I277" s="29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</row>
    <row r="278" spans="1:604" ht="17.25" hidden="1" customHeight="1" x14ac:dyDescent="0.3">
      <c r="A278" s="25"/>
      <c r="B278" s="26"/>
      <c r="C278" s="25"/>
      <c r="D278" s="27"/>
      <c r="E278" s="28"/>
      <c r="F278" s="28"/>
      <c r="G278" s="27"/>
      <c r="H278" s="28"/>
      <c r="I278" s="29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</row>
    <row r="279" spans="1:604" ht="17.25" hidden="1" customHeight="1" x14ac:dyDescent="0.3">
      <c r="A279" s="25"/>
      <c r="B279" s="26"/>
      <c r="C279" s="25"/>
      <c r="D279" s="27"/>
      <c r="E279" s="28"/>
      <c r="F279" s="28"/>
      <c r="G279" s="27"/>
      <c r="H279" s="28"/>
      <c r="I279" s="29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</row>
    <row r="280" spans="1:604" ht="17.25" hidden="1" customHeight="1" x14ac:dyDescent="0.3">
      <c r="A280" s="25"/>
      <c r="B280" s="26"/>
      <c r="C280" s="25"/>
      <c r="D280" s="27"/>
      <c r="E280" s="28"/>
      <c r="F280" s="28"/>
      <c r="G280" s="27"/>
      <c r="H280" s="28"/>
      <c r="I280" s="29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</row>
    <row r="281" spans="1:604" ht="17.25" hidden="1" customHeight="1" x14ac:dyDescent="0.3">
      <c r="A281" s="25"/>
      <c r="B281" s="26"/>
      <c r="C281" s="25"/>
      <c r="D281" s="27"/>
      <c r="E281" s="28"/>
      <c r="F281" s="28"/>
      <c r="G281" s="27"/>
      <c r="H281" s="28"/>
      <c r="I281" s="29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</row>
    <row r="282" spans="1:604" ht="17.25" hidden="1" customHeight="1" x14ac:dyDescent="0.3">
      <c r="A282" s="25"/>
      <c r="B282" s="26"/>
      <c r="C282" s="25"/>
      <c r="D282" s="27"/>
      <c r="E282" s="28"/>
      <c r="F282" s="28"/>
      <c r="G282" s="27"/>
      <c r="H282" s="28"/>
      <c r="I282" s="29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</row>
    <row r="283" spans="1:604" ht="17.25" hidden="1" customHeight="1" x14ac:dyDescent="0.3">
      <c r="A283" s="25"/>
      <c r="B283" s="26"/>
      <c r="C283" s="25"/>
      <c r="D283" s="27"/>
      <c r="E283" s="28"/>
      <c r="F283" s="28"/>
      <c r="G283" s="27"/>
      <c r="H283" s="28"/>
      <c r="I283" s="29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</row>
    <row r="284" spans="1:604" ht="17.25" customHeight="1" x14ac:dyDescent="0.3">
      <c r="A284" s="30"/>
      <c r="B284" s="31"/>
      <c r="C284" s="30"/>
      <c r="D284" s="32"/>
      <c r="E284" s="33"/>
      <c r="F284" s="33">
        <f>ROUND(SUM(F2:F283),0)</f>
        <v>0</v>
      </c>
      <c r="G284" s="33"/>
      <c r="H284" s="33" t="e">
        <f>ROUND(SUM(H2:H283),0)</f>
        <v>#N/A</v>
      </c>
      <c r="I284" s="33"/>
      <c r="J284" s="34" t="e">
        <f t="shared" ref="J284:BU284" si="583">ROUND(SUM(SUMPRODUCT($E$2:$E$37,J$2:J$37)),0)</f>
        <v>#N/A</v>
      </c>
      <c r="K284" s="34" t="e">
        <f t="shared" si="583"/>
        <v>#N/A</v>
      </c>
      <c r="L284" s="34" t="e">
        <f t="shared" si="583"/>
        <v>#N/A</v>
      </c>
      <c r="M284" s="34" t="e">
        <f t="shared" si="583"/>
        <v>#N/A</v>
      </c>
      <c r="N284" s="34" t="e">
        <f t="shared" si="583"/>
        <v>#N/A</v>
      </c>
      <c r="O284" s="34" t="e">
        <f t="shared" si="583"/>
        <v>#N/A</v>
      </c>
      <c r="P284" s="34" t="e">
        <f t="shared" si="583"/>
        <v>#N/A</v>
      </c>
      <c r="Q284" s="34" t="e">
        <f t="shared" si="583"/>
        <v>#N/A</v>
      </c>
      <c r="R284" s="34" t="e">
        <f t="shared" si="583"/>
        <v>#N/A</v>
      </c>
      <c r="S284" s="34" t="e">
        <f t="shared" si="583"/>
        <v>#N/A</v>
      </c>
      <c r="T284" s="34" t="e">
        <f t="shared" si="583"/>
        <v>#N/A</v>
      </c>
      <c r="U284" s="34" t="e">
        <f t="shared" si="583"/>
        <v>#N/A</v>
      </c>
      <c r="V284" s="34" t="e">
        <f t="shared" si="583"/>
        <v>#N/A</v>
      </c>
      <c r="W284" s="34" t="e">
        <f t="shared" si="583"/>
        <v>#N/A</v>
      </c>
      <c r="X284" s="34" t="e">
        <f t="shared" si="583"/>
        <v>#N/A</v>
      </c>
      <c r="Y284" s="34" t="e">
        <f t="shared" si="583"/>
        <v>#N/A</v>
      </c>
      <c r="Z284" s="34" t="e">
        <f t="shared" si="583"/>
        <v>#N/A</v>
      </c>
      <c r="AA284" s="34" t="e">
        <f t="shared" si="583"/>
        <v>#N/A</v>
      </c>
      <c r="AB284" s="34" t="e">
        <f t="shared" si="583"/>
        <v>#N/A</v>
      </c>
      <c r="AC284" s="34" t="e">
        <f t="shared" si="583"/>
        <v>#N/A</v>
      </c>
      <c r="AD284" s="34" t="e">
        <f t="shared" si="583"/>
        <v>#N/A</v>
      </c>
      <c r="AE284" s="34" t="e">
        <f t="shared" si="583"/>
        <v>#N/A</v>
      </c>
      <c r="AF284" s="34" t="e">
        <f t="shared" si="583"/>
        <v>#N/A</v>
      </c>
      <c r="AG284" s="34" t="e">
        <f t="shared" si="583"/>
        <v>#N/A</v>
      </c>
      <c r="AH284" s="34" t="e">
        <f t="shared" si="583"/>
        <v>#N/A</v>
      </c>
      <c r="AI284" s="34" t="e">
        <f t="shared" si="583"/>
        <v>#N/A</v>
      </c>
      <c r="AJ284" s="34" t="e">
        <f t="shared" si="583"/>
        <v>#N/A</v>
      </c>
      <c r="AK284" s="34" t="e">
        <f t="shared" si="583"/>
        <v>#N/A</v>
      </c>
      <c r="AL284" s="34" t="e">
        <f t="shared" si="583"/>
        <v>#N/A</v>
      </c>
      <c r="AM284" s="34" t="e">
        <f t="shared" si="583"/>
        <v>#N/A</v>
      </c>
      <c r="AN284" s="34" t="e">
        <f t="shared" si="583"/>
        <v>#N/A</v>
      </c>
      <c r="AO284" s="34" t="e">
        <f t="shared" si="583"/>
        <v>#N/A</v>
      </c>
      <c r="AP284" s="34" t="e">
        <f t="shared" si="583"/>
        <v>#N/A</v>
      </c>
      <c r="AQ284" s="34" t="e">
        <f t="shared" si="583"/>
        <v>#N/A</v>
      </c>
      <c r="AR284" s="34" t="e">
        <f t="shared" si="583"/>
        <v>#N/A</v>
      </c>
      <c r="AS284" s="34" t="e">
        <f t="shared" si="583"/>
        <v>#N/A</v>
      </c>
      <c r="AT284" s="34" t="e">
        <f t="shared" si="583"/>
        <v>#N/A</v>
      </c>
      <c r="AU284" s="34" t="e">
        <f t="shared" si="583"/>
        <v>#N/A</v>
      </c>
      <c r="AV284" s="34" t="e">
        <f t="shared" si="583"/>
        <v>#N/A</v>
      </c>
      <c r="AW284" s="34" t="e">
        <f t="shared" si="583"/>
        <v>#N/A</v>
      </c>
      <c r="AX284" s="34" t="e">
        <f t="shared" si="583"/>
        <v>#N/A</v>
      </c>
      <c r="AY284" s="34" t="e">
        <f t="shared" si="583"/>
        <v>#N/A</v>
      </c>
      <c r="AZ284" s="34" t="e">
        <f t="shared" si="583"/>
        <v>#N/A</v>
      </c>
      <c r="BA284" s="34" t="e">
        <f t="shared" si="583"/>
        <v>#N/A</v>
      </c>
      <c r="BB284" s="34" t="e">
        <f t="shared" si="583"/>
        <v>#N/A</v>
      </c>
      <c r="BC284" s="34" t="e">
        <f t="shared" si="583"/>
        <v>#N/A</v>
      </c>
      <c r="BD284" s="34" t="e">
        <f t="shared" si="583"/>
        <v>#N/A</v>
      </c>
      <c r="BE284" s="34" t="e">
        <f t="shared" si="583"/>
        <v>#N/A</v>
      </c>
      <c r="BF284" s="34" t="e">
        <f t="shared" si="583"/>
        <v>#N/A</v>
      </c>
      <c r="BG284" s="34" t="e">
        <f t="shared" si="583"/>
        <v>#N/A</v>
      </c>
      <c r="BH284" s="34" t="e">
        <f t="shared" si="583"/>
        <v>#N/A</v>
      </c>
      <c r="BI284" s="34" t="e">
        <f t="shared" si="583"/>
        <v>#N/A</v>
      </c>
      <c r="BJ284" s="34" t="e">
        <f t="shared" si="583"/>
        <v>#N/A</v>
      </c>
      <c r="BK284" s="34" t="e">
        <f t="shared" si="583"/>
        <v>#N/A</v>
      </c>
      <c r="BL284" s="34" t="e">
        <f t="shared" si="583"/>
        <v>#N/A</v>
      </c>
      <c r="BM284" s="34" t="e">
        <f t="shared" si="583"/>
        <v>#N/A</v>
      </c>
      <c r="BN284" s="34" t="e">
        <f t="shared" si="583"/>
        <v>#N/A</v>
      </c>
      <c r="BO284" s="34" t="e">
        <f t="shared" si="583"/>
        <v>#N/A</v>
      </c>
      <c r="BP284" s="34" t="e">
        <f t="shared" si="583"/>
        <v>#N/A</v>
      </c>
      <c r="BQ284" s="34" t="e">
        <f t="shared" si="583"/>
        <v>#N/A</v>
      </c>
      <c r="BR284" s="34" t="e">
        <f t="shared" si="583"/>
        <v>#N/A</v>
      </c>
      <c r="BS284" s="34" t="e">
        <f t="shared" si="583"/>
        <v>#N/A</v>
      </c>
      <c r="BT284" s="34" t="e">
        <f t="shared" si="583"/>
        <v>#N/A</v>
      </c>
      <c r="BU284" s="34" t="e">
        <f t="shared" si="583"/>
        <v>#N/A</v>
      </c>
      <c r="BV284" s="34" t="e">
        <f t="shared" ref="BV284:EG284" si="584">ROUND(SUM(SUMPRODUCT($E$2:$E$37,BV$2:BV$37)),0)</f>
        <v>#N/A</v>
      </c>
      <c r="BW284" s="34" t="e">
        <f t="shared" si="584"/>
        <v>#N/A</v>
      </c>
      <c r="BX284" s="34" t="e">
        <f t="shared" si="584"/>
        <v>#N/A</v>
      </c>
      <c r="BY284" s="34" t="e">
        <f t="shared" si="584"/>
        <v>#N/A</v>
      </c>
      <c r="BZ284" s="34" t="e">
        <f t="shared" si="584"/>
        <v>#N/A</v>
      </c>
      <c r="CA284" s="34" t="e">
        <f t="shared" si="584"/>
        <v>#N/A</v>
      </c>
      <c r="CB284" s="34" t="e">
        <f t="shared" si="584"/>
        <v>#N/A</v>
      </c>
      <c r="CC284" s="34" t="e">
        <f t="shared" si="584"/>
        <v>#N/A</v>
      </c>
      <c r="CD284" s="34" t="e">
        <f t="shared" si="584"/>
        <v>#N/A</v>
      </c>
      <c r="CE284" s="34" t="e">
        <f t="shared" si="584"/>
        <v>#N/A</v>
      </c>
      <c r="CF284" s="34" t="e">
        <f t="shared" si="584"/>
        <v>#N/A</v>
      </c>
      <c r="CG284" s="34" t="e">
        <f t="shared" si="584"/>
        <v>#N/A</v>
      </c>
      <c r="CH284" s="34" t="e">
        <f t="shared" si="584"/>
        <v>#N/A</v>
      </c>
      <c r="CI284" s="34" t="e">
        <f t="shared" si="584"/>
        <v>#N/A</v>
      </c>
      <c r="CJ284" s="34" t="e">
        <f t="shared" si="584"/>
        <v>#N/A</v>
      </c>
      <c r="CK284" s="34" t="e">
        <f t="shared" si="584"/>
        <v>#N/A</v>
      </c>
      <c r="CL284" s="34" t="e">
        <f t="shared" si="584"/>
        <v>#N/A</v>
      </c>
      <c r="CM284" s="34" t="e">
        <f t="shared" si="584"/>
        <v>#N/A</v>
      </c>
      <c r="CN284" s="34" t="e">
        <f t="shared" si="584"/>
        <v>#N/A</v>
      </c>
      <c r="CO284" s="34" t="e">
        <f t="shared" si="584"/>
        <v>#N/A</v>
      </c>
      <c r="CP284" s="34" t="e">
        <f t="shared" si="584"/>
        <v>#N/A</v>
      </c>
      <c r="CQ284" s="34" t="e">
        <f t="shared" si="584"/>
        <v>#N/A</v>
      </c>
      <c r="CR284" s="34" t="e">
        <f t="shared" si="584"/>
        <v>#N/A</v>
      </c>
      <c r="CS284" s="34" t="e">
        <f t="shared" si="584"/>
        <v>#N/A</v>
      </c>
      <c r="CT284" s="34" t="e">
        <f t="shared" si="584"/>
        <v>#N/A</v>
      </c>
      <c r="CU284" s="34" t="e">
        <f t="shared" si="584"/>
        <v>#N/A</v>
      </c>
      <c r="CV284" s="34" t="e">
        <f t="shared" si="584"/>
        <v>#N/A</v>
      </c>
      <c r="CW284" s="34" t="e">
        <f t="shared" si="584"/>
        <v>#N/A</v>
      </c>
      <c r="CX284" s="34" t="e">
        <f t="shared" si="584"/>
        <v>#N/A</v>
      </c>
      <c r="CY284" s="34" t="e">
        <f t="shared" si="584"/>
        <v>#N/A</v>
      </c>
      <c r="CZ284" s="34" t="e">
        <f t="shared" si="584"/>
        <v>#N/A</v>
      </c>
      <c r="DA284" s="34" t="e">
        <f t="shared" si="584"/>
        <v>#N/A</v>
      </c>
      <c r="DB284" s="34" t="e">
        <f t="shared" si="584"/>
        <v>#N/A</v>
      </c>
      <c r="DC284" s="34" t="e">
        <f t="shared" si="584"/>
        <v>#N/A</v>
      </c>
      <c r="DD284" s="34" t="e">
        <f t="shared" si="584"/>
        <v>#N/A</v>
      </c>
      <c r="DE284" s="34" t="e">
        <f t="shared" si="584"/>
        <v>#N/A</v>
      </c>
      <c r="DF284" s="34" t="e">
        <f t="shared" si="584"/>
        <v>#N/A</v>
      </c>
      <c r="DG284" s="34" t="e">
        <f t="shared" si="584"/>
        <v>#N/A</v>
      </c>
      <c r="DH284" s="34" t="e">
        <f t="shared" si="584"/>
        <v>#N/A</v>
      </c>
      <c r="DI284" s="34" t="e">
        <f t="shared" si="584"/>
        <v>#N/A</v>
      </c>
      <c r="DJ284" s="34" t="e">
        <f t="shared" si="584"/>
        <v>#N/A</v>
      </c>
      <c r="DK284" s="34" t="e">
        <f t="shared" si="584"/>
        <v>#N/A</v>
      </c>
      <c r="DL284" s="34" t="e">
        <f t="shared" si="584"/>
        <v>#N/A</v>
      </c>
      <c r="DM284" s="34" t="e">
        <f t="shared" si="584"/>
        <v>#N/A</v>
      </c>
      <c r="DN284" s="34" t="e">
        <f t="shared" si="584"/>
        <v>#N/A</v>
      </c>
      <c r="DO284" s="34" t="e">
        <f t="shared" si="584"/>
        <v>#N/A</v>
      </c>
      <c r="DP284" s="34" t="e">
        <f t="shared" si="584"/>
        <v>#N/A</v>
      </c>
      <c r="DQ284" s="34" t="e">
        <f t="shared" si="584"/>
        <v>#N/A</v>
      </c>
      <c r="DR284" s="34" t="e">
        <f t="shared" si="584"/>
        <v>#N/A</v>
      </c>
      <c r="DS284" s="34" t="e">
        <f t="shared" si="584"/>
        <v>#N/A</v>
      </c>
      <c r="DT284" s="34" t="e">
        <f t="shared" si="584"/>
        <v>#N/A</v>
      </c>
      <c r="DU284" s="34" t="e">
        <f t="shared" si="584"/>
        <v>#N/A</v>
      </c>
      <c r="DV284" s="34" t="e">
        <f t="shared" si="584"/>
        <v>#N/A</v>
      </c>
      <c r="DW284" s="34" t="e">
        <f t="shared" si="584"/>
        <v>#N/A</v>
      </c>
      <c r="DX284" s="34" t="e">
        <f t="shared" si="584"/>
        <v>#N/A</v>
      </c>
      <c r="DY284" s="34" t="e">
        <f t="shared" si="584"/>
        <v>#N/A</v>
      </c>
      <c r="DZ284" s="34" t="e">
        <f t="shared" si="584"/>
        <v>#N/A</v>
      </c>
      <c r="EA284" s="34" t="e">
        <f t="shared" si="584"/>
        <v>#N/A</v>
      </c>
      <c r="EB284" s="34" t="e">
        <f t="shared" si="584"/>
        <v>#N/A</v>
      </c>
      <c r="EC284" s="34" t="e">
        <f t="shared" si="584"/>
        <v>#N/A</v>
      </c>
      <c r="ED284" s="34" t="e">
        <f t="shared" si="584"/>
        <v>#N/A</v>
      </c>
      <c r="EE284" s="34" t="e">
        <f t="shared" si="584"/>
        <v>#N/A</v>
      </c>
      <c r="EF284" s="34" t="e">
        <f t="shared" si="584"/>
        <v>#N/A</v>
      </c>
      <c r="EG284" s="34" t="e">
        <f t="shared" si="584"/>
        <v>#N/A</v>
      </c>
      <c r="EH284" s="34" t="e">
        <f t="shared" ref="EH284:GS284" si="585">ROUND(SUM(SUMPRODUCT($E$2:$E$37,EH$2:EH$37)),0)</f>
        <v>#N/A</v>
      </c>
      <c r="EI284" s="34" t="e">
        <f t="shared" si="585"/>
        <v>#N/A</v>
      </c>
      <c r="EJ284" s="34" t="e">
        <f t="shared" si="585"/>
        <v>#N/A</v>
      </c>
      <c r="EK284" s="34" t="e">
        <f t="shared" si="585"/>
        <v>#N/A</v>
      </c>
      <c r="EL284" s="34" t="e">
        <f t="shared" si="585"/>
        <v>#N/A</v>
      </c>
      <c r="EM284" s="34" t="e">
        <f t="shared" si="585"/>
        <v>#N/A</v>
      </c>
      <c r="EN284" s="34" t="e">
        <f t="shared" si="585"/>
        <v>#N/A</v>
      </c>
      <c r="EO284" s="34" t="e">
        <f t="shared" si="585"/>
        <v>#N/A</v>
      </c>
      <c r="EP284" s="34" t="e">
        <f t="shared" si="585"/>
        <v>#N/A</v>
      </c>
      <c r="EQ284" s="34" t="e">
        <f t="shared" si="585"/>
        <v>#N/A</v>
      </c>
      <c r="ER284" s="34" t="e">
        <f t="shared" si="585"/>
        <v>#N/A</v>
      </c>
      <c r="ES284" s="34" t="e">
        <f t="shared" si="585"/>
        <v>#N/A</v>
      </c>
      <c r="ET284" s="34" t="e">
        <f t="shared" si="585"/>
        <v>#N/A</v>
      </c>
      <c r="EU284" s="34" t="e">
        <f t="shared" si="585"/>
        <v>#N/A</v>
      </c>
      <c r="EV284" s="34" t="e">
        <f t="shared" si="585"/>
        <v>#N/A</v>
      </c>
      <c r="EW284" s="34" t="e">
        <f t="shared" si="585"/>
        <v>#N/A</v>
      </c>
      <c r="EX284" s="34" t="e">
        <f t="shared" si="585"/>
        <v>#N/A</v>
      </c>
      <c r="EY284" s="34" t="e">
        <f t="shared" si="585"/>
        <v>#N/A</v>
      </c>
      <c r="EZ284" s="34" t="e">
        <f t="shared" si="585"/>
        <v>#N/A</v>
      </c>
      <c r="FA284" s="34" t="e">
        <f t="shared" si="585"/>
        <v>#N/A</v>
      </c>
      <c r="FB284" s="34" t="e">
        <f t="shared" si="585"/>
        <v>#N/A</v>
      </c>
      <c r="FC284" s="34" t="e">
        <f t="shared" si="585"/>
        <v>#N/A</v>
      </c>
      <c r="FD284" s="34" t="e">
        <f t="shared" si="585"/>
        <v>#N/A</v>
      </c>
      <c r="FE284" s="34" t="e">
        <f t="shared" si="585"/>
        <v>#N/A</v>
      </c>
      <c r="FF284" s="34" t="e">
        <f t="shared" si="585"/>
        <v>#N/A</v>
      </c>
      <c r="FG284" s="34" t="e">
        <f t="shared" si="585"/>
        <v>#N/A</v>
      </c>
      <c r="FH284" s="34" t="e">
        <f t="shared" si="585"/>
        <v>#N/A</v>
      </c>
      <c r="FI284" s="34" t="e">
        <f t="shared" si="585"/>
        <v>#N/A</v>
      </c>
      <c r="FJ284" s="34" t="e">
        <f t="shared" si="585"/>
        <v>#N/A</v>
      </c>
      <c r="FK284" s="34" t="e">
        <f t="shared" si="585"/>
        <v>#N/A</v>
      </c>
      <c r="FL284" s="34" t="e">
        <f t="shared" si="585"/>
        <v>#N/A</v>
      </c>
      <c r="FM284" s="34" t="e">
        <f t="shared" si="585"/>
        <v>#N/A</v>
      </c>
      <c r="FN284" s="34" t="e">
        <f t="shared" si="585"/>
        <v>#N/A</v>
      </c>
      <c r="FO284" s="34" t="e">
        <f t="shared" si="585"/>
        <v>#N/A</v>
      </c>
      <c r="FP284" s="34" t="e">
        <f t="shared" si="585"/>
        <v>#N/A</v>
      </c>
      <c r="FQ284" s="34" t="e">
        <f t="shared" si="585"/>
        <v>#N/A</v>
      </c>
      <c r="FR284" s="34" t="e">
        <f t="shared" si="585"/>
        <v>#N/A</v>
      </c>
      <c r="FS284" s="34" t="e">
        <f t="shared" si="585"/>
        <v>#N/A</v>
      </c>
      <c r="FT284" s="34" t="e">
        <f t="shared" si="585"/>
        <v>#N/A</v>
      </c>
      <c r="FU284" s="34" t="e">
        <f t="shared" si="585"/>
        <v>#N/A</v>
      </c>
      <c r="FV284" s="34" t="e">
        <f t="shared" si="585"/>
        <v>#N/A</v>
      </c>
      <c r="FW284" s="34" t="e">
        <f t="shared" si="585"/>
        <v>#N/A</v>
      </c>
      <c r="FX284" s="34" t="e">
        <f t="shared" si="585"/>
        <v>#N/A</v>
      </c>
      <c r="FY284" s="34" t="e">
        <f t="shared" si="585"/>
        <v>#N/A</v>
      </c>
      <c r="FZ284" s="34" t="e">
        <f t="shared" si="585"/>
        <v>#N/A</v>
      </c>
      <c r="GA284" s="34" t="e">
        <f t="shared" si="585"/>
        <v>#N/A</v>
      </c>
      <c r="GB284" s="34" t="e">
        <f t="shared" si="585"/>
        <v>#N/A</v>
      </c>
      <c r="GC284" s="34" t="e">
        <f t="shared" si="585"/>
        <v>#N/A</v>
      </c>
      <c r="GD284" s="34" t="e">
        <f t="shared" si="585"/>
        <v>#N/A</v>
      </c>
      <c r="GE284" s="34" t="e">
        <f t="shared" si="585"/>
        <v>#N/A</v>
      </c>
      <c r="GF284" s="34" t="e">
        <f t="shared" si="585"/>
        <v>#N/A</v>
      </c>
      <c r="GG284" s="34" t="e">
        <f t="shared" si="585"/>
        <v>#N/A</v>
      </c>
      <c r="GH284" s="34" t="e">
        <f t="shared" si="585"/>
        <v>#N/A</v>
      </c>
      <c r="GI284" s="34" t="e">
        <f t="shared" si="585"/>
        <v>#N/A</v>
      </c>
      <c r="GJ284" s="34" t="e">
        <f t="shared" si="585"/>
        <v>#N/A</v>
      </c>
      <c r="GK284" s="34" t="e">
        <f t="shared" si="585"/>
        <v>#N/A</v>
      </c>
      <c r="GL284" s="34" t="e">
        <f t="shared" si="585"/>
        <v>#N/A</v>
      </c>
      <c r="GM284" s="34" t="e">
        <f t="shared" si="585"/>
        <v>#N/A</v>
      </c>
      <c r="GN284" s="34" t="e">
        <f t="shared" si="585"/>
        <v>#N/A</v>
      </c>
      <c r="GO284" s="34" t="e">
        <f t="shared" si="585"/>
        <v>#N/A</v>
      </c>
      <c r="GP284" s="34" t="e">
        <f t="shared" si="585"/>
        <v>#N/A</v>
      </c>
      <c r="GQ284" s="34" t="e">
        <f t="shared" si="585"/>
        <v>#N/A</v>
      </c>
      <c r="GR284" s="34" t="e">
        <f t="shared" si="585"/>
        <v>#N/A</v>
      </c>
      <c r="GS284" s="34" t="e">
        <f t="shared" si="585"/>
        <v>#N/A</v>
      </c>
      <c r="GT284" s="34" t="e">
        <f t="shared" ref="GT284:JE284" si="586">ROUND(SUM(SUMPRODUCT($E$2:$E$37,GT$2:GT$37)),0)</f>
        <v>#N/A</v>
      </c>
      <c r="GU284" s="34" t="e">
        <f t="shared" si="586"/>
        <v>#N/A</v>
      </c>
      <c r="GV284" s="34" t="e">
        <f t="shared" si="586"/>
        <v>#N/A</v>
      </c>
      <c r="GW284" s="34" t="e">
        <f t="shared" si="586"/>
        <v>#N/A</v>
      </c>
      <c r="GX284" s="34" t="e">
        <f t="shared" si="586"/>
        <v>#N/A</v>
      </c>
      <c r="GY284" s="34" t="e">
        <f t="shared" si="586"/>
        <v>#N/A</v>
      </c>
      <c r="GZ284" s="34" t="e">
        <f t="shared" si="586"/>
        <v>#N/A</v>
      </c>
      <c r="HA284" s="34" t="e">
        <f t="shared" si="586"/>
        <v>#N/A</v>
      </c>
      <c r="HB284" s="34" t="e">
        <f t="shared" si="586"/>
        <v>#N/A</v>
      </c>
      <c r="HC284" s="34" t="e">
        <f t="shared" si="586"/>
        <v>#N/A</v>
      </c>
      <c r="HD284" s="34" t="e">
        <f t="shared" si="586"/>
        <v>#N/A</v>
      </c>
      <c r="HE284" s="34" t="e">
        <f t="shared" si="586"/>
        <v>#N/A</v>
      </c>
      <c r="HF284" s="34" t="e">
        <f t="shared" si="586"/>
        <v>#N/A</v>
      </c>
      <c r="HG284" s="34" t="e">
        <f t="shared" si="586"/>
        <v>#N/A</v>
      </c>
      <c r="HH284" s="34" t="e">
        <f t="shared" si="586"/>
        <v>#N/A</v>
      </c>
      <c r="HI284" s="34" t="e">
        <f t="shared" si="586"/>
        <v>#N/A</v>
      </c>
      <c r="HJ284" s="34" t="e">
        <f t="shared" si="586"/>
        <v>#N/A</v>
      </c>
      <c r="HK284" s="34" t="e">
        <f t="shared" si="586"/>
        <v>#N/A</v>
      </c>
      <c r="HL284" s="34" t="e">
        <f t="shared" si="586"/>
        <v>#N/A</v>
      </c>
      <c r="HM284" s="34" t="e">
        <f t="shared" si="586"/>
        <v>#N/A</v>
      </c>
      <c r="HN284" s="34" t="e">
        <f t="shared" si="586"/>
        <v>#N/A</v>
      </c>
      <c r="HO284" s="34" t="e">
        <f t="shared" si="586"/>
        <v>#N/A</v>
      </c>
      <c r="HP284" s="34" t="e">
        <f t="shared" si="586"/>
        <v>#N/A</v>
      </c>
      <c r="HQ284" s="34" t="e">
        <f t="shared" si="586"/>
        <v>#N/A</v>
      </c>
      <c r="HR284" s="34" t="e">
        <f t="shared" si="586"/>
        <v>#N/A</v>
      </c>
      <c r="HS284" s="34" t="e">
        <f t="shared" si="586"/>
        <v>#N/A</v>
      </c>
      <c r="HT284" s="34" t="e">
        <f t="shared" si="586"/>
        <v>#N/A</v>
      </c>
      <c r="HU284" s="34" t="e">
        <f t="shared" si="586"/>
        <v>#N/A</v>
      </c>
      <c r="HV284" s="34" t="e">
        <f t="shared" si="586"/>
        <v>#N/A</v>
      </c>
      <c r="HW284" s="34" t="e">
        <f t="shared" si="586"/>
        <v>#N/A</v>
      </c>
      <c r="HX284" s="34" t="e">
        <f t="shared" si="586"/>
        <v>#N/A</v>
      </c>
      <c r="HY284" s="34" t="e">
        <f t="shared" si="586"/>
        <v>#N/A</v>
      </c>
      <c r="HZ284" s="34" t="e">
        <f t="shared" si="586"/>
        <v>#N/A</v>
      </c>
      <c r="IA284" s="34" t="e">
        <f t="shared" si="586"/>
        <v>#N/A</v>
      </c>
      <c r="IB284" s="34" t="e">
        <f t="shared" si="586"/>
        <v>#N/A</v>
      </c>
      <c r="IC284" s="34" t="e">
        <f t="shared" si="586"/>
        <v>#N/A</v>
      </c>
      <c r="ID284" s="34" t="e">
        <f t="shared" si="586"/>
        <v>#N/A</v>
      </c>
      <c r="IE284" s="34" t="e">
        <f t="shared" si="586"/>
        <v>#N/A</v>
      </c>
      <c r="IF284" s="34" t="e">
        <f t="shared" si="586"/>
        <v>#N/A</v>
      </c>
      <c r="IG284" s="34" t="e">
        <f t="shared" si="586"/>
        <v>#N/A</v>
      </c>
      <c r="IH284" s="34" t="e">
        <f t="shared" si="586"/>
        <v>#N/A</v>
      </c>
      <c r="II284" s="34" t="e">
        <f t="shared" si="586"/>
        <v>#N/A</v>
      </c>
      <c r="IJ284" s="34" t="e">
        <f t="shared" si="586"/>
        <v>#N/A</v>
      </c>
      <c r="IK284" s="34" t="e">
        <f t="shared" si="586"/>
        <v>#N/A</v>
      </c>
      <c r="IL284" s="34" t="e">
        <f t="shared" si="586"/>
        <v>#N/A</v>
      </c>
      <c r="IM284" s="34" t="e">
        <f t="shared" si="586"/>
        <v>#N/A</v>
      </c>
      <c r="IN284" s="34" t="e">
        <f t="shared" si="586"/>
        <v>#N/A</v>
      </c>
      <c r="IO284" s="34" t="e">
        <f t="shared" si="586"/>
        <v>#N/A</v>
      </c>
      <c r="IP284" s="34" t="e">
        <f t="shared" si="586"/>
        <v>#N/A</v>
      </c>
      <c r="IQ284" s="34" t="e">
        <f t="shared" si="586"/>
        <v>#N/A</v>
      </c>
      <c r="IR284" s="34" t="e">
        <f t="shared" si="586"/>
        <v>#N/A</v>
      </c>
      <c r="IS284" s="34" t="e">
        <f t="shared" si="586"/>
        <v>#N/A</v>
      </c>
      <c r="IT284" s="34" t="e">
        <f t="shared" si="586"/>
        <v>#N/A</v>
      </c>
      <c r="IU284" s="34" t="e">
        <f t="shared" si="586"/>
        <v>#N/A</v>
      </c>
      <c r="IV284" s="34" t="e">
        <f t="shared" si="586"/>
        <v>#N/A</v>
      </c>
      <c r="IW284" s="34" t="e">
        <f t="shared" si="586"/>
        <v>#N/A</v>
      </c>
      <c r="IX284" s="34" t="e">
        <f t="shared" si="586"/>
        <v>#N/A</v>
      </c>
      <c r="IY284" s="34" t="e">
        <f t="shared" si="586"/>
        <v>#N/A</v>
      </c>
      <c r="IZ284" s="34" t="e">
        <f t="shared" si="586"/>
        <v>#N/A</v>
      </c>
      <c r="JA284" s="34" t="e">
        <f t="shared" si="586"/>
        <v>#N/A</v>
      </c>
      <c r="JB284" s="34" t="e">
        <f t="shared" si="586"/>
        <v>#N/A</v>
      </c>
      <c r="JC284" s="34" t="e">
        <f t="shared" si="586"/>
        <v>#N/A</v>
      </c>
      <c r="JD284" s="34" t="e">
        <f t="shared" si="586"/>
        <v>#N/A</v>
      </c>
      <c r="JE284" s="34" t="e">
        <f t="shared" si="586"/>
        <v>#N/A</v>
      </c>
      <c r="JF284" s="34" t="e">
        <f t="shared" ref="JF284:LQ284" si="587">ROUND(SUM(SUMPRODUCT($E$2:$E$37,JF$2:JF$37)),0)</f>
        <v>#N/A</v>
      </c>
      <c r="JG284" s="34" t="e">
        <f t="shared" si="587"/>
        <v>#N/A</v>
      </c>
      <c r="JH284" s="34" t="e">
        <f t="shared" si="587"/>
        <v>#N/A</v>
      </c>
      <c r="JI284" s="34" t="e">
        <f t="shared" si="587"/>
        <v>#N/A</v>
      </c>
      <c r="JJ284" s="34" t="e">
        <f t="shared" si="587"/>
        <v>#N/A</v>
      </c>
      <c r="JK284" s="34" t="e">
        <f t="shared" si="587"/>
        <v>#N/A</v>
      </c>
      <c r="JL284" s="34" t="e">
        <f t="shared" si="587"/>
        <v>#N/A</v>
      </c>
      <c r="JM284" s="34" t="e">
        <f t="shared" si="587"/>
        <v>#N/A</v>
      </c>
      <c r="JN284" s="34" t="e">
        <f t="shared" si="587"/>
        <v>#N/A</v>
      </c>
      <c r="JO284" s="34" t="e">
        <f t="shared" si="587"/>
        <v>#N/A</v>
      </c>
      <c r="JP284" s="34" t="e">
        <f t="shared" si="587"/>
        <v>#N/A</v>
      </c>
      <c r="JQ284" s="34" t="e">
        <f t="shared" si="587"/>
        <v>#N/A</v>
      </c>
      <c r="JR284" s="34" t="e">
        <f t="shared" si="587"/>
        <v>#N/A</v>
      </c>
      <c r="JS284" s="34" t="e">
        <f t="shared" si="587"/>
        <v>#N/A</v>
      </c>
      <c r="JT284" s="34" t="e">
        <f t="shared" si="587"/>
        <v>#N/A</v>
      </c>
      <c r="JU284" s="34" t="e">
        <f t="shared" si="587"/>
        <v>#N/A</v>
      </c>
      <c r="JV284" s="34" t="e">
        <f t="shared" si="587"/>
        <v>#N/A</v>
      </c>
      <c r="JW284" s="34" t="e">
        <f t="shared" si="587"/>
        <v>#N/A</v>
      </c>
      <c r="JX284" s="34" t="e">
        <f t="shared" si="587"/>
        <v>#N/A</v>
      </c>
      <c r="JY284" s="34" t="e">
        <f t="shared" si="587"/>
        <v>#N/A</v>
      </c>
      <c r="JZ284" s="34" t="e">
        <f t="shared" si="587"/>
        <v>#N/A</v>
      </c>
      <c r="KA284" s="34" t="e">
        <f t="shared" si="587"/>
        <v>#N/A</v>
      </c>
      <c r="KB284" s="34" t="e">
        <f t="shared" si="587"/>
        <v>#N/A</v>
      </c>
      <c r="KC284" s="34" t="e">
        <f t="shared" si="587"/>
        <v>#N/A</v>
      </c>
      <c r="KD284" s="34" t="e">
        <f t="shared" si="587"/>
        <v>#N/A</v>
      </c>
      <c r="KE284" s="34" t="e">
        <f t="shared" si="587"/>
        <v>#N/A</v>
      </c>
      <c r="KF284" s="34" t="e">
        <f t="shared" si="587"/>
        <v>#N/A</v>
      </c>
      <c r="KG284" s="34" t="e">
        <f t="shared" si="587"/>
        <v>#N/A</v>
      </c>
      <c r="KH284" s="34" t="e">
        <f t="shared" si="587"/>
        <v>#N/A</v>
      </c>
      <c r="KI284" s="34" t="e">
        <f t="shared" si="587"/>
        <v>#N/A</v>
      </c>
      <c r="KJ284" s="34" t="e">
        <f t="shared" si="587"/>
        <v>#N/A</v>
      </c>
      <c r="KK284" s="34" t="e">
        <f t="shared" si="587"/>
        <v>#N/A</v>
      </c>
      <c r="KL284" s="34" t="e">
        <f t="shared" si="587"/>
        <v>#N/A</v>
      </c>
      <c r="KM284" s="34" t="e">
        <f t="shared" si="587"/>
        <v>#N/A</v>
      </c>
      <c r="KN284" s="34" t="e">
        <f t="shared" si="587"/>
        <v>#N/A</v>
      </c>
      <c r="KO284" s="34" t="e">
        <f t="shared" si="587"/>
        <v>#N/A</v>
      </c>
      <c r="KP284" s="34" t="e">
        <f t="shared" si="587"/>
        <v>#N/A</v>
      </c>
      <c r="KQ284" s="34" t="e">
        <f t="shared" si="587"/>
        <v>#N/A</v>
      </c>
      <c r="KR284" s="34" t="e">
        <f t="shared" si="587"/>
        <v>#N/A</v>
      </c>
      <c r="KS284" s="34" t="e">
        <f t="shared" si="587"/>
        <v>#N/A</v>
      </c>
      <c r="KT284" s="34" t="e">
        <f t="shared" si="587"/>
        <v>#N/A</v>
      </c>
      <c r="KU284" s="34" t="e">
        <f t="shared" si="587"/>
        <v>#N/A</v>
      </c>
      <c r="KV284" s="34" t="e">
        <f t="shared" si="587"/>
        <v>#N/A</v>
      </c>
      <c r="KW284" s="34" t="e">
        <f t="shared" si="587"/>
        <v>#N/A</v>
      </c>
      <c r="KX284" s="34" t="e">
        <f t="shared" si="587"/>
        <v>#N/A</v>
      </c>
      <c r="KY284" s="34" t="e">
        <f t="shared" si="587"/>
        <v>#N/A</v>
      </c>
      <c r="KZ284" s="34" t="e">
        <f t="shared" si="587"/>
        <v>#N/A</v>
      </c>
      <c r="LA284" s="34" t="e">
        <f t="shared" si="587"/>
        <v>#N/A</v>
      </c>
      <c r="LB284" s="34" t="e">
        <f t="shared" si="587"/>
        <v>#N/A</v>
      </c>
      <c r="LC284" s="34" t="e">
        <f t="shared" si="587"/>
        <v>#N/A</v>
      </c>
      <c r="LD284" s="34" t="e">
        <f t="shared" si="587"/>
        <v>#N/A</v>
      </c>
      <c r="LE284" s="34" t="e">
        <f t="shared" si="587"/>
        <v>#N/A</v>
      </c>
      <c r="LF284" s="34" t="e">
        <f t="shared" si="587"/>
        <v>#N/A</v>
      </c>
      <c r="LG284" s="34" t="e">
        <f t="shared" si="587"/>
        <v>#N/A</v>
      </c>
      <c r="LH284" s="34" t="e">
        <f t="shared" si="587"/>
        <v>#N/A</v>
      </c>
      <c r="LI284" s="34" t="e">
        <f t="shared" si="587"/>
        <v>#N/A</v>
      </c>
      <c r="LJ284" s="34" t="e">
        <f t="shared" si="587"/>
        <v>#N/A</v>
      </c>
      <c r="LK284" s="34" t="e">
        <f t="shared" si="587"/>
        <v>#N/A</v>
      </c>
      <c r="LL284" s="34" t="e">
        <f t="shared" si="587"/>
        <v>#N/A</v>
      </c>
      <c r="LM284" s="34" t="e">
        <f t="shared" si="587"/>
        <v>#N/A</v>
      </c>
      <c r="LN284" s="34" t="e">
        <f t="shared" si="587"/>
        <v>#N/A</v>
      </c>
      <c r="LO284" s="34" t="e">
        <f t="shared" si="587"/>
        <v>#N/A</v>
      </c>
      <c r="LP284" s="34" t="e">
        <f t="shared" si="587"/>
        <v>#N/A</v>
      </c>
      <c r="LQ284" s="34" t="e">
        <f t="shared" si="587"/>
        <v>#N/A</v>
      </c>
      <c r="LR284" s="34" t="e">
        <f t="shared" ref="LR284:OC284" si="588">ROUND(SUM(SUMPRODUCT($E$2:$E$37,LR$2:LR$37)),0)</f>
        <v>#N/A</v>
      </c>
      <c r="LS284" s="34" t="e">
        <f t="shared" si="588"/>
        <v>#N/A</v>
      </c>
      <c r="LT284" s="34" t="e">
        <f t="shared" si="588"/>
        <v>#N/A</v>
      </c>
      <c r="LU284" s="34" t="e">
        <f t="shared" si="588"/>
        <v>#N/A</v>
      </c>
      <c r="LV284" s="34" t="e">
        <f t="shared" si="588"/>
        <v>#N/A</v>
      </c>
      <c r="LW284" s="34" t="e">
        <f t="shared" si="588"/>
        <v>#N/A</v>
      </c>
      <c r="LX284" s="34" t="e">
        <f t="shared" si="588"/>
        <v>#N/A</v>
      </c>
      <c r="LY284" s="34" t="e">
        <f t="shared" si="588"/>
        <v>#N/A</v>
      </c>
      <c r="LZ284" s="34" t="e">
        <f t="shared" si="588"/>
        <v>#N/A</v>
      </c>
      <c r="MA284" s="34" t="e">
        <f t="shared" si="588"/>
        <v>#N/A</v>
      </c>
      <c r="MB284" s="34" t="e">
        <f t="shared" si="588"/>
        <v>#N/A</v>
      </c>
      <c r="MC284" s="34" t="e">
        <f t="shared" si="588"/>
        <v>#N/A</v>
      </c>
      <c r="MD284" s="34" t="e">
        <f t="shared" si="588"/>
        <v>#N/A</v>
      </c>
      <c r="ME284" s="34" t="e">
        <f t="shared" si="588"/>
        <v>#N/A</v>
      </c>
      <c r="MF284" s="34" t="e">
        <f t="shared" si="588"/>
        <v>#N/A</v>
      </c>
      <c r="MG284" s="34" t="e">
        <f t="shared" si="588"/>
        <v>#N/A</v>
      </c>
      <c r="MH284" s="34" t="e">
        <f t="shared" si="588"/>
        <v>#N/A</v>
      </c>
      <c r="MI284" s="34" t="e">
        <f t="shared" si="588"/>
        <v>#N/A</v>
      </c>
      <c r="MJ284" s="34" t="e">
        <f t="shared" si="588"/>
        <v>#N/A</v>
      </c>
      <c r="MK284" s="34" t="e">
        <f t="shared" si="588"/>
        <v>#N/A</v>
      </c>
      <c r="ML284" s="34" t="e">
        <f t="shared" si="588"/>
        <v>#N/A</v>
      </c>
      <c r="MM284" s="34" t="e">
        <f t="shared" si="588"/>
        <v>#N/A</v>
      </c>
      <c r="MN284" s="34" t="e">
        <f t="shared" si="588"/>
        <v>#N/A</v>
      </c>
      <c r="MO284" s="34" t="e">
        <f t="shared" si="588"/>
        <v>#N/A</v>
      </c>
      <c r="MP284" s="34" t="e">
        <f t="shared" si="588"/>
        <v>#N/A</v>
      </c>
      <c r="MQ284" s="34" t="e">
        <f t="shared" si="588"/>
        <v>#N/A</v>
      </c>
      <c r="MR284" s="34" t="e">
        <f t="shared" si="588"/>
        <v>#N/A</v>
      </c>
      <c r="MS284" s="34" t="e">
        <f t="shared" si="588"/>
        <v>#N/A</v>
      </c>
      <c r="MT284" s="34" t="e">
        <f t="shared" si="588"/>
        <v>#N/A</v>
      </c>
      <c r="MU284" s="34" t="e">
        <f t="shared" si="588"/>
        <v>#N/A</v>
      </c>
      <c r="MV284" s="34" t="e">
        <f t="shared" si="588"/>
        <v>#N/A</v>
      </c>
      <c r="MW284" s="34" t="e">
        <f t="shared" si="588"/>
        <v>#N/A</v>
      </c>
      <c r="MX284" s="34" t="e">
        <f t="shared" si="588"/>
        <v>#N/A</v>
      </c>
      <c r="MY284" s="34" t="e">
        <f t="shared" si="588"/>
        <v>#N/A</v>
      </c>
      <c r="MZ284" s="34" t="e">
        <f t="shared" si="588"/>
        <v>#N/A</v>
      </c>
      <c r="NA284" s="34" t="e">
        <f t="shared" si="588"/>
        <v>#N/A</v>
      </c>
      <c r="NB284" s="34" t="e">
        <f t="shared" si="588"/>
        <v>#N/A</v>
      </c>
      <c r="NC284" s="34" t="e">
        <f t="shared" si="588"/>
        <v>#N/A</v>
      </c>
      <c r="ND284" s="34" t="e">
        <f t="shared" si="588"/>
        <v>#N/A</v>
      </c>
      <c r="NE284" s="34" t="e">
        <f t="shared" si="588"/>
        <v>#N/A</v>
      </c>
      <c r="NF284" s="34" t="e">
        <f t="shared" si="588"/>
        <v>#N/A</v>
      </c>
      <c r="NG284" s="34" t="e">
        <f t="shared" si="588"/>
        <v>#N/A</v>
      </c>
      <c r="NH284" s="34" t="e">
        <f t="shared" si="588"/>
        <v>#N/A</v>
      </c>
      <c r="NI284" s="34" t="e">
        <f t="shared" si="588"/>
        <v>#N/A</v>
      </c>
      <c r="NJ284" s="34" t="e">
        <f t="shared" si="588"/>
        <v>#N/A</v>
      </c>
      <c r="NK284" s="34" t="e">
        <f t="shared" si="588"/>
        <v>#N/A</v>
      </c>
      <c r="NL284" s="34" t="e">
        <f t="shared" si="588"/>
        <v>#N/A</v>
      </c>
      <c r="NM284" s="34" t="e">
        <f t="shared" si="588"/>
        <v>#N/A</v>
      </c>
      <c r="NN284" s="34" t="e">
        <f t="shared" si="588"/>
        <v>#N/A</v>
      </c>
      <c r="NO284" s="34" t="e">
        <f t="shared" si="588"/>
        <v>#N/A</v>
      </c>
      <c r="NP284" s="34" t="e">
        <f t="shared" si="588"/>
        <v>#N/A</v>
      </c>
      <c r="NQ284" s="34" t="e">
        <f t="shared" si="588"/>
        <v>#N/A</v>
      </c>
      <c r="NR284" s="34" t="e">
        <f t="shared" si="588"/>
        <v>#N/A</v>
      </c>
      <c r="NS284" s="34" t="e">
        <f t="shared" si="588"/>
        <v>#N/A</v>
      </c>
      <c r="NT284" s="34" t="e">
        <f t="shared" si="588"/>
        <v>#N/A</v>
      </c>
      <c r="NU284" s="34" t="e">
        <f t="shared" si="588"/>
        <v>#N/A</v>
      </c>
      <c r="NV284" s="34" t="e">
        <f t="shared" si="588"/>
        <v>#N/A</v>
      </c>
      <c r="NW284" s="34" t="e">
        <f t="shared" si="588"/>
        <v>#N/A</v>
      </c>
      <c r="NX284" s="34" t="e">
        <f t="shared" si="588"/>
        <v>#N/A</v>
      </c>
      <c r="NY284" s="34" t="e">
        <f t="shared" si="588"/>
        <v>#N/A</v>
      </c>
      <c r="NZ284" s="34" t="e">
        <f t="shared" si="588"/>
        <v>#N/A</v>
      </c>
      <c r="OA284" s="34" t="e">
        <f t="shared" si="588"/>
        <v>#N/A</v>
      </c>
      <c r="OB284" s="34" t="e">
        <f t="shared" si="588"/>
        <v>#N/A</v>
      </c>
      <c r="OC284" s="34" t="e">
        <f t="shared" si="588"/>
        <v>#N/A</v>
      </c>
      <c r="OD284" s="34" t="e">
        <f t="shared" ref="OD284:QO284" si="589">ROUND(SUM(SUMPRODUCT($E$2:$E$37,OD$2:OD$37)),0)</f>
        <v>#N/A</v>
      </c>
      <c r="OE284" s="34" t="e">
        <f t="shared" si="589"/>
        <v>#N/A</v>
      </c>
      <c r="OF284" s="34" t="e">
        <f t="shared" si="589"/>
        <v>#N/A</v>
      </c>
      <c r="OG284" s="34" t="e">
        <f t="shared" si="589"/>
        <v>#N/A</v>
      </c>
      <c r="OH284" s="34" t="e">
        <f t="shared" si="589"/>
        <v>#N/A</v>
      </c>
      <c r="OI284" s="34" t="e">
        <f t="shared" si="589"/>
        <v>#N/A</v>
      </c>
      <c r="OJ284" s="34" t="e">
        <f t="shared" si="589"/>
        <v>#N/A</v>
      </c>
      <c r="OK284" s="34" t="e">
        <f t="shared" si="589"/>
        <v>#N/A</v>
      </c>
      <c r="OL284" s="34" t="e">
        <f t="shared" si="589"/>
        <v>#N/A</v>
      </c>
      <c r="OM284" s="34" t="e">
        <f t="shared" si="589"/>
        <v>#N/A</v>
      </c>
      <c r="ON284" s="34" t="e">
        <f t="shared" si="589"/>
        <v>#N/A</v>
      </c>
      <c r="OO284" s="34" t="e">
        <f t="shared" si="589"/>
        <v>#N/A</v>
      </c>
      <c r="OP284" s="34" t="e">
        <f t="shared" si="589"/>
        <v>#N/A</v>
      </c>
      <c r="OQ284" s="34" t="e">
        <f t="shared" si="589"/>
        <v>#N/A</v>
      </c>
      <c r="OR284" s="34" t="e">
        <f t="shared" si="589"/>
        <v>#N/A</v>
      </c>
      <c r="OS284" s="34" t="e">
        <f t="shared" si="589"/>
        <v>#N/A</v>
      </c>
      <c r="OT284" s="34" t="e">
        <f t="shared" si="589"/>
        <v>#N/A</v>
      </c>
      <c r="OU284" s="34" t="e">
        <f t="shared" si="589"/>
        <v>#N/A</v>
      </c>
      <c r="OV284" s="34" t="e">
        <f t="shared" si="589"/>
        <v>#N/A</v>
      </c>
      <c r="OW284" s="34" t="e">
        <f t="shared" si="589"/>
        <v>#N/A</v>
      </c>
      <c r="OX284" s="34" t="e">
        <f t="shared" si="589"/>
        <v>#N/A</v>
      </c>
      <c r="OY284" s="34" t="e">
        <f t="shared" si="589"/>
        <v>#N/A</v>
      </c>
      <c r="OZ284" s="34" t="e">
        <f t="shared" si="589"/>
        <v>#N/A</v>
      </c>
      <c r="PA284" s="34" t="e">
        <f t="shared" si="589"/>
        <v>#N/A</v>
      </c>
      <c r="PB284" s="34" t="e">
        <f t="shared" si="589"/>
        <v>#N/A</v>
      </c>
      <c r="PC284" s="34" t="e">
        <f t="shared" si="589"/>
        <v>#N/A</v>
      </c>
      <c r="PD284" s="34" t="e">
        <f t="shared" si="589"/>
        <v>#N/A</v>
      </c>
      <c r="PE284" s="34" t="e">
        <f t="shared" si="589"/>
        <v>#N/A</v>
      </c>
      <c r="PF284" s="34" t="e">
        <f t="shared" si="589"/>
        <v>#N/A</v>
      </c>
      <c r="PG284" s="34" t="e">
        <f t="shared" si="589"/>
        <v>#N/A</v>
      </c>
      <c r="PH284" s="34" t="e">
        <f t="shared" si="589"/>
        <v>#N/A</v>
      </c>
      <c r="PI284" s="34" t="e">
        <f t="shared" si="589"/>
        <v>#N/A</v>
      </c>
      <c r="PJ284" s="34" t="e">
        <f t="shared" si="589"/>
        <v>#N/A</v>
      </c>
      <c r="PK284" s="34" t="e">
        <f t="shared" si="589"/>
        <v>#N/A</v>
      </c>
      <c r="PL284" s="34" t="e">
        <f t="shared" si="589"/>
        <v>#N/A</v>
      </c>
      <c r="PM284" s="34" t="e">
        <f t="shared" si="589"/>
        <v>#N/A</v>
      </c>
      <c r="PN284" s="34" t="e">
        <f t="shared" si="589"/>
        <v>#N/A</v>
      </c>
      <c r="PO284" s="34" t="e">
        <f t="shared" si="589"/>
        <v>#N/A</v>
      </c>
      <c r="PP284" s="34" t="e">
        <f t="shared" si="589"/>
        <v>#N/A</v>
      </c>
      <c r="PQ284" s="34" t="e">
        <f t="shared" si="589"/>
        <v>#N/A</v>
      </c>
      <c r="PR284" s="34" t="e">
        <f t="shared" si="589"/>
        <v>#N/A</v>
      </c>
      <c r="PS284" s="34" t="e">
        <f t="shared" si="589"/>
        <v>#N/A</v>
      </c>
      <c r="PT284" s="34" t="e">
        <f t="shared" si="589"/>
        <v>#N/A</v>
      </c>
      <c r="PU284" s="34" t="e">
        <f t="shared" si="589"/>
        <v>#N/A</v>
      </c>
      <c r="PV284" s="34" t="e">
        <f t="shared" si="589"/>
        <v>#N/A</v>
      </c>
      <c r="PW284" s="34" t="e">
        <f t="shared" si="589"/>
        <v>#N/A</v>
      </c>
      <c r="PX284" s="34" t="e">
        <f t="shared" si="589"/>
        <v>#N/A</v>
      </c>
      <c r="PY284" s="34" t="e">
        <f t="shared" si="589"/>
        <v>#N/A</v>
      </c>
      <c r="PZ284" s="34" t="e">
        <f t="shared" si="589"/>
        <v>#N/A</v>
      </c>
      <c r="QA284" s="34" t="e">
        <f t="shared" si="589"/>
        <v>#N/A</v>
      </c>
      <c r="QB284" s="34" t="e">
        <f t="shared" si="589"/>
        <v>#N/A</v>
      </c>
      <c r="QC284" s="34" t="e">
        <f t="shared" si="589"/>
        <v>#N/A</v>
      </c>
      <c r="QD284" s="34" t="e">
        <f t="shared" si="589"/>
        <v>#N/A</v>
      </c>
      <c r="QE284" s="34" t="e">
        <f t="shared" si="589"/>
        <v>#N/A</v>
      </c>
      <c r="QF284" s="34" t="e">
        <f t="shared" si="589"/>
        <v>#N/A</v>
      </c>
      <c r="QG284" s="34" t="e">
        <f t="shared" si="589"/>
        <v>#N/A</v>
      </c>
      <c r="QH284" s="34" t="e">
        <f t="shared" si="589"/>
        <v>#N/A</v>
      </c>
      <c r="QI284" s="34" t="e">
        <f t="shared" si="589"/>
        <v>#N/A</v>
      </c>
      <c r="QJ284" s="34" t="e">
        <f t="shared" si="589"/>
        <v>#N/A</v>
      </c>
      <c r="QK284" s="34" t="e">
        <f t="shared" si="589"/>
        <v>#N/A</v>
      </c>
      <c r="QL284" s="34" t="e">
        <f t="shared" si="589"/>
        <v>#N/A</v>
      </c>
      <c r="QM284" s="34" t="e">
        <f t="shared" si="589"/>
        <v>#N/A</v>
      </c>
      <c r="QN284" s="34" t="e">
        <f t="shared" si="589"/>
        <v>#N/A</v>
      </c>
      <c r="QO284" s="34" t="e">
        <f t="shared" si="589"/>
        <v>#N/A</v>
      </c>
      <c r="QP284" s="34" t="e">
        <f t="shared" ref="QP284:TA284" si="590">ROUND(SUM(SUMPRODUCT($E$2:$E$37,QP$2:QP$37)),0)</f>
        <v>#N/A</v>
      </c>
      <c r="QQ284" s="34" t="e">
        <f t="shared" si="590"/>
        <v>#N/A</v>
      </c>
      <c r="QR284" s="34" t="e">
        <f t="shared" si="590"/>
        <v>#N/A</v>
      </c>
      <c r="QS284" s="34" t="e">
        <f t="shared" si="590"/>
        <v>#N/A</v>
      </c>
      <c r="QT284" s="34" t="e">
        <f t="shared" si="590"/>
        <v>#N/A</v>
      </c>
      <c r="QU284" s="34" t="e">
        <f t="shared" si="590"/>
        <v>#N/A</v>
      </c>
      <c r="QV284" s="34" t="e">
        <f t="shared" si="590"/>
        <v>#N/A</v>
      </c>
      <c r="QW284" s="34" t="e">
        <f t="shared" si="590"/>
        <v>#N/A</v>
      </c>
      <c r="QX284" s="34" t="e">
        <f t="shared" si="590"/>
        <v>#N/A</v>
      </c>
      <c r="QY284" s="34" t="e">
        <f t="shared" si="590"/>
        <v>#N/A</v>
      </c>
      <c r="QZ284" s="34" t="e">
        <f t="shared" si="590"/>
        <v>#N/A</v>
      </c>
      <c r="RA284" s="34" t="e">
        <f t="shared" si="590"/>
        <v>#N/A</v>
      </c>
      <c r="RB284" s="34" t="e">
        <f t="shared" si="590"/>
        <v>#N/A</v>
      </c>
      <c r="RC284" s="34" t="e">
        <f t="shared" si="590"/>
        <v>#N/A</v>
      </c>
      <c r="RD284" s="34" t="e">
        <f t="shared" si="590"/>
        <v>#N/A</v>
      </c>
      <c r="RE284" s="34" t="e">
        <f t="shared" si="590"/>
        <v>#N/A</v>
      </c>
      <c r="RF284" s="34" t="e">
        <f t="shared" si="590"/>
        <v>#N/A</v>
      </c>
      <c r="RG284" s="34" t="e">
        <f t="shared" si="590"/>
        <v>#N/A</v>
      </c>
      <c r="RH284" s="34" t="e">
        <f t="shared" si="590"/>
        <v>#N/A</v>
      </c>
      <c r="RI284" s="34" t="e">
        <f t="shared" si="590"/>
        <v>#N/A</v>
      </c>
      <c r="RJ284" s="34" t="e">
        <f t="shared" si="590"/>
        <v>#N/A</v>
      </c>
      <c r="RK284" s="34" t="e">
        <f t="shared" si="590"/>
        <v>#N/A</v>
      </c>
      <c r="RL284" s="34" t="e">
        <f t="shared" si="590"/>
        <v>#N/A</v>
      </c>
      <c r="RM284" s="34" t="e">
        <f t="shared" si="590"/>
        <v>#N/A</v>
      </c>
      <c r="RN284" s="34" t="e">
        <f t="shared" si="590"/>
        <v>#N/A</v>
      </c>
      <c r="RO284" s="34" t="e">
        <f t="shared" si="590"/>
        <v>#N/A</v>
      </c>
      <c r="RP284" s="34" t="e">
        <f t="shared" si="590"/>
        <v>#N/A</v>
      </c>
      <c r="RQ284" s="34" t="e">
        <f t="shared" si="590"/>
        <v>#N/A</v>
      </c>
      <c r="RR284" s="34" t="e">
        <f t="shared" si="590"/>
        <v>#N/A</v>
      </c>
      <c r="RS284" s="34" t="e">
        <f t="shared" si="590"/>
        <v>#N/A</v>
      </c>
      <c r="RT284" s="34" t="e">
        <f t="shared" si="590"/>
        <v>#N/A</v>
      </c>
      <c r="RU284" s="34" t="e">
        <f t="shared" si="590"/>
        <v>#N/A</v>
      </c>
      <c r="RV284" s="34" t="e">
        <f t="shared" si="590"/>
        <v>#N/A</v>
      </c>
      <c r="RW284" s="34" t="e">
        <f t="shared" si="590"/>
        <v>#N/A</v>
      </c>
      <c r="RX284" s="34" t="e">
        <f t="shared" si="590"/>
        <v>#N/A</v>
      </c>
      <c r="RY284" s="34" t="e">
        <f t="shared" si="590"/>
        <v>#N/A</v>
      </c>
      <c r="RZ284" s="34" t="e">
        <f t="shared" si="590"/>
        <v>#N/A</v>
      </c>
      <c r="SA284" s="34" t="e">
        <f t="shared" si="590"/>
        <v>#N/A</v>
      </c>
      <c r="SB284" s="34" t="e">
        <f t="shared" si="590"/>
        <v>#N/A</v>
      </c>
      <c r="SC284" s="34" t="e">
        <f t="shared" si="590"/>
        <v>#N/A</v>
      </c>
      <c r="SD284" s="34" t="e">
        <f t="shared" si="590"/>
        <v>#N/A</v>
      </c>
      <c r="SE284" s="34" t="e">
        <f t="shared" si="590"/>
        <v>#N/A</v>
      </c>
      <c r="SF284" s="34" t="e">
        <f t="shared" si="590"/>
        <v>#N/A</v>
      </c>
      <c r="SG284" s="34" t="e">
        <f t="shared" si="590"/>
        <v>#N/A</v>
      </c>
      <c r="SH284" s="34" t="e">
        <f t="shared" si="590"/>
        <v>#N/A</v>
      </c>
      <c r="SI284" s="34" t="e">
        <f t="shared" si="590"/>
        <v>#N/A</v>
      </c>
      <c r="SJ284" s="34" t="e">
        <f t="shared" si="590"/>
        <v>#N/A</v>
      </c>
      <c r="SK284" s="34" t="e">
        <f t="shared" si="590"/>
        <v>#N/A</v>
      </c>
      <c r="SL284" s="34" t="e">
        <f t="shared" si="590"/>
        <v>#N/A</v>
      </c>
      <c r="SM284" s="34" t="e">
        <f t="shared" si="590"/>
        <v>#N/A</v>
      </c>
      <c r="SN284" s="34" t="e">
        <f t="shared" si="590"/>
        <v>#N/A</v>
      </c>
      <c r="SO284" s="34" t="e">
        <f t="shared" si="590"/>
        <v>#N/A</v>
      </c>
      <c r="SP284" s="34" t="e">
        <f t="shared" si="590"/>
        <v>#N/A</v>
      </c>
      <c r="SQ284" s="34" t="e">
        <f t="shared" si="590"/>
        <v>#N/A</v>
      </c>
      <c r="SR284" s="34" t="e">
        <f t="shared" si="590"/>
        <v>#N/A</v>
      </c>
      <c r="SS284" s="34" t="e">
        <f t="shared" si="590"/>
        <v>#N/A</v>
      </c>
      <c r="ST284" s="34" t="e">
        <f t="shared" si="590"/>
        <v>#N/A</v>
      </c>
      <c r="SU284" s="34" t="e">
        <f t="shared" si="590"/>
        <v>#N/A</v>
      </c>
      <c r="SV284" s="34" t="e">
        <f t="shared" si="590"/>
        <v>#N/A</v>
      </c>
      <c r="SW284" s="34" t="e">
        <f t="shared" si="590"/>
        <v>#N/A</v>
      </c>
      <c r="SX284" s="34" t="e">
        <f t="shared" si="590"/>
        <v>#N/A</v>
      </c>
      <c r="SY284" s="34" t="e">
        <f t="shared" si="590"/>
        <v>#N/A</v>
      </c>
      <c r="SZ284" s="34" t="e">
        <f t="shared" si="590"/>
        <v>#N/A</v>
      </c>
      <c r="TA284" s="34" t="e">
        <f t="shared" si="590"/>
        <v>#N/A</v>
      </c>
      <c r="TB284" s="34" t="e">
        <f t="shared" ref="TB284:VM284" si="591">ROUND(SUM(SUMPRODUCT($E$2:$E$37,TB$2:TB$37)),0)</f>
        <v>#N/A</v>
      </c>
      <c r="TC284" s="34" t="e">
        <f t="shared" si="591"/>
        <v>#N/A</v>
      </c>
      <c r="TD284" s="34" t="e">
        <f t="shared" si="591"/>
        <v>#N/A</v>
      </c>
      <c r="TE284" s="34" t="e">
        <f t="shared" si="591"/>
        <v>#N/A</v>
      </c>
      <c r="TF284" s="34" t="e">
        <f t="shared" si="591"/>
        <v>#N/A</v>
      </c>
      <c r="TG284" s="34" t="e">
        <f t="shared" si="591"/>
        <v>#N/A</v>
      </c>
      <c r="TH284" s="34" t="e">
        <f t="shared" si="591"/>
        <v>#N/A</v>
      </c>
      <c r="TI284" s="34" t="e">
        <f t="shared" si="591"/>
        <v>#N/A</v>
      </c>
      <c r="TJ284" s="34" t="e">
        <f t="shared" si="591"/>
        <v>#N/A</v>
      </c>
      <c r="TK284" s="34" t="e">
        <f t="shared" si="591"/>
        <v>#N/A</v>
      </c>
      <c r="TL284" s="34" t="e">
        <f t="shared" si="591"/>
        <v>#N/A</v>
      </c>
      <c r="TM284" s="34" t="e">
        <f t="shared" si="591"/>
        <v>#N/A</v>
      </c>
      <c r="TN284" s="34" t="e">
        <f t="shared" si="591"/>
        <v>#N/A</v>
      </c>
      <c r="TO284" s="34" t="e">
        <f t="shared" si="591"/>
        <v>#N/A</v>
      </c>
      <c r="TP284" s="34" t="e">
        <f t="shared" si="591"/>
        <v>#N/A</v>
      </c>
      <c r="TQ284" s="34" t="e">
        <f t="shared" si="591"/>
        <v>#N/A</v>
      </c>
      <c r="TR284" s="34" t="e">
        <f t="shared" si="591"/>
        <v>#N/A</v>
      </c>
      <c r="TS284" s="34" t="e">
        <f t="shared" si="591"/>
        <v>#N/A</v>
      </c>
      <c r="TT284" s="34" t="e">
        <f t="shared" si="591"/>
        <v>#N/A</v>
      </c>
      <c r="TU284" s="34" t="e">
        <f t="shared" si="591"/>
        <v>#N/A</v>
      </c>
      <c r="TV284" s="34" t="e">
        <f t="shared" si="591"/>
        <v>#N/A</v>
      </c>
      <c r="TW284" s="34" t="e">
        <f t="shared" si="591"/>
        <v>#N/A</v>
      </c>
      <c r="TX284" s="34" t="e">
        <f t="shared" si="591"/>
        <v>#N/A</v>
      </c>
      <c r="TY284" s="34" t="e">
        <f t="shared" si="591"/>
        <v>#N/A</v>
      </c>
      <c r="TZ284" s="34" t="e">
        <f t="shared" si="591"/>
        <v>#N/A</v>
      </c>
      <c r="UA284" s="34" t="e">
        <f t="shared" si="591"/>
        <v>#N/A</v>
      </c>
      <c r="UB284" s="34" t="e">
        <f t="shared" si="591"/>
        <v>#N/A</v>
      </c>
      <c r="UC284" s="34" t="e">
        <f t="shared" si="591"/>
        <v>#N/A</v>
      </c>
      <c r="UD284" s="34" t="e">
        <f t="shared" si="591"/>
        <v>#N/A</v>
      </c>
      <c r="UE284" s="34" t="e">
        <f t="shared" si="591"/>
        <v>#N/A</v>
      </c>
      <c r="UF284" s="34" t="e">
        <f t="shared" si="591"/>
        <v>#N/A</v>
      </c>
      <c r="UG284" s="34" t="e">
        <f t="shared" si="591"/>
        <v>#N/A</v>
      </c>
      <c r="UH284" s="34" t="e">
        <f t="shared" si="591"/>
        <v>#N/A</v>
      </c>
      <c r="UI284" s="34" t="e">
        <f t="shared" si="591"/>
        <v>#N/A</v>
      </c>
      <c r="UJ284" s="34" t="e">
        <f t="shared" si="591"/>
        <v>#N/A</v>
      </c>
      <c r="UK284" s="34" t="e">
        <f t="shared" si="591"/>
        <v>#N/A</v>
      </c>
      <c r="UL284" s="34" t="e">
        <f t="shared" si="591"/>
        <v>#N/A</v>
      </c>
      <c r="UM284" s="34" t="e">
        <f t="shared" si="591"/>
        <v>#N/A</v>
      </c>
      <c r="UN284" s="34" t="e">
        <f t="shared" si="591"/>
        <v>#N/A</v>
      </c>
      <c r="UO284" s="34" t="e">
        <f t="shared" si="591"/>
        <v>#N/A</v>
      </c>
      <c r="UP284" s="34" t="e">
        <f t="shared" si="591"/>
        <v>#N/A</v>
      </c>
      <c r="UQ284" s="34" t="e">
        <f t="shared" si="591"/>
        <v>#N/A</v>
      </c>
      <c r="UR284" s="34" t="e">
        <f t="shared" si="591"/>
        <v>#N/A</v>
      </c>
      <c r="US284" s="34" t="e">
        <f t="shared" si="591"/>
        <v>#N/A</v>
      </c>
      <c r="UT284" s="34" t="e">
        <f t="shared" si="591"/>
        <v>#N/A</v>
      </c>
      <c r="UU284" s="34" t="e">
        <f t="shared" si="591"/>
        <v>#N/A</v>
      </c>
      <c r="UV284" s="34" t="e">
        <f t="shared" si="591"/>
        <v>#N/A</v>
      </c>
      <c r="UW284" s="34" t="e">
        <f t="shared" si="591"/>
        <v>#N/A</v>
      </c>
      <c r="UX284" s="34" t="e">
        <f t="shared" si="591"/>
        <v>#N/A</v>
      </c>
      <c r="UY284" s="34" t="e">
        <f t="shared" si="591"/>
        <v>#N/A</v>
      </c>
      <c r="UZ284" s="34" t="e">
        <f t="shared" si="591"/>
        <v>#N/A</v>
      </c>
      <c r="VA284" s="34" t="e">
        <f t="shared" si="591"/>
        <v>#N/A</v>
      </c>
      <c r="VB284" s="34" t="e">
        <f t="shared" si="591"/>
        <v>#N/A</v>
      </c>
      <c r="VC284" s="34" t="e">
        <f t="shared" si="591"/>
        <v>#N/A</v>
      </c>
      <c r="VD284" s="34" t="e">
        <f t="shared" si="591"/>
        <v>#N/A</v>
      </c>
      <c r="VE284" s="34" t="e">
        <f t="shared" si="591"/>
        <v>#N/A</v>
      </c>
      <c r="VF284" s="34" t="e">
        <f t="shared" si="591"/>
        <v>#N/A</v>
      </c>
      <c r="VG284" s="34" t="e">
        <f t="shared" si="591"/>
        <v>#N/A</v>
      </c>
      <c r="VH284" s="34" t="e">
        <f t="shared" si="591"/>
        <v>#N/A</v>
      </c>
      <c r="VI284" s="34" t="e">
        <f t="shared" si="591"/>
        <v>#N/A</v>
      </c>
      <c r="VJ284" s="34" t="e">
        <f t="shared" si="591"/>
        <v>#N/A</v>
      </c>
      <c r="VK284" s="34" t="e">
        <f t="shared" si="591"/>
        <v>#N/A</v>
      </c>
      <c r="VL284" s="34" t="e">
        <f t="shared" si="591"/>
        <v>#N/A</v>
      </c>
      <c r="VM284" s="34" t="e">
        <f t="shared" si="591"/>
        <v>#N/A</v>
      </c>
      <c r="VN284" s="34" t="e">
        <f t="shared" ref="VN284:WF284" si="592">ROUND(SUM(SUMPRODUCT($E$2:$E$37,VN$2:VN$37)),0)</f>
        <v>#N/A</v>
      </c>
      <c r="VO284" s="34" t="e">
        <f t="shared" si="592"/>
        <v>#N/A</v>
      </c>
      <c r="VP284" s="34" t="e">
        <f t="shared" si="592"/>
        <v>#N/A</v>
      </c>
      <c r="VQ284" s="34" t="e">
        <f t="shared" si="592"/>
        <v>#N/A</v>
      </c>
      <c r="VR284" s="34" t="e">
        <f t="shared" si="592"/>
        <v>#N/A</v>
      </c>
      <c r="VS284" s="34" t="e">
        <f t="shared" si="592"/>
        <v>#N/A</v>
      </c>
      <c r="VT284" s="34" t="e">
        <f t="shared" si="592"/>
        <v>#N/A</v>
      </c>
      <c r="VU284" s="34" t="e">
        <f t="shared" si="592"/>
        <v>#N/A</v>
      </c>
      <c r="VV284" s="34" t="e">
        <f t="shared" si="592"/>
        <v>#N/A</v>
      </c>
      <c r="VW284" s="34" t="e">
        <f t="shared" si="592"/>
        <v>#N/A</v>
      </c>
      <c r="VX284" s="34" t="e">
        <f t="shared" si="592"/>
        <v>#N/A</v>
      </c>
      <c r="VY284" s="34" t="e">
        <f t="shared" si="592"/>
        <v>#N/A</v>
      </c>
      <c r="VZ284" s="34" t="e">
        <f t="shared" si="592"/>
        <v>#N/A</v>
      </c>
      <c r="WA284" s="34" t="e">
        <f t="shared" si="592"/>
        <v>#N/A</v>
      </c>
      <c r="WB284" s="34" t="e">
        <f t="shared" si="592"/>
        <v>#N/A</v>
      </c>
      <c r="WC284" s="34" t="e">
        <f t="shared" si="592"/>
        <v>#N/A</v>
      </c>
      <c r="WD284" s="34" t="e">
        <f t="shared" si="592"/>
        <v>#N/A</v>
      </c>
      <c r="WE284" s="34" t="e">
        <f t="shared" si="592"/>
        <v>#N/A</v>
      </c>
      <c r="WF284" s="34" t="e">
        <f t="shared" si="592"/>
        <v>#N/A</v>
      </c>
    </row>
    <row r="285" spans="1:604" x14ac:dyDescent="0.3">
      <c r="A285" s="157"/>
      <c r="B285" s="157"/>
      <c r="C285" s="157"/>
      <c r="D285" s="157"/>
      <c r="E285" s="157"/>
      <c r="F285" s="157"/>
      <c r="G285" s="157"/>
      <c r="H285" s="157"/>
      <c r="I285" s="157"/>
      <c r="J285" s="89" t="e">
        <f>J$284/$F$284</f>
        <v>#N/A</v>
      </c>
      <c r="K285" s="89" t="e">
        <f t="shared" ref="K285:BV285" si="593">ROUND(K$284/$F$284,5)</f>
        <v>#N/A</v>
      </c>
      <c r="L285" s="89" t="e">
        <f t="shared" si="593"/>
        <v>#N/A</v>
      </c>
      <c r="M285" s="89" t="e">
        <f t="shared" si="593"/>
        <v>#N/A</v>
      </c>
      <c r="N285" s="89" t="e">
        <f>ROUND(N$284/$F$284,5)</f>
        <v>#N/A</v>
      </c>
      <c r="O285" s="89" t="e">
        <f>ROUND(O$284/$F$284,5)+0.0001</f>
        <v>#N/A</v>
      </c>
      <c r="P285" s="89" t="e">
        <f>ROUND(P$284/$F$284,5)</f>
        <v>#N/A</v>
      </c>
      <c r="Q285" s="89" t="e">
        <f t="shared" si="593"/>
        <v>#N/A</v>
      </c>
      <c r="R285" s="89" t="e">
        <f t="shared" si="593"/>
        <v>#N/A</v>
      </c>
      <c r="S285" s="89" t="e">
        <f t="shared" si="593"/>
        <v>#N/A</v>
      </c>
      <c r="T285" s="89" t="e">
        <f t="shared" si="593"/>
        <v>#N/A</v>
      </c>
      <c r="U285" s="89" t="e">
        <f>ROUND(U$284/$F$284,5)</f>
        <v>#N/A</v>
      </c>
      <c r="V285" s="89" t="e">
        <f>ROUND(V$284/$F$284,5)</f>
        <v>#N/A</v>
      </c>
      <c r="W285" s="89" t="e">
        <f t="shared" si="593"/>
        <v>#N/A</v>
      </c>
      <c r="X285" s="89" t="e">
        <f t="shared" si="593"/>
        <v>#N/A</v>
      </c>
      <c r="Y285" s="89" t="e">
        <f t="shared" si="593"/>
        <v>#N/A</v>
      </c>
      <c r="Z285" s="89" t="e">
        <f t="shared" si="593"/>
        <v>#N/A</v>
      </c>
      <c r="AA285" s="89" t="e">
        <f>ROUND(AA$284/$F$284,5)</f>
        <v>#N/A</v>
      </c>
      <c r="AB285" s="89" t="e">
        <f>ROUND(AB$284/$F$284,5)</f>
        <v>#N/A</v>
      </c>
      <c r="AC285" s="89" t="e">
        <f t="shared" si="593"/>
        <v>#N/A</v>
      </c>
      <c r="AD285" s="89" t="e">
        <f t="shared" si="593"/>
        <v>#N/A</v>
      </c>
      <c r="AE285" s="89" t="e">
        <f t="shared" si="593"/>
        <v>#N/A</v>
      </c>
      <c r="AF285" s="89" t="e">
        <f t="shared" si="593"/>
        <v>#N/A</v>
      </c>
      <c r="AG285" s="89" t="e">
        <f t="shared" si="593"/>
        <v>#N/A</v>
      </c>
      <c r="AH285" s="89" t="e">
        <f t="shared" si="593"/>
        <v>#N/A</v>
      </c>
      <c r="AI285" s="89" t="e">
        <f t="shared" si="593"/>
        <v>#N/A</v>
      </c>
      <c r="AJ285" s="89" t="e">
        <f t="shared" si="593"/>
        <v>#N/A</v>
      </c>
      <c r="AK285" s="89" t="e">
        <f t="shared" si="593"/>
        <v>#N/A</v>
      </c>
      <c r="AL285" s="89" t="e">
        <f t="shared" si="593"/>
        <v>#N/A</v>
      </c>
      <c r="AM285" s="89" t="e">
        <f t="shared" si="593"/>
        <v>#N/A</v>
      </c>
      <c r="AN285" s="89" t="e">
        <f t="shared" si="593"/>
        <v>#N/A</v>
      </c>
      <c r="AO285" s="89" t="e">
        <f t="shared" si="593"/>
        <v>#N/A</v>
      </c>
      <c r="AP285" s="89" t="e">
        <f>ROUND(AP$284/$F$284,5)+0.0001</f>
        <v>#N/A</v>
      </c>
      <c r="AQ285" s="89" t="e">
        <f t="shared" si="593"/>
        <v>#N/A</v>
      </c>
      <c r="AR285" s="89" t="e">
        <f t="shared" si="593"/>
        <v>#N/A</v>
      </c>
      <c r="AS285" s="89" t="e">
        <f t="shared" si="593"/>
        <v>#N/A</v>
      </c>
      <c r="AT285" s="89" t="e">
        <f>ROUND(AT$284/$F$284,5)+0.0001</f>
        <v>#N/A</v>
      </c>
      <c r="AU285" s="89" t="e">
        <f t="shared" si="593"/>
        <v>#N/A</v>
      </c>
      <c r="AV285" s="89" t="e">
        <f t="shared" si="593"/>
        <v>#N/A</v>
      </c>
      <c r="AW285" s="89" t="e">
        <f>ROUND(AW$284/$F$284,5)+0.0001</f>
        <v>#N/A</v>
      </c>
      <c r="AX285" s="89" t="e">
        <f t="shared" si="593"/>
        <v>#N/A</v>
      </c>
      <c r="AY285" s="89" t="e">
        <f t="shared" si="593"/>
        <v>#N/A</v>
      </c>
      <c r="AZ285" s="89" t="e">
        <f t="shared" si="593"/>
        <v>#N/A</v>
      </c>
      <c r="BA285" s="89" t="e">
        <f t="shared" si="593"/>
        <v>#N/A</v>
      </c>
      <c r="BB285" s="89" t="e">
        <f t="shared" si="593"/>
        <v>#N/A</v>
      </c>
      <c r="BC285" s="89" t="e">
        <f t="shared" si="593"/>
        <v>#N/A</v>
      </c>
      <c r="BD285" s="89" t="e">
        <f t="shared" si="593"/>
        <v>#N/A</v>
      </c>
      <c r="BE285" s="89" t="e">
        <f t="shared" si="593"/>
        <v>#N/A</v>
      </c>
      <c r="BF285" s="89" t="e">
        <f t="shared" si="593"/>
        <v>#N/A</v>
      </c>
      <c r="BG285" s="89" t="e">
        <f t="shared" si="593"/>
        <v>#N/A</v>
      </c>
      <c r="BH285" s="89" t="e">
        <f t="shared" si="593"/>
        <v>#N/A</v>
      </c>
      <c r="BI285" s="89" t="e">
        <f t="shared" si="593"/>
        <v>#N/A</v>
      </c>
      <c r="BJ285" s="89" t="e">
        <f t="shared" si="593"/>
        <v>#N/A</v>
      </c>
      <c r="BK285" s="89" t="e">
        <f t="shared" si="593"/>
        <v>#N/A</v>
      </c>
      <c r="BL285" s="89" t="e">
        <f t="shared" si="593"/>
        <v>#N/A</v>
      </c>
      <c r="BM285" s="89" t="e">
        <f t="shared" si="593"/>
        <v>#N/A</v>
      </c>
      <c r="BN285" s="89" t="e">
        <f t="shared" si="593"/>
        <v>#N/A</v>
      </c>
      <c r="BO285" s="89" t="e">
        <f t="shared" si="593"/>
        <v>#N/A</v>
      </c>
      <c r="BP285" s="89" t="e">
        <f t="shared" si="593"/>
        <v>#N/A</v>
      </c>
      <c r="BQ285" s="89" t="e">
        <f t="shared" si="593"/>
        <v>#N/A</v>
      </c>
      <c r="BR285" s="89" t="e">
        <f t="shared" si="593"/>
        <v>#N/A</v>
      </c>
      <c r="BS285" s="89" t="e">
        <f t="shared" si="593"/>
        <v>#N/A</v>
      </c>
      <c r="BT285" s="89" t="e">
        <f t="shared" si="593"/>
        <v>#N/A</v>
      </c>
      <c r="BU285" s="89" t="e">
        <f>ROUND(BU$284/$F$284,5)+0.0001</f>
        <v>#N/A</v>
      </c>
      <c r="BV285" s="89" t="e">
        <f t="shared" si="593"/>
        <v>#N/A</v>
      </c>
      <c r="BW285" s="89" t="e">
        <f t="shared" ref="BW285:EI285" si="594">ROUND(BW$284/$F$284,5)</f>
        <v>#N/A</v>
      </c>
      <c r="BX285" s="89" t="e">
        <f t="shared" si="594"/>
        <v>#N/A</v>
      </c>
      <c r="BY285" s="89" t="e">
        <f>ROUND(BY$284/$F$284,5)+0.0001</f>
        <v>#N/A</v>
      </c>
      <c r="BZ285" s="89" t="e">
        <f>ROUND(BZ$284/$F$284,5)-0.0001</f>
        <v>#N/A</v>
      </c>
      <c r="CA285" s="89" t="e">
        <f>ROUND(CA$284/$F$284,5)+0.0001</f>
        <v>#N/A</v>
      </c>
      <c r="CB285" s="89" t="e">
        <f>ROUND(CB$284/$F$284,5)-0.0001</f>
        <v>#N/A</v>
      </c>
      <c r="CC285" s="89" t="e">
        <f t="shared" si="594"/>
        <v>#N/A</v>
      </c>
      <c r="CD285" s="89" t="e">
        <f t="shared" si="594"/>
        <v>#N/A</v>
      </c>
      <c r="CE285" s="89" t="e">
        <f t="shared" si="594"/>
        <v>#N/A</v>
      </c>
      <c r="CF285" s="89" t="e">
        <f t="shared" si="594"/>
        <v>#N/A</v>
      </c>
      <c r="CG285" s="89" t="e">
        <f>ROUND(CG$284/$F$284,5)+0.0003</f>
        <v>#N/A</v>
      </c>
      <c r="CH285" s="89" t="e">
        <f t="shared" si="594"/>
        <v>#N/A</v>
      </c>
      <c r="CI285" s="89" t="e">
        <f t="shared" si="594"/>
        <v>#N/A</v>
      </c>
      <c r="CJ285" s="89" t="e">
        <f>ROUND(CJ$284/$F$284,5)+0.0001</f>
        <v>#N/A</v>
      </c>
      <c r="CK285" s="89" t="e">
        <f t="shared" si="594"/>
        <v>#N/A</v>
      </c>
      <c r="CL285" s="89" t="e">
        <f t="shared" si="594"/>
        <v>#N/A</v>
      </c>
      <c r="CM285" s="89" t="e">
        <f t="shared" si="594"/>
        <v>#N/A</v>
      </c>
      <c r="CN285" s="89" t="e">
        <f t="shared" si="594"/>
        <v>#N/A</v>
      </c>
      <c r="CO285" s="89" t="e">
        <f>ROUND(CO$284/$F$284,5)+0.0001</f>
        <v>#N/A</v>
      </c>
      <c r="CP285" s="89" t="e">
        <f>ROUND(CP$284/$F$284,5)-0.0001</f>
        <v>#N/A</v>
      </c>
      <c r="CQ285" s="89" t="e">
        <f t="shared" si="594"/>
        <v>#N/A</v>
      </c>
      <c r="CR285" s="89" t="e">
        <f t="shared" si="594"/>
        <v>#N/A</v>
      </c>
      <c r="CS285" s="89" t="e">
        <f t="shared" si="594"/>
        <v>#N/A</v>
      </c>
      <c r="CT285" s="89" t="e">
        <f t="shared" si="594"/>
        <v>#N/A</v>
      </c>
      <c r="CU285" s="89" t="e">
        <f>ROUND(CU$284/$F$284,5)+0.0001</f>
        <v>#N/A</v>
      </c>
      <c r="CV285" s="89" t="e">
        <f t="shared" si="594"/>
        <v>#N/A</v>
      </c>
      <c r="CW285" s="89" t="e">
        <f t="shared" si="594"/>
        <v>#N/A</v>
      </c>
      <c r="CX285" s="89" t="e">
        <f>ROUND(CX$284/$F$284,5)-0.0001</f>
        <v>#N/A</v>
      </c>
      <c r="CY285" s="89" t="e">
        <f t="shared" si="594"/>
        <v>#N/A</v>
      </c>
      <c r="CZ285" s="89" t="e">
        <f t="shared" si="594"/>
        <v>#N/A</v>
      </c>
      <c r="DA285" s="89" t="e">
        <f t="shared" si="594"/>
        <v>#N/A</v>
      </c>
      <c r="DB285" s="89" t="e">
        <f>ROUND(DB$284/$F$284,5)+0.0001</f>
        <v>#N/A</v>
      </c>
      <c r="DC285" s="89" t="e">
        <f>ROUND(DC$284/$F$284,5)-0.0001</f>
        <v>#N/A</v>
      </c>
      <c r="DD285" s="89" t="e">
        <f t="shared" si="594"/>
        <v>#N/A</v>
      </c>
      <c r="DE285" s="89" t="e">
        <f t="shared" si="594"/>
        <v>#N/A</v>
      </c>
      <c r="DF285" s="89" t="e">
        <f t="shared" si="594"/>
        <v>#N/A</v>
      </c>
      <c r="DG285" s="89" t="e">
        <f t="shared" si="594"/>
        <v>#N/A</v>
      </c>
      <c r="DH285" s="89" t="e">
        <f t="shared" si="594"/>
        <v>#N/A</v>
      </c>
      <c r="DI285" s="89" t="e">
        <f t="shared" si="594"/>
        <v>#N/A</v>
      </c>
      <c r="DJ285" s="89" t="e">
        <f t="shared" si="594"/>
        <v>#N/A</v>
      </c>
      <c r="DK285" s="89" t="e">
        <f t="shared" si="594"/>
        <v>#N/A</v>
      </c>
      <c r="DL285" s="89" t="e">
        <f t="shared" si="594"/>
        <v>#N/A</v>
      </c>
      <c r="DM285" s="89" t="e">
        <f t="shared" si="594"/>
        <v>#N/A</v>
      </c>
      <c r="DN285" s="89" t="e">
        <f t="shared" si="594"/>
        <v>#N/A</v>
      </c>
      <c r="DO285" s="89" t="e">
        <f t="shared" si="594"/>
        <v>#N/A</v>
      </c>
      <c r="DP285" s="89" t="e">
        <f t="shared" si="594"/>
        <v>#N/A</v>
      </c>
      <c r="DQ285" s="89" t="e">
        <f t="shared" si="594"/>
        <v>#N/A</v>
      </c>
      <c r="DR285" s="89" t="e">
        <f t="shared" si="594"/>
        <v>#N/A</v>
      </c>
      <c r="DS285" s="89" t="e">
        <f t="shared" si="594"/>
        <v>#N/A</v>
      </c>
      <c r="DT285" s="89" t="e">
        <f t="shared" si="594"/>
        <v>#N/A</v>
      </c>
      <c r="DU285" s="89" t="e">
        <f t="shared" si="594"/>
        <v>#N/A</v>
      </c>
      <c r="DV285" s="89" t="e">
        <f t="shared" si="594"/>
        <v>#N/A</v>
      </c>
      <c r="DW285" s="89" t="e">
        <f t="shared" si="594"/>
        <v>#N/A</v>
      </c>
      <c r="DX285" s="89" t="e">
        <f t="shared" si="594"/>
        <v>#N/A</v>
      </c>
      <c r="DY285" s="89" t="e">
        <f t="shared" si="594"/>
        <v>#N/A</v>
      </c>
      <c r="DZ285" s="89" t="e">
        <f t="shared" si="594"/>
        <v>#N/A</v>
      </c>
      <c r="EA285" s="89" t="e">
        <f t="shared" si="594"/>
        <v>#N/A</v>
      </c>
      <c r="EB285" s="89" t="e">
        <f t="shared" si="594"/>
        <v>#N/A</v>
      </c>
      <c r="EC285" s="89" t="e">
        <f t="shared" si="594"/>
        <v>#N/A</v>
      </c>
      <c r="ED285" s="89" t="e">
        <f t="shared" si="594"/>
        <v>#N/A</v>
      </c>
      <c r="EE285" s="89" t="e">
        <f t="shared" si="594"/>
        <v>#N/A</v>
      </c>
      <c r="EF285" s="89" t="e">
        <f t="shared" si="594"/>
        <v>#N/A</v>
      </c>
      <c r="EG285" s="89" t="e">
        <f t="shared" si="594"/>
        <v>#N/A</v>
      </c>
      <c r="EH285" s="89" t="e">
        <f t="shared" si="594"/>
        <v>#N/A</v>
      </c>
      <c r="EI285" s="89" t="e">
        <f t="shared" si="594"/>
        <v>#N/A</v>
      </c>
      <c r="EJ285" s="89" t="e">
        <f t="shared" ref="EJ285:GU285" si="595">ROUND(EJ$284/$F$284,5)</f>
        <v>#N/A</v>
      </c>
      <c r="EK285" s="89" t="e">
        <f t="shared" si="595"/>
        <v>#N/A</v>
      </c>
      <c r="EL285" s="89" t="e">
        <f t="shared" si="595"/>
        <v>#N/A</v>
      </c>
      <c r="EM285" s="89" t="e">
        <f t="shared" si="595"/>
        <v>#N/A</v>
      </c>
      <c r="EN285" s="89" t="e">
        <f t="shared" si="595"/>
        <v>#N/A</v>
      </c>
      <c r="EO285" s="89" t="e">
        <f t="shared" si="595"/>
        <v>#N/A</v>
      </c>
      <c r="EP285" s="89" t="e">
        <f t="shared" si="595"/>
        <v>#N/A</v>
      </c>
      <c r="EQ285" s="89" t="e">
        <f t="shared" si="595"/>
        <v>#N/A</v>
      </c>
      <c r="ER285" s="89" t="e">
        <f t="shared" si="595"/>
        <v>#N/A</v>
      </c>
      <c r="ES285" s="89" t="e">
        <f t="shared" si="595"/>
        <v>#N/A</v>
      </c>
      <c r="ET285" s="89" t="e">
        <f t="shared" si="595"/>
        <v>#N/A</v>
      </c>
      <c r="EU285" s="89" t="e">
        <f t="shared" si="595"/>
        <v>#N/A</v>
      </c>
      <c r="EV285" s="89" t="e">
        <f t="shared" si="595"/>
        <v>#N/A</v>
      </c>
      <c r="EW285" s="89" t="e">
        <f t="shared" si="595"/>
        <v>#N/A</v>
      </c>
      <c r="EX285" s="89" t="e">
        <f t="shared" si="595"/>
        <v>#N/A</v>
      </c>
      <c r="EY285" s="89" t="e">
        <f t="shared" si="595"/>
        <v>#N/A</v>
      </c>
      <c r="EZ285" s="89" t="e">
        <f t="shared" si="595"/>
        <v>#N/A</v>
      </c>
      <c r="FA285" s="89" t="e">
        <f t="shared" si="595"/>
        <v>#N/A</v>
      </c>
      <c r="FB285" s="89" t="e">
        <f t="shared" si="595"/>
        <v>#N/A</v>
      </c>
      <c r="FC285" s="89" t="e">
        <f t="shared" si="595"/>
        <v>#N/A</v>
      </c>
      <c r="FD285" s="89" t="e">
        <f t="shared" si="595"/>
        <v>#N/A</v>
      </c>
      <c r="FE285" s="89" t="e">
        <f t="shared" si="595"/>
        <v>#N/A</v>
      </c>
      <c r="FF285" s="89" t="e">
        <f t="shared" si="595"/>
        <v>#N/A</v>
      </c>
      <c r="FG285" s="89" t="e">
        <f t="shared" si="595"/>
        <v>#N/A</v>
      </c>
      <c r="FH285" s="89" t="e">
        <f t="shared" si="595"/>
        <v>#N/A</v>
      </c>
      <c r="FI285" s="89" t="e">
        <f t="shared" si="595"/>
        <v>#N/A</v>
      </c>
      <c r="FJ285" s="89" t="e">
        <f t="shared" si="595"/>
        <v>#N/A</v>
      </c>
      <c r="FK285" s="89" t="e">
        <f t="shared" si="595"/>
        <v>#N/A</v>
      </c>
      <c r="FL285" s="89" t="e">
        <f t="shared" si="595"/>
        <v>#N/A</v>
      </c>
      <c r="FM285" s="89" t="e">
        <f t="shared" si="595"/>
        <v>#N/A</v>
      </c>
      <c r="FN285" s="89" t="e">
        <f t="shared" si="595"/>
        <v>#N/A</v>
      </c>
      <c r="FO285" s="89" t="e">
        <f t="shared" si="595"/>
        <v>#N/A</v>
      </c>
      <c r="FP285" s="89" t="e">
        <f t="shared" si="595"/>
        <v>#N/A</v>
      </c>
      <c r="FQ285" s="89" t="e">
        <f t="shared" si="595"/>
        <v>#N/A</v>
      </c>
      <c r="FR285" s="89" t="e">
        <f t="shared" si="595"/>
        <v>#N/A</v>
      </c>
      <c r="FS285" s="89" t="e">
        <f t="shared" si="595"/>
        <v>#N/A</v>
      </c>
      <c r="FT285" s="89" t="e">
        <f t="shared" si="595"/>
        <v>#N/A</v>
      </c>
      <c r="FU285" s="89" t="e">
        <f t="shared" si="595"/>
        <v>#N/A</v>
      </c>
      <c r="FV285" s="89" t="e">
        <f t="shared" si="595"/>
        <v>#N/A</v>
      </c>
      <c r="FW285" s="89" t="e">
        <f t="shared" si="595"/>
        <v>#N/A</v>
      </c>
      <c r="FX285" s="89" t="e">
        <f t="shared" si="595"/>
        <v>#N/A</v>
      </c>
      <c r="FY285" s="89" t="e">
        <f t="shared" si="595"/>
        <v>#N/A</v>
      </c>
      <c r="FZ285" s="89" t="e">
        <f t="shared" si="595"/>
        <v>#N/A</v>
      </c>
      <c r="GA285" s="89" t="e">
        <f t="shared" si="595"/>
        <v>#N/A</v>
      </c>
      <c r="GB285" s="89" t="e">
        <f t="shared" si="595"/>
        <v>#N/A</v>
      </c>
      <c r="GC285" s="89" t="e">
        <f t="shared" si="595"/>
        <v>#N/A</v>
      </c>
      <c r="GD285" s="89" t="e">
        <f t="shared" si="595"/>
        <v>#N/A</v>
      </c>
      <c r="GE285" s="89" t="e">
        <f t="shared" si="595"/>
        <v>#N/A</v>
      </c>
      <c r="GF285" s="89" t="e">
        <f t="shared" si="595"/>
        <v>#N/A</v>
      </c>
      <c r="GG285" s="89" t="e">
        <f t="shared" si="595"/>
        <v>#N/A</v>
      </c>
      <c r="GH285" s="89" t="e">
        <f t="shared" si="595"/>
        <v>#N/A</v>
      </c>
      <c r="GI285" s="89" t="e">
        <f t="shared" si="595"/>
        <v>#N/A</v>
      </c>
      <c r="GJ285" s="89" t="e">
        <f t="shared" si="595"/>
        <v>#N/A</v>
      </c>
      <c r="GK285" s="89" t="e">
        <f t="shared" si="595"/>
        <v>#N/A</v>
      </c>
      <c r="GL285" s="89" t="e">
        <f t="shared" si="595"/>
        <v>#N/A</v>
      </c>
      <c r="GM285" s="89" t="e">
        <f t="shared" si="595"/>
        <v>#N/A</v>
      </c>
      <c r="GN285" s="89" t="e">
        <f t="shared" si="595"/>
        <v>#N/A</v>
      </c>
      <c r="GO285" s="89" t="e">
        <f t="shared" si="595"/>
        <v>#N/A</v>
      </c>
      <c r="GP285" s="89" t="e">
        <f t="shared" si="595"/>
        <v>#N/A</v>
      </c>
      <c r="GQ285" s="89" t="e">
        <f t="shared" si="595"/>
        <v>#N/A</v>
      </c>
      <c r="GR285" s="89" t="e">
        <f t="shared" si="595"/>
        <v>#N/A</v>
      </c>
      <c r="GS285" s="89" t="e">
        <f t="shared" si="595"/>
        <v>#N/A</v>
      </c>
      <c r="GT285" s="89" t="e">
        <f t="shared" si="595"/>
        <v>#N/A</v>
      </c>
      <c r="GU285" s="89" t="e">
        <f t="shared" si="595"/>
        <v>#N/A</v>
      </c>
      <c r="GV285" s="89" t="e">
        <f t="shared" ref="GV285:JH285" si="596">ROUND(GV$284/$F$284,5)</f>
        <v>#N/A</v>
      </c>
      <c r="GW285" s="89" t="e">
        <f t="shared" si="596"/>
        <v>#N/A</v>
      </c>
      <c r="GX285" s="89" t="e">
        <f t="shared" si="596"/>
        <v>#N/A</v>
      </c>
      <c r="GY285" s="89" t="e">
        <f t="shared" si="596"/>
        <v>#N/A</v>
      </c>
      <c r="GZ285" s="89" t="e">
        <f t="shared" si="596"/>
        <v>#N/A</v>
      </c>
      <c r="HA285" s="89" t="e">
        <f t="shared" si="596"/>
        <v>#N/A</v>
      </c>
      <c r="HB285" s="89" t="e">
        <f t="shared" si="596"/>
        <v>#N/A</v>
      </c>
      <c r="HC285" s="89" t="e">
        <f t="shared" si="596"/>
        <v>#N/A</v>
      </c>
      <c r="HD285" s="89" t="e">
        <f t="shared" si="596"/>
        <v>#N/A</v>
      </c>
      <c r="HE285" s="89" t="e">
        <f t="shared" si="596"/>
        <v>#N/A</v>
      </c>
      <c r="HF285" s="89" t="e">
        <f t="shared" si="596"/>
        <v>#N/A</v>
      </c>
      <c r="HG285" s="89" t="e">
        <f t="shared" si="596"/>
        <v>#N/A</v>
      </c>
      <c r="HH285" s="89" t="e">
        <f t="shared" si="596"/>
        <v>#N/A</v>
      </c>
      <c r="HI285" s="89" t="e">
        <f t="shared" si="596"/>
        <v>#N/A</v>
      </c>
      <c r="HJ285" s="89" t="e">
        <f t="shared" si="596"/>
        <v>#N/A</v>
      </c>
      <c r="HK285" s="89" t="e">
        <f t="shared" si="596"/>
        <v>#N/A</v>
      </c>
      <c r="HL285" s="89" t="e">
        <f t="shared" si="596"/>
        <v>#N/A</v>
      </c>
      <c r="HM285" s="89" t="e">
        <f t="shared" si="596"/>
        <v>#N/A</v>
      </c>
      <c r="HN285" s="89" t="e">
        <f t="shared" si="596"/>
        <v>#N/A</v>
      </c>
      <c r="HO285" s="89" t="e">
        <f t="shared" si="596"/>
        <v>#N/A</v>
      </c>
      <c r="HP285" s="89" t="e">
        <f t="shared" si="596"/>
        <v>#N/A</v>
      </c>
      <c r="HQ285" s="89" t="e">
        <f t="shared" si="596"/>
        <v>#N/A</v>
      </c>
      <c r="HR285" s="89" t="e">
        <f t="shared" si="596"/>
        <v>#N/A</v>
      </c>
      <c r="HS285" s="89" t="e">
        <f t="shared" si="596"/>
        <v>#N/A</v>
      </c>
      <c r="HT285" s="89" t="e">
        <f t="shared" si="596"/>
        <v>#N/A</v>
      </c>
      <c r="HU285" s="89" t="e">
        <f t="shared" si="596"/>
        <v>#N/A</v>
      </c>
      <c r="HV285" s="89" t="e">
        <f t="shared" si="596"/>
        <v>#N/A</v>
      </c>
      <c r="HW285" s="89" t="e">
        <f t="shared" si="596"/>
        <v>#N/A</v>
      </c>
      <c r="HX285" s="89" t="e">
        <f t="shared" si="596"/>
        <v>#N/A</v>
      </c>
      <c r="HY285" s="89" t="e">
        <f t="shared" si="596"/>
        <v>#N/A</v>
      </c>
      <c r="HZ285" s="89" t="e">
        <f t="shared" si="596"/>
        <v>#N/A</v>
      </c>
      <c r="IA285" s="89" t="e">
        <f t="shared" si="596"/>
        <v>#N/A</v>
      </c>
      <c r="IB285" s="89" t="e">
        <f t="shared" si="596"/>
        <v>#N/A</v>
      </c>
      <c r="IC285" s="89" t="e">
        <f t="shared" si="596"/>
        <v>#N/A</v>
      </c>
      <c r="ID285" s="89" t="e">
        <f t="shared" si="596"/>
        <v>#N/A</v>
      </c>
      <c r="IE285" s="89" t="e">
        <f t="shared" si="596"/>
        <v>#N/A</v>
      </c>
      <c r="IF285" s="89" t="e">
        <f t="shared" si="596"/>
        <v>#N/A</v>
      </c>
      <c r="IG285" s="89" t="e">
        <f t="shared" si="596"/>
        <v>#N/A</v>
      </c>
      <c r="IH285" s="89" t="e">
        <f t="shared" si="596"/>
        <v>#N/A</v>
      </c>
      <c r="II285" s="89" t="e">
        <f t="shared" si="596"/>
        <v>#N/A</v>
      </c>
      <c r="IJ285" s="89" t="e">
        <f t="shared" si="596"/>
        <v>#N/A</v>
      </c>
      <c r="IK285" s="89" t="e">
        <f t="shared" si="596"/>
        <v>#N/A</v>
      </c>
      <c r="IL285" s="89" t="e">
        <f t="shared" si="596"/>
        <v>#N/A</v>
      </c>
      <c r="IM285" s="89" t="e">
        <f t="shared" si="596"/>
        <v>#N/A</v>
      </c>
      <c r="IN285" s="89" t="e">
        <f t="shared" si="596"/>
        <v>#N/A</v>
      </c>
      <c r="IO285" s="89" t="e">
        <f t="shared" si="596"/>
        <v>#N/A</v>
      </c>
      <c r="IP285" s="89" t="e">
        <f t="shared" si="596"/>
        <v>#N/A</v>
      </c>
      <c r="IQ285" s="89" t="e">
        <f t="shared" si="596"/>
        <v>#N/A</v>
      </c>
      <c r="IR285" s="89" t="e">
        <f t="shared" si="596"/>
        <v>#N/A</v>
      </c>
      <c r="IS285" s="89" t="e">
        <f t="shared" si="596"/>
        <v>#N/A</v>
      </c>
      <c r="IT285" s="89" t="e">
        <f t="shared" si="596"/>
        <v>#N/A</v>
      </c>
      <c r="IU285" s="89" t="e">
        <f t="shared" si="596"/>
        <v>#N/A</v>
      </c>
      <c r="IV285" s="89" t="e">
        <f t="shared" si="596"/>
        <v>#N/A</v>
      </c>
      <c r="IW285" s="89" t="e">
        <f t="shared" si="596"/>
        <v>#N/A</v>
      </c>
      <c r="IX285" s="89" t="e">
        <f t="shared" si="596"/>
        <v>#N/A</v>
      </c>
      <c r="IY285" s="89" t="e">
        <f t="shared" si="596"/>
        <v>#N/A</v>
      </c>
      <c r="IZ285" s="89" t="e">
        <f t="shared" si="596"/>
        <v>#N/A</v>
      </c>
      <c r="JA285" s="89" t="e">
        <f t="shared" si="596"/>
        <v>#N/A</v>
      </c>
      <c r="JB285" s="89" t="e">
        <f t="shared" si="596"/>
        <v>#N/A</v>
      </c>
      <c r="JC285" s="89" t="e">
        <f t="shared" si="596"/>
        <v>#N/A</v>
      </c>
      <c r="JD285" s="89" t="e">
        <f t="shared" si="596"/>
        <v>#N/A</v>
      </c>
      <c r="JE285" s="89" t="e">
        <f t="shared" si="596"/>
        <v>#N/A</v>
      </c>
      <c r="JF285" s="89" t="e">
        <f t="shared" si="596"/>
        <v>#N/A</v>
      </c>
      <c r="JG285" s="89" t="e">
        <f t="shared" si="596"/>
        <v>#N/A</v>
      </c>
      <c r="JH285" s="89" t="e">
        <f t="shared" si="596"/>
        <v>#N/A</v>
      </c>
      <c r="JI285" s="89" t="e">
        <f t="shared" ref="JI285:LT285" si="597">ROUND(JI$284/$F$284,5)</f>
        <v>#N/A</v>
      </c>
      <c r="JJ285" s="89" t="e">
        <f t="shared" si="597"/>
        <v>#N/A</v>
      </c>
      <c r="JK285" s="89" t="e">
        <f t="shared" si="597"/>
        <v>#N/A</v>
      </c>
      <c r="JL285" s="89" t="e">
        <f t="shared" si="597"/>
        <v>#N/A</v>
      </c>
      <c r="JM285" s="89" t="e">
        <f t="shared" si="597"/>
        <v>#N/A</v>
      </c>
      <c r="JN285" s="89" t="e">
        <f t="shared" si="597"/>
        <v>#N/A</v>
      </c>
      <c r="JO285" s="89" t="e">
        <f t="shared" si="597"/>
        <v>#N/A</v>
      </c>
      <c r="JP285" s="89" t="e">
        <f t="shared" si="597"/>
        <v>#N/A</v>
      </c>
      <c r="JQ285" s="89" t="e">
        <f t="shared" si="597"/>
        <v>#N/A</v>
      </c>
      <c r="JR285" s="89" t="e">
        <f t="shared" si="597"/>
        <v>#N/A</v>
      </c>
      <c r="JS285" s="89" t="e">
        <f t="shared" si="597"/>
        <v>#N/A</v>
      </c>
      <c r="JT285" s="89" t="e">
        <f t="shared" si="597"/>
        <v>#N/A</v>
      </c>
      <c r="JU285" s="89" t="e">
        <f t="shared" si="597"/>
        <v>#N/A</v>
      </c>
      <c r="JV285" s="89" t="e">
        <f t="shared" si="597"/>
        <v>#N/A</v>
      </c>
      <c r="JW285" s="89" t="e">
        <f t="shared" si="597"/>
        <v>#N/A</v>
      </c>
      <c r="JX285" s="89" t="e">
        <f t="shared" si="597"/>
        <v>#N/A</v>
      </c>
      <c r="JY285" s="89" t="e">
        <f t="shared" si="597"/>
        <v>#N/A</v>
      </c>
      <c r="JZ285" s="89" t="e">
        <f t="shared" si="597"/>
        <v>#N/A</v>
      </c>
      <c r="KA285" s="89" t="e">
        <f t="shared" si="597"/>
        <v>#N/A</v>
      </c>
      <c r="KB285" s="89" t="e">
        <f t="shared" si="597"/>
        <v>#N/A</v>
      </c>
      <c r="KC285" s="89" t="e">
        <f t="shared" si="597"/>
        <v>#N/A</v>
      </c>
      <c r="KD285" s="89" t="e">
        <f t="shared" si="597"/>
        <v>#N/A</v>
      </c>
      <c r="KE285" s="89" t="e">
        <f t="shared" si="597"/>
        <v>#N/A</v>
      </c>
      <c r="KF285" s="89" t="e">
        <f t="shared" si="597"/>
        <v>#N/A</v>
      </c>
      <c r="KG285" s="89" t="e">
        <f t="shared" si="597"/>
        <v>#N/A</v>
      </c>
      <c r="KH285" s="89" t="e">
        <f t="shared" si="597"/>
        <v>#N/A</v>
      </c>
      <c r="KI285" s="89" t="e">
        <f t="shared" si="597"/>
        <v>#N/A</v>
      </c>
      <c r="KJ285" s="89" t="e">
        <f t="shared" si="597"/>
        <v>#N/A</v>
      </c>
      <c r="KK285" s="89" t="e">
        <f t="shared" si="597"/>
        <v>#N/A</v>
      </c>
      <c r="KL285" s="89" t="e">
        <f t="shared" si="597"/>
        <v>#N/A</v>
      </c>
      <c r="KM285" s="89" t="e">
        <f t="shared" si="597"/>
        <v>#N/A</v>
      </c>
      <c r="KN285" s="89" t="e">
        <f t="shared" si="597"/>
        <v>#N/A</v>
      </c>
      <c r="KO285" s="89" t="e">
        <f t="shared" si="597"/>
        <v>#N/A</v>
      </c>
      <c r="KP285" s="89" t="e">
        <f t="shared" si="597"/>
        <v>#N/A</v>
      </c>
      <c r="KQ285" s="89" t="e">
        <f t="shared" si="597"/>
        <v>#N/A</v>
      </c>
      <c r="KR285" s="89" t="e">
        <f t="shared" si="597"/>
        <v>#N/A</v>
      </c>
      <c r="KS285" s="89" t="e">
        <f t="shared" si="597"/>
        <v>#N/A</v>
      </c>
      <c r="KT285" s="89" t="e">
        <f t="shared" si="597"/>
        <v>#N/A</v>
      </c>
      <c r="KU285" s="89" t="e">
        <f t="shared" si="597"/>
        <v>#N/A</v>
      </c>
      <c r="KV285" s="89" t="e">
        <f t="shared" si="597"/>
        <v>#N/A</v>
      </c>
      <c r="KW285" s="89" t="e">
        <f t="shared" si="597"/>
        <v>#N/A</v>
      </c>
      <c r="KX285" s="89" t="e">
        <f t="shared" si="597"/>
        <v>#N/A</v>
      </c>
      <c r="KY285" s="89" t="e">
        <f t="shared" si="597"/>
        <v>#N/A</v>
      </c>
      <c r="KZ285" s="89" t="e">
        <f t="shared" si="597"/>
        <v>#N/A</v>
      </c>
      <c r="LA285" s="89" t="e">
        <f t="shared" si="597"/>
        <v>#N/A</v>
      </c>
      <c r="LB285" s="89" t="e">
        <f t="shared" si="597"/>
        <v>#N/A</v>
      </c>
      <c r="LC285" s="89" t="e">
        <f t="shared" si="597"/>
        <v>#N/A</v>
      </c>
      <c r="LD285" s="89" t="e">
        <f t="shared" si="597"/>
        <v>#N/A</v>
      </c>
      <c r="LE285" s="89" t="e">
        <f t="shared" si="597"/>
        <v>#N/A</v>
      </c>
      <c r="LF285" s="89" t="e">
        <f t="shared" si="597"/>
        <v>#N/A</v>
      </c>
      <c r="LG285" s="89" t="e">
        <f t="shared" si="597"/>
        <v>#N/A</v>
      </c>
      <c r="LH285" s="89" t="e">
        <f t="shared" si="597"/>
        <v>#N/A</v>
      </c>
      <c r="LI285" s="89" t="e">
        <f t="shared" si="597"/>
        <v>#N/A</v>
      </c>
      <c r="LJ285" s="89" t="e">
        <f t="shared" si="597"/>
        <v>#N/A</v>
      </c>
      <c r="LK285" s="89" t="e">
        <f t="shared" si="597"/>
        <v>#N/A</v>
      </c>
      <c r="LL285" s="89" t="e">
        <f t="shared" si="597"/>
        <v>#N/A</v>
      </c>
      <c r="LM285" s="89" t="e">
        <f t="shared" si="597"/>
        <v>#N/A</v>
      </c>
      <c r="LN285" s="89" t="e">
        <f t="shared" si="597"/>
        <v>#N/A</v>
      </c>
      <c r="LO285" s="89" t="e">
        <f t="shared" si="597"/>
        <v>#N/A</v>
      </c>
      <c r="LP285" s="89" t="e">
        <f t="shared" si="597"/>
        <v>#N/A</v>
      </c>
      <c r="LQ285" s="89" t="e">
        <f t="shared" si="597"/>
        <v>#N/A</v>
      </c>
      <c r="LR285" s="89" t="e">
        <f t="shared" si="597"/>
        <v>#N/A</v>
      </c>
      <c r="LS285" s="89" t="e">
        <f t="shared" si="597"/>
        <v>#N/A</v>
      </c>
      <c r="LT285" s="89" t="e">
        <f t="shared" si="597"/>
        <v>#N/A</v>
      </c>
      <c r="LU285" s="89" t="e">
        <f t="shared" ref="LU285:OG285" si="598">ROUND(LU$284/$F$284,5)</f>
        <v>#N/A</v>
      </c>
      <c r="LV285" s="89" t="e">
        <f t="shared" si="598"/>
        <v>#N/A</v>
      </c>
      <c r="LW285" s="89" t="e">
        <f t="shared" si="598"/>
        <v>#N/A</v>
      </c>
      <c r="LX285" s="89" t="e">
        <f t="shared" si="598"/>
        <v>#N/A</v>
      </c>
      <c r="LY285" s="89" t="e">
        <f t="shared" si="598"/>
        <v>#N/A</v>
      </c>
      <c r="LZ285" s="89" t="e">
        <f t="shared" si="598"/>
        <v>#N/A</v>
      </c>
      <c r="MA285" s="89" t="e">
        <f t="shared" si="598"/>
        <v>#N/A</v>
      </c>
      <c r="MB285" s="89" t="e">
        <f t="shared" si="598"/>
        <v>#N/A</v>
      </c>
      <c r="MC285" s="89" t="e">
        <f t="shared" si="598"/>
        <v>#N/A</v>
      </c>
      <c r="MD285" s="89" t="e">
        <f t="shared" si="598"/>
        <v>#N/A</v>
      </c>
      <c r="ME285" s="89" t="e">
        <f t="shared" si="598"/>
        <v>#N/A</v>
      </c>
      <c r="MF285" s="89" t="e">
        <f t="shared" si="598"/>
        <v>#N/A</v>
      </c>
      <c r="MG285" s="89" t="e">
        <f t="shared" si="598"/>
        <v>#N/A</v>
      </c>
      <c r="MH285" s="89" t="e">
        <f t="shared" si="598"/>
        <v>#N/A</v>
      </c>
      <c r="MI285" s="89" t="e">
        <f t="shared" si="598"/>
        <v>#N/A</v>
      </c>
      <c r="MJ285" s="89" t="e">
        <f t="shared" si="598"/>
        <v>#N/A</v>
      </c>
      <c r="MK285" s="89" t="e">
        <f t="shared" si="598"/>
        <v>#N/A</v>
      </c>
      <c r="ML285" s="89" t="e">
        <f t="shared" si="598"/>
        <v>#N/A</v>
      </c>
      <c r="MM285" s="89" t="e">
        <f t="shared" si="598"/>
        <v>#N/A</v>
      </c>
      <c r="MN285" s="89" t="e">
        <f t="shared" si="598"/>
        <v>#N/A</v>
      </c>
      <c r="MO285" s="89" t="e">
        <f t="shared" si="598"/>
        <v>#N/A</v>
      </c>
      <c r="MP285" s="89" t="e">
        <f t="shared" si="598"/>
        <v>#N/A</v>
      </c>
      <c r="MQ285" s="89" t="e">
        <f t="shared" si="598"/>
        <v>#N/A</v>
      </c>
      <c r="MR285" s="89" t="e">
        <f t="shared" si="598"/>
        <v>#N/A</v>
      </c>
      <c r="MS285" s="89" t="e">
        <f t="shared" si="598"/>
        <v>#N/A</v>
      </c>
      <c r="MT285" s="89" t="e">
        <f t="shared" si="598"/>
        <v>#N/A</v>
      </c>
      <c r="MU285" s="89" t="e">
        <f t="shared" si="598"/>
        <v>#N/A</v>
      </c>
      <c r="MV285" s="89" t="e">
        <f t="shared" si="598"/>
        <v>#N/A</v>
      </c>
      <c r="MW285" s="89" t="e">
        <f t="shared" si="598"/>
        <v>#N/A</v>
      </c>
      <c r="MX285" s="89" t="e">
        <f t="shared" si="598"/>
        <v>#N/A</v>
      </c>
      <c r="MY285" s="89" t="e">
        <f t="shared" si="598"/>
        <v>#N/A</v>
      </c>
      <c r="MZ285" s="89" t="e">
        <f t="shared" si="598"/>
        <v>#N/A</v>
      </c>
      <c r="NA285" s="89" t="e">
        <f t="shared" si="598"/>
        <v>#N/A</v>
      </c>
      <c r="NB285" s="89" t="e">
        <f t="shared" si="598"/>
        <v>#N/A</v>
      </c>
      <c r="NC285" s="89" t="e">
        <f t="shared" si="598"/>
        <v>#N/A</v>
      </c>
      <c r="ND285" s="89" t="e">
        <f t="shared" si="598"/>
        <v>#N/A</v>
      </c>
      <c r="NE285" s="89" t="e">
        <f t="shared" si="598"/>
        <v>#N/A</v>
      </c>
      <c r="NF285" s="89" t="e">
        <f t="shared" si="598"/>
        <v>#N/A</v>
      </c>
      <c r="NG285" s="89" t="e">
        <f t="shared" si="598"/>
        <v>#N/A</v>
      </c>
      <c r="NH285" s="89" t="e">
        <f t="shared" si="598"/>
        <v>#N/A</v>
      </c>
      <c r="NI285" s="89" t="e">
        <f t="shared" si="598"/>
        <v>#N/A</v>
      </c>
      <c r="NJ285" s="89" t="e">
        <f t="shared" si="598"/>
        <v>#N/A</v>
      </c>
      <c r="NK285" s="89" t="e">
        <f t="shared" si="598"/>
        <v>#N/A</v>
      </c>
      <c r="NL285" s="89" t="e">
        <f t="shared" si="598"/>
        <v>#N/A</v>
      </c>
      <c r="NM285" s="89" t="e">
        <f t="shared" si="598"/>
        <v>#N/A</v>
      </c>
      <c r="NN285" s="89" t="e">
        <f t="shared" si="598"/>
        <v>#N/A</v>
      </c>
      <c r="NO285" s="89" t="e">
        <f t="shared" si="598"/>
        <v>#N/A</v>
      </c>
      <c r="NP285" s="89" t="e">
        <f t="shared" si="598"/>
        <v>#N/A</v>
      </c>
      <c r="NQ285" s="89" t="e">
        <f t="shared" si="598"/>
        <v>#N/A</v>
      </c>
      <c r="NR285" s="89" t="e">
        <f t="shared" si="598"/>
        <v>#N/A</v>
      </c>
      <c r="NS285" s="89" t="e">
        <f t="shared" si="598"/>
        <v>#N/A</v>
      </c>
      <c r="NT285" s="89" t="e">
        <f t="shared" si="598"/>
        <v>#N/A</v>
      </c>
      <c r="NU285" s="89" t="e">
        <f t="shared" si="598"/>
        <v>#N/A</v>
      </c>
      <c r="NV285" s="89" t="e">
        <f t="shared" si="598"/>
        <v>#N/A</v>
      </c>
      <c r="NW285" s="89" t="e">
        <f t="shared" si="598"/>
        <v>#N/A</v>
      </c>
      <c r="NX285" s="89" t="e">
        <f t="shared" si="598"/>
        <v>#N/A</v>
      </c>
      <c r="NY285" s="89" t="e">
        <f t="shared" si="598"/>
        <v>#N/A</v>
      </c>
      <c r="NZ285" s="89" t="e">
        <f t="shared" si="598"/>
        <v>#N/A</v>
      </c>
      <c r="OA285" s="89" t="e">
        <f t="shared" si="598"/>
        <v>#N/A</v>
      </c>
      <c r="OB285" s="89" t="e">
        <f t="shared" si="598"/>
        <v>#N/A</v>
      </c>
      <c r="OC285" s="89" t="e">
        <f t="shared" si="598"/>
        <v>#N/A</v>
      </c>
      <c r="OD285" s="89" t="e">
        <f t="shared" si="598"/>
        <v>#N/A</v>
      </c>
      <c r="OE285" s="89" t="e">
        <f t="shared" si="598"/>
        <v>#N/A</v>
      </c>
      <c r="OF285" s="89" t="e">
        <f t="shared" si="598"/>
        <v>#N/A</v>
      </c>
      <c r="OG285" s="89" t="e">
        <f t="shared" si="598"/>
        <v>#N/A</v>
      </c>
      <c r="OH285" s="89" t="e">
        <f t="shared" ref="OH285:QS285" si="599">ROUND(OH$284/$F$284,5)</f>
        <v>#N/A</v>
      </c>
      <c r="OI285" s="89" t="e">
        <f t="shared" si="599"/>
        <v>#N/A</v>
      </c>
      <c r="OJ285" s="89" t="e">
        <f t="shared" si="599"/>
        <v>#N/A</v>
      </c>
      <c r="OK285" s="89" t="e">
        <f t="shared" si="599"/>
        <v>#N/A</v>
      </c>
      <c r="OL285" s="89" t="e">
        <f t="shared" si="599"/>
        <v>#N/A</v>
      </c>
      <c r="OM285" s="89" t="e">
        <f t="shared" si="599"/>
        <v>#N/A</v>
      </c>
      <c r="ON285" s="89" t="e">
        <f t="shared" si="599"/>
        <v>#N/A</v>
      </c>
      <c r="OO285" s="89" t="e">
        <f t="shared" si="599"/>
        <v>#N/A</v>
      </c>
      <c r="OP285" s="89" t="e">
        <f t="shared" si="599"/>
        <v>#N/A</v>
      </c>
      <c r="OQ285" s="89" t="e">
        <f t="shared" si="599"/>
        <v>#N/A</v>
      </c>
      <c r="OR285" s="89" t="e">
        <f t="shared" si="599"/>
        <v>#N/A</v>
      </c>
      <c r="OS285" s="89" t="e">
        <f t="shared" si="599"/>
        <v>#N/A</v>
      </c>
      <c r="OT285" s="89" t="e">
        <f t="shared" si="599"/>
        <v>#N/A</v>
      </c>
      <c r="OU285" s="89" t="e">
        <f t="shared" si="599"/>
        <v>#N/A</v>
      </c>
      <c r="OV285" s="89" t="e">
        <f t="shared" si="599"/>
        <v>#N/A</v>
      </c>
      <c r="OW285" s="89" t="e">
        <f t="shared" si="599"/>
        <v>#N/A</v>
      </c>
      <c r="OX285" s="89" t="e">
        <f t="shared" si="599"/>
        <v>#N/A</v>
      </c>
      <c r="OY285" s="89" t="e">
        <f t="shared" si="599"/>
        <v>#N/A</v>
      </c>
      <c r="OZ285" s="89" t="e">
        <f t="shared" si="599"/>
        <v>#N/A</v>
      </c>
      <c r="PA285" s="89" t="e">
        <f t="shared" si="599"/>
        <v>#N/A</v>
      </c>
      <c r="PB285" s="89" t="e">
        <f t="shared" si="599"/>
        <v>#N/A</v>
      </c>
      <c r="PC285" s="89" t="e">
        <f t="shared" si="599"/>
        <v>#N/A</v>
      </c>
      <c r="PD285" s="89" t="e">
        <f t="shared" si="599"/>
        <v>#N/A</v>
      </c>
      <c r="PE285" s="89" t="e">
        <f t="shared" si="599"/>
        <v>#N/A</v>
      </c>
      <c r="PF285" s="89" t="e">
        <f t="shared" si="599"/>
        <v>#N/A</v>
      </c>
      <c r="PG285" s="89" t="e">
        <f t="shared" si="599"/>
        <v>#N/A</v>
      </c>
      <c r="PH285" s="89" t="e">
        <f t="shared" si="599"/>
        <v>#N/A</v>
      </c>
      <c r="PI285" s="89" t="e">
        <f t="shared" si="599"/>
        <v>#N/A</v>
      </c>
      <c r="PJ285" s="89" t="e">
        <f t="shared" si="599"/>
        <v>#N/A</v>
      </c>
      <c r="PK285" s="89" t="e">
        <f t="shared" si="599"/>
        <v>#N/A</v>
      </c>
      <c r="PL285" s="89" t="e">
        <f t="shared" si="599"/>
        <v>#N/A</v>
      </c>
      <c r="PM285" s="89" t="e">
        <f t="shared" si="599"/>
        <v>#N/A</v>
      </c>
      <c r="PN285" s="89" t="e">
        <f t="shared" si="599"/>
        <v>#N/A</v>
      </c>
      <c r="PO285" s="89" t="e">
        <f t="shared" si="599"/>
        <v>#N/A</v>
      </c>
      <c r="PP285" s="89" t="e">
        <f t="shared" si="599"/>
        <v>#N/A</v>
      </c>
      <c r="PQ285" s="89" t="e">
        <f t="shared" si="599"/>
        <v>#N/A</v>
      </c>
      <c r="PR285" s="89" t="e">
        <f t="shared" si="599"/>
        <v>#N/A</v>
      </c>
      <c r="PS285" s="89" t="e">
        <f t="shared" si="599"/>
        <v>#N/A</v>
      </c>
      <c r="PT285" s="89" t="e">
        <f t="shared" si="599"/>
        <v>#N/A</v>
      </c>
      <c r="PU285" s="89" t="e">
        <f t="shared" si="599"/>
        <v>#N/A</v>
      </c>
      <c r="PV285" s="89" t="e">
        <f t="shared" si="599"/>
        <v>#N/A</v>
      </c>
      <c r="PW285" s="89" t="e">
        <f t="shared" si="599"/>
        <v>#N/A</v>
      </c>
      <c r="PX285" s="89" t="e">
        <f t="shared" si="599"/>
        <v>#N/A</v>
      </c>
      <c r="PY285" s="89" t="e">
        <f t="shared" si="599"/>
        <v>#N/A</v>
      </c>
      <c r="PZ285" s="89" t="e">
        <f t="shared" si="599"/>
        <v>#N/A</v>
      </c>
      <c r="QA285" s="89" t="e">
        <f t="shared" si="599"/>
        <v>#N/A</v>
      </c>
      <c r="QB285" s="89" t="e">
        <f t="shared" si="599"/>
        <v>#N/A</v>
      </c>
      <c r="QC285" s="89" t="e">
        <f t="shared" si="599"/>
        <v>#N/A</v>
      </c>
      <c r="QD285" s="89" t="e">
        <f t="shared" si="599"/>
        <v>#N/A</v>
      </c>
      <c r="QE285" s="89" t="e">
        <f t="shared" si="599"/>
        <v>#N/A</v>
      </c>
      <c r="QF285" s="89" t="e">
        <f t="shared" si="599"/>
        <v>#N/A</v>
      </c>
      <c r="QG285" s="89" t="e">
        <f t="shared" si="599"/>
        <v>#N/A</v>
      </c>
      <c r="QH285" s="89" t="e">
        <f t="shared" si="599"/>
        <v>#N/A</v>
      </c>
      <c r="QI285" s="89" t="e">
        <f t="shared" si="599"/>
        <v>#N/A</v>
      </c>
      <c r="QJ285" s="89" t="e">
        <f t="shared" si="599"/>
        <v>#N/A</v>
      </c>
      <c r="QK285" s="89" t="e">
        <f t="shared" si="599"/>
        <v>#N/A</v>
      </c>
      <c r="QL285" s="89" t="e">
        <f t="shared" si="599"/>
        <v>#N/A</v>
      </c>
      <c r="QM285" s="89" t="e">
        <f t="shared" si="599"/>
        <v>#N/A</v>
      </c>
      <c r="QN285" s="89" t="e">
        <f t="shared" si="599"/>
        <v>#N/A</v>
      </c>
      <c r="QO285" s="89" t="e">
        <f t="shared" si="599"/>
        <v>#N/A</v>
      </c>
      <c r="QP285" s="89" t="e">
        <f t="shared" si="599"/>
        <v>#N/A</v>
      </c>
      <c r="QQ285" s="89" t="e">
        <f t="shared" si="599"/>
        <v>#N/A</v>
      </c>
      <c r="QR285" s="89" t="e">
        <f t="shared" si="599"/>
        <v>#N/A</v>
      </c>
      <c r="QS285" s="89" t="e">
        <f t="shared" si="599"/>
        <v>#N/A</v>
      </c>
      <c r="QT285" s="89" t="e">
        <f t="shared" ref="QT285:TF285" si="600">ROUND(QT$284/$F$284,5)</f>
        <v>#N/A</v>
      </c>
      <c r="QU285" s="89" t="e">
        <f t="shared" si="600"/>
        <v>#N/A</v>
      </c>
      <c r="QV285" s="89" t="e">
        <f t="shared" si="600"/>
        <v>#N/A</v>
      </c>
      <c r="QW285" s="89" t="e">
        <f t="shared" si="600"/>
        <v>#N/A</v>
      </c>
      <c r="QX285" s="89" t="e">
        <f t="shared" si="600"/>
        <v>#N/A</v>
      </c>
      <c r="QY285" s="89" t="e">
        <f t="shared" si="600"/>
        <v>#N/A</v>
      </c>
      <c r="QZ285" s="89" t="e">
        <f t="shared" si="600"/>
        <v>#N/A</v>
      </c>
      <c r="RA285" s="89" t="e">
        <f t="shared" si="600"/>
        <v>#N/A</v>
      </c>
      <c r="RB285" s="89" t="e">
        <f t="shared" si="600"/>
        <v>#N/A</v>
      </c>
      <c r="RC285" s="89" t="e">
        <f t="shared" si="600"/>
        <v>#N/A</v>
      </c>
      <c r="RD285" s="89" t="e">
        <f t="shared" si="600"/>
        <v>#N/A</v>
      </c>
      <c r="RE285" s="89" t="e">
        <f t="shared" si="600"/>
        <v>#N/A</v>
      </c>
      <c r="RF285" s="89" t="e">
        <f t="shared" si="600"/>
        <v>#N/A</v>
      </c>
      <c r="RG285" s="89" t="e">
        <f t="shared" si="600"/>
        <v>#N/A</v>
      </c>
      <c r="RH285" s="89" t="e">
        <f t="shared" si="600"/>
        <v>#N/A</v>
      </c>
      <c r="RI285" s="89" t="e">
        <f t="shared" si="600"/>
        <v>#N/A</v>
      </c>
      <c r="RJ285" s="89" t="e">
        <f t="shared" si="600"/>
        <v>#N/A</v>
      </c>
      <c r="RK285" s="89" t="e">
        <f t="shared" si="600"/>
        <v>#N/A</v>
      </c>
      <c r="RL285" s="89" t="e">
        <f t="shared" si="600"/>
        <v>#N/A</v>
      </c>
      <c r="RM285" s="89" t="e">
        <f t="shared" si="600"/>
        <v>#N/A</v>
      </c>
      <c r="RN285" s="89" t="e">
        <f t="shared" si="600"/>
        <v>#N/A</v>
      </c>
      <c r="RO285" s="89" t="e">
        <f t="shared" si="600"/>
        <v>#N/A</v>
      </c>
      <c r="RP285" s="89" t="e">
        <f t="shared" si="600"/>
        <v>#N/A</v>
      </c>
      <c r="RQ285" s="89" t="e">
        <f t="shared" si="600"/>
        <v>#N/A</v>
      </c>
      <c r="RR285" s="89" t="e">
        <f t="shared" si="600"/>
        <v>#N/A</v>
      </c>
      <c r="RS285" s="89" t="e">
        <f t="shared" si="600"/>
        <v>#N/A</v>
      </c>
      <c r="RT285" s="89" t="e">
        <f t="shared" si="600"/>
        <v>#N/A</v>
      </c>
      <c r="RU285" s="89" t="e">
        <f t="shared" si="600"/>
        <v>#N/A</v>
      </c>
      <c r="RV285" s="89" t="e">
        <f t="shared" si="600"/>
        <v>#N/A</v>
      </c>
      <c r="RW285" s="89" t="e">
        <f t="shared" si="600"/>
        <v>#N/A</v>
      </c>
      <c r="RX285" s="89" t="e">
        <f t="shared" si="600"/>
        <v>#N/A</v>
      </c>
      <c r="RY285" s="89" t="e">
        <f t="shared" si="600"/>
        <v>#N/A</v>
      </c>
      <c r="RZ285" s="89" t="e">
        <f t="shared" si="600"/>
        <v>#N/A</v>
      </c>
      <c r="SA285" s="89" t="e">
        <f t="shared" si="600"/>
        <v>#N/A</v>
      </c>
      <c r="SB285" s="89" t="e">
        <f t="shared" si="600"/>
        <v>#N/A</v>
      </c>
      <c r="SC285" s="89" t="e">
        <f t="shared" si="600"/>
        <v>#N/A</v>
      </c>
      <c r="SD285" s="89" t="e">
        <f t="shared" si="600"/>
        <v>#N/A</v>
      </c>
      <c r="SE285" s="89" t="e">
        <f t="shared" si="600"/>
        <v>#N/A</v>
      </c>
      <c r="SF285" s="89" t="e">
        <f t="shared" si="600"/>
        <v>#N/A</v>
      </c>
      <c r="SG285" s="89" t="e">
        <f t="shared" si="600"/>
        <v>#N/A</v>
      </c>
      <c r="SH285" s="89" t="e">
        <f t="shared" si="600"/>
        <v>#N/A</v>
      </c>
      <c r="SI285" s="89" t="e">
        <f t="shared" si="600"/>
        <v>#N/A</v>
      </c>
      <c r="SJ285" s="89" t="e">
        <f t="shared" si="600"/>
        <v>#N/A</v>
      </c>
      <c r="SK285" s="89" t="e">
        <f t="shared" si="600"/>
        <v>#N/A</v>
      </c>
      <c r="SL285" s="89" t="e">
        <f t="shared" si="600"/>
        <v>#N/A</v>
      </c>
      <c r="SM285" s="89" t="e">
        <f t="shared" si="600"/>
        <v>#N/A</v>
      </c>
      <c r="SN285" s="89" t="e">
        <f t="shared" si="600"/>
        <v>#N/A</v>
      </c>
      <c r="SO285" s="89" t="e">
        <f t="shared" si="600"/>
        <v>#N/A</v>
      </c>
      <c r="SP285" s="89" t="e">
        <f t="shared" si="600"/>
        <v>#N/A</v>
      </c>
      <c r="SQ285" s="89" t="e">
        <f t="shared" si="600"/>
        <v>#N/A</v>
      </c>
      <c r="SR285" s="89" t="e">
        <f t="shared" si="600"/>
        <v>#N/A</v>
      </c>
      <c r="SS285" s="89" t="e">
        <f t="shared" si="600"/>
        <v>#N/A</v>
      </c>
      <c r="ST285" s="89" t="e">
        <f t="shared" si="600"/>
        <v>#N/A</v>
      </c>
      <c r="SU285" s="89" t="e">
        <f t="shared" si="600"/>
        <v>#N/A</v>
      </c>
      <c r="SV285" s="89" t="e">
        <f t="shared" si="600"/>
        <v>#N/A</v>
      </c>
      <c r="SW285" s="89" t="e">
        <f t="shared" si="600"/>
        <v>#N/A</v>
      </c>
      <c r="SX285" s="89" t="e">
        <f t="shared" si="600"/>
        <v>#N/A</v>
      </c>
      <c r="SY285" s="89" t="e">
        <f t="shared" si="600"/>
        <v>#N/A</v>
      </c>
      <c r="SZ285" s="89" t="e">
        <f t="shared" si="600"/>
        <v>#N/A</v>
      </c>
      <c r="TA285" s="89" t="e">
        <f t="shared" si="600"/>
        <v>#N/A</v>
      </c>
      <c r="TB285" s="89" t="e">
        <f t="shared" si="600"/>
        <v>#N/A</v>
      </c>
      <c r="TC285" s="89" t="e">
        <f t="shared" si="600"/>
        <v>#N/A</v>
      </c>
      <c r="TD285" s="89" t="e">
        <f t="shared" si="600"/>
        <v>#N/A</v>
      </c>
      <c r="TE285" s="89" t="e">
        <f t="shared" si="600"/>
        <v>#N/A</v>
      </c>
      <c r="TF285" s="89" t="e">
        <f t="shared" si="600"/>
        <v>#N/A</v>
      </c>
      <c r="TG285" s="89" t="e">
        <f t="shared" ref="TG285:VR285" si="601">ROUND(TG$284/$F$284,5)</f>
        <v>#N/A</v>
      </c>
      <c r="TH285" s="89" t="e">
        <f t="shared" si="601"/>
        <v>#N/A</v>
      </c>
      <c r="TI285" s="89" t="e">
        <f t="shared" si="601"/>
        <v>#N/A</v>
      </c>
      <c r="TJ285" s="89" t="e">
        <f t="shared" si="601"/>
        <v>#N/A</v>
      </c>
      <c r="TK285" s="89" t="e">
        <f t="shared" si="601"/>
        <v>#N/A</v>
      </c>
      <c r="TL285" s="89" t="e">
        <f t="shared" si="601"/>
        <v>#N/A</v>
      </c>
      <c r="TM285" s="89" t="e">
        <f t="shared" si="601"/>
        <v>#N/A</v>
      </c>
      <c r="TN285" s="89" t="e">
        <f t="shared" si="601"/>
        <v>#N/A</v>
      </c>
      <c r="TO285" s="89" t="e">
        <f t="shared" si="601"/>
        <v>#N/A</v>
      </c>
      <c r="TP285" s="89" t="e">
        <f t="shared" si="601"/>
        <v>#N/A</v>
      </c>
      <c r="TQ285" s="89" t="e">
        <f t="shared" si="601"/>
        <v>#N/A</v>
      </c>
      <c r="TR285" s="89" t="e">
        <f t="shared" si="601"/>
        <v>#N/A</v>
      </c>
      <c r="TS285" s="89" t="e">
        <f t="shared" si="601"/>
        <v>#N/A</v>
      </c>
      <c r="TT285" s="89" t="e">
        <f t="shared" si="601"/>
        <v>#N/A</v>
      </c>
      <c r="TU285" s="89" t="e">
        <f t="shared" si="601"/>
        <v>#N/A</v>
      </c>
      <c r="TV285" s="89" t="e">
        <f t="shared" si="601"/>
        <v>#N/A</v>
      </c>
      <c r="TW285" s="89" t="e">
        <f t="shared" si="601"/>
        <v>#N/A</v>
      </c>
      <c r="TX285" s="89" t="e">
        <f t="shared" si="601"/>
        <v>#N/A</v>
      </c>
      <c r="TY285" s="89" t="e">
        <f t="shared" si="601"/>
        <v>#N/A</v>
      </c>
      <c r="TZ285" s="89" t="e">
        <f t="shared" si="601"/>
        <v>#N/A</v>
      </c>
      <c r="UA285" s="89" t="e">
        <f t="shared" si="601"/>
        <v>#N/A</v>
      </c>
      <c r="UB285" s="89" t="e">
        <f t="shared" si="601"/>
        <v>#N/A</v>
      </c>
      <c r="UC285" s="89" t="e">
        <f t="shared" si="601"/>
        <v>#N/A</v>
      </c>
      <c r="UD285" s="89" t="e">
        <f t="shared" si="601"/>
        <v>#N/A</v>
      </c>
      <c r="UE285" s="89" t="e">
        <f t="shared" si="601"/>
        <v>#N/A</v>
      </c>
      <c r="UF285" s="89" t="e">
        <f t="shared" si="601"/>
        <v>#N/A</v>
      </c>
      <c r="UG285" s="89" t="e">
        <f t="shared" si="601"/>
        <v>#N/A</v>
      </c>
      <c r="UH285" s="89" t="e">
        <f t="shared" si="601"/>
        <v>#N/A</v>
      </c>
      <c r="UI285" s="89" t="e">
        <f t="shared" si="601"/>
        <v>#N/A</v>
      </c>
      <c r="UJ285" s="89" t="e">
        <f t="shared" si="601"/>
        <v>#N/A</v>
      </c>
      <c r="UK285" s="89" t="e">
        <f t="shared" si="601"/>
        <v>#N/A</v>
      </c>
      <c r="UL285" s="89" t="e">
        <f t="shared" si="601"/>
        <v>#N/A</v>
      </c>
      <c r="UM285" s="89" t="e">
        <f t="shared" si="601"/>
        <v>#N/A</v>
      </c>
      <c r="UN285" s="89" t="e">
        <f t="shared" si="601"/>
        <v>#N/A</v>
      </c>
      <c r="UO285" s="89" t="e">
        <f t="shared" si="601"/>
        <v>#N/A</v>
      </c>
      <c r="UP285" s="89" t="e">
        <f t="shared" si="601"/>
        <v>#N/A</v>
      </c>
      <c r="UQ285" s="89" t="e">
        <f t="shared" si="601"/>
        <v>#N/A</v>
      </c>
      <c r="UR285" s="89" t="e">
        <f t="shared" si="601"/>
        <v>#N/A</v>
      </c>
      <c r="US285" s="89" t="e">
        <f t="shared" si="601"/>
        <v>#N/A</v>
      </c>
      <c r="UT285" s="89" t="e">
        <f t="shared" si="601"/>
        <v>#N/A</v>
      </c>
      <c r="UU285" s="89" t="e">
        <f t="shared" si="601"/>
        <v>#N/A</v>
      </c>
      <c r="UV285" s="89" t="e">
        <f t="shared" si="601"/>
        <v>#N/A</v>
      </c>
      <c r="UW285" s="89" t="e">
        <f t="shared" si="601"/>
        <v>#N/A</v>
      </c>
      <c r="UX285" s="89" t="e">
        <f t="shared" si="601"/>
        <v>#N/A</v>
      </c>
      <c r="UY285" s="89" t="e">
        <f t="shared" si="601"/>
        <v>#N/A</v>
      </c>
      <c r="UZ285" s="89" t="e">
        <f t="shared" si="601"/>
        <v>#N/A</v>
      </c>
      <c r="VA285" s="89" t="e">
        <f t="shared" si="601"/>
        <v>#N/A</v>
      </c>
      <c r="VB285" s="89" t="e">
        <f t="shared" si="601"/>
        <v>#N/A</v>
      </c>
      <c r="VC285" s="89" t="e">
        <f t="shared" si="601"/>
        <v>#N/A</v>
      </c>
      <c r="VD285" s="89" t="e">
        <f t="shared" si="601"/>
        <v>#N/A</v>
      </c>
      <c r="VE285" s="89" t="e">
        <f t="shared" si="601"/>
        <v>#N/A</v>
      </c>
      <c r="VF285" s="89" t="e">
        <f t="shared" si="601"/>
        <v>#N/A</v>
      </c>
      <c r="VG285" s="89" t="e">
        <f t="shared" si="601"/>
        <v>#N/A</v>
      </c>
      <c r="VH285" s="89" t="e">
        <f t="shared" si="601"/>
        <v>#N/A</v>
      </c>
      <c r="VI285" s="89" t="e">
        <f t="shared" si="601"/>
        <v>#N/A</v>
      </c>
      <c r="VJ285" s="89" t="e">
        <f t="shared" si="601"/>
        <v>#N/A</v>
      </c>
      <c r="VK285" s="89" t="e">
        <f t="shared" si="601"/>
        <v>#N/A</v>
      </c>
      <c r="VL285" s="89" t="e">
        <f t="shared" si="601"/>
        <v>#N/A</v>
      </c>
      <c r="VM285" s="89" t="e">
        <f t="shared" si="601"/>
        <v>#N/A</v>
      </c>
      <c r="VN285" s="89" t="e">
        <f t="shared" si="601"/>
        <v>#N/A</v>
      </c>
      <c r="VO285" s="89" t="e">
        <f t="shared" si="601"/>
        <v>#N/A</v>
      </c>
      <c r="VP285" s="89" t="e">
        <f t="shared" si="601"/>
        <v>#N/A</v>
      </c>
      <c r="VQ285" s="89" t="e">
        <f t="shared" si="601"/>
        <v>#N/A</v>
      </c>
      <c r="VR285" s="89" t="e">
        <f t="shared" si="601"/>
        <v>#N/A</v>
      </c>
      <c r="VS285" s="89" t="e">
        <f t="shared" ref="VS285:WF285" si="602">ROUND(VS$284/$F$284,5)</f>
        <v>#N/A</v>
      </c>
      <c r="VT285" s="89" t="e">
        <f t="shared" si="602"/>
        <v>#N/A</v>
      </c>
      <c r="VU285" s="89" t="e">
        <f t="shared" si="602"/>
        <v>#N/A</v>
      </c>
      <c r="VV285" s="89" t="e">
        <f t="shared" si="602"/>
        <v>#N/A</v>
      </c>
      <c r="VW285" s="89" t="e">
        <f t="shared" si="602"/>
        <v>#N/A</v>
      </c>
      <c r="VX285" s="89" t="e">
        <f t="shared" si="602"/>
        <v>#N/A</v>
      </c>
      <c r="VY285" s="89" t="e">
        <f t="shared" si="602"/>
        <v>#N/A</v>
      </c>
      <c r="VZ285" s="89" t="e">
        <f t="shared" si="602"/>
        <v>#N/A</v>
      </c>
      <c r="WA285" s="89" t="e">
        <f t="shared" si="602"/>
        <v>#N/A</v>
      </c>
      <c r="WB285" s="89" t="e">
        <f t="shared" si="602"/>
        <v>#N/A</v>
      </c>
      <c r="WC285" s="89" t="e">
        <f t="shared" si="602"/>
        <v>#N/A</v>
      </c>
      <c r="WD285" s="89" t="e">
        <f t="shared" si="602"/>
        <v>#N/A</v>
      </c>
      <c r="WE285" s="89" t="e">
        <f t="shared" si="602"/>
        <v>#N/A</v>
      </c>
      <c r="WF285" s="89" t="e">
        <f t="shared" si="602"/>
        <v>#N/A</v>
      </c>
    </row>
    <row r="286" spans="1:604" x14ac:dyDescent="0.3">
      <c r="A286" s="161"/>
      <c r="B286" s="161"/>
      <c r="C286" s="161"/>
      <c r="D286" s="161"/>
      <c r="E286" s="161"/>
      <c r="F286" s="161"/>
      <c r="G286" s="161"/>
      <c r="H286" s="161"/>
      <c r="I286" s="161"/>
      <c r="J286" s="89" t="e">
        <f>J285</f>
        <v>#N/A</v>
      </c>
      <c r="K286" s="89" t="e">
        <f>K285+J286</f>
        <v>#N/A</v>
      </c>
      <c r="L286" s="89" t="e">
        <f t="shared" ref="L286:BR286" si="603">L285+K286</f>
        <v>#N/A</v>
      </c>
      <c r="M286" s="89" t="e">
        <f t="shared" si="603"/>
        <v>#N/A</v>
      </c>
      <c r="N286" s="89" t="e">
        <f t="shared" si="603"/>
        <v>#N/A</v>
      </c>
      <c r="O286" s="89" t="e">
        <f t="shared" si="603"/>
        <v>#N/A</v>
      </c>
      <c r="P286" s="89" t="e">
        <f t="shared" si="603"/>
        <v>#N/A</v>
      </c>
      <c r="Q286" s="89" t="e">
        <f t="shared" si="603"/>
        <v>#N/A</v>
      </c>
      <c r="R286" s="89" t="e">
        <f t="shared" si="603"/>
        <v>#N/A</v>
      </c>
      <c r="S286" s="89" t="e">
        <f t="shared" si="603"/>
        <v>#N/A</v>
      </c>
      <c r="T286" s="89" t="e">
        <f t="shared" si="603"/>
        <v>#N/A</v>
      </c>
      <c r="U286" s="89" t="e">
        <f t="shared" si="603"/>
        <v>#N/A</v>
      </c>
      <c r="V286" s="89" t="e">
        <f t="shared" si="603"/>
        <v>#N/A</v>
      </c>
      <c r="W286" s="89" t="e">
        <f t="shared" si="603"/>
        <v>#N/A</v>
      </c>
      <c r="X286" s="89" t="e">
        <f t="shared" si="603"/>
        <v>#N/A</v>
      </c>
      <c r="Y286" s="89" t="e">
        <f t="shared" si="603"/>
        <v>#N/A</v>
      </c>
      <c r="Z286" s="89" t="e">
        <f t="shared" si="603"/>
        <v>#N/A</v>
      </c>
      <c r="AA286" s="89" t="e">
        <f t="shared" si="603"/>
        <v>#N/A</v>
      </c>
      <c r="AB286" s="89" t="e">
        <f t="shared" si="603"/>
        <v>#N/A</v>
      </c>
      <c r="AC286" s="89" t="e">
        <f t="shared" si="603"/>
        <v>#N/A</v>
      </c>
      <c r="AD286" s="89" t="e">
        <f t="shared" si="603"/>
        <v>#N/A</v>
      </c>
      <c r="AE286" s="89" t="e">
        <f t="shared" si="603"/>
        <v>#N/A</v>
      </c>
      <c r="AF286" s="89" t="e">
        <f t="shared" si="603"/>
        <v>#N/A</v>
      </c>
      <c r="AG286" s="89" t="e">
        <f t="shared" si="603"/>
        <v>#N/A</v>
      </c>
      <c r="AH286" s="89" t="e">
        <f t="shared" si="603"/>
        <v>#N/A</v>
      </c>
      <c r="AI286" s="89" t="e">
        <f t="shared" si="603"/>
        <v>#N/A</v>
      </c>
      <c r="AJ286" s="89" t="e">
        <f t="shared" si="603"/>
        <v>#N/A</v>
      </c>
      <c r="AK286" s="89" t="e">
        <f t="shared" si="603"/>
        <v>#N/A</v>
      </c>
      <c r="AL286" s="89" t="e">
        <f t="shared" si="603"/>
        <v>#N/A</v>
      </c>
      <c r="AM286" s="89" t="e">
        <f t="shared" si="603"/>
        <v>#N/A</v>
      </c>
      <c r="AN286" s="89" t="e">
        <f t="shared" si="603"/>
        <v>#N/A</v>
      </c>
      <c r="AO286" s="89" t="e">
        <f t="shared" si="603"/>
        <v>#N/A</v>
      </c>
      <c r="AP286" s="89" t="e">
        <f t="shared" si="603"/>
        <v>#N/A</v>
      </c>
      <c r="AQ286" s="89" t="e">
        <f t="shared" si="603"/>
        <v>#N/A</v>
      </c>
      <c r="AR286" s="89" t="e">
        <f t="shared" si="603"/>
        <v>#N/A</v>
      </c>
      <c r="AS286" s="89" t="e">
        <f t="shared" si="603"/>
        <v>#N/A</v>
      </c>
      <c r="AT286" s="89" t="e">
        <f t="shared" si="603"/>
        <v>#N/A</v>
      </c>
      <c r="AU286" s="89" t="e">
        <f t="shared" si="603"/>
        <v>#N/A</v>
      </c>
      <c r="AV286" s="89" t="e">
        <f t="shared" si="603"/>
        <v>#N/A</v>
      </c>
      <c r="AW286" s="89" t="e">
        <f t="shared" si="603"/>
        <v>#N/A</v>
      </c>
      <c r="AX286" s="89" t="e">
        <f t="shared" si="603"/>
        <v>#N/A</v>
      </c>
      <c r="AY286" s="89" t="e">
        <f t="shared" si="603"/>
        <v>#N/A</v>
      </c>
      <c r="AZ286" s="89" t="e">
        <f t="shared" si="603"/>
        <v>#N/A</v>
      </c>
      <c r="BA286" s="89" t="e">
        <f t="shared" si="603"/>
        <v>#N/A</v>
      </c>
      <c r="BB286" s="89" t="e">
        <f t="shared" si="603"/>
        <v>#N/A</v>
      </c>
      <c r="BC286" s="89" t="e">
        <f t="shared" si="603"/>
        <v>#N/A</v>
      </c>
      <c r="BD286" s="89" t="e">
        <f t="shared" si="603"/>
        <v>#N/A</v>
      </c>
      <c r="BE286" s="89" t="e">
        <f t="shared" si="603"/>
        <v>#N/A</v>
      </c>
      <c r="BF286" s="89" t="e">
        <f t="shared" si="603"/>
        <v>#N/A</v>
      </c>
      <c r="BG286" s="89" t="e">
        <f t="shared" si="603"/>
        <v>#N/A</v>
      </c>
      <c r="BH286" s="89" t="e">
        <f t="shared" si="603"/>
        <v>#N/A</v>
      </c>
      <c r="BI286" s="89" t="e">
        <f t="shared" si="603"/>
        <v>#N/A</v>
      </c>
      <c r="BJ286" s="89" t="e">
        <f t="shared" si="603"/>
        <v>#N/A</v>
      </c>
      <c r="BK286" s="89" t="e">
        <f t="shared" si="603"/>
        <v>#N/A</v>
      </c>
      <c r="BL286" s="89" t="e">
        <f t="shared" si="603"/>
        <v>#N/A</v>
      </c>
      <c r="BM286" s="89" t="e">
        <f t="shared" si="603"/>
        <v>#N/A</v>
      </c>
      <c r="BN286" s="89" t="e">
        <f t="shared" si="603"/>
        <v>#N/A</v>
      </c>
      <c r="BO286" s="89" t="e">
        <f t="shared" si="603"/>
        <v>#N/A</v>
      </c>
      <c r="BP286" s="89" t="e">
        <f t="shared" si="603"/>
        <v>#N/A</v>
      </c>
      <c r="BQ286" s="89" t="e">
        <f t="shared" si="603"/>
        <v>#N/A</v>
      </c>
      <c r="BR286" s="89" t="e">
        <f t="shared" si="603"/>
        <v>#N/A</v>
      </c>
      <c r="BS286" s="89" t="e">
        <f t="shared" ref="BS286" si="604">BS285+BR286</f>
        <v>#N/A</v>
      </c>
      <c r="BT286" s="89" t="e">
        <f t="shared" ref="BT286" si="605">BT285+BS286</f>
        <v>#N/A</v>
      </c>
      <c r="BU286" s="89" t="e">
        <f t="shared" ref="BU286" si="606">BU285+BT286</f>
        <v>#N/A</v>
      </c>
      <c r="BV286" s="89" t="e">
        <f t="shared" ref="BV286" si="607">BV285+BU286</f>
        <v>#N/A</v>
      </c>
      <c r="BW286" s="89" t="e">
        <f t="shared" ref="BW286" si="608">BW285+BV286</f>
        <v>#N/A</v>
      </c>
      <c r="BX286" s="89" t="e">
        <f t="shared" ref="BX286" si="609">BX285+BW286</f>
        <v>#N/A</v>
      </c>
      <c r="BY286" s="89" t="e">
        <f t="shared" ref="BY286" si="610">BY285+BX286</f>
        <v>#N/A</v>
      </c>
      <c r="BZ286" s="89" t="e">
        <f t="shared" ref="BZ286" si="611">BZ285+BY286</f>
        <v>#N/A</v>
      </c>
      <c r="CA286" s="89" t="e">
        <f t="shared" ref="CA286" si="612">CA285+BZ286</f>
        <v>#N/A</v>
      </c>
      <c r="CB286" s="89" t="e">
        <f t="shared" ref="CB286" si="613">CB285+CA286</f>
        <v>#N/A</v>
      </c>
      <c r="CC286" s="89" t="e">
        <f t="shared" ref="CC286" si="614">CC285+CB286</f>
        <v>#N/A</v>
      </c>
      <c r="CD286" s="89" t="e">
        <f t="shared" ref="CD286" si="615">CD285+CC286</f>
        <v>#N/A</v>
      </c>
      <c r="CE286" s="89" t="e">
        <f t="shared" ref="CE286" si="616">CE285+CD286</f>
        <v>#N/A</v>
      </c>
      <c r="CF286" s="89" t="e">
        <f t="shared" ref="CF286" si="617">CF285+CE286</f>
        <v>#N/A</v>
      </c>
      <c r="CG286" s="89" t="e">
        <f t="shared" ref="CG286" si="618">CG285+CF286</f>
        <v>#N/A</v>
      </c>
      <c r="CH286" s="89" t="e">
        <f t="shared" ref="CH286" si="619">CH285+CG286</f>
        <v>#N/A</v>
      </c>
      <c r="CI286" s="89" t="e">
        <f t="shared" ref="CI286" si="620">CI285+CH286</f>
        <v>#N/A</v>
      </c>
      <c r="CJ286" s="89" t="e">
        <f t="shared" ref="CJ286" si="621">CJ285+CI286</f>
        <v>#N/A</v>
      </c>
      <c r="CK286" s="89" t="e">
        <f t="shared" ref="CK286" si="622">CK285+CJ286</f>
        <v>#N/A</v>
      </c>
      <c r="CL286" s="89" t="e">
        <f t="shared" ref="CL286" si="623">CL285+CK286</f>
        <v>#N/A</v>
      </c>
      <c r="CM286" s="89" t="e">
        <f t="shared" ref="CM286" si="624">CM285+CL286</f>
        <v>#N/A</v>
      </c>
      <c r="CN286" s="89" t="e">
        <f t="shared" ref="CN286" si="625">CN285+CM286</f>
        <v>#N/A</v>
      </c>
      <c r="CO286" s="89" t="e">
        <f t="shared" ref="CO286" si="626">CO285+CN286</f>
        <v>#N/A</v>
      </c>
      <c r="CP286" s="89" t="e">
        <f t="shared" ref="CP286" si="627">CP285+CO286</f>
        <v>#N/A</v>
      </c>
      <c r="CQ286" s="89" t="e">
        <f t="shared" ref="CQ286" si="628">CQ285+CP286</f>
        <v>#N/A</v>
      </c>
      <c r="CR286" s="89" t="e">
        <f t="shared" ref="CR286" si="629">CR285+CQ286</f>
        <v>#N/A</v>
      </c>
      <c r="CS286" s="89" t="e">
        <f t="shared" ref="CS286" si="630">CS285+CR286</f>
        <v>#N/A</v>
      </c>
      <c r="CT286" s="89" t="e">
        <f t="shared" ref="CT286" si="631">CT285+CS286</f>
        <v>#N/A</v>
      </c>
      <c r="CU286" s="89" t="e">
        <f t="shared" ref="CU286" si="632">CU285+CT286</f>
        <v>#N/A</v>
      </c>
      <c r="CV286" s="89" t="e">
        <f t="shared" ref="CV286" si="633">CV285+CU286</f>
        <v>#N/A</v>
      </c>
      <c r="CW286" s="89" t="e">
        <f t="shared" ref="CW286" si="634">CW285+CV286</f>
        <v>#N/A</v>
      </c>
      <c r="CX286" s="89" t="e">
        <f t="shared" ref="CX286" si="635">CX285+CW286</f>
        <v>#N/A</v>
      </c>
      <c r="CY286" s="89" t="e">
        <f t="shared" ref="CY286" si="636">CY285+CX286</f>
        <v>#N/A</v>
      </c>
      <c r="CZ286" s="89" t="e">
        <f t="shared" ref="CZ286" si="637">CZ285+CY286</f>
        <v>#N/A</v>
      </c>
      <c r="DA286" s="89" t="e">
        <f t="shared" ref="DA286" si="638">DA285+CZ286</f>
        <v>#N/A</v>
      </c>
      <c r="DB286" s="89" t="e">
        <f t="shared" ref="DB286" si="639">DB285+DA286</f>
        <v>#N/A</v>
      </c>
      <c r="DC286" s="89" t="e">
        <f t="shared" ref="DC286" si="640">DC285+DB286</f>
        <v>#N/A</v>
      </c>
      <c r="DD286" s="89" t="e">
        <f t="shared" ref="DD286" si="641">DD285+DC286</f>
        <v>#N/A</v>
      </c>
      <c r="DE286" s="89" t="e">
        <f t="shared" ref="DE286" si="642">DE285+DD286</f>
        <v>#N/A</v>
      </c>
      <c r="DF286" s="89" t="e">
        <f t="shared" ref="DF286" si="643">DF285+DE286</f>
        <v>#N/A</v>
      </c>
      <c r="DG286" s="89" t="e">
        <f t="shared" ref="DG286" si="644">DG285+DF286</f>
        <v>#N/A</v>
      </c>
      <c r="DH286" s="89" t="e">
        <f t="shared" ref="DH286" si="645">DH285+DG286</f>
        <v>#N/A</v>
      </c>
      <c r="DI286" s="89" t="e">
        <f t="shared" ref="DI286" si="646">DI285+DH286</f>
        <v>#N/A</v>
      </c>
      <c r="DJ286" s="89" t="e">
        <f t="shared" ref="DJ286" si="647">DJ285+DI286</f>
        <v>#N/A</v>
      </c>
      <c r="DK286" s="89" t="e">
        <f t="shared" ref="DK286" si="648">DK285+DJ286</f>
        <v>#N/A</v>
      </c>
      <c r="DL286" s="89" t="e">
        <f t="shared" ref="DL286" si="649">DL285+DK286</f>
        <v>#N/A</v>
      </c>
      <c r="DM286" s="89" t="e">
        <f t="shared" ref="DM286" si="650">DM285+DL286</f>
        <v>#N/A</v>
      </c>
      <c r="DN286" s="89" t="e">
        <f t="shared" ref="DN286" si="651">DN285+DM286</f>
        <v>#N/A</v>
      </c>
      <c r="DO286" s="89" t="e">
        <f t="shared" ref="DO286" si="652">DO285+DN286</f>
        <v>#N/A</v>
      </c>
      <c r="DP286" s="89" t="e">
        <f t="shared" ref="DP286" si="653">DP285+DO286</f>
        <v>#N/A</v>
      </c>
      <c r="DQ286" s="89" t="e">
        <f t="shared" ref="DQ286" si="654">DQ285+DP286</f>
        <v>#N/A</v>
      </c>
      <c r="DR286" s="89" t="e">
        <f t="shared" ref="DR286" si="655">DR285+DQ286</f>
        <v>#N/A</v>
      </c>
      <c r="DS286" s="89" t="e">
        <f t="shared" ref="DS286" si="656">DS285+DR286</f>
        <v>#N/A</v>
      </c>
      <c r="DT286" s="89" t="e">
        <f t="shared" ref="DT286" si="657">DT285+DS286</f>
        <v>#N/A</v>
      </c>
      <c r="DU286" s="89" t="e">
        <f t="shared" ref="DU286" si="658">DU285+DT286</f>
        <v>#N/A</v>
      </c>
      <c r="DV286" s="89" t="e">
        <f t="shared" ref="DV286" si="659">DV285+DU286</f>
        <v>#N/A</v>
      </c>
      <c r="DW286" s="89" t="e">
        <f t="shared" ref="DW286" si="660">DW285+DV286</f>
        <v>#N/A</v>
      </c>
      <c r="DX286" s="89" t="e">
        <f t="shared" ref="DX286" si="661">DX285+DW286</f>
        <v>#N/A</v>
      </c>
      <c r="DY286" s="89" t="e">
        <f t="shared" ref="DY286" si="662">DY285+DX286</f>
        <v>#N/A</v>
      </c>
      <c r="DZ286" s="89" t="e">
        <f t="shared" ref="DZ286" si="663">DZ285+DY286</f>
        <v>#N/A</v>
      </c>
      <c r="EA286" s="89" t="e">
        <f t="shared" ref="EA286" si="664">EA285+DZ286</f>
        <v>#N/A</v>
      </c>
      <c r="EB286" s="89" t="e">
        <f t="shared" ref="EB286" si="665">EB285+EA286</f>
        <v>#N/A</v>
      </c>
      <c r="EC286" s="89" t="e">
        <f t="shared" ref="EC286" si="666">EC285+EB286</f>
        <v>#N/A</v>
      </c>
      <c r="ED286" s="89" t="e">
        <f t="shared" ref="ED286" si="667">ED285+EC286</f>
        <v>#N/A</v>
      </c>
      <c r="EE286" s="89" t="e">
        <f t="shared" ref="EE286" si="668">EE285+ED286</f>
        <v>#N/A</v>
      </c>
      <c r="EF286" s="89" t="e">
        <f t="shared" ref="EF286" si="669">EF285+EE286</f>
        <v>#N/A</v>
      </c>
      <c r="EG286" s="89" t="e">
        <f t="shared" ref="EG286" si="670">EG285+EF286</f>
        <v>#N/A</v>
      </c>
      <c r="EH286" s="89" t="e">
        <f t="shared" ref="EH286" si="671">EH285+EG286</f>
        <v>#N/A</v>
      </c>
      <c r="EI286" s="89" t="e">
        <f t="shared" ref="EI286" si="672">EI285+EH286</f>
        <v>#N/A</v>
      </c>
      <c r="EJ286" s="89" t="e">
        <f t="shared" ref="EJ286" si="673">EJ285+EI286</f>
        <v>#N/A</v>
      </c>
      <c r="EK286" s="89" t="e">
        <f t="shared" ref="EK286" si="674">EK285+EJ286</f>
        <v>#N/A</v>
      </c>
      <c r="EL286" s="89" t="e">
        <f t="shared" ref="EL286" si="675">EL285+EK286</f>
        <v>#N/A</v>
      </c>
      <c r="EM286" s="89" t="e">
        <f t="shared" ref="EM286" si="676">EM285+EL286</f>
        <v>#N/A</v>
      </c>
      <c r="EN286" s="89" t="e">
        <f t="shared" ref="EN286" si="677">EN285+EM286</f>
        <v>#N/A</v>
      </c>
      <c r="EO286" s="89" t="e">
        <f t="shared" ref="EO286" si="678">EO285+EN286</f>
        <v>#N/A</v>
      </c>
      <c r="EP286" s="89" t="e">
        <f t="shared" ref="EP286" si="679">EP285+EO286</f>
        <v>#N/A</v>
      </c>
      <c r="EQ286" s="89" t="e">
        <f t="shared" ref="EQ286" si="680">EQ285+EP286</f>
        <v>#N/A</v>
      </c>
      <c r="ER286" s="89" t="e">
        <f t="shared" ref="ER286" si="681">ER285+EQ286</f>
        <v>#N/A</v>
      </c>
      <c r="ES286" s="89" t="e">
        <f t="shared" ref="ES286" si="682">ES285+ER286</f>
        <v>#N/A</v>
      </c>
      <c r="ET286" s="89" t="e">
        <f t="shared" ref="ET286" si="683">ET285+ES286</f>
        <v>#N/A</v>
      </c>
      <c r="EU286" s="89" t="e">
        <f t="shared" ref="EU286" si="684">EU285+ET286</f>
        <v>#N/A</v>
      </c>
      <c r="EV286" s="89" t="e">
        <f t="shared" ref="EV286" si="685">EV285+EU286</f>
        <v>#N/A</v>
      </c>
      <c r="EW286" s="89" t="e">
        <f t="shared" ref="EW286" si="686">EW285+EV286</f>
        <v>#N/A</v>
      </c>
      <c r="EX286" s="89" t="e">
        <f t="shared" ref="EX286" si="687">EX285+EW286</f>
        <v>#N/A</v>
      </c>
      <c r="EY286" s="89" t="e">
        <f t="shared" ref="EY286" si="688">EY285+EX286</f>
        <v>#N/A</v>
      </c>
      <c r="EZ286" s="89" t="e">
        <f t="shared" ref="EZ286" si="689">EZ285+EY286</f>
        <v>#N/A</v>
      </c>
      <c r="FA286" s="89" t="e">
        <f t="shared" ref="FA286" si="690">FA285+EZ286</f>
        <v>#N/A</v>
      </c>
      <c r="FB286" s="89" t="e">
        <f t="shared" ref="FB286" si="691">FB285+FA286</f>
        <v>#N/A</v>
      </c>
      <c r="FC286" s="89" t="e">
        <f t="shared" ref="FC286" si="692">FC285+FB286</f>
        <v>#N/A</v>
      </c>
      <c r="FD286" s="89" t="e">
        <f t="shared" ref="FD286" si="693">FD285+FC286</f>
        <v>#N/A</v>
      </c>
      <c r="FE286" s="89" t="e">
        <f t="shared" ref="FE286" si="694">FE285+FD286</f>
        <v>#N/A</v>
      </c>
      <c r="FF286" s="89" t="e">
        <f t="shared" ref="FF286" si="695">FF285+FE286</f>
        <v>#N/A</v>
      </c>
      <c r="FG286" s="89" t="e">
        <f t="shared" ref="FG286" si="696">FG285+FF286</f>
        <v>#N/A</v>
      </c>
      <c r="FH286" s="89" t="e">
        <f t="shared" ref="FH286" si="697">FH285+FG286</f>
        <v>#N/A</v>
      </c>
      <c r="FI286" s="89" t="e">
        <f t="shared" ref="FI286" si="698">FI285+FH286</f>
        <v>#N/A</v>
      </c>
      <c r="FJ286" s="89" t="e">
        <f t="shared" ref="FJ286" si="699">FJ285+FI286</f>
        <v>#N/A</v>
      </c>
      <c r="FK286" s="89" t="e">
        <f t="shared" ref="FK286" si="700">FK285+FJ286</f>
        <v>#N/A</v>
      </c>
      <c r="FL286" s="89" t="e">
        <f t="shared" ref="FL286" si="701">FL285+FK286</f>
        <v>#N/A</v>
      </c>
      <c r="FM286" s="89" t="e">
        <f t="shared" ref="FM286" si="702">FM285+FL286</f>
        <v>#N/A</v>
      </c>
      <c r="FN286" s="89" t="e">
        <f t="shared" ref="FN286" si="703">FN285+FM286</f>
        <v>#N/A</v>
      </c>
      <c r="FO286" s="89" t="e">
        <f t="shared" ref="FO286" si="704">FO285+FN286</f>
        <v>#N/A</v>
      </c>
      <c r="FP286" s="89" t="e">
        <f t="shared" ref="FP286" si="705">FP285+FO286</f>
        <v>#N/A</v>
      </c>
      <c r="FQ286" s="89" t="e">
        <f t="shared" ref="FQ286" si="706">FQ285+FP286</f>
        <v>#N/A</v>
      </c>
      <c r="FR286" s="89" t="e">
        <f t="shared" ref="FR286" si="707">FR285+FQ286</f>
        <v>#N/A</v>
      </c>
      <c r="FS286" s="89" t="e">
        <f t="shared" ref="FS286" si="708">FS285+FR286</f>
        <v>#N/A</v>
      </c>
      <c r="FT286" s="89" t="e">
        <f t="shared" ref="FT286" si="709">FT285+FS286</f>
        <v>#N/A</v>
      </c>
      <c r="FU286" s="89" t="e">
        <f t="shared" ref="FU286" si="710">FU285+FT286</f>
        <v>#N/A</v>
      </c>
      <c r="FV286" s="89" t="e">
        <f t="shared" ref="FV286" si="711">FV285+FU286</f>
        <v>#N/A</v>
      </c>
      <c r="FW286" s="89" t="e">
        <f t="shared" ref="FW286" si="712">FW285+FV286</f>
        <v>#N/A</v>
      </c>
      <c r="FX286" s="89" t="e">
        <f t="shared" ref="FX286" si="713">FX285+FW286</f>
        <v>#N/A</v>
      </c>
      <c r="FY286" s="89" t="e">
        <f t="shared" ref="FY286" si="714">FY285+FX286</f>
        <v>#N/A</v>
      </c>
      <c r="FZ286" s="89" t="e">
        <f t="shared" ref="FZ286" si="715">FZ285+FY286</f>
        <v>#N/A</v>
      </c>
      <c r="GA286" s="89" t="e">
        <f t="shared" ref="GA286" si="716">GA285+FZ286</f>
        <v>#N/A</v>
      </c>
      <c r="GB286" s="89" t="e">
        <f t="shared" ref="GB286" si="717">GB285+GA286</f>
        <v>#N/A</v>
      </c>
      <c r="GC286" s="89" t="e">
        <f t="shared" ref="GC286" si="718">GC285+GB286</f>
        <v>#N/A</v>
      </c>
      <c r="GD286" s="89" t="e">
        <f t="shared" ref="GD286" si="719">GD285+GC286</f>
        <v>#N/A</v>
      </c>
      <c r="GE286" s="89" t="e">
        <f t="shared" ref="GE286" si="720">GE285+GD286</f>
        <v>#N/A</v>
      </c>
      <c r="GF286" s="89" t="e">
        <f t="shared" ref="GF286" si="721">GF285+GE286</f>
        <v>#N/A</v>
      </c>
      <c r="GG286" s="89" t="e">
        <f t="shared" ref="GG286" si="722">GG285+GF286</f>
        <v>#N/A</v>
      </c>
      <c r="GH286" s="89" t="e">
        <f t="shared" ref="GH286" si="723">GH285+GG286</f>
        <v>#N/A</v>
      </c>
      <c r="GI286" s="89" t="e">
        <f t="shared" ref="GI286" si="724">GI285+GH286</f>
        <v>#N/A</v>
      </c>
      <c r="GJ286" s="89" t="e">
        <f t="shared" ref="GJ286" si="725">GJ285+GI286</f>
        <v>#N/A</v>
      </c>
      <c r="GK286" s="89" t="e">
        <f t="shared" ref="GK286" si="726">GK285+GJ286</f>
        <v>#N/A</v>
      </c>
      <c r="GL286" s="89" t="e">
        <f t="shared" ref="GL286" si="727">GL285+GK286</f>
        <v>#N/A</v>
      </c>
      <c r="GM286" s="89" t="e">
        <f t="shared" ref="GM286" si="728">GM285+GL286</f>
        <v>#N/A</v>
      </c>
      <c r="GN286" s="89" t="e">
        <f t="shared" ref="GN286" si="729">GN285+GM286</f>
        <v>#N/A</v>
      </c>
      <c r="GO286" s="89" t="e">
        <f t="shared" ref="GO286" si="730">GO285+GN286</f>
        <v>#N/A</v>
      </c>
      <c r="GP286" s="89" t="e">
        <f t="shared" ref="GP286" si="731">GP285+GO286</f>
        <v>#N/A</v>
      </c>
      <c r="GQ286" s="89" t="e">
        <f t="shared" ref="GQ286" si="732">GQ285+GP286</f>
        <v>#N/A</v>
      </c>
      <c r="GR286" s="89" t="e">
        <f t="shared" ref="GR286" si="733">GR285+GQ286</f>
        <v>#N/A</v>
      </c>
      <c r="GS286" s="89" t="e">
        <f t="shared" ref="GS286" si="734">GS285+GR286</f>
        <v>#N/A</v>
      </c>
      <c r="GT286" s="89" t="e">
        <f t="shared" ref="GT286" si="735">GT285+GS286</f>
        <v>#N/A</v>
      </c>
      <c r="GU286" s="89" t="e">
        <f t="shared" ref="GU286" si="736">GU285+GT286</f>
        <v>#N/A</v>
      </c>
      <c r="GV286" s="89" t="e">
        <f t="shared" ref="GV286" si="737">GV285+GU286</f>
        <v>#N/A</v>
      </c>
      <c r="GW286" s="89" t="e">
        <f t="shared" ref="GW286" si="738">GW285+GV286</f>
        <v>#N/A</v>
      </c>
      <c r="GX286" s="89" t="e">
        <f t="shared" ref="GX286" si="739">GX285+GW286</f>
        <v>#N/A</v>
      </c>
      <c r="GY286" s="89" t="e">
        <f t="shared" ref="GY286" si="740">GY285+GX286</f>
        <v>#N/A</v>
      </c>
      <c r="GZ286" s="89" t="e">
        <f t="shared" ref="GZ286" si="741">GZ285+GY286</f>
        <v>#N/A</v>
      </c>
      <c r="HA286" s="89" t="e">
        <f t="shared" ref="HA286" si="742">HA285+GZ286</f>
        <v>#N/A</v>
      </c>
      <c r="HB286" s="89" t="e">
        <f t="shared" ref="HB286" si="743">HB285+HA286</f>
        <v>#N/A</v>
      </c>
      <c r="HC286" s="89" t="e">
        <f t="shared" ref="HC286" si="744">HC285+HB286</f>
        <v>#N/A</v>
      </c>
      <c r="HD286" s="89" t="e">
        <f t="shared" ref="HD286" si="745">HD285+HC286</f>
        <v>#N/A</v>
      </c>
      <c r="HE286" s="89" t="e">
        <f t="shared" ref="HE286" si="746">HE285+HD286</f>
        <v>#N/A</v>
      </c>
      <c r="HF286" s="89" t="e">
        <f t="shared" ref="HF286" si="747">HF285+HE286</f>
        <v>#N/A</v>
      </c>
      <c r="HG286" s="89" t="e">
        <f t="shared" ref="HG286" si="748">HG285+HF286</f>
        <v>#N/A</v>
      </c>
      <c r="HH286" s="89" t="e">
        <f t="shared" ref="HH286" si="749">HH285+HG286</f>
        <v>#N/A</v>
      </c>
      <c r="HI286" s="89" t="e">
        <f t="shared" ref="HI286" si="750">HI285+HH286</f>
        <v>#N/A</v>
      </c>
      <c r="HJ286" s="89" t="e">
        <f t="shared" ref="HJ286" si="751">HJ285+HI286</f>
        <v>#N/A</v>
      </c>
      <c r="HK286" s="89" t="e">
        <f t="shared" ref="HK286" si="752">HK285+HJ286</f>
        <v>#N/A</v>
      </c>
      <c r="HL286" s="89" t="e">
        <f t="shared" ref="HL286" si="753">HL285+HK286</f>
        <v>#N/A</v>
      </c>
      <c r="HM286" s="89" t="e">
        <f t="shared" ref="HM286" si="754">HM285+HL286</f>
        <v>#N/A</v>
      </c>
      <c r="HN286" s="89" t="e">
        <f t="shared" ref="HN286" si="755">HN285+HM286</f>
        <v>#N/A</v>
      </c>
      <c r="HO286" s="89" t="e">
        <f t="shared" ref="HO286" si="756">HO285+HN286</f>
        <v>#N/A</v>
      </c>
      <c r="HP286" s="89" t="e">
        <f t="shared" ref="HP286" si="757">HP285+HO286</f>
        <v>#N/A</v>
      </c>
      <c r="HQ286" s="89" t="e">
        <f t="shared" ref="HQ286" si="758">HQ285+HP286</f>
        <v>#N/A</v>
      </c>
      <c r="HR286" s="89" t="e">
        <f t="shared" ref="HR286" si="759">HR285+HQ286</f>
        <v>#N/A</v>
      </c>
      <c r="HS286" s="89" t="e">
        <f t="shared" ref="HS286" si="760">HS285+HR286</f>
        <v>#N/A</v>
      </c>
      <c r="HT286" s="89" t="e">
        <f t="shared" ref="HT286" si="761">HT285+HS286</f>
        <v>#N/A</v>
      </c>
      <c r="HU286" s="89" t="e">
        <f t="shared" ref="HU286" si="762">HU285+HT286</f>
        <v>#N/A</v>
      </c>
      <c r="HV286" s="89" t="e">
        <f t="shared" ref="HV286" si="763">HV285+HU286</f>
        <v>#N/A</v>
      </c>
      <c r="HW286" s="89" t="e">
        <f t="shared" ref="HW286" si="764">HW285+HV286</f>
        <v>#N/A</v>
      </c>
      <c r="HX286" s="89" t="e">
        <f t="shared" ref="HX286" si="765">HX285+HW286</f>
        <v>#N/A</v>
      </c>
      <c r="HY286" s="89" t="e">
        <f t="shared" ref="HY286" si="766">HY285+HX286</f>
        <v>#N/A</v>
      </c>
      <c r="HZ286" s="89" t="e">
        <f t="shared" ref="HZ286" si="767">HZ285+HY286</f>
        <v>#N/A</v>
      </c>
      <c r="IA286" s="89" t="e">
        <f t="shared" ref="IA286" si="768">IA285+HZ286</f>
        <v>#N/A</v>
      </c>
      <c r="IB286" s="89" t="e">
        <f t="shared" ref="IB286" si="769">IB285+IA286</f>
        <v>#N/A</v>
      </c>
      <c r="IC286" s="89" t="e">
        <f t="shared" ref="IC286" si="770">IC285+IB286</f>
        <v>#N/A</v>
      </c>
      <c r="ID286" s="89" t="e">
        <f t="shared" ref="ID286" si="771">ID285+IC286</f>
        <v>#N/A</v>
      </c>
      <c r="IE286" s="89" t="e">
        <f t="shared" ref="IE286" si="772">IE285+ID286</f>
        <v>#N/A</v>
      </c>
      <c r="IF286" s="89" t="e">
        <f t="shared" ref="IF286" si="773">IF285+IE286</f>
        <v>#N/A</v>
      </c>
      <c r="IG286" s="89" t="e">
        <f t="shared" ref="IG286" si="774">IG285+IF286</f>
        <v>#N/A</v>
      </c>
      <c r="IH286" s="89" t="e">
        <f t="shared" ref="IH286" si="775">IH285+IG286</f>
        <v>#N/A</v>
      </c>
      <c r="II286" s="89" t="e">
        <f t="shared" ref="II286" si="776">II285+IH286</f>
        <v>#N/A</v>
      </c>
      <c r="IJ286" s="89" t="e">
        <f t="shared" ref="IJ286" si="777">IJ285+II286</f>
        <v>#N/A</v>
      </c>
      <c r="IK286" s="89" t="e">
        <f t="shared" ref="IK286" si="778">IK285+IJ286</f>
        <v>#N/A</v>
      </c>
      <c r="IL286" s="89" t="e">
        <f t="shared" ref="IL286" si="779">IL285+IK286</f>
        <v>#N/A</v>
      </c>
      <c r="IM286" s="89" t="e">
        <f t="shared" ref="IM286" si="780">IM285+IL286</f>
        <v>#N/A</v>
      </c>
      <c r="IN286" s="89" t="e">
        <f t="shared" ref="IN286" si="781">IN285+IM286</f>
        <v>#N/A</v>
      </c>
      <c r="IO286" s="89" t="e">
        <f t="shared" ref="IO286" si="782">IO285+IN286</f>
        <v>#N/A</v>
      </c>
      <c r="IP286" s="89" t="e">
        <f t="shared" ref="IP286" si="783">IP285+IO286</f>
        <v>#N/A</v>
      </c>
      <c r="IQ286" s="89" t="e">
        <f t="shared" ref="IQ286" si="784">IQ285+IP286</f>
        <v>#N/A</v>
      </c>
      <c r="IR286" s="89" t="e">
        <f t="shared" ref="IR286" si="785">IR285+IQ286</f>
        <v>#N/A</v>
      </c>
      <c r="IS286" s="89" t="e">
        <f t="shared" ref="IS286" si="786">IS285+IR286</f>
        <v>#N/A</v>
      </c>
      <c r="IT286" s="89" t="e">
        <f t="shared" ref="IT286" si="787">IT285+IS286</f>
        <v>#N/A</v>
      </c>
      <c r="IU286" s="89" t="e">
        <f t="shared" ref="IU286" si="788">IU285+IT286</f>
        <v>#N/A</v>
      </c>
      <c r="IV286" s="89" t="e">
        <f t="shared" ref="IV286" si="789">IV285+IU286</f>
        <v>#N/A</v>
      </c>
      <c r="IW286" s="89" t="e">
        <f t="shared" ref="IW286" si="790">IW285+IV286</f>
        <v>#N/A</v>
      </c>
      <c r="IX286" s="89" t="e">
        <f t="shared" ref="IX286" si="791">IX285+IW286</f>
        <v>#N/A</v>
      </c>
      <c r="IY286" s="89" t="e">
        <f t="shared" ref="IY286" si="792">IY285+IX286</f>
        <v>#N/A</v>
      </c>
      <c r="IZ286" s="89" t="e">
        <f t="shared" ref="IZ286" si="793">IZ285+IY286</f>
        <v>#N/A</v>
      </c>
      <c r="JA286" s="89" t="e">
        <f t="shared" ref="JA286" si="794">JA285+IZ286</f>
        <v>#N/A</v>
      </c>
      <c r="JB286" s="89" t="e">
        <f t="shared" ref="JB286" si="795">JB285+JA286</f>
        <v>#N/A</v>
      </c>
      <c r="JC286" s="89" t="e">
        <f t="shared" ref="JC286" si="796">JC285+JB286</f>
        <v>#N/A</v>
      </c>
      <c r="JD286" s="89" t="e">
        <f t="shared" ref="JD286" si="797">JD285+JC286</f>
        <v>#N/A</v>
      </c>
      <c r="JE286" s="89" t="e">
        <f t="shared" ref="JE286" si="798">JE285+JD286</f>
        <v>#N/A</v>
      </c>
      <c r="JF286" s="89" t="e">
        <f t="shared" ref="JF286" si="799">JF285+JE286</f>
        <v>#N/A</v>
      </c>
      <c r="JG286" s="89" t="e">
        <f t="shared" ref="JG286" si="800">JG285+JF286</f>
        <v>#N/A</v>
      </c>
      <c r="JH286" s="89" t="e">
        <f t="shared" ref="JH286" si="801">JH285+JG286</f>
        <v>#N/A</v>
      </c>
      <c r="JI286" s="89" t="e">
        <f t="shared" ref="JI286" si="802">JI285+JH286</f>
        <v>#N/A</v>
      </c>
      <c r="JJ286" s="89" t="e">
        <f t="shared" ref="JJ286" si="803">JJ285+JI286</f>
        <v>#N/A</v>
      </c>
      <c r="JK286" s="89" t="e">
        <f t="shared" ref="JK286" si="804">JK285+JJ286</f>
        <v>#N/A</v>
      </c>
      <c r="JL286" s="89" t="e">
        <f t="shared" ref="JL286" si="805">JL285+JK286</f>
        <v>#N/A</v>
      </c>
      <c r="JM286" s="89" t="e">
        <f t="shared" ref="JM286" si="806">JM285+JL286</f>
        <v>#N/A</v>
      </c>
      <c r="JN286" s="89" t="e">
        <f t="shared" ref="JN286" si="807">JN285+JM286</f>
        <v>#N/A</v>
      </c>
      <c r="JO286" s="89" t="e">
        <f t="shared" ref="JO286" si="808">JO285+JN286</f>
        <v>#N/A</v>
      </c>
      <c r="JP286" s="89" t="e">
        <f t="shared" ref="JP286" si="809">JP285+JO286</f>
        <v>#N/A</v>
      </c>
      <c r="JQ286" s="89" t="e">
        <f t="shared" ref="JQ286" si="810">JQ285+JP286</f>
        <v>#N/A</v>
      </c>
      <c r="JR286" s="89" t="e">
        <f t="shared" ref="JR286" si="811">JR285+JQ286</f>
        <v>#N/A</v>
      </c>
      <c r="JS286" s="89" t="e">
        <f t="shared" ref="JS286" si="812">JS285+JR286</f>
        <v>#N/A</v>
      </c>
      <c r="JT286" s="89" t="e">
        <f t="shared" ref="JT286" si="813">JT285+JS286</f>
        <v>#N/A</v>
      </c>
      <c r="JU286" s="89" t="e">
        <f t="shared" ref="JU286" si="814">JU285+JT286</f>
        <v>#N/A</v>
      </c>
      <c r="JV286" s="89" t="e">
        <f t="shared" ref="JV286" si="815">JV285+JU286</f>
        <v>#N/A</v>
      </c>
      <c r="JW286" s="89" t="e">
        <f t="shared" ref="JW286" si="816">JW285+JV286</f>
        <v>#N/A</v>
      </c>
      <c r="JX286" s="89" t="e">
        <f t="shared" ref="JX286" si="817">JX285+JW286</f>
        <v>#N/A</v>
      </c>
      <c r="JY286" s="89" t="e">
        <f t="shared" ref="JY286" si="818">JY285+JX286</f>
        <v>#N/A</v>
      </c>
      <c r="JZ286" s="89" t="e">
        <f t="shared" ref="JZ286" si="819">JZ285+JY286</f>
        <v>#N/A</v>
      </c>
      <c r="KA286" s="89" t="e">
        <f t="shared" ref="KA286" si="820">KA285+JZ286</f>
        <v>#N/A</v>
      </c>
      <c r="KB286" s="89" t="e">
        <f t="shared" ref="KB286" si="821">KB285+KA286</f>
        <v>#N/A</v>
      </c>
      <c r="KC286" s="89" t="e">
        <f t="shared" ref="KC286" si="822">KC285+KB286</f>
        <v>#N/A</v>
      </c>
      <c r="KD286" s="89" t="e">
        <f t="shared" ref="KD286" si="823">KD285+KC286</f>
        <v>#N/A</v>
      </c>
      <c r="KE286" s="89" t="e">
        <f t="shared" ref="KE286" si="824">KE285+KD286</f>
        <v>#N/A</v>
      </c>
      <c r="KF286" s="89" t="e">
        <f t="shared" ref="KF286" si="825">KF285+KE286</f>
        <v>#N/A</v>
      </c>
      <c r="KG286" s="89" t="e">
        <f t="shared" ref="KG286" si="826">KG285+KF286</f>
        <v>#N/A</v>
      </c>
      <c r="KH286" s="89" t="e">
        <f t="shared" ref="KH286" si="827">KH285+KG286</f>
        <v>#N/A</v>
      </c>
      <c r="KI286" s="89" t="e">
        <f t="shared" ref="KI286" si="828">KI285+KH286</f>
        <v>#N/A</v>
      </c>
      <c r="KJ286" s="89" t="e">
        <f t="shared" ref="KJ286" si="829">KJ285+KI286</f>
        <v>#N/A</v>
      </c>
      <c r="KK286" s="89" t="e">
        <f t="shared" ref="KK286" si="830">KK285+KJ286</f>
        <v>#N/A</v>
      </c>
      <c r="KL286" s="89" t="e">
        <f t="shared" ref="KL286" si="831">KL285+KK286</f>
        <v>#N/A</v>
      </c>
      <c r="KM286" s="89" t="e">
        <f t="shared" ref="KM286" si="832">KM285+KL286</f>
        <v>#N/A</v>
      </c>
      <c r="KN286" s="89" t="e">
        <f t="shared" ref="KN286" si="833">KN285+KM286</f>
        <v>#N/A</v>
      </c>
      <c r="KO286" s="89" t="e">
        <f t="shared" ref="KO286" si="834">KO285+KN286</f>
        <v>#N/A</v>
      </c>
      <c r="KP286" s="89" t="e">
        <f t="shared" ref="KP286" si="835">KP285+KO286</f>
        <v>#N/A</v>
      </c>
      <c r="KQ286" s="89" t="e">
        <f t="shared" ref="KQ286" si="836">KQ285+KP286</f>
        <v>#N/A</v>
      </c>
      <c r="KR286" s="89" t="e">
        <f t="shared" ref="KR286" si="837">KR285+KQ286</f>
        <v>#N/A</v>
      </c>
      <c r="KS286" s="89" t="e">
        <f t="shared" ref="KS286" si="838">KS285+KR286</f>
        <v>#N/A</v>
      </c>
      <c r="KT286" s="89" t="e">
        <f t="shared" ref="KT286" si="839">KT285+KS286</f>
        <v>#N/A</v>
      </c>
      <c r="KU286" s="89" t="e">
        <f t="shared" ref="KU286" si="840">KU285+KT286</f>
        <v>#N/A</v>
      </c>
      <c r="KV286" s="89" t="e">
        <f t="shared" ref="KV286" si="841">KV285+KU286</f>
        <v>#N/A</v>
      </c>
      <c r="KW286" s="89" t="e">
        <f t="shared" ref="KW286" si="842">KW285+KV286</f>
        <v>#N/A</v>
      </c>
      <c r="KX286" s="89" t="e">
        <f t="shared" ref="KX286" si="843">KX285+KW286</f>
        <v>#N/A</v>
      </c>
      <c r="KY286" s="89" t="e">
        <f t="shared" ref="KY286" si="844">KY285+KX286</f>
        <v>#N/A</v>
      </c>
      <c r="KZ286" s="89" t="e">
        <f t="shared" ref="KZ286" si="845">KZ285+KY286</f>
        <v>#N/A</v>
      </c>
      <c r="LA286" s="89" t="e">
        <f t="shared" ref="LA286" si="846">LA285+KZ286</f>
        <v>#N/A</v>
      </c>
      <c r="LB286" s="89" t="e">
        <f t="shared" ref="LB286" si="847">LB285+LA286</f>
        <v>#N/A</v>
      </c>
      <c r="LC286" s="89" t="e">
        <f t="shared" ref="LC286" si="848">LC285+LB286</f>
        <v>#N/A</v>
      </c>
      <c r="LD286" s="89" t="e">
        <f t="shared" ref="LD286" si="849">LD285+LC286</f>
        <v>#N/A</v>
      </c>
      <c r="LE286" s="89" t="e">
        <f t="shared" ref="LE286" si="850">LE285+LD286</f>
        <v>#N/A</v>
      </c>
      <c r="LF286" s="89" t="e">
        <f t="shared" ref="LF286" si="851">LF285+LE286</f>
        <v>#N/A</v>
      </c>
      <c r="LG286" s="89" t="e">
        <f t="shared" ref="LG286" si="852">LG285+LF286</f>
        <v>#N/A</v>
      </c>
      <c r="LH286" s="89" t="e">
        <f t="shared" ref="LH286" si="853">LH285+LG286</f>
        <v>#N/A</v>
      </c>
      <c r="LI286" s="89" t="e">
        <f t="shared" ref="LI286" si="854">LI285+LH286</f>
        <v>#N/A</v>
      </c>
      <c r="LJ286" s="89" t="e">
        <f t="shared" ref="LJ286" si="855">LJ285+LI286</f>
        <v>#N/A</v>
      </c>
      <c r="LK286" s="89" t="e">
        <f t="shared" ref="LK286" si="856">LK285+LJ286</f>
        <v>#N/A</v>
      </c>
      <c r="LL286" s="89" t="e">
        <f t="shared" ref="LL286" si="857">LL285+LK286</f>
        <v>#N/A</v>
      </c>
      <c r="LM286" s="89" t="e">
        <f t="shared" ref="LM286" si="858">LM285+LL286</f>
        <v>#N/A</v>
      </c>
      <c r="LN286" s="89" t="e">
        <f t="shared" ref="LN286" si="859">LN285+LM286</f>
        <v>#N/A</v>
      </c>
      <c r="LO286" s="89" t="e">
        <f t="shared" ref="LO286" si="860">LO285+LN286</f>
        <v>#N/A</v>
      </c>
      <c r="LP286" s="89" t="e">
        <f t="shared" ref="LP286" si="861">LP285+LO286</f>
        <v>#N/A</v>
      </c>
      <c r="LQ286" s="89" t="e">
        <f t="shared" ref="LQ286" si="862">LQ285+LP286</f>
        <v>#N/A</v>
      </c>
      <c r="LR286" s="89" t="e">
        <f t="shared" ref="LR286" si="863">LR285+LQ286</f>
        <v>#N/A</v>
      </c>
      <c r="LS286" s="89" t="e">
        <f t="shared" ref="LS286" si="864">LS285+LR286</f>
        <v>#N/A</v>
      </c>
      <c r="LT286" s="89" t="e">
        <f t="shared" ref="LT286" si="865">LT285+LS286</f>
        <v>#N/A</v>
      </c>
      <c r="LU286" s="89" t="e">
        <f t="shared" ref="LU286" si="866">LU285+LT286</f>
        <v>#N/A</v>
      </c>
      <c r="LV286" s="89" t="e">
        <f t="shared" ref="LV286" si="867">LV285+LU286</f>
        <v>#N/A</v>
      </c>
      <c r="LW286" s="89" t="e">
        <f t="shared" ref="LW286" si="868">LW285+LV286</f>
        <v>#N/A</v>
      </c>
      <c r="LX286" s="89" t="e">
        <f t="shared" ref="LX286" si="869">LX285+LW286</f>
        <v>#N/A</v>
      </c>
      <c r="LY286" s="89" t="e">
        <f t="shared" ref="LY286" si="870">LY285+LX286</f>
        <v>#N/A</v>
      </c>
      <c r="LZ286" s="89" t="e">
        <f t="shared" ref="LZ286" si="871">LZ285+LY286</f>
        <v>#N/A</v>
      </c>
      <c r="MA286" s="89" t="e">
        <f t="shared" ref="MA286" si="872">MA285+LZ286</f>
        <v>#N/A</v>
      </c>
      <c r="MB286" s="89" t="e">
        <f t="shared" ref="MB286" si="873">MB285+MA286</f>
        <v>#N/A</v>
      </c>
      <c r="MC286" s="89" t="e">
        <f t="shared" ref="MC286" si="874">MC285+MB286</f>
        <v>#N/A</v>
      </c>
      <c r="MD286" s="89" t="e">
        <f t="shared" ref="MD286" si="875">MD285+MC286</f>
        <v>#N/A</v>
      </c>
      <c r="ME286" s="89" t="e">
        <f t="shared" ref="ME286" si="876">ME285+MD286</f>
        <v>#N/A</v>
      </c>
      <c r="MF286" s="89" t="e">
        <f t="shared" ref="MF286" si="877">MF285+ME286</f>
        <v>#N/A</v>
      </c>
      <c r="MG286" s="89" t="e">
        <f t="shared" ref="MG286" si="878">MG285+MF286</f>
        <v>#N/A</v>
      </c>
      <c r="MH286" s="89" t="e">
        <f t="shared" ref="MH286" si="879">MH285+MG286</f>
        <v>#N/A</v>
      </c>
      <c r="MI286" s="89" t="e">
        <f t="shared" ref="MI286" si="880">MI285+MH286</f>
        <v>#N/A</v>
      </c>
      <c r="MJ286" s="89" t="e">
        <f t="shared" ref="MJ286" si="881">MJ285+MI286</f>
        <v>#N/A</v>
      </c>
      <c r="MK286" s="89" t="e">
        <f t="shared" ref="MK286" si="882">MK285+MJ286</f>
        <v>#N/A</v>
      </c>
      <c r="ML286" s="89" t="e">
        <f t="shared" ref="ML286" si="883">ML285+MK286</f>
        <v>#N/A</v>
      </c>
      <c r="MM286" s="89" t="e">
        <f t="shared" ref="MM286" si="884">MM285+ML286</f>
        <v>#N/A</v>
      </c>
      <c r="MN286" s="89" t="e">
        <f t="shared" ref="MN286" si="885">MN285+MM286</f>
        <v>#N/A</v>
      </c>
      <c r="MO286" s="89" t="e">
        <f t="shared" ref="MO286" si="886">MO285+MN286</f>
        <v>#N/A</v>
      </c>
      <c r="MP286" s="89" t="e">
        <f t="shared" ref="MP286" si="887">MP285+MO286</f>
        <v>#N/A</v>
      </c>
      <c r="MQ286" s="89" t="e">
        <f t="shared" ref="MQ286" si="888">MQ285+MP286</f>
        <v>#N/A</v>
      </c>
      <c r="MR286" s="89" t="e">
        <f t="shared" ref="MR286" si="889">MR285+MQ286</f>
        <v>#N/A</v>
      </c>
      <c r="MS286" s="89" t="e">
        <f t="shared" ref="MS286" si="890">MS285+MR286</f>
        <v>#N/A</v>
      </c>
      <c r="MT286" s="89" t="e">
        <f t="shared" ref="MT286" si="891">MT285+MS286</f>
        <v>#N/A</v>
      </c>
      <c r="MU286" s="89" t="e">
        <f t="shared" ref="MU286" si="892">MU285+MT286</f>
        <v>#N/A</v>
      </c>
      <c r="MV286" s="89" t="e">
        <f t="shared" ref="MV286" si="893">MV285+MU286</f>
        <v>#N/A</v>
      </c>
      <c r="MW286" s="89" t="e">
        <f t="shared" ref="MW286" si="894">MW285+MV286</f>
        <v>#N/A</v>
      </c>
      <c r="MX286" s="89" t="e">
        <f t="shared" ref="MX286" si="895">MX285+MW286</f>
        <v>#N/A</v>
      </c>
      <c r="MY286" s="89" t="e">
        <f t="shared" ref="MY286" si="896">MY285+MX286</f>
        <v>#N/A</v>
      </c>
      <c r="MZ286" s="89" t="e">
        <f t="shared" ref="MZ286" si="897">MZ285+MY286</f>
        <v>#N/A</v>
      </c>
      <c r="NA286" s="89" t="e">
        <f t="shared" ref="NA286" si="898">NA285+MZ286</f>
        <v>#N/A</v>
      </c>
      <c r="NB286" s="89" t="e">
        <f t="shared" ref="NB286" si="899">NB285+NA286</f>
        <v>#N/A</v>
      </c>
      <c r="NC286" s="89" t="e">
        <f t="shared" ref="NC286" si="900">NC285+NB286</f>
        <v>#N/A</v>
      </c>
      <c r="ND286" s="89" t="e">
        <f t="shared" ref="ND286" si="901">ND285+NC286</f>
        <v>#N/A</v>
      </c>
      <c r="NE286" s="89" t="e">
        <f t="shared" ref="NE286" si="902">NE285+ND286</f>
        <v>#N/A</v>
      </c>
      <c r="NF286" s="89" t="e">
        <f t="shared" ref="NF286" si="903">NF285+NE286</f>
        <v>#N/A</v>
      </c>
      <c r="NG286" s="89" t="e">
        <f t="shared" ref="NG286" si="904">NG285+NF286</f>
        <v>#N/A</v>
      </c>
      <c r="NH286" s="89" t="e">
        <f t="shared" ref="NH286" si="905">NH285+NG286</f>
        <v>#N/A</v>
      </c>
      <c r="NI286" s="89" t="e">
        <f t="shared" ref="NI286" si="906">NI285+NH286</f>
        <v>#N/A</v>
      </c>
      <c r="NJ286" s="89" t="e">
        <f t="shared" ref="NJ286" si="907">NJ285+NI286</f>
        <v>#N/A</v>
      </c>
      <c r="NK286" s="89" t="e">
        <f t="shared" ref="NK286" si="908">NK285+NJ286</f>
        <v>#N/A</v>
      </c>
      <c r="NL286" s="89" t="e">
        <f t="shared" ref="NL286" si="909">NL285+NK286</f>
        <v>#N/A</v>
      </c>
      <c r="NM286" s="89" t="e">
        <f t="shared" ref="NM286" si="910">NM285+NL286</f>
        <v>#N/A</v>
      </c>
      <c r="NN286" s="89" t="e">
        <f t="shared" ref="NN286" si="911">NN285+NM286</f>
        <v>#N/A</v>
      </c>
      <c r="NO286" s="89" t="e">
        <f t="shared" ref="NO286" si="912">NO285+NN286</f>
        <v>#N/A</v>
      </c>
      <c r="NP286" s="89" t="e">
        <f t="shared" ref="NP286" si="913">NP285+NO286</f>
        <v>#N/A</v>
      </c>
      <c r="NQ286" s="89" t="e">
        <f t="shared" ref="NQ286" si="914">NQ285+NP286</f>
        <v>#N/A</v>
      </c>
      <c r="NR286" s="89" t="e">
        <f t="shared" ref="NR286" si="915">NR285+NQ286</f>
        <v>#N/A</v>
      </c>
      <c r="NS286" s="89" t="e">
        <f t="shared" ref="NS286" si="916">NS285+NR286</f>
        <v>#N/A</v>
      </c>
      <c r="NT286" s="89" t="e">
        <f t="shared" ref="NT286" si="917">NT285+NS286</f>
        <v>#N/A</v>
      </c>
      <c r="NU286" s="89" t="e">
        <f t="shared" ref="NU286" si="918">NU285+NT286</f>
        <v>#N/A</v>
      </c>
      <c r="NV286" s="89" t="e">
        <f t="shared" ref="NV286" si="919">NV285+NU286</f>
        <v>#N/A</v>
      </c>
      <c r="NW286" s="89" t="e">
        <f t="shared" ref="NW286" si="920">NW285+NV286</f>
        <v>#N/A</v>
      </c>
      <c r="NX286" s="89" t="e">
        <f t="shared" ref="NX286" si="921">NX285+NW286</f>
        <v>#N/A</v>
      </c>
      <c r="NY286" s="89" t="e">
        <f t="shared" ref="NY286" si="922">NY285+NX286</f>
        <v>#N/A</v>
      </c>
      <c r="NZ286" s="89" t="e">
        <f t="shared" ref="NZ286" si="923">NZ285+NY286</f>
        <v>#N/A</v>
      </c>
      <c r="OA286" s="89" t="e">
        <f t="shared" ref="OA286" si="924">OA285+NZ286</f>
        <v>#N/A</v>
      </c>
      <c r="OB286" s="89" t="e">
        <f t="shared" ref="OB286" si="925">OB285+OA286</f>
        <v>#N/A</v>
      </c>
      <c r="OC286" s="89" t="e">
        <f t="shared" ref="OC286" si="926">OC285+OB286</f>
        <v>#N/A</v>
      </c>
      <c r="OD286" s="89" t="e">
        <f t="shared" ref="OD286" si="927">OD285+OC286</f>
        <v>#N/A</v>
      </c>
      <c r="OE286" s="89" t="e">
        <f t="shared" ref="OE286" si="928">OE285+OD286</f>
        <v>#N/A</v>
      </c>
      <c r="OF286" s="89" t="e">
        <f t="shared" ref="OF286" si="929">OF285+OE286</f>
        <v>#N/A</v>
      </c>
      <c r="OG286" s="89" t="e">
        <f t="shared" ref="OG286" si="930">OG285+OF286</f>
        <v>#N/A</v>
      </c>
      <c r="OH286" s="89" t="e">
        <f t="shared" ref="OH286" si="931">OH285+OG286</f>
        <v>#N/A</v>
      </c>
      <c r="OI286" s="89" t="e">
        <f t="shared" ref="OI286" si="932">OI285+OH286</f>
        <v>#N/A</v>
      </c>
      <c r="OJ286" s="89" t="e">
        <f t="shared" ref="OJ286" si="933">OJ285+OI286</f>
        <v>#N/A</v>
      </c>
      <c r="OK286" s="89" t="e">
        <f t="shared" ref="OK286" si="934">OK285+OJ286</f>
        <v>#N/A</v>
      </c>
      <c r="OL286" s="89" t="e">
        <f t="shared" ref="OL286" si="935">OL285+OK286</f>
        <v>#N/A</v>
      </c>
      <c r="OM286" s="89" t="e">
        <f t="shared" ref="OM286" si="936">OM285+OL286</f>
        <v>#N/A</v>
      </c>
      <c r="ON286" s="89" t="e">
        <f t="shared" ref="ON286" si="937">ON285+OM286</f>
        <v>#N/A</v>
      </c>
      <c r="OO286" s="89" t="e">
        <f t="shared" ref="OO286" si="938">OO285+ON286</f>
        <v>#N/A</v>
      </c>
      <c r="OP286" s="89" t="e">
        <f t="shared" ref="OP286" si="939">OP285+OO286</f>
        <v>#N/A</v>
      </c>
      <c r="OQ286" s="89" t="e">
        <f t="shared" ref="OQ286" si="940">OQ285+OP286</f>
        <v>#N/A</v>
      </c>
      <c r="OR286" s="89" t="e">
        <f t="shared" ref="OR286" si="941">OR285+OQ286</f>
        <v>#N/A</v>
      </c>
      <c r="OS286" s="89" t="e">
        <f t="shared" ref="OS286" si="942">OS285+OR286</f>
        <v>#N/A</v>
      </c>
      <c r="OT286" s="89" t="e">
        <f t="shared" ref="OT286" si="943">OT285+OS286</f>
        <v>#N/A</v>
      </c>
      <c r="OU286" s="89" t="e">
        <f t="shared" ref="OU286" si="944">OU285+OT286</f>
        <v>#N/A</v>
      </c>
      <c r="OV286" s="89" t="e">
        <f t="shared" ref="OV286" si="945">OV285+OU286</f>
        <v>#N/A</v>
      </c>
      <c r="OW286" s="89" t="e">
        <f t="shared" ref="OW286" si="946">OW285+OV286</f>
        <v>#N/A</v>
      </c>
      <c r="OX286" s="89" t="e">
        <f t="shared" ref="OX286" si="947">OX285+OW286</f>
        <v>#N/A</v>
      </c>
      <c r="OY286" s="89" t="e">
        <f t="shared" ref="OY286" si="948">OY285+OX286</f>
        <v>#N/A</v>
      </c>
      <c r="OZ286" s="89" t="e">
        <f t="shared" ref="OZ286" si="949">OZ285+OY286</f>
        <v>#N/A</v>
      </c>
      <c r="PA286" s="89" t="e">
        <f t="shared" ref="PA286" si="950">PA285+OZ286</f>
        <v>#N/A</v>
      </c>
      <c r="PB286" s="89" t="e">
        <f t="shared" ref="PB286" si="951">PB285+PA286</f>
        <v>#N/A</v>
      </c>
      <c r="PC286" s="89" t="e">
        <f t="shared" ref="PC286" si="952">PC285+PB286</f>
        <v>#N/A</v>
      </c>
      <c r="PD286" s="89" t="e">
        <f t="shared" ref="PD286" si="953">PD285+PC286</f>
        <v>#N/A</v>
      </c>
      <c r="PE286" s="89" t="e">
        <f t="shared" ref="PE286" si="954">PE285+PD286</f>
        <v>#N/A</v>
      </c>
      <c r="PF286" s="89" t="e">
        <f t="shared" ref="PF286" si="955">PF285+PE286</f>
        <v>#N/A</v>
      </c>
      <c r="PG286" s="89" t="e">
        <f t="shared" ref="PG286" si="956">PG285+PF286</f>
        <v>#N/A</v>
      </c>
      <c r="PH286" s="89" t="e">
        <f t="shared" ref="PH286" si="957">PH285+PG286</f>
        <v>#N/A</v>
      </c>
      <c r="PI286" s="89" t="e">
        <f t="shared" ref="PI286" si="958">PI285+PH286</f>
        <v>#N/A</v>
      </c>
      <c r="PJ286" s="89" t="e">
        <f t="shared" ref="PJ286" si="959">PJ285+PI286</f>
        <v>#N/A</v>
      </c>
      <c r="PK286" s="89" t="e">
        <f t="shared" ref="PK286" si="960">PK285+PJ286</f>
        <v>#N/A</v>
      </c>
      <c r="PL286" s="89" t="e">
        <f t="shared" ref="PL286" si="961">PL285+PK286</f>
        <v>#N/A</v>
      </c>
      <c r="PM286" s="89" t="e">
        <f t="shared" ref="PM286" si="962">PM285+PL286</f>
        <v>#N/A</v>
      </c>
      <c r="PN286" s="89" t="e">
        <f t="shared" ref="PN286" si="963">PN285+PM286</f>
        <v>#N/A</v>
      </c>
      <c r="PO286" s="89" t="e">
        <f t="shared" ref="PO286" si="964">PO285+PN286</f>
        <v>#N/A</v>
      </c>
      <c r="PP286" s="89" t="e">
        <f t="shared" ref="PP286" si="965">PP285+PO286</f>
        <v>#N/A</v>
      </c>
      <c r="PQ286" s="89" t="e">
        <f t="shared" ref="PQ286" si="966">PQ285+PP286</f>
        <v>#N/A</v>
      </c>
      <c r="PR286" s="89" t="e">
        <f t="shared" ref="PR286" si="967">PR285+PQ286</f>
        <v>#N/A</v>
      </c>
      <c r="PS286" s="89" t="e">
        <f t="shared" ref="PS286" si="968">PS285+PR286</f>
        <v>#N/A</v>
      </c>
      <c r="PT286" s="89" t="e">
        <f t="shared" ref="PT286" si="969">PT285+PS286</f>
        <v>#N/A</v>
      </c>
      <c r="PU286" s="89" t="e">
        <f t="shared" ref="PU286" si="970">PU285+PT286</f>
        <v>#N/A</v>
      </c>
      <c r="PV286" s="89" t="e">
        <f t="shared" ref="PV286" si="971">PV285+PU286</f>
        <v>#N/A</v>
      </c>
      <c r="PW286" s="89" t="e">
        <f t="shared" ref="PW286" si="972">PW285+PV286</f>
        <v>#N/A</v>
      </c>
      <c r="PX286" s="89" t="e">
        <f t="shared" ref="PX286" si="973">PX285+PW286</f>
        <v>#N/A</v>
      </c>
      <c r="PY286" s="89" t="e">
        <f t="shared" ref="PY286" si="974">PY285+PX286</f>
        <v>#N/A</v>
      </c>
      <c r="PZ286" s="89" t="e">
        <f t="shared" ref="PZ286" si="975">PZ285+PY286</f>
        <v>#N/A</v>
      </c>
      <c r="QA286" s="89" t="e">
        <f t="shared" ref="QA286" si="976">QA285+PZ286</f>
        <v>#N/A</v>
      </c>
      <c r="QB286" s="89" t="e">
        <f t="shared" ref="QB286" si="977">QB285+QA286</f>
        <v>#N/A</v>
      </c>
      <c r="QC286" s="89" t="e">
        <f t="shared" ref="QC286" si="978">QC285+QB286</f>
        <v>#N/A</v>
      </c>
      <c r="QD286" s="89" t="e">
        <f t="shared" ref="QD286" si="979">QD285+QC286</f>
        <v>#N/A</v>
      </c>
      <c r="QE286" s="89" t="e">
        <f t="shared" ref="QE286" si="980">QE285+QD286</f>
        <v>#N/A</v>
      </c>
      <c r="QF286" s="89" t="e">
        <f t="shared" ref="QF286" si="981">QF285+QE286</f>
        <v>#N/A</v>
      </c>
      <c r="QG286" s="89" t="e">
        <f t="shared" ref="QG286" si="982">QG285+QF286</f>
        <v>#N/A</v>
      </c>
      <c r="QH286" s="89" t="e">
        <f t="shared" ref="QH286" si="983">QH285+QG286</f>
        <v>#N/A</v>
      </c>
      <c r="QI286" s="89" t="e">
        <f t="shared" ref="QI286" si="984">QI285+QH286</f>
        <v>#N/A</v>
      </c>
      <c r="QJ286" s="89" t="e">
        <f t="shared" ref="QJ286" si="985">QJ285+QI286</f>
        <v>#N/A</v>
      </c>
      <c r="QK286" s="89" t="e">
        <f t="shared" ref="QK286" si="986">QK285+QJ286</f>
        <v>#N/A</v>
      </c>
      <c r="QL286" s="89" t="e">
        <f t="shared" ref="QL286" si="987">QL285+QK286</f>
        <v>#N/A</v>
      </c>
      <c r="QM286" s="89" t="e">
        <f t="shared" ref="QM286" si="988">QM285+QL286</f>
        <v>#N/A</v>
      </c>
      <c r="QN286" s="89" t="e">
        <f t="shared" ref="QN286" si="989">QN285+QM286</f>
        <v>#N/A</v>
      </c>
      <c r="QO286" s="89" t="e">
        <f t="shared" ref="QO286" si="990">QO285+QN286</f>
        <v>#N/A</v>
      </c>
      <c r="QP286" s="89" t="e">
        <f t="shared" ref="QP286" si="991">QP285+QO286</f>
        <v>#N/A</v>
      </c>
      <c r="QQ286" s="89" t="e">
        <f t="shared" ref="QQ286" si="992">QQ285+QP286</f>
        <v>#N/A</v>
      </c>
      <c r="QR286" s="89" t="e">
        <f t="shared" ref="QR286" si="993">QR285+QQ286</f>
        <v>#N/A</v>
      </c>
      <c r="QS286" s="89" t="e">
        <f t="shared" ref="QS286" si="994">QS285+QR286</f>
        <v>#N/A</v>
      </c>
      <c r="QT286" s="89" t="e">
        <f t="shared" ref="QT286" si="995">QT285+QS286</f>
        <v>#N/A</v>
      </c>
      <c r="QU286" s="89" t="e">
        <f t="shared" ref="QU286" si="996">QU285+QT286</f>
        <v>#N/A</v>
      </c>
      <c r="QV286" s="89" t="e">
        <f t="shared" ref="QV286" si="997">QV285+QU286</f>
        <v>#N/A</v>
      </c>
      <c r="QW286" s="89" t="e">
        <f t="shared" ref="QW286" si="998">QW285+QV286</f>
        <v>#N/A</v>
      </c>
      <c r="QX286" s="89" t="e">
        <f t="shared" ref="QX286" si="999">QX285+QW286</f>
        <v>#N/A</v>
      </c>
      <c r="QY286" s="89" t="e">
        <f t="shared" ref="QY286" si="1000">QY285+QX286</f>
        <v>#N/A</v>
      </c>
      <c r="QZ286" s="89" t="e">
        <f t="shared" ref="QZ286" si="1001">QZ285+QY286</f>
        <v>#N/A</v>
      </c>
      <c r="RA286" s="89" t="e">
        <f t="shared" ref="RA286" si="1002">RA285+QZ286</f>
        <v>#N/A</v>
      </c>
      <c r="RB286" s="89" t="e">
        <f t="shared" ref="RB286" si="1003">RB285+RA286</f>
        <v>#N/A</v>
      </c>
      <c r="RC286" s="89" t="e">
        <f t="shared" ref="RC286" si="1004">RC285+RB286</f>
        <v>#N/A</v>
      </c>
      <c r="RD286" s="89" t="e">
        <f t="shared" ref="RD286" si="1005">RD285+RC286</f>
        <v>#N/A</v>
      </c>
      <c r="RE286" s="89" t="e">
        <f t="shared" ref="RE286" si="1006">RE285+RD286</f>
        <v>#N/A</v>
      </c>
      <c r="RF286" s="89" t="e">
        <f t="shared" ref="RF286" si="1007">RF285+RE286</f>
        <v>#N/A</v>
      </c>
      <c r="RG286" s="89" t="e">
        <f t="shared" ref="RG286" si="1008">RG285+RF286</f>
        <v>#N/A</v>
      </c>
      <c r="RH286" s="89" t="e">
        <f t="shared" ref="RH286" si="1009">RH285+RG286</f>
        <v>#N/A</v>
      </c>
      <c r="RI286" s="89" t="e">
        <f t="shared" ref="RI286" si="1010">RI285+RH286</f>
        <v>#N/A</v>
      </c>
      <c r="RJ286" s="89" t="e">
        <f t="shared" ref="RJ286" si="1011">RJ285+RI286</f>
        <v>#N/A</v>
      </c>
      <c r="RK286" s="89" t="e">
        <f t="shared" ref="RK286" si="1012">RK285+RJ286</f>
        <v>#N/A</v>
      </c>
      <c r="RL286" s="89" t="e">
        <f t="shared" ref="RL286" si="1013">RL285+RK286</f>
        <v>#N/A</v>
      </c>
      <c r="RM286" s="89" t="e">
        <f t="shared" ref="RM286" si="1014">RM285+RL286</f>
        <v>#N/A</v>
      </c>
      <c r="RN286" s="89" t="e">
        <f t="shared" ref="RN286" si="1015">RN285+RM286</f>
        <v>#N/A</v>
      </c>
      <c r="RO286" s="89" t="e">
        <f t="shared" ref="RO286" si="1016">RO285+RN286</f>
        <v>#N/A</v>
      </c>
      <c r="RP286" s="89" t="e">
        <f t="shared" ref="RP286" si="1017">RP285+RO286</f>
        <v>#N/A</v>
      </c>
      <c r="RQ286" s="89" t="e">
        <f t="shared" ref="RQ286" si="1018">RQ285+RP286</f>
        <v>#N/A</v>
      </c>
      <c r="RR286" s="89" t="e">
        <f t="shared" ref="RR286" si="1019">RR285+RQ286</f>
        <v>#N/A</v>
      </c>
      <c r="RS286" s="89" t="e">
        <f t="shared" ref="RS286" si="1020">RS285+RR286</f>
        <v>#N/A</v>
      </c>
      <c r="RT286" s="89" t="e">
        <f t="shared" ref="RT286" si="1021">RT285+RS286</f>
        <v>#N/A</v>
      </c>
      <c r="RU286" s="89" t="e">
        <f t="shared" ref="RU286" si="1022">RU285+RT286</f>
        <v>#N/A</v>
      </c>
      <c r="RV286" s="89" t="e">
        <f t="shared" ref="RV286" si="1023">RV285+RU286</f>
        <v>#N/A</v>
      </c>
      <c r="RW286" s="89" t="e">
        <f t="shared" ref="RW286" si="1024">RW285+RV286</f>
        <v>#N/A</v>
      </c>
      <c r="RX286" s="89" t="e">
        <f t="shared" ref="RX286" si="1025">RX285+RW286</f>
        <v>#N/A</v>
      </c>
      <c r="RY286" s="89" t="e">
        <f t="shared" ref="RY286" si="1026">RY285+RX286</f>
        <v>#N/A</v>
      </c>
      <c r="RZ286" s="89" t="e">
        <f t="shared" ref="RZ286" si="1027">RZ285+RY286</f>
        <v>#N/A</v>
      </c>
      <c r="SA286" s="89" t="e">
        <f t="shared" ref="SA286" si="1028">SA285+RZ286</f>
        <v>#N/A</v>
      </c>
      <c r="SB286" s="89" t="e">
        <f t="shared" ref="SB286" si="1029">SB285+SA286</f>
        <v>#N/A</v>
      </c>
      <c r="SC286" s="89" t="e">
        <f t="shared" ref="SC286" si="1030">SC285+SB286</f>
        <v>#N/A</v>
      </c>
      <c r="SD286" s="89" t="e">
        <f t="shared" ref="SD286" si="1031">SD285+SC286</f>
        <v>#N/A</v>
      </c>
      <c r="SE286" s="89" t="e">
        <f t="shared" ref="SE286" si="1032">SE285+SD286</f>
        <v>#N/A</v>
      </c>
      <c r="SF286" s="89" t="e">
        <f t="shared" ref="SF286" si="1033">SF285+SE286</f>
        <v>#N/A</v>
      </c>
      <c r="SG286" s="89" t="e">
        <f t="shared" ref="SG286" si="1034">SG285+SF286</f>
        <v>#N/A</v>
      </c>
      <c r="SH286" s="89" t="e">
        <f t="shared" ref="SH286" si="1035">SH285+SG286</f>
        <v>#N/A</v>
      </c>
      <c r="SI286" s="89" t="e">
        <f t="shared" ref="SI286" si="1036">SI285+SH286</f>
        <v>#N/A</v>
      </c>
      <c r="SJ286" s="89" t="e">
        <f t="shared" ref="SJ286" si="1037">SJ285+SI286</f>
        <v>#N/A</v>
      </c>
      <c r="SK286" s="89" t="e">
        <f t="shared" ref="SK286" si="1038">SK285+SJ286</f>
        <v>#N/A</v>
      </c>
      <c r="SL286" s="89" t="e">
        <f t="shared" ref="SL286" si="1039">SL285+SK286</f>
        <v>#N/A</v>
      </c>
      <c r="SM286" s="89" t="e">
        <f t="shared" ref="SM286" si="1040">SM285+SL286</f>
        <v>#N/A</v>
      </c>
      <c r="SN286" s="89" t="e">
        <f t="shared" ref="SN286" si="1041">SN285+SM286</f>
        <v>#N/A</v>
      </c>
      <c r="SO286" s="89" t="e">
        <f t="shared" ref="SO286" si="1042">SO285+SN286</f>
        <v>#N/A</v>
      </c>
      <c r="SP286" s="89" t="e">
        <f t="shared" ref="SP286" si="1043">SP285+SO286</f>
        <v>#N/A</v>
      </c>
      <c r="SQ286" s="89" t="e">
        <f t="shared" ref="SQ286" si="1044">SQ285+SP286</f>
        <v>#N/A</v>
      </c>
      <c r="SR286" s="89" t="e">
        <f t="shared" ref="SR286" si="1045">SR285+SQ286</f>
        <v>#N/A</v>
      </c>
      <c r="SS286" s="89" t="e">
        <f t="shared" ref="SS286" si="1046">SS285+SR286</f>
        <v>#N/A</v>
      </c>
      <c r="ST286" s="89" t="e">
        <f t="shared" ref="ST286" si="1047">ST285+SS286</f>
        <v>#N/A</v>
      </c>
      <c r="SU286" s="89" t="e">
        <f t="shared" ref="SU286" si="1048">SU285+ST286</f>
        <v>#N/A</v>
      </c>
      <c r="SV286" s="89" t="e">
        <f t="shared" ref="SV286" si="1049">SV285+SU286</f>
        <v>#N/A</v>
      </c>
      <c r="SW286" s="89" t="e">
        <f t="shared" ref="SW286" si="1050">SW285+SV286</f>
        <v>#N/A</v>
      </c>
      <c r="SX286" s="89" t="e">
        <f t="shared" ref="SX286" si="1051">SX285+SW286</f>
        <v>#N/A</v>
      </c>
      <c r="SY286" s="89" t="e">
        <f t="shared" ref="SY286" si="1052">SY285+SX286</f>
        <v>#N/A</v>
      </c>
      <c r="SZ286" s="89" t="e">
        <f t="shared" ref="SZ286" si="1053">SZ285+SY286</f>
        <v>#N/A</v>
      </c>
      <c r="TA286" s="89" t="e">
        <f t="shared" ref="TA286" si="1054">TA285+SZ286</f>
        <v>#N/A</v>
      </c>
      <c r="TB286" s="89" t="e">
        <f t="shared" ref="TB286" si="1055">TB285+TA286</f>
        <v>#N/A</v>
      </c>
      <c r="TC286" s="89" t="e">
        <f t="shared" ref="TC286" si="1056">TC285+TB286</f>
        <v>#N/A</v>
      </c>
      <c r="TD286" s="89" t="e">
        <f t="shared" ref="TD286" si="1057">TD285+TC286</f>
        <v>#N/A</v>
      </c>
      <c r="TE286" s="89" t="e">
        <f t="shared" ref="TE286" si="1058">TE285+TD286</f>
        <v>#N/A</v>
      </c>
      <c r="TF286" s="89" t="e">
        <f t="shared" ref="TF286" si="1059">TF285+TE286</f>
        <v>#N/A</v>
      </c>
      <c r="TG286" s="89" t="e">
        <f t="shared" ref="TG286" si="1060">TG285+TF286</f>
        <v>#N/A</v>
      </c>
      <c r="TH286" s="89" t="e">
        <f t="shared" ref="TH286" si="1061">TH285+TG286</f>
        <v>#N/A</v>
      </c>
      <c r="TI286" s="89" t="e">
        <f t="shared" ref="TI286" si="1062">TI285+TH286</f>
        <v>#N/A</v>
      </c>
      <c r="TJ286" s="89" t="e">
        <f t="shared" ref="TJ286" si="1063">TJ285+TI286</f>
        <v>#N/A</v>
      </c>
      <c r="TK286" s="89" t="e">
        <f t="shared" ref="TK286" si="1064">TK285+TJ286</f>
        <v>#N/A</v>
      </c>
      <c r="TL286" s="89" t="e">
        <f t="shared" ref="TL286" si="1065">TL285+TK286</f>
        <v>#N/A</v>
      </c>
      <c r="TM286" s="89" t="e">
        <f t="shared" ref="TM286" si="1066">TM285+TL286</f>
        <v>#N/A</v>
      </c>
      <c r="TN286" s="89" t="e">
        <f t="shared" ref="TN286" si="1067">TN285+TM286</f>
        <v>#N/A</v>
      </c>
      <c r="TO286" s="89" t="e">
        <f t="shared" ref="TO286" si="1068">TO285+TN286</f>
        <v>#N/A</v>
      </c>
      <c r="TP286" s="89" t="e">
        <f t="shared" ref="TP286" si="1069">TP285+TO286</f>
        <v>#N/A</v>
      </c>
      <c r="TQ286" s="89" t="e">
        <f t="shared" ref="TQ286" si="1070">TQ285+TP286</f>
        <v>#N/A</v>
      </c>
      <c r="TR286" s="89" t="e">
        <f t="shared" ref="TR286" si="1071">TR285+TQ286</f>
        <v>#N/A</v>
      </c>
      <c r="TS286" s="89" t="e">
        <f t="shared" ref="TS286" si="1072">TS285+TR286</f>
        <v>#N/A</v>
      </c>
      <c r="TT286" s="89" t="e">
        <f t="shared" ref="TT286" si="1073">TT285+TS286</f>
        <v>#N/A</v>
      </c>
      <c r="TU286" s="89" t="e">
        <f t="shared" ref="TU286" si="1074">TU285+TT286</f>
        <v>#N/A</v>
      </c>
      <c r="TV286" s="89" t="e">
        <f t="shared" ref="TV286" si="1075">TV285+TU286</f>
        <v>#N/A</v>
      </c>
      <c r="TW286" s="89" t="e">
        <f t="shared" ref="TW286" si="1076">TW285+TV286</f>
        <v>#N/A</v>
      </c>
      <c r="TX286" s="89" t="e">
        <f t="shared" ref="TX286" si="1077">TX285+TW286</f>
        <v>#N/A</v>
      </c>
      <c r="TY286" s="89" t="e">
        <f t="shared" ref="TY286" si="1078">TY285+TX286</f>
        <v>#N/A</v>
      </c>
      <c r="TZ286" s="89" t="e">
        <f t="shared" ref="TZ286" si="1079">TZ285+TY286</f>
        <v>#N/A</v>
      </c>
      <c r="UA286" s="89" t="e">
        <f t="shared" ref="UA286" si="1080">UA285+TZ286</f>
        <v>#N/A</v>
      </c>
      <c r="UB286" s="89" t="e">
        <f t="shared" ref="UB286" si="1081">UB285+UA286</f>
        <v>#N/A</v>
      </c>
      <c r="UC286" s="89" t="e">
        <f t="shared" ref="UC286" si="1082">UC285+UB286</f>
        <v>#N/A</v>
      </c>
      <c r="UD286" s="89" t="e">
        <f t="shared" ref="UD286" si="1083">UD285+UC286</f>
        <v>#N/A</v>
      </c>
      <c r="UE286" s="89" t="e">
        <f t="shared" ref="UE286" si="1084">UE285+UD286</f>
        <v>#N/A</v>
      </c>
      <c r="UF286" s="89" t="e">
        <f t="shared" ref="UF286" si="1085">UF285+UE286</f>
        <v>#N/A</v>
      </c>
      <c r="UG286" s="89" t="e">
        <f t="shared" ref="UG286" si="1086">UG285+UF286</f>
        <v>#N/A</v>
      </c>
      <c r="UH286" s="89" t="e">
        <f t="shared" ref="UH286" si="1087">UH285+UG286</f>
        <v>#N/A</v>
      </c>
      <c r="UI286" s="89" t="e">
        <f t="shared" ref="UI286" si="1088">UI285+UH286</f>
        <v>#N/A</v>
      </c>
      <c r="UJ286" s="89" t="e">
        <f t="shared" ref="UJ286" si="1089">UJ285+UI286</f>
        <v>#N/A</v>
      </c>
      <c r="UK286" s="89" t="e">
        <f t="shared" ref="UK286" si="1090">UK285+UJ286</f>
        <v>#N/A</v>
      </c>
      <c r="UL286" s="89" t="e">
        <f t="shared" ref="UL286" si="1091">UL285+UK286</f>
        <v>#N/A</v>
      </c>
      <c r="UM286" s="89" t="e">
        <f t="shared" ref="UM286" si="1092">UM285+UL286</f>
        <v>#N/A</v>
      </c>
      <c r="UN286" s="89" t="e">
        <f t="shared" ref="UN286" si="1093">UN285+UM286</f>
        <v>#N/A</v>
      </c>
      <c r="UO286" s="89" t="e">
        <f t="shared" ref="UO286" si="1094">UO285+UN286</f>
        <v>#N/A</v>
      </c>
      <c r="UP286" s="89" t="e">
        <f t="shared" ref="UP286" si="1095">UP285+UO286</f>
        <v>#N/A</v>
      </c>
      <c r="UQ286" s="89" t="e">
        <f t="shared" ref="UQ286" si="1096">UQ285+UP286</f>
        <v>#N/A</v>
      </c>
      <c r="UR286" s="89" t="e">
        <f t="shared" ref="UR286" si="1097">UR285+UQ286</f>
        <v>#N/A</v>
      </c>
      <c r="US286" s="89" t="e">
        <f t="shared" ref="US286" si="1098">US285+UR286</f>
        <v>#N/A</v>
      </c>
      <c r="UT286" s="89" t="e">
        <f t="shared" ref="UT286" si="1099">UT285+US286</f>
        <v>#N/A</v>
      </c>
      <c r="UU286" s="89" t="e">
        <f t="shared" ref="UU286" si="1100">UU285+UT286</f>
        <v>#N/A</v>
      </c>
      <c r="UV286" s="89" t="e">
        <f t="shared" ref="UV286" si="1101">UV285+UU286</f>
        <v>#N/A</v>
      </c>
      <c r="UW286" s="89" t="e">
        <f t="shared" ref="UW286" si="1102">UW285+UV286</f>
        <v>#N/A</v>
      </c>
      <c r="UX286" s="89" t="e">
        <f t="shared" ref="UX286" si="1103">UX285+UW286</f>
        <v>#N/A</v>
      </c>
      <c r="UY286" s="89" t="e">
        <f t="shared" ref="UY286" si="1104">UY285+UX286</f>
        <v>#N/A</v>
      </c>
      <c r="UZ286" s="89" t="e">
        <f t="shared" ref="UZ286" si="1105">UZ285+UY286</f>
        <v>#N/A</v>
      </c>
      <c r="VA286" s="89" t="e">
        <f t="shared" ref="VA286" si="1106">VA285+UZ286</f>
        <v>#N/A</v>
      </c>
      <c r="VB286" s="89" t="e">
        <f t="shared" ref="VB286" si="1107">VB285+VA286</f>
        <v>#N/A</v>
      </c>
      <c r="VC286" s="89" t="e">
        <f t="shared" ref="VC286" si="1108">VC285+VB286</f>
        <v>#N/A</v>
      </c>
      <c r="VD286" s="89" t="e">
        <f t="shared" ref="VD286" si="1109">VD285+VC286</f>
        <v>#N/A</v>
      </c>
      <c r="VE286" s="89" t="e">
        <f t="shared" ref="VE286" si="1110">VE285+VD286</f>
        <v>#N/A</v>
      </c>
      <c r="VF286" s="89" t="e">
        <f t="shared" ref="VF286" si="1111">VF285+VE286</f>
        <v>#N/A</v>
      </c>
      <c r="VG286" s="89" t="e">
        <f t="shared" ref="VG286" si="1112">VG285+VF286</f>
        <v>#N/A</v>
      </c>
      <c r="VH286" s="89" t="e">
        <f t="shared" ref="VH286" si="1113">VH285+VG286</f>
        <v>#N/A</v>
      </c>
      <c r="VI286" s="89" t="e">
        <f t="shared" ref="VI286" si="1114">VI285+VH286</f>
        <v>#N/A</v>
      </c>
      <c r="VJ286" s="89" t="e">
        <f t="shared" ref="VJ286" si="1115">VJ285+VI286</f>
        <v>#N/A</v>
      </c>
      <c r="VK286" s="89" t="e">
        <f t="shared" ref="VK286" si="1116">VK285+VJ286</f>
        <v>#N/A</v>
      </c>
      <c r="VL286" s="89" t="e">
        <f t="shared" ref="VL286" si="1117">VL285+VK286</f>
        <v>#N/A</v>
      </c>
      <c r="VM286" s="89" t="e">
        <f t="shared" ref="VM286" si="1118">VM285+VL286</f>
        <v>#N/A</v>
      </c>
      <c r="VN286" s="89" t="e">
        <f t="shared" ref="VN286" si="1119">VN285+VM286</f>
        <v>#N/A</v>
      </c>
      <c r="VO286" s="89" t="e">
        <f t="shared" ref="VO286" si="1120">VO285+VN286</f>
        <v>#N/A</v>
      </c>
      <c r="VP286" s="89" t="e">
        <f t="shared" ref="VP286" si="1121">VP285+VO286</f>
        <v>#N/A</v>
      </c>
      <c r="VQ286" s="89" t="e">
        <f t="shared" ref="VQ286" si="1122">VQ285+VP286</f>
        <v>#N/A</v>
      </c>
      <c r="VR286" s="89" t="e">
        <f t="shared" ref="VR286" si="1123">VR285+VQ286</f>
        <v>#N/A</v>
      </c>
      <c r="VS286" s="89" t="e">
        <f t="shared" ref="VS286" si="1124">VS285+VR286</f>
        <v>#N/A</v>
      </c>
      <c r="VT286" s="89" t="e">
        <f t="shared" ref="VT286" si="1125">VT285+VS286</f>
        <v>#N/A</v>
      </c>
      <c r="VU286" s="89" t="e">
        <f t="shared" ref="VU286" si="1126">VU285+VT286</f>
        <v>#N/A</v>
      </c>
      <c r="VV286" s="89" t="e">
        <f t="shared" ref="VV286" si="1127">VV285+VU286</f>
        <v>#N/A</v>
      </c>
      <c r="VW286" s="89" t="e">
        <f t="shared" ref="VW286" si="1128">VW285+VV286</f>
        <v>#N/A</v>
      </c>
      <c r="VX286" s="89" t="e">
        <f t="shared" ref="VX286" si="1129">VX285+VW286</f>
        <v>#N/A</v>
      </c>
      <c r="VY286" s="89" t="e">
        <f t="shared" ref="VY286" si="1130">VY285+VX286</f>
        <v>#N/A</v>
      </c>
      <c r="VZ286" s="89" t="e">
        <f t="shared" ref="VZ286" si="1131">VZ285+VY286</f>
        <v>#N/A</v>
      </c>
      <c r="WA286" s="89" t="e">
        <f t="shared" ref="WA286" si="1132">WA285+VZ286</f>
        <v>#N/A</v>
      </c>
      <c r="WB286" s="89" t="e">
        <f t="shared" ref="WB286" si="1133">WB285+WA286</f>
        <v>#N/A</v>
      </c>
      <c r="WC286" s="89" t="e">
        <f t="shared" ref="WC286" si="1134">WC285+WB286</f>
        <v>#N/A</v>
      </c>
      <c r="WD286" s="89" t="e">
        <f t="shared" ref="WD286" si="1135">WD285+WC286</f>
        <v>#N/A</v>
      </c>
      <c r="WE286" s="89" t="e">
        <f t="shared" ref="WE286" si="1136">WE285+WD286</f>
        <v>#N/A</v>
      </c>
      <c r="WF286" s="89" t="e">
        <f t="shared" ref="WF286" si="1137">WF285+WE286</f>
        <v>#N/A</v>
      </c>
    </row>
    <row r="287" spans="1:604" x14ac:dyDescent="0.3">
      <c r="A287" s="158"/>
      <c r="B287" s="159"/>
      <c r="C287" s="159"/>
      <c r="D287" s="159"/>
      <c r="E287" s="159"/>
      <c r="F287" s="159"/>
      <c r="G287" s="159"/>
      <c r="H287" s="159"/>
      <c r="I287" s="160"/>
      <c r="J287" s="99" t="e">
        <f>ROUND($H$284/$F$284,5)</f>
        <v>#N/A</v>
      </c>
      <c r="K287" s="100"/>
      <c r="L287" s="10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  <c r="HA287" s="90"/>
      <c r="HB287" s="90"/>
      <c r="HC287" s="90"/>
      <c r="HD287" s="90"/>
      <c r="HE287" s="90"/>
      <c r="HF287" s="90"/>
      <c r="HG287" s="90"/>
      <c r="HH287" s="90"/>
      <c r="HI287" s="90"/>
      <c r="HJ287" s="90"/>
      <c r="HK287" s="90"/>
      <c r="HL287" s="90"/>
      <c r="HM287" s="90"/>
      <c r="HN287" s="90"/>
      <c r="HO287" s="90"/>
      <c r="HP287" s="90"/>
      <c r="HQ287" s="90"/>
      <c r="HR287" s="90"/>
      <c r="HS287" s="90"/>
      <c r="HT287" s="90"/>
      <c r="HU287" s="90"/>
      <c r="HV287" s="90"/>
      <c r="HW287" s="90"/>
      <c r="HX287" s="90"/>
      <c r="HY287" s="90"/>
      <c r="HZ287" s="90"/>
      <c r="IA287" s="90"/>
      <c r="IB287" s="90"/>
      <c r="IC287" s="90"/>
      <c r="ID287" s="90"/>
      <c r="IE287" s="90"/>
      <c r="IF287" s="90"/>
      <c r="IG287" s="90"/>
      <c r="IH287" s="90"/>
      <c r="II287" s="90"/>
      <c r="IJ287" s="90"/>
      <c r="IK287" s="90"/>
      <c r="IL287" s="90"/>
      <c r="IM287" s="90"/>
      <c r="IN287" s="90"/>
      <c r="IO287" s="90"/>
      <c r="IP287" s="90"/>
      <c r="IQ287" s="90"/>
      <c r="IR287" s="90"/>
      <c r="IS287" s="90"/>
      <c r="IT287" s="90"/>
      <c r="IU287" s="90"/>
      <c r="IV287" s="90"/>
      <c r="IW287" s="90"/>
      <c r="IX287" s="90"/>
      <c r="IY287" s="90"/>
      <c r="IZ287" s="90"/>
      <c r="JA287" s="90"/>
      <c r="JB287" s="90"/>
      <c r="JC287" s="90"/>
      <c r="JD287" s="90"/>
      <c r="JE287" s="90"/>
      <c r="JF287" s="90"/>
      <c r="JG287" s="90"/>
      <c r="JH287" s="90"/>
      <c r="JI287" s="90"/>
      <c r="JJ287" s="90"/>
      <c r="JK287" s="90"/>
      <c r="JL287" s="90"/>
      <c r="JM287" s="90"/>
      <c r="JN287" s="90"/>
      <c r="JO287" s="90"/>
      <c r="JP287" s="90"/>
      <c r="JQ287" s="90"/>
      <c r="JR287" s="90"/>
      <c r="JS287" s="90"/>
      <c r="JT287" s="90"/>
      <c r="JU287" s="90"/>
      <c r="JV287" s="90"/>
      <c r="JW287" s="90"/>
      <c r="JX287" s="90"/>
      <c r="JY287" s="90"/>
      <c r="JZ287" s="90"/>
      <c r="KA287" s="90"/>
      <c r="KB287" s="90"/>
      <c r="KC287" s="90"/>
      <c r="KD287" s="90"/>
      <c r="KE287" s="90"/>
      <c r="KF287" s="90"/>
      <c r="KG287" s="90"/>
      <c r="KH287" s="90"/>
      <c r="KI287" s="90"/>
      <c r="KJ287" s="90"/>
      <c r="KK287" s="90"/>
      <c r="KL287" s="90"/>
      <c r="KM287" s="90"/>
      <c r="KN287" s="90"/>
      <c r="KO287" s="90"/>
      <c r="KP287" s="90"/>
      <c r="KQ287" s="90"/>
      <c r="KR287" s="90"/>
      <c r="KS287" s="90"/>
      <c r="KT287" s="90"/>
      <c r="KU287" s="90"/>
      <c r="KV287" s="90"/>
      <c r="KW287" s="90"/>
      <c r="KX287" s="90"/>
      <c r="KY287" s="90"/>
      <c r="KZ287" s="90"/>
      <c r="LA287" s="90"/>
      <c r="LB287" s="90"/>
      <c r="LC287" s="90"/>
      <c r="LD287" s="90"/>
      <c r="LE287" s="90"/>
      <c r="LF287" s="90"/>
      <c r="LG287" s="90"/>
      <c r="LH287" s="90"/>
      <c r="LI287" s="90"/>
      <c r="LJ287" s="90"/>
      <c r="LK287" s="90"/>
      <c r="LL287" s="90"/>
      <c r="LM287" s="90"/>
      <c r="LN287" s="90"/>
      <c r="LO287" s="90"/>
      <c r="LP287" s="90"/>
      <c r="LQ287" s="90"/>
      <c r="LR287" s="90"/>
      <c r="LS287" s="90"/>
      <c r="LT287" s="90"/>
      <c r="LU287" s="90"/>
      <c r="LV287" s="90"/>
      <c r="LW287" s="90"/>
      <c r="LX287" s="90"/>
      <c r="LY287" s="90"/>
      <c r="LZ287" s="90"/>
      <c r="MA287" s="90"/>
      <c r="MB287" s="90"/>
      <c r="MC287" s="90"/>
      <c r="MD287" s="90"/>
      <c r="ME287" s="90"/>
      <c r="MF287" s="90"/>
      <c r="MG287" s="90"/>
      <c r="MH287" s="90"/>
      <c r="MI287" s="90"/>
      <c r="MJ287" s="90"/>
      <c r="MK287" s="90"/>
      <c r="ML287" s="90"/>
      <c r="MM287" s="90"/>
      <c r="MN287" s="90"/>
      <c r="MO287" s="90"/>
      <c r="MP287" s="90"/>
      <c r="MQ287" s="90"/>
      <c r="MR287" s="90"/>
      <c r="MS287" s="90"/>
      <c r="MT287" s="90"/>
      <c r="MU287" s="90"/>
      <c r="MV287" s="90"/>
      <c r="MW287" s="90"/>
      <c r="MX287" s="90"/>
      <c r="MY287" s="90"/>
      <c r="MZ287" s="90"/>
      <c r="NA287" s="90"/>
      <c r="NB287" s="90"/>
      <c r="NC287" s="90"/>
      <c r="ND287" s="90"/>
      <c r="NE287" s="90"/>
      <c r="NF287" s="90"/>
      <c r="NG287" s="90"/>
      <c r="NH287" s="90"/>
      <c r="NI287" s="90"/>
      <c r="NJ287" s="90"/>
      <c r="NK287" s="90"/>
      <c r="NL287" s="90"/>
      <c r="NM287" s="90"/>
      <c r="NN287" s="90"/>
      <c r="NO287" s="90"/>
      <c r="NP287" s="90"/>
      <c r="NQ287" s="90"/>
      <c r="NR287" s="90"/>
      <c r="NS287" s="90"/>
      <c r="NT287" s="90"/>
      <c r="NU287" s="90"/>
      <c r="NV287" s="90"/>
      <c r="NW287" s="90"/>
      <c r="NX287" s="90"/>
      <c r="NY287" s="90"/>
      <c r="NZ287" s="90"/>
      <c r="OA287" s="90"/>
      <c r="OB287" s="90"/>
      <c r="OC287" s="90"/>
      <c r="OD287" s="90"/>
      <c r="OE287" s="90"/>
      <c r="OF287" s="90"/>
      <c r="OG287" s="90"/>
      <c r="OH287" s="90"/>
      <c r="OI287" s="90"/>
      <c r="OJ287" s="90"/>
      <c r="OK287" s="90"/>
      <c r="OL287" s="90"/>
      <c r="OM287" s="90"/>
      <c r="ON287" s="90"/>
      <c r="OO287" s="90"/>
      <c r="OP287" s="90"/>
      <c r="OQ287" s="90"/>
      <c r="OR287" s="90"/>
      <c r="OS287" s="90"/>
      <c r="OT287" s="90"/>
      <c r="OU287" s="90"/>
      <c r="OV287" s="90"/>
      <c r="OW287" s="90"/>
      <c r="OX287" s="90"/>
      <c r="OY287" s="90"/>
      <c r="OZ287" s="90"/>
      <c r="PA287" s="90"/>
      <c r="PB287" s="90"/>
      <c r="PC287" s="90"/>
      <c r="PD287" s="90"/>
      <c r="PE287" s="90"/>
      <c r="PF287" s="90"/>
      <c r="PG287" s="90"/>
      <c r="PH287" s="90"/>
      <c r="PI287" s="90"/>
      <c r="PJ287" s="90"/>
      <c r="PK287" s="90"/>
      <c r="PL287" s="90"/>
      <c r="PM287" s="90"/>
      <c r="PN287" s="90"/>
      <c r="PO287" s="90"/>
      <c r="PP287" s="90"/>
      <c r="PQ287" s="90"/>
      <c r="PR287" s="90"/>
      <c r="PS287" s="90"/>
      <c r="PT287" s="90"/>
      <c r="PU287" s="90"/>
      <c r="PV287" s="90"/>
      <c r="PW287" s="90"/>
      <c r="PX287" s="90"/>
      <c r="PY287" s="90"/>
      <c r="PZ287" s="90"/>
      <c r="QA287" s="90"/>
      <c r="QB287" s="90"/>
      <c r="QC287" s="90"/>
      <c r="QD287" s="90"/>
      <c r="QE287" s="90"/>
      <c r="QF287" s="90"/>
      <c r="QG287" s="90"/>
      <c r="QH287" s="90"/>
      <c r="QI287" s="90"/>
      <c r="QJ287" s="90"/>
      <c r="QK287" s="90"/>
      <c r="QL287" s="90"/>
      <c r="QM287" s="90"/>
      <c r="QN287" s="90"/>
      <c r="QO287" s="90"/>
      <c r="QP287" s="90"/>
      <c r="QQ287" s="90"/>
      <c r="QR287" s="90"/>
      <c r="QS287" s="90"/>
      <c r="QT287" s="90"/>
      <c r="QU287" s="90"/>
      <c r="QV287" s="90"/>
      <c r="QW287" s="90"/>
      <c r="QX287" s="90"/>
      <c r="QY287" s="90"/>
      <c r="QZ287" s="90"/>
      <c r="RA287" s="90"/>
      <c r="RB287" s="90"/>
      <c r="RC287" s="90"/>
      <c r="RD287" s="90"/>
      <c r="RE287" s="90"/>
      <c r="RF287" s="90"/>
      <c r="RG287" s="90"/>
      <c r="RH287" s="90"/>
      <c r="RI287" s="90"/>
      <c r="RJ287" s="90"/>
      <c r="RK287" s="90"/>
      <c r="RL287" s="90"/>
      <c r="RM287" s="90"/>
      <c r="RN287" s="90"/>
      <c r="RO287" s="90"/>
      <c r="RP287" s="90"/>
      <c r="RQ287" s="90"/>
      <c r="RR287" s="90"/>
      <c r="RS287" s="90"/>
      <c r="RT287" s="90"/>
      <c r="RU287" s="90"/>
      <c r="RV287" s="90"/>
      <c r="RW287" s="90"/>
      <c r="RX287" s="90"/>
      <c r="RY287" s="90"/>
      <c r="RZ287" s="90"/>
      <c r="SA287" s="90"/>
      <c r="SB287" s="90"/>
      <c r="SC287" s="90"/>
      <c r="SD287" s="90"/>
      <c r="SE287" s="90"/>
      <c r="SF287" s="90"/>
      <c r="SG287" s="90"/>
      <c r="SH287" s="90"/>
      <c r="SI287" s="90"/>
      <c r="SJ287" s="90"/>
      <c r="SK287" s="90"/>
      <c r="SL287" s="90"/>
      <c r="SM287" s="90"/>
      <c r="SN287" s="90"/>
      <c r="SO287" s="90"/>
      <c r="SP287" s="90"/>
      <c r="SQ287" s="90"/>
      <c r="SR287" s="90"/>
      <c r="SS287" s="90"/>
      <c r="ST287" s="90"/>
      <c r="SU287" s="90"/>
      <c r="SV287" s="90"/>
      <c r="SW287" s="90"/>
      <c r="SX287" s="90"/>
      <c r="SY287" s="90"/>
      <c r="SZ287" s="90"/>
      <c r="TA287" s="90"/>
      <c r="TB287" s="90"/>
      <c r="TC287" s="90"/>
      <c r="TD287" s="90"/>
      <c r="TE287" s="90"/>
      <c r="TF287" s="90"/>
      <c r="TG287" s="90"/>
      <c r="TH287" s="90"/>
      <c r="TI287" s="90"/>
      <c r="TJ287" s="90"/>
      <c r="TK287" s="90"/>
      <c r="TL287" s="90"/>
      <c r="TM287" s="90"/>
      <c r="TN287" s="90"/>
      <c r="TO287" s="90"/>
      <c r="TP287" s="90"/>
      <c r="TQ287" s="90"/>
      <c r="TR287" s="90"/>
      <c r="TS287" s="90"/>
      <c r="TT287" s="90"/>
      <c r="TU287" s="90"/>
      <c r="TV287" s="90"/>
      <c r="TW287" s="90"/>
      <c r="TX287" s="90"/>
      <c r="TY287" s="90"/>
      <c r="TZ287" s="90"/>
      <c r="UA287" s="90"/>
      <c r="UB287" s="90"/>
      <c r="UC287" s="90"/>
      <c r="UD287" s="90"/>
      <c r="UE287" s="90"/>
      <c r="UF287" s="90"/>
      <c r="UG287" s="90"/>
      <c r="UH287" s="90"/>
      <c r="UI287" s="90"/>
      <c r="UJ287" s="90"/>
      <c r="UK287" s="90"/>
      <c r="UL287" s="90"/>
      <c r="UM287" s="90"/>
      <c r="UN287" s="90"/>
      <c r="UO287" s="90"/>
      <c r="UP287" s="90"/>
      <c r="UQ287" s="90"/>
      <c r="UR287" s="90"/>
      <c r="US287" s="90"/>
      <c r="UT287" s="90"/>
      <c r="UU287" s="90"/>
      <c r="UV287" s="90"/>
      <c r="UW287" s="90"/>
      <c r="UX287" s="90"/>
      <c r="UY287" s="90"/>
      <c r="UZ287" s="90"/>
      <c r="VA287" s="90"/>
      <c r="VB287" s="90"/>
      <c r="VC287" s="90"/>
      <c r="VD287" s="90"/>
      <c r="VE287" s="90"/>
      <c r="VF287" s="90"/>
      <c r="VG287" s="90"/>
      <c r="VH287" s="90"/>
      <c r="VI287" s="90"/>
      <c r="VJ287" s="90"/>
      <c r="VK287" s="90"/>
      <c r="VL287" s="90"/>
      <c r="VM287" s="90"/>
      <c r="VN287" s="90"/>
      <c r="VO287" s="90"/>
      <c r="VP287" s="90"/>
      <c r="VQ287" s="90"/>
      <c r="VR287" s="90"/>
      <c r="VS287" s="90"/>
      <c r="VT287" s="90"/>
      <c r="VU287" s="90"/>
      <c r="VV287" s="90"/>
      <c r="VW287" s="90"/>
      <c r="VX287" s="90"/>
      <c r="VY287" s="90"/>
      <c r="VZ287" s="90"/>
      <c r="WA287" s="90"/>
      <c r="WB287" s="90"/>
      <c r="WC287" s="90"/>
      <c r="WD287" s="90"/>
      <c r="WE287" s="90"/>
      <c r="WF287" s="90"/>
    </row>
    <row r="288" spans="1:604" x14ac:dyDescent="0.3">
      <c r="A288" s="161"/>
      <c r="B288" s="161"/>
      <c r="C288" s="161"/>
      <c r="D288" s="161"/>
      <c r="E288" s="161"/>
      <c r="F288" s="161"/>
      <c r="G288" s="161"/>
      <c r="H288" s="161"/>
      <c r="I288" s="161"/>
      <c r="J288" s="89">
        <f>J290</f>
        <v>0</v>
      </c>
      <c r="K288" s="89">
        <f>K289-J289</f>
        <v>0</v>
      </c>
      <c r="L288" s="89">
        <f t="shared" ref="L288:BW288" si="1138">L289-K289</f>
        <v>0</v>
      </c>
      <c r="M288" s="89">
        <f t="shared" si="1138"/>
        <v>0</v>
      </c>
      <c r="N288" s="89">
        <f t="shared" si="1138"/>
        <v>0</v>
      </c>
      <c r="O288" s="89">
        <f t="shared" si="1138"/>
        <v>0</v>
      </c>
      <c r="P288" s="89">
        <f t="shared" si="1138"/>
        <v>0</v>
      </c>
      <c r="Q288" s="89">
        <f t="shared" si="1138"/>
        <v>0</v>
      </c>
      <c r="R288" s="89">
        <f t="shared" si="1138"/>
        <v>0</v>
      </c>
      <c r="S288" s="89">
        <f t="shared" si="1138"/>
        <v>0</v>
      </c>
      <c r="T288" s="89">
        <f t="shared" si="1138"/>
        <v>0</v>
      </c>
      <c r="U288" s="89">
        <f t="shared" si="1138"/>
        <v>0</v>
      </c>
      <c r="V288" s="89">
        <f t="shared" si="1138"/>
        <v>0</v>
      </c>
      <c r="W288" s="89">
        <f t="shared" si="1138"/>
        <v>0</v>
      </c>
      <c r="X288" s="89">
        <f t="shared" si="1138"/>
        <v>0</v>
      </c>
      <c r="Y288" s="89">
        <f t="shared" si="1138"/>
        <v>0</v>
      </c>
      <c r="Z288" s="89">
        <f t="shared" si="1138"/>
        <v>0</v>
      </c>
      <c r="AA288" s="89">
        <f t="shared" si="1138"/>
        <v>0</v>
      </c>
      <c r="AB288" s="89">
        <f t="shared" si="1138"/>
        <v>0</v>
      </c>
      <c r="AC288" s="89">
        <f t="shared" si="1138"/>
        <v>0</v>
      </c>
      <c r="AD288" s="89">
        <f t="shared" si="1138"/>
        <v>0</v>
      </c>
      <c r="AE288" s="89">
        <f t="shared" si="1138"/>
        <v>0</v>
      </c>
      <c r="AF288" s="89">
        <f t="shared" si="1138"/>
        <v>0</v>
      </c>
      <c r="AG288" s="89">
        <f t="shared" si="1138"/>
        <v>0</v>
      </c>
      <c r="AH288" s="89">
        <f t="shared" si="1138"/>
        <v>0</v>
      </c>
      <c r="AI288" s="89">
        <f t="shared" si="1138"/>
        <v>0</v>
      </c>
      <c r="AJ288" s="89">
        <f t="shared" si="1138"/>
        <v>0</v>
      </c>
      <c r="AK288" s="89">
        <f t="shared" si="1138"/>
        <v>0</v>
      </c>
      <c r="AL288" s="89">
        <f t="shared" si="1138"/>
        <v>0</v>
      </c>
      <c r="AM288" s="89">
        <f t="shared" si="1138"/>
        <v>0</v>
      </c>
      <c r="AN288" s="89">
        <f t="shared" si="1138"/>
        <v>0</v>
      </c>
      <c r="AO288" s="89">
        <f t="shared" si="1138"/>
        <v>0</v>
      </c>
      <c r="AP288" s="89">
        <f t="shared" si="1138"/>
        <v>0</v>
      </c>
      <c r="AQ288" s="89">
        <f t="shared" si="1138"/>
        <v>0</v>
      </c>
      <c r="AR288" s="89">
        <f t="shared" si="1138"/>
        <v>0</v>
      </c>
      <c r="AS288" s="89">
        <f t="shared" si="1138"/>
        <v>0</v>
      </c>
      <c r="AT288" s="89">
        <f t="shared" si="1138"/>
        <v>0</v>
      </c>
      <c r="AU288" s="89">
        <f t="shared" si="1138"/>
        <v>0</v>
      </c>
      <c r="AV288" s="89">
        <f t="shared" si="1138"/>
        <v>0</v>
      </c>
      <c r="AW288" s="89">
        <f t="shared" si="1138"/>
        <v>0</v>
      </c>
      <c r="AX288" s="89">
        <f t="shared" si="1138"/>
        <v>0</v>
      </c>
      <c r="AY288" s="89">
        <f t="shared" si="1138"/>
        <v>0</v>
      </c>
      <c r="AZ288" s="89">
        <f t="shared" si="1138"/>
        <v>0</v>
      </c>
      <c r="BA288" s="89">
        <f t="shared" si="1138"/>
        <v>0</v>
      </c>
      <c r="BB288" s="89">
        <f t="shared" si="1138"/>
        <v>0</v>
      </c>
      <c r="BC288" s="89">
        <f t="shared" si="1138"/>
        <v>0</v>
      </c>
      <c r="BD288" s="89">
        <f t="shared" si="1138"/>
        <v>0</v>
      </c>
      <c r="BE288" s="89">
        <f t="shared" si="1138"/>
        <v>0</v>
      </c>
      <c r="BF288" s="89">
        <f t="shared" si="1138"/>
        <v>0</v>
      </c>
      <c r="BG288" s="89">
        <f t="shared" si="1138"/>
        <v>0</v>
      </c>
      <c r="BH288" s="89">
        <f t="shared" si="1138"/>
        <v>0</v>
      </c>
      <c r="BI288" s="89">
        <f t="shared" si="1138"/>
        <v>0</v>
      </c>
      <c r="BJ288" s="89">
        <f t="shared" si="1138"/>
        <v>0</v>
      </c>
      <c r="BK288" s="89">
        <f t="shared" si="1138"/>
        <v>0</v>
      </c>
      <c r="BL288" s="89">
        <f t="shared" si="1138"/>
        <v>0</v>
      </c>
      <c r="BM288" s="89">
        <f t="shared" si="1138"/>
        <v>0</v>
      </c>
      <c r="BN288" s="89">
        <f t="shared" si="1138"/>
        <v>0</v>
      </c>
      <c r="BO288" s="89">
        <f t="shared" si="1138"/>
        <v>0</v>
      </c>
      <c r="BP288" s="89">
        <f t="shared" si="1138"/>
        <v>0</v>
      </c>
      <c r="BQ288" s="89">
        <f t="shared" si="1138"/>
        <v>0</v>
      </c>
      <c r="BR288" s="89">
        <f t="shared" si="1138"/>
        <v>0</v>
      </c>
      <c r="BS288" s="89">
        <f t="shared" si="1138"/>
        <v>0</v>
      </c>
      <c r="BT288" s="89">
        <f t="shared" si="1138"/>
        <v>0</v>
      </c>
      <c r="BU288" s="89">
        <f t="shared" si="1138"/>
        <v>0</v>
      </c>
      <c r="BV288" s="89">
        <f t="shared" si="1138"/>
        <v>0</v>
      </c>
      <c r="BW288" s="89">
        <f t="shared" si="1138"/>
        <v>0</v>
      </c>
      <c r="BX288" s="89">
        <f t="shared" ref="BX288:EI288" si="1139">BX289-BW289</f>
        <v>0</v>
      </c>
      <c r="BY288" s="89">
        <f t="shared" si="1139"/>
        <v>0</v>
      </c>
      <c r="BZ288" s="89">
        <f t="shared" si="1139"/>
        <v>0</v>
      </c>
      <c r="CA288" s="89">
        <f t="shared" si="1139"/>
        <v>0</v>
      </c>
      <c r="CB288" s="89">
        <f t="shared" si="1139"/>
        <v>0</v>
      </c>
      <c r="CC288" s="89">
        <f t="shared" si="1139"/>
        <v>0</v>
      </c>
      <c r="CD288" s="89">
        <f t="shared" si="1139"/>
        <v>0</v>
      </c>
      <c r="CE288" s="89">
        <f t="shared" si="1139"/>
        <v>0</v>
      </c>
      <c r="CF288" s="89">
        <f t="shared" si="1139"/>
        <v>0</v>
      </c>
      <c r="CG288" s="89">
        <f t="shared" si="1139"/>
        <v>0</v>
      </c>
      <c r="CH288" s="89">
        <f t="shared" si="1139"/>
        <v>0</v>
      </c>
      <c r="CI288" s="89">
        <f t="shared" si="1139"/>
        <v>0</v>
      </c>
      <c r="CJ288" s="89">
        <f t="shared" si="1139"/>
        <v>0</v>
      </c>
      <c r="CK288" s="89">
        <f t="shared" si="1139"/>
        <v>0</v>
      </c>
      <c r="CL288" s="89">
        <f t="shared" si="1139"/>
        <v>0</v>
      </c>
      <c r="CM288" s="89">
        <f t="shared" si="1139"/>
        <v>0</v>
      </c>
      <c r="CN288" s="89">
        <f t="shared" si="1139"/>
        <v>0</v>
      </c>
      <c r="CO288" s="89">
        <f t="shared" si="1139"/>
        <v>0</v>
      </c>
      <c r="CP288" s="89">
        <f t="shared" si="1139"/>
        <v>0</v>
      </c>
      <c r="CQ288" s="89">
        <f t="shared" si="1139"/>
        <v>0</v>
      </c>
      <c r="CR288" s="89">
        <f t="shared" si="1139"/>
        <v>0</v>
      </c>
      <c r="CS288" s="89">
        <f t="shared" si="1139"/>
        <v>0</v>
      </c>
      <c r="CT288" s="89">
        <f t="shared" si="1139"/>
        <v>0</v>
      </c>
      <c r="CU288" s="89">
        <f t="shared" si="1139"/>
        <v>0</v>
      </c>
      <c r="CV288" s="89">
        <f t="shared" si="1139"/>
        <v>0</v>
      </c>
      <c r="CW288" s="89">
        <f t="shared" si="1139"/>
        <v>0</v>
      </c>
      <c r="CX288" s="89">
        <f t="shared" si="1139"/>
        <v>0</v>
      </c>
      <c r="CY288" s="89">
        <f t="shared" si="1139"/>
        <v>0</v>
      </c>
      <c r="CZ288" s="89">
        <f t="shared" si="1139"/>
        <v>0</v>
      </c>
      <c r="DA288" s="89">
        <f t="shared" si="1139"/>
        <v>0</v>
      </c>
      <c r="DB288" s="89">
        <f t="shared" si="1139"/>
        <v>0</v>
      </c>
      <c r="DC288" s="89">
        <f t="shared" si="1139"/>
        <v>0</v>
      </c>
      <c r="DD288" s="89">
        <f t="shared" si="1139"/>
        <v>0</v>
      </c>
      <c r="DE288" s="89">
        <f t="shared" si="1139"/>
        <v>0</v>
      </c>
      <c r="DF288" s="89">
        <f t="shared" si="1139"/>
        <v>0</v>
      </c>
      <c r="DG288" s="89">
        <f t="shared" si="1139"/>
        <v>0</v>
      </c>
      <c r="DH288" s="89">
        <f t="shared" si="1139"/>
        <v>0</v>
      </c>
      <c r="DI288" s="89">
        <f t="shared" si="1139"/>
        <v>0</v>
      </c>
      <c r="DJ288" s="89">
        <f t="shared" si="1139"/>
        <v>0</v>
      </c>
      <c r="DK288" s="89">
        <f t="shared" si="1139"/>
        <v>0</v>
      </c>
      <c r="DL288" s="89">
        <f t="shared" si="1139"/>
        <v>0</v>
      </c>
      <c r="DM288" s="89">
        <f t="shared" si="1139"/>
        <v>0</v>
      </c>
      <c r="DN288" s="89">
        <f t="shared" si="1139"/>
        <v>0</v>
      </c>
      <c r="DO288" s="89">
        <f t="shared" si="1139"/>
        <v>0</v>
      </c>
      <c r="DP288" s="89">
        <f t="shared" si="1139"/>
        <v>0</v>
      </c>
      <c r="DQ288" s="89">
        <f t="shared" si="1139"/>
        <v>0</v>
      </c>
      <c r="DR288" s="89">
        <f t="shared" si="1139"/>
        <v>0</v>
      </c>
      <c r="DS288" s="89">
        <f t="shared" si="1139"/>
        <v>0</v>
      </c>
      <c r="DT288" s="89">
        <f t="shared" si="1139"/>
        <v>0</v>
      </c>
      <c r="DU288" s="89">
        <f t="shared" si="1139"/>
        <v>0</v>
      </c>
      <c r="DV288" s="89">
        <f t="shared" si="1139"/>
        <v>0</v>
      </c>
      <c r="DW288" s="89">
        <f t="shared" si="1139"/>
        <v>0</v>
      </c>
      <c r="DX288" s="89">
        <f t="shared" si="1139"/>
        <v>0</v>
      </c>
      <c r="DY288" s="89">
        <f t="shared" si="1139"/>
        <v>0</v>
      </c>
      <c r="DZ288" s="89">
        <f t="shared" si="1139"/>
        <v>0</v>
      </c>
      <c r="EA288" s="89">
        <f t="shared" si="1139"/>
        <v>0</v>
      </c>
      <c r="EB288" s="89">
        <f t="shared" si="1139"/>
        <v>0</v>
      </c>
      <c r="EC288" s="89">
        <f t="shared" si="1139"/>
        <v>0</v>
      </c>
      <c r="ED288" s="89">
        <f t="shared" si="1139"/>
        <v>0</v>
      </c>
      <c r="EE288" s="89">
        <f t="shared" si="1139"/>
        <v>0</v>
      </c>
      <c r="EF288" s="89">
        <f t="shared" si="1139"/>
        <v>0</v>
      </c>
      <c r="EG288" s="89">
        <f t="shared" si="1139"/>
        <v>0</v>
      </c>
      <c r="EH288" s="89">
        <f t="shared" si="1139"/>
        <v>0</v>
      </c>
      <c r="EI288" s="89">
        <f t="shared" si="1139"/>
        <v>0</v>
      </c>
      <c r="EJ288" s="89">
        <f t="shared" ref="EJ288:GU288" si="1140">EJ289-EI289</f>
        <v>0</v>
      </c>
      <c r="EK288" s="89">
        <f t="shared" si="1140"/>
        <v>0</v>
      </c>
      <c r="EL288" s="89">
        <f t="shared" si="1140"/>
        <v>0</v>
      </c>
      <c r="EM288" s="89">
        <f t="shared" si="1140"/>
        <v>0</v>
      </c>
      <c r="EN288" s="89">
        <f t="shared" si="1140"/>
        <v>0</v>
      </c>
      <c r="EO288" s="89">
        <f t="shared" si="1140"/>
        <v>0</v>
      </c>
      <c r="EP288" s="89">
        <f t="shared" si="1140"/>
        <v>0</v>
      </c>
      <c r="EQ288" s="89">
        <f t="shared" si="1140"/>
        <v>0</v>
      </c>
      <c r="ER288" s="89">
        <f t="shared" si="1140"/>
        <v>0</v>
      </c>
      <c r="ES288" s="89">
        <f t="shared" si="1140"/>
        <v>0</v>
      </c>
      <c r="ET288" s="89">
        <f t="shared" si="1140"/>
        <v>0</v>
      </c>
      <c r="EU288" s="89">
        <f t="shared" si="1140"/>
        <v>0</v>
      </c>
      <c r="EV288" s="89">
        <f t="shared" si="1140"/>
        <v>0</v>
      </c>
      <c r="EW288" s="89">
        <f t="shared" si="1140"/>
        <v>0</v>
      </c>
      <c r="EX288" s="89">
        <f t="shared" si="1140"/>
        <v>0</v>
      </c>
      <c r="EY288" s="89">
        <f t="shared" si="1140"/>
        <v>0</v>
      </c>
      <c r="EZ288" s="89">
        <f t="shared" si="1140"/>
        <v>0</v>
      </c>
      <c r="FA288" s="89">
        <f t="shared" si="1140"/>
        <v>0</v>
      </c>
      <c r="FB288" s="89">
        <f t="shared" si="1140"/>
        <v>0</v>
      </c>
      <c r="FC288" s="89">
        <f t="shared" si="1140"/>
        <v>0</v>
      </c>
      <c r="FD288" s="89">
        <f t="shared" si="1140"/>
        <v>0</v>
      </c>
      <c r="FE288" s="89">
        <f t="shared" si="1140"/>
        <v>0</v>
      </c>
      <c r="FF288" s="89">
        <f t="shared" si="1140"/>
        <v>0</v>
      </c>
      <c r="FG288" s="89">
        <f t="shared" si="1140"/>
        <v>0</v>
      </c>
      <c r="FH288" s="89">
        <f t="shared" si="1140"/>
        <v>0</v>
      </c>
      <c r="FI288" s="89">
        <f t="shared" si="1140"/>
        <v>0</v>
      </c>
      <c r="FJ288" s="89">
        <f t="shared" si="1140"/>
        <v>0</v>
      </c>
      <c r="FK288" s="89">
        <f t="shared" si="1140"/>
        <v>0</v>
      </c>
      <c r="FL288" s="89">
        <f t="shared" si="1140"/>
        <v>0</v>
      </c>
      <c r="FM288" s="89">
        <f t="shared" si="1140"/>
        <v>0</v>
      </c>
      <c r="FN288" s="89">
        <f t="shared" si="1140"/>
        <v>0</v>
      </c>
      <c r="FO288" s="89">
        <f t="shared" si="1140"/>
        <v>0</v>
      </c>
      <c r="FP288" s="89">
        <f t="shared" si="1140"/>
        <v>0</v>
      </c>
      <c r="FQ288" s="89">
        <f t="shared" si="1140"/>
        <v>0</v>
      </c>
      <c r="FR288" s="89">
        <f t="shared" si="1140"/>
        <v>0</v>
      </c>
      <c r="FS288" s="89">
        <f t="shared" si="1140"/>
        <v>0</v>
      </c>
      <c r="FT288" s="89">
        <f t="shared" si="1140"/>
        <v>0</v>
      </c>
      <c r="FU288" s="89">
        <f t="shared" si="1140"/>
        <v>0</v>
      </c>
      <c r="FV288" s="89">
        <f t="shared" si="1140"/>
        <v>0</v>
      </c>
      <c r="FW288" s="89">
        <f t="shared" si="1140"/>
        <v>0</v>
      </c>
      <c r="FX288" s="89">
        <f t="shared" si="1140"/>
        <v>0</v>
      </c>
      <c r="FY288" s="89">
        <f t="shared" si="1140"/>
        <v>0</v>
      </c>
      <c r="FZ288" s="89">
        <f t="shared" si="1140"/>
        <v>0</v>
      </c>
      <c r="GA288" s="89">
        <f t="shared" si="1140"/>
        <v>0</v>
      </c>
      <c r="GB288" s="89">
        <f t="shared" si="1140"/>
        <v>0</v>
      </c>
      <c r="GC288" s="89">
        <f t="shared" si="1140"/>
        <v>0</v>
      </c>
      <c r="GD288" s="89">
        <f t="shared" si="1140"/>
        <v>0</v>
      </c>
      <c r="GE288" s="89">
        <f t="shared" si="1140"/>
        <v>0</v>
      </c>
      <c r="GF288" s="89">
        <f t="shared" si="1140"/>
        <v>0</v>
      </c>
      <c r="GG288" s="89">
        <f t="shared" si="1140"/>
        <v>0</v>
      </c>
      <c r="GH288" s="89">
        <f t="shared" si="1140"/>
        <v>0</v>
      </c>
      <c r="GI288" s="89">
        <f t="shared" si="1140"/>
        <v>0</v>
      </c>
      <c r="GJ288" s="89">
        <f t="shared" si="1140"/>
        <v>0</v>
      </c>
      <c r="GK288" s="89">
        <f t="shared" si="1140"/>
        <v>0</v>
      </c>
      <c r="GL288" s="89">
        <f t="shared" si="1140"/>
        <v>0</v>
      </c>
      <c r="GM288" s="89">
        <f t="shared" si="1140"/>
        <v>0</v>
      </c>
      <c r="GN288" s="89">
        <f t="shared" si="1140"/>
        <v>0</v>
      </c>
      <c r="GO288" s="89">
        <f t="shared" si="1140"/>
        <v>0</v>
      </c>
      <c r="GP288" s="89">
        <f t="shared" si="1140"/>
        <v>0</v>
      </c>
      <c r="GQ288" s="89">
        <f t="shared" si="1140"/>
        <v>0</v>
      </c>
      <c r="GR288" s="89">
        <f t="shared" si="1140"/>
        <v>0</v>
      </c>
      <c r="GS288" s="89">
        <f t="shared" si="1140"/>
        <v>0</v>
      </c>
      <c r="GT288" s="89">
        <f t="shared" si="1140"/>
        <v>0</v>
      </c>
      <c r="GU288" s="89">
        <f t="shared" si="1140"/>
        <v>0</v>
      </c>
      <c r="GV288" s="89">
        <f t="shared" ref="GV288:JG288" si="1141">GV289-GU289</f>
        <v>0</v>
      </c>
      <c r="GW288" s="89">
        <f t="shared" si="1141"/>
        <v>0</v>
      </c>
      <c r="GX288" s="89">
        <f t="shared" si="1141"/>
        <v>0</v>
      </c>
      <c r="GY288" s="89">
        <f t="shared" si="1141"/>
        <v>0</v>
      </c>
      <c r="GZ288" s="89">
        <f t="shared" si="1141"/>
        <v>0</v>
      </c>
      <c r="HA288" s="89">
        <f t="shared" si="1141"/>
        <v>0</v>
      </c>
      <c r="HB288" s="89">
        <f t="shared" si="1141"/>
        <v>0</v>
      </c>
      <c r="HC288" s="89">
        <f t="shared" si="1141"/>
        <v>0</v>
      </c>
      <c r="HD288" s="89">
        <f t="shared" si="1141"/>
        <v>0</v>
      </c>
      <c r="HE288" s="89">
        <f t="shared" si="1141"/>
        <v>0</v>
      </c>
      <c r="HF288" s="89">
        <f t="shared" si="1141"/>
        <v>0</v>
      </c>
      <c r="HG288" s="89">
        <f t="shared" si="1141"/>
        <v>0</v>
      </c>
      <c r="HH288" s="89">
        <f t="shared" si="1141"/>
        <v>0</v>
      </c>
      <c r="HI288" s="89">
        <f t="shared" si="1141"/>
        <v>0</v>
      </c>
      <c r="HJ288" s="89">
        <f t="shared" si="1141"/>
        <v>0</v>
      </c>
      <c r="HK288" s="89">
        <f t="shared" si="1141"/>
        <v>0</v>
      </c>
      <c r="HL288" s="89">
        <f t="shared" si="1141"/>
        <v>0</v>
      </c>
      <c r="HM288" s="89">
        <f t="shared" si="1141"/>
        <v>0</v>
      </c>
      <c r="HN288" s="89">
        <f t="shared" si="1141"/>
        <v>0</v>
      </c>
      <c r="HO288" s="89">
        <f t="shared" si="1141"/>
        <v>0</v>
      </c>
      <c r="HP288" s="89">
        <f t="shared" si="1141"/>
        <v>0</v>
      </c>
      <c r="HQ288" s="89">
        <f t="shared" si="1141"/>
        <v>0</v>
      </c>
      <c r="HR288" s="89">
        <f t="shared" si="1141"/>
        <v>0</v>
      </c>
      <c r="HS288" s="89">
        <f t="shared" si="1141"/>
        <v>0</v>
      </c>
      <c r="HT288" s="89">
        <f t="shared" si="1141"/>
        <v>0</v>
      </c>
      <c r="HU288" s="89">
        <f t="shared" si="1141"/>
        <v>0</v>
      </c>
      <c r="HV288" s="89">
        <f t="shared" si="1141"/>
        <v>0</v>
      </c>
      <c r="HW288" s="89">
        <f t="shared" si="1141"/>
        <v>0</v>
      </c>
      <c r="HX288" s="89">
        <f t="shared" si="1141"/>
        <v>0</v>
      </c>
      <c r="HY288" s="89">
        <f t="shared" si="1141"/>
        <v>0</v>
      </c>
      <c r="HZ288" s="89">
        <f t="shared" si="1141"/>
        <v>0</v>
      </c>
      <c r="IA288" s="89">
        <f t="shared" si="1141"/>
        <v>0</v>
      </c>
      <c r="IB288" s="89">
        <f t="shared" si="1141"/>
        <v>0</v>
      </c>
      <c r="IC288" s="89">
        <f t="shared" si="1141"/>
        <v>0</v>
      </c>
      <c r="ID288" s="89">
        <f t="shared" si="1141"/>
        <v>0</v>
      </c>
      <c r="IE288" s="89">
        <f t="shared" si="1141"/>
        <v>0</v>
      </c>
      <c r="IF288" s="89">
        <f t="shared" si="1141"/>
        <v>0</v>
      </c>
      <c r="IG288" s="89">
        <f t="shared" si="1141"/>
        <v>0</v>
      </c>
      <c r="IH288" s="89">
        <f t="shared" si="1141"/>
        <v>0</v>
      </c>
      <c r="II288" s="89">
        <f t="shared" si="1141"/>
        <v>0</v>
      </c>
      <c r="IJ288" s="89">
        <f t="shared" si="1141"/>
        <v>0</v>
      </c>
      <c r="IK288" s="89">
        <f t="shared" si="1141"/>
        <v>0</v>
      </c>
      <c r="IL288" s="89">
        <f t="shared" si="1141"/>
        <v>0</v>
      </c>
      <c r="IM288" s="89">
        <f t="shared" si="1141"/>
        <v>0</v>
      </c>
      <c r="IN288" s="89">
        <f t="shared" si="1141"/>
        <v>0</v>
      </c>
      <c r="IO288" s="89">
        <f t="shared" si="1141"/>
        <v>0</v>
      </c>
      <c r="IP288" s="89">
        <f t="shared" si="1141"/>
        <v>0</v>
      </c>
      <c r="IQ288" s="89">
        <f t="shared" si="1141"/>
        <v>0</v>
      </c>
      <c r="IR288" s="89">
        <f t="shared" si="1141"/>
        <v>0</v>
      </c>
      <c r="IS288" s="89">
        <f t="shared" si="1141"/>
        <v>0</v>
      </c>
      <c r="IT288" s="89">
        <f t="shared" si="1141"/>
        <v>0</v>
      </c>
      <c r="IU288" s="89">
        <f t="shared" si="1141"/>
        <v>0</v>
      </c>
      <c r="IV288" s="89">
        <f t="shared" si="1141"/>
        <v>0</v>
      </c>
      <c r="IW288" s="89">
        <f t="shared" si="1141"/>
        <v>0</v>
      </c>
      <c r="IX288" s="89">
        <f t="shared" si="1141"/>
        <v>0</v>
      </c>
      <c r="IY288" s="89">
        <f t="shared" si="1141"/>
        <v>0</v>
      </c>
      <c r="IZ288" s="89">
        <f t="shared" si="1141"/>
        <v>0</v>
      </c>
      <c r="JA288" s="89">
        <f t="shared" si="1141"/>
        <v>0</v>
      </c>
      <c r="JB288" s="89">
        <f t="shared" si="1141"/>
        <v>0</v>
      </c>
      <c r="JC288" s="89">
        <f t="shared" si="1141"/>
        <v>0</v>
      </c>
      <c r="JD288" s="89">
        <f t="shared" si="1141"/>
        <v>0</v>
      </c>
      <c r="JE288" s="89">
        <f t="shared" si="1141"/>
        <v>0</v>
      </c>
      <c r="JF288" s="89">
        <f t="shared" si="1141"/>
        <v>0</v>
      </c>
      <c r="JG288" s="89">
        <f t="shared" si="1141"/>
        <v>0</v>
      </c>
      <c r="JH288" s="89">
        <f t="shared" ref="JH288:JS288" si="1142">JH289-JG289</f>
        <v>0</v>
      </c>
      <c r="JI288" s="89">
        <f t="shared" si="1142"/>
        <v>0</v>
      </c>
      <c r="JJ288" s="89">
        <f t="shared" si="1142"/>
        <v>0</v>
      </c>
      <c r="JK288" s="89">
        <f t="shared" si="1142"/>
        <v>0</v>
      </c>
      <c r="JL288" s="89">
        <f t="shared" si="1142"/>
        <v>0</v>
      </c>
      <c r="JM288" s="89">
        <f t="shared" si="1142"/>
        <v>0</v>
      </c>
      <c r="JN288" s="89">
        <f t="shared" si="1142"/>
        <v>0</v>
      </c>
      <c r="JO288" s="89">
        <f t="shared" si="1142"/>
        <v>0</v>
      </c>
      <c r="JP288" s="89">
        <f t="shared" si="1142"/>
        <v>0</v>
      </c>
      <c r="JQ288" s="89">
        <f t="shared" si="1142"/>
        <v>0</v>
      </c>
      <c r="JR288" s="89">
        <f t="shared" si="1142"/>
        <v>0</v>
      </c>
      <c r="JS288" s="89">
        <f t="shared" si="1142"/>
        <v>0</v>
      </c>
      <c r="JT288" s="89"/>
      <c r="JU288" s="89"/>
      <c r="JV288" s="89"/>
      <c r="JW288" s="89"/>
      <c r="JX288" s="89"/>
      <c r="JY288" s="89"/>
      <c r="JZ288" s="89"/>
      <c r="KA288" s="89"/>
      <c r="KB288" s="89"/>
      <c r="KC288" s="89"/>
      <c r="KD288" s="89"/>
      <c r="KE288" s="89"/>
      <c r="KF288" s="89"/>
      <c r="KG288" s="89"/>
      <c r="KH288" s="89"/>
      <c r="KI288" s="89"/>
      <c r="KJ288" s="89"/>
      <c r="KK288" s="89"/>
      <c r="KL288" s="89"/>
      <c r="KM288" s="89"/>
      <c r="KN288" s="89"/>
      <c r="KO288" s="89"/>
      <c r="KP288" s="89"/>
      <c r="KQ288" s="89"/>
      <c r="KR288" s="89"/>
      <c r="KS288" s="89"/>
      <c r="KT288" s="89"/>
      <c r="KU288" s="89"/>
      <c r="KV288" s="89"/>
      <c r="KW288" s="89"/>
      <c r="KX288" s="89"/>
      <c r="KY288" s="89"/>
      <c r="KZ288" s="89"/>
      <c r="LA288" s="89"/>
      <c r="LB288" s="89"/>
      <c r="LC288" s="89"/>
      <c r="LD288" s="89"/>
      <c r="LE288" s="89"/>
      <c r="LF288" s="89"/>
      <c r="LG288" s="89"/>
      <c r="LH288" s="89"/>
      <c r="LI288" s="89"/>
      <c r="LJ288" s="89"/>
      <c r="LK288" s="89"/>
      <c r="LL288" s="89"/>
      <c r="LM288" s="89"/>
      <c r="LN288" s="89"/>
      <c r="LO288" s="89"/>
      <c r="LP288" s="89"/>
      <c r="LQ288" s="89"/>
      <c r="LR288" s="89"/>
      <c r="LS288" s="89"/>
      <c r="LT288" s="89"/>
      <c r="LU288" s="89"/>
      <c r="LV288" s="89"/>
      <c r="LW288" s="89"/>
      <c r="LX288" s="89"/>
      <c r="LY288" s="89"/>
      <c r="LZ288" s="89"/>
      <c r="MA288" s="89"/>
      <c r="MB288" s="89"/>
      <c r="MC288" s="89"/>
      <c r="MD288" s="89"/>
      <c r="ME288" s="89"/>
      <c r="MF288" s="89"/>
      <c r="MG288" s="89"/>
      <c r="MH288" s="89"/>
      <c r="MI288" s="89"/>
      <c r="MJ288" s="89"/>
      <c r="MK288" s="89"/>
      <c r="ML288" s="89"/>
      <c r="MM288" s="89"/>
      <c r="MN288" s="89"/>
      <c r="MO288" s="89"/>
      <c r="MP288" s="89"/>
      <c r="MQ288" s="89"/>
      <c r="MR288" s="89"/>
      <c r="MS288" s="89"/>
      <c r="MT288" s="89"/>
      <c r="MU288" s="89"/>
      <c r="MV288" s="89"/>
      <c r="MW288" s="89"/>
      <c r="MX288" s="89"/>
      <c r="MY288" s="89"/>
      <c r="MZ288" s="89"/>
      <c r="NA288" s="89"/>
      <c r="NB288" s="89"/>
      <c r="NC288" s="89"/>
      <c r="ND288" s="89"/>
      <c r="NE288" s="89"/>
      <c r="NF288" s="89"/>
      <c r="NG288" s="89"/>
      <c r="NH288" s="89"/>
      <c r="NI288" s="89"/>
      <c r="NJ288" s="89"/>
      <c r="NK288" s="89"/>
      <c r="NL288" s="89"/>
      <c r="NM288" s="89"/>
      <c r="NN288" s="89"/>
      <c r="NO288" s="89"/>
      <c r="NP288" s="89"/>
      <c r="NQ288" s="89"/>
      <c r="NR288" s="89"/>
      <c r="NS288" s="89"/>
      <c r="NT288" s="89"/>
      <c r="NU288" s="89"/>
      <c r="NV288" s="89"/>
      <c r="NW288" s="89"/>
      <c r="NX288" s="89"/>
      <c r="NY288" s="89"/>
      <c r="NZ288" s="89"/>
      <c r="OA288" s="89"/>
      <c r="OB288" s="89"/>
      <c r="OC288" s="89"/>
      <c r="OD288" s="89"/>
      <c r="OE288" s="89"/>
      <c r="OF288" s="89"/>
      <c r="OG288" s="89"/>
      <c r="OH288" s="89"/>
      <c r="OI288" s="89"/>
      <c r="OJ288" s="89"/>
      <c r="OK288" s="89"/>
      <c r="OL288" s="89"/>
      <c r="OM288" s="89"/>
      <c r="ON288" s="89"/>
      <c r="OO288" s="89"/>
      <c r="OP288" s="89"/>
      <c r="OQ288" s="89"/>
      <c r="OR288" s="89"/>
      <c r="OS288" s="89"/>
      <c r="OT288" s="89"/>
      <c r="OU288" s="89"/>
      <c r="OV288" s="89"/>
      <c r="OW288" s="89"/>
      <c r="OX288" s="89"/>
      <c r="OY288" s="89"/>
      <c r="OZ288" s="89"/>
      <c r="PA288" s="89"/>
      <c r="PB288" s="89"/>
      <c r="PC288" s="89"/>
      <c r="PD288" s="89"/>
      <c r="PE288" s="89"/>
      <c r="PF288" s="89"/>
      <c r="PG288" s="89"/>
      <c r="PH288" s="89"/>
      <c r="PI288" s="89"/>
      <c r="PJ288" s="89"/>
      <c r="PK288" s="89"/>
      <c r="PL288" s="89"/>
      <c r="PM288" s="89"/>
      <c r="PN288" s="89"/>
      <c r="PO288" s="89"/>
      <c r="PP288" s="89"/>
      <c r="PQ288" s="89"/>
      <c r="PR288" s="89"/>
      <c r="PS288" s="89"/>
      <c r="PT288" s="89"/>
      <c r="PU288" s="89"/>
      <c r="PV288" s="89"/>
      <c r="PW288" s="89"/>
      <c r="PX288" s="89"/>
      <c r="PY288" s="89"/>
      <c r="PZ288" s="89"/>
      <c r="QA288" s="89"/>
      <c r="QB288" s="89"/>
      <c r="QC288" s="89"/>
      <c r="QD288" s="89"/>
      <c r="QE288" s="89"/>
      <c r="QF288" s="89"/>
      <c r="QG288" s="89"/>
      <c r="QH288" s="89"/>
      <c r="QI288" s="89"/>
      <c r="QJ288" s="89"/>
      <c r="QK288" s="89"/>
      <c r="QL288" s="89"/>
      <c r="QM288" s="89"/>
      <c r="QN288" s="89"/>
      <c r="QO288" s="89"/>
      <c r="QP288" s="89"/>
      <c r="QQ288" s="89"/>
      <c r="QR288" s="89"/>
      <c r="QS288" s="89"/>
      <c r="QT288" s="89"/>
      <c r="QU288" s="89"/>
      <c r="QV288" s="89"/>
      <c r="QW288" s="89"/>
      <c r="QX288" s="89"/>
      <c r="QY288" s="89"/>
      <c r="QZ288" s="89"/>
      <c r="RA288" s="89"/>
      <c r="RB288" s="89"/>
      <c r="RC288" s="89"/>
      <c r="RD288" s="89"/>
      <c r="RE288" s="89"/>
      <c r="RF288" s="89"/>
      <c r="RG288" s="89"/>
      <c r="RH288" s="89"/>
      <c r="RI288" s="89"/>
      <c r="RJ288" s="89"/>
      <c r="RK288" s="89"/>
      <c r="RL288" s="89"/>
      <c r="RM288" s="89"/>
      <c r="RN288" s="89"/>
      <c r="RO288" s="89"/>
      <c r="RP288" s="89"/>
      <c r="RQ288" s="89"/>
      <c r="RR288" s="89"/>
      <c r="RS288" s="89"/>
      <c r="RT288" s="89"/>
      <c r="RU288" s="89"/>
      <c r="RV288" s="89"/>
      <c r="RW288" s="89"/>
      <c r="RX288" s="89"/>
      <c r="RY288" s="89"/>
      <c r="RZ288" s="89"/>
      <c r="SA288" s="89"/>
      <c r="SB288" s="89"/>
      <c r="SC288" s="89"/>
      <c r="SD288" s="89"/>
      <c r="SE288" s="89"/>
      <c r="SF288" s="89"/>
      <c r="SG288" s="89"/>
      <c r="SH288" s="89"/>
      <c r="SI288" s="89"/>
      <c r="SJ288" s="89"/>
      <c r="SK288" s="89"/>
      <c r="SL288" s="89"/>
      <c r="SM288" s="89"/>
      <c r="SN288" s="89"/>
      <c r="SO288" s="89"/>
      <c r="SP288" s="89"/>
      <c r="SQ288" s="89"/>
      <c r="SR288" s="89"/>
      <c r="SS288" s="89"/>
      <c r="ST288" s="89"/>
      <c r="SU288" s="89"/>
      <c r="SV288" s="89"/>
      <c r="SW288" s="89"/>
      <c r="SX288" s="89"/>
      <c r="SY288" s="89"/>
      <c r="SZ288" s="89"/>
      <c r="TA288" s="89"/>
      <c r="TB288" s="89"/>
      <c r="TC288" s="89"/>
      <c r="TD288" s="89"/>
      <c r="TE288" s="89"/>
      <c r="TF288" s="89"/>
      <c r="TG288" s="89"/>
      <c r="TH288" s="89"/>
      <c r="TI288" s="89"/>
      <c r="TJ288" s="89"/>
      <c r="TK288" s="89"/>
      <c r="TL288" s="89"/>
      <c r="TM288" s="89"/>
      <c r="TN288" s="89"/>
      <c r="TO288" s="89"/>
      <c r="TP288" s="89"/>
      <c r="TQ288" s="89"/>
      <c r="TR288" s="89"/>
      <c r="TS288" s="89"/>
      <c r="TT288" s="89"/>
      <c r="TU288" s="89"/>
      <c r="TV288" s="89"/>
      <c r="TW288" s="89"/>
      <c r="TX288" s="89"/>
      <c r="TY288" s="89"/>
      <c r="TZ288" s="89"/>
      <c r="UA288" s="89"/>
      <c r="UB288" s="89"/>
      <c r="UC288" s="89"/>
      <c r="UD288" s="89"/>
      <c r="UE288" s="89"/>
      <c r="UF288" s="89"/>
      <c r="UG288" s="89"/>
      <c r="UH288" s="89"/>
      <c r="UI288" s="89"/>
      <c r="UJ288" s="89"/>
      <c r="UK288" s="89"/>
      <c r="UL288" s="89"/>
      <c r="UM288" s="89"/>
      <c r="UN288" s="89"/>
      <c r="UO288" s="89"/>
      <c r="UP288" s="89"/>
      <c r="UQ288" s="89"/>
      <c r="UR288" s="89"/>
      <c r="US288" s="89"/>
      <c r="UT288" s="89"/>
      <c r="UU288" s="89"/>
      <c r="UV288" s="89"/>
      <c r="UW288" s="89"/>
      <c r="UX288" s="89"/>
      <c r="UY288" s="89"/>
      <c r="UZ288" s="89"/>
      <c r="VA288" s="89"/>
      <c r="VB288" s="89"/>
      <c r="VC288" s="89"/>
      <c r="VD288" s="89"/>
      <c r="VE288" s="89"/>
      <c r="VF288" s="89"/>
      <c r="VG288" s="89"/>
      <c r="VH288" s="89"/>
      <c r="VI288" s="89"/>
      <c r="VJ288" s="89"/>
      <c r="VK288" s="89"/>
      <c r="VL288" s="89"/>
      <c r="VM288" s="89"/>
      <c r="VN288" s="89"/>
      <c r="VO288" s="89"/>
      <c r="VP288" s="89"/>
      <c r="VQ288" s="89"/>
      <c r="VR288" s="89"/>
      <c r="VS288" s="89"/>
      <c r="VT288" s="89"/>
      <c r="VU288" s="89"/>
      <c r="VV288" s="89"/>
      <c r="VW288" s="89"/>
      <c r="VX288" s="89"/>
      <c r="VY288" s="89"/>
      <c r="VZ288" s="89"/>
      <c r="WA288" s="89"/>
      <c r="WB288" s="89"/>
      <c r="WC288" s="89"/>
      <c r="WD288" s="89"/>
      <c r="WE288" s="89"/>
      <c r="WF288" s="89"/>
    </row>
    <row r="289" spans="1:604" x14ac:dyDescent="0.3">
      <c r="A289" s="161"/>
      <c r="B289" s="161"/>
      <c r="C289" s="161"/>
      <c r="D289" s="161"/>
      <c r="E289" s="161"/>
      <c r="F289" s="161"/>
      <c r="G289" s="161"/>
      <c r="H289" s="161"/>
      <c r="I289" s="161"/>
      <c r="J289" s="89">
        <f>J288</f>
        <v>0</v>
      </c>
      <c r="K289" s="89">
        <f>K290</f>
        <v>0</v>
      </c>
      <c r="L289" s="89">
        <f t="shared" ref="L289:BW289" si="1143">L290</f>
        <v>0</v>
      </c>
      <c r="M289" s="89">
        <f t="shared" si="1143"/>
        <v>0</v>
      </c>
      <c r="N289" s="89">
        <f t="shared" si="1143"/>
        <v>0</v>
      </c>
      <c r="O289" s="89">
        <f t="shared" si="1143"/>
        <v>0</v>
      </c>
      <c r="P289" s="89">
        <f t="shared" si="1143"/>
        <v>0</v>
      </c>
      <c r="Q289" s="89">
        <f t="shared" si="1143"/>
        <v>0</v>
      </c>
      <c r="R289" s="89">
        <f t="shared" si="1143"/>
        <v>0</v>
      </c>
      <c r="S289" s="89">
        <f t="shared" si="1143"/>
        <v>0</v>
      </c>
      <c r="T289" s="89">
        <f t="shared" si="1143"/>
        <v>0</v>
      </c>
      <c r="U289" s="89">
        <f t="shared" si="1143"/>
        <v>0</v>
      </c>
      <c r="V289" s="89">
        <f t="shared" si="1143"/>
        <v>0</v>
      </c>
      <c r="W289" s="89">
        <f t="shared" si="1143"/>
        <v>0</v>
      </c>
      <c r="X289" s="89">
        <f t="shared" si="1143"/>
        <v>0</v>
      </c>
      <c r="Y289" s="89">
        <f t="shared" si="1143"/>
        <v>0</v>
      </c>
      <c r="Z289" s="89">
        <f t="shared" si="1143"/>
        <v>0</v>
      </c>
      <c r="AA289" s="89">
        <f t="shared" si="1143"/>
        <v>0</v>
      </c>
      <c r="AB289" s="89">
        <f t="shared" si="1143"/>
        <v>0</v>
      </c>
      <c r="AC289" s="89">
        <f t="shared" si="1143"/>
        <v>0</v>
      </c>
      <c r="AD289" s="89">
        <f t="shared" si="1143"/>
        <v>0</v>
      </c>
      <c r="AE289" s="89">
        <f t="shared" si="1143"/>
        <v>0</v>
      </c>
      <c r="AF289" s="89">
        <f t="shared" si="1143"/>
        <v>0</v>
      </c>
      <c r="AG289" s="89">
        <f t="shared" si="1143"/>
        <v>0</v>
      </c>
      <c r="AH289" s="89">
        <f t="shared" si="1143"/>
        <v>0</v>
      </c>
      <c r="AI289" s="89">
        <f t="shared" si="1143"/>
        <v>0</v>
      </c>
      <c r="AJ289" s="89">
        <f t="shared" si="1143"/>
        <v>0</v>
      </c>
      <c r="AK289" s="89">
        <f t="shared" si="1143"/>
        <v>0</v>
      </c>
      <c r="AL289" s="89">
        <f t="shared" si="1143"/>
        <v>0</v>
      </c>
      <c r="AM289" s="89">
        <f t="shared" si="1143"/>
        <v>0</v>
      </c>
      <c r="AN289" s="89">
        <f t="shared" si="1143"/>
        <v>0</v>
      </c>
      <c r="AO289" s="89">
        <f t="shared" si="1143"/>
        <v>0</v>
      </c>
      <c r="AP289" s="89">
        <f t="shared" si="1143"/>
        <v>0</v>
      </c>
      <c r="AQ289" s="89">
        <f t="shared" si="1143"/>
        <v>0</v>
      </c>
      <c r="AR289" s="89">
        <f t="shared" si="1143"/>
        <v>0</v>
      </c>
      <c r="AS289" s="89">
        <f t="shared" si="1143"/>
        <v>0</v>
      </c>
      <c r="AT289" s="89">
        <f t="shared" si="1143"/>
        <v>0</v>
      </c>
      <c r="AU289" s="89">
        <f t="shared" si="1143"/>
        <v>0</v>
      </c>
      <c r="AV289" s="89">
        <f t="shared" si="1143"/>
        <v>0</v>
      </c>
      <c r="AW289" s="89">
        <f t="shared" si="1143"/>
        <v>0</v>
      </c>
      <c r="AX289" s="89">
        <f t="shared" si="1143"/>
        <v>0</v>
      </c>
      <c r="AY289" s="89">
        <f t="shared" si="1143"/>
        <v>0</v>
      </c>
      <c r="AZ289" s="89">
        <f t="shared" si="1143"/>
        <v>0</v>
      </c>
      <c r="BA289" s="89">
        <f t="shared" si="1143"/>
        <v>0</v>
      </c>
      <c r="BB289" s="89">
        <f t="shared" si="1143"/>
        <v>0</v>
      </c>
      <c r="BC289" s="89">
        <f t="shared" si="1143"/>
        <v>0</v>
      </c>
      <c r="BD289" s="89">
        <f t="shared" si="1143"/>
        <v>0</v>
      </c>
      <c r="BE289" s="89">
        <f t="shared" si="1143"/>
        <v>0</v>
      </c>
      <c r="BF289" s="89">
        <f t="shared" si="1143"/>
        <v>0</v>
      </c>
      <c r="BG289" s="89">
        <f t="shared" si="1143"/>
        <v>0</v>
      </c>
      <c r="BH289" s="89">
        <f t="shared" si="1143"/>
        <v>0</v>
      </c>
      <c r="BI289" s="89">
        <f t="shared" si="1143"/>
        <v>0</v>
      </c>
      <c r="BJ289" s="89">
        <f t="shared" si="1143"/>
        <v>0</v>
      </c>
      <c r="BK289" s="89">
        <f t="shared" si="1143"/>
        <v>0</v>
      </c>
      <c r="BL289" s="89">
        <f t="shared" si="1143"/>
        <v>0</v>
      </c>
      <c r="BM289" s="89">
        <f t="shared" si="1143"/>
        <v>0</v>
      </c>
      <c r="BN289" s="89">
        <f t="shared" si="1143"/>
        <v>0</v>
      </c>
      <c r="BO289" s="89">
        <f t="shared" si="1143"/>
        <v>0</v>
      </c>
      <c r="BP289" s="89">
        <f t="shared" si="1143"/>
        <v>0</v>
      </c>
      <c r="BQ289" s="89">
        <f t="shared" si="1143"/>
        <v>0</v>
      </c>
      <c r="BR289" s="89">
        <f t="shared" si="1143"/>
        <v>0</v>
      </c>
      <c r="BS289" s="89">
        <f t="shared" si="1143"/>
        <v>0</v>
      </c>
      <c r="BT289" s="89">
        <f t="shared" si="1143"/>
        <v>0</v>
      </c>
      <c r="BU289" s="89">
        <f t="shared" si="1143"/>
        <v>0</v>
      </c>
      <c r="BV289" s="89">
        <f t="shared" si="1143"/>
        <v>0</v>
      </c>
      <c r="BW289" s="89">
        <f t="shared" si="1143"/>
        <v>0</v>
      </c>
      <c r="BX289" s="89">
        <f t="shared" ref="BX289:EI289" si="1144">BX290</f>
        <v>0</v>
      </c>
      <c r="BY289" s="89">
        <f t="shared" si="1144"/>
        <v>0</v>
      </c>
      <c r="BZ289" s="89">
        <f t="shared" si="1144"/>
        <v>0</v>
      </c>
      <c r="CA289" s="89">
        <f t="shared" si="1144"/>
        <v>0</v>
      </c>
      <c r="CB289" s="89">
        <f t="shared" si="1144"/>
        <v>0</v>
      </c>
      <c r="CC289" s="89">
        <f t="shared" si="1144"/>
        <v>0</v>
      </c>
      <c r="CD289" s="89">
        <f t="shared" si="1144"/>
        <v>0</v>
      </c>
      <c r="CE289" s="89">
        <f t="shared" si="1144"/>
        <v>0</v>
      </c>
      <c r="CF289" s="89">
        <f t="shared" si="1144"/>
        <v>0</v>
      </c>
      <c r="CG289" s="89">
        <f t="shared" si="1144"/>
        <v>0</v>
      </c>
      <c r="CH289" s="89">
        <f t="shared" si="1144"/>
        <v>0</v>
      </c>
      <c r="CI289" s="89">
        <f t="shared" si="1144"/>
        <v>0</v>
      </c>
      <c r="CJ289" s="89">
        <f t="shared" si="1144"/>
        <v>0</v>
      </c>
      <c r="CK289" s="89">
        <f t="shared" si="1144"/>
        <v>0</v>
      </c>
      <c r="CL289" s="89">
        <f t="shared" si="1144"/>
        <v>0</v>
      </c>
      <c r="CM289" s="89">
        <f t="shared" si="1144"/>
        <v>0</v>
      </c>
      <c r="CN289" s="89">
        <f t="shared" si="1144"/>
        <v>0</v>
      </c>
      <c r="CO289" s="89">
        <f t="shared" si="1144"/>
        <v>0</v>
      </c>
      <c r="CP289" s="89">
        <f t="shared" si="1144"/>
        <v>0</v>
      </c>
      <c r="CQ289" s="89">
        <f t="shared" si="1144"/>
        <v>0</v>
      </c>
      <c r="CR289" s="89">
        <f t="shared" si="1144"/>
        <v>0</v>
      </c>
      <c r="CS289" s="89">
        <f t="shared" si="1144"/>
        <v>0</v>
      </c>
      <c r="CT289" s="89">
        <f t="shared" si="1144"/>
        <v>0</v>
      </c>
      <c r="CU289" s="89">
        <f t="shared" si="1144"/>
        <v>0</v>
      </c>
      <c r="CV289" s="89">
        <f t="shared" si="1144"/>
        <v>0</v>
      </c>
      <c r="CW289" s="89">
        <f t="shared" si="1144"/>
        <v>0</v>
      </c>
      <c r="CX289" s="89">
        <f t="shared" si="1144"/>
        <v>0</v>
      </c>
      <c r="CY289" s="89">
        <f t="shared" si="1144"/>
        <v>0</v>
      </c>
      <c r="CZ289" s="89">
        <f t="shared" si="1144"/>
        <v>0</v>
      </c>
      <c r="DA289" s="89">
        <f t="shared" si="1144"/>
        <v>0</v>
      </c>
      <c r="DB289" s="89">
        <f t="shared" si="1144"/>
        <v>0</v>
      </c>
      <c r="DC289" s="89">
        <f t="shared" si="1144"/>
        <v>0</v>
      </c>
      <c r="DD289" s="89">
        <f t="shared" si="1144"/>
        <v>0</v>
      </c>
      <c r="DE289" s="89">
        <f t="shared" si="1144"/>
        <v>0</v>
      </c>
      <c r="DF289" s="89">
        <f t="shared" si="1144"/>
        <v>0</v>
      </c>
      <c r="DG289" s="89">
        <f t="shared" si="1144"/>
        <v>0</v>
      </c>
      <c r="DH289" s="89">
        <f t="shared" si="1144"/>
        <v>0</v>
      </c>
      <c r="DI289" s="89">
        <f t="shared" si="1144"/>
        <v>0</v>
      </c>
      <c r="DJ289" s="89">
        <f t="shared" si="1144"/>
        <v>0</v>
      </c>
      <c r="DK289" s="89">
        <f t="shared" si="1144"/>
        <v>0</v>
      </c>
      <c r="DL289" s="89">
        <f t="shared" si="1144"/>
        <v>0</v>
      </c>
      <c r="DM289" s="89">
        <f t="shared" si="1144"/>
        <v>0</v>
      </c>
      <c r="DN289" s="89">
        <f t="shared" si="1144"/>
        <v>0</v>
      </c>
      <c r="DO289" s="89">
        <f t="shared" si="1144"/>
        <v>0</v>
      </c>
      <c r="DP289" s="89">
        <f t="shared" si="1144"/>
        <v>0</v>
      </c>
      <c r="DQ289" s="89">
        <f t="shared" si="1144"/>
        <v>0</v>
      </c>
      <c r="DR289" s="89">
        <f t="shared" si="1144"/>
        <v>0</v>
      </c>
      <c r="DS289" s="89">
        <f t="shared" si="1144"/>
        <v>0</v>
      </c>
      <c r="DT289" s="89">
        <f t="shared" si="1144"/>
        <v>0</v>
      </c>
      <c r="DU289" s="89">
        <f t="shared" si="1144"/>
        <v>0</v>
      </c>
      <c r="DV289" s="89">
        <f t="shared" si="1144"/>
        <v>0</v>
      </c>
      <c r="DW289" s="89">
        <f t="shared" si="1144"/>
        <v>0</v>
      </c>
      <c r="DX289" s="89">
        <f t="shared" si="1144"/>
        <v>0</v>
      </c>
      <c r="DY289" s="89">
        <f t="shared" si="1144"/>
        <v>0</v>
      </c>
      <c r="DZ289" s="89">
        <f t="shared" si="1144"/>
        <v>0</v>
      </c>
      <c r="EA289" s="89">
        <f t="shared" si="1144"/>
        <v>0</v>
      </c>
      <c r="EB289" s="89">
        <f t="shared" si="1144"/>
        <v>0</v>
      </c>
      <c r="EC289" s="89">
        <f t="shared" si="1144"/>
        <v>0</v>
      </c>
      <c r="ED289" s="89">
        <f t="shared" si="1144"/>
        <v>0</v>
      </c>
      <c r="EE289" s="89">
        <f t="shared" si="1144"/>
        <v>0</v>
      </c>
      <c r="EF289" s="89">
        <f t="shared" si="1144"/>
        <v>0</v>
      </c>
      <c r="EG289" s="89">
        <f t="shared" si="1144"/>
        <v>0</v>
      </c>
      <c r="EH289" s="89">
        <f t="shared" si="1144"/>
        <v>0</v>
      </c>
      <c r="EI289" s="89">
        <f t="shared" si="1144"/>
        <v>0</v>
      </c>
      <c r="EJ289" s="89">
        <f t="shared" ref="EJ289:GU289" si="1145">EJ290</f>
        <v>0</v>
      </c>
      <c r="EK289" s="89">
        <f t="shared" si="1145"/>
        <v>0</v>
      </c>
      <c r="EL289" s="89">
        <f t="shared" si="1145"/>
        <v>0</v>
      </c>
      <c r="EM289" s="89">
        <f t="shared" si="1145"/>
        <v>0</v>
      </c>
      <c r="EN289" s="89">
        <f t="shared" si="1145"/>
        <v>0</v>
      </c>
      <c r="EO289" s="89">
        <f t="shared" si="1145"/>
        <v>0</v>
      </c>
      <c r="EP289" s="89">
        <f t="shared" si="1145"/>
        <v>0</v>
      </c>
      <c r="EQ289" s="89">
        <f t="shared" si="1145"/>
        <v>0</v>
      </c>
      <c r="ER289" s="89">
        <f t="shared" si="1145"/>
        <v>0</v>
      </c>
      <c r="ES289" s="89">
        <f t="shared" si="1145"/>
        <v>0</v>
      </c>
      <c r="ET289" s="89">
        <f t="shared" si="1145"/>
        <v>0</v>
      </c>
      <c r="EU289" s="89">
        <f t="shared" si="1145"/>
        <v>0</v>
      </c>
      <c r="EV289" s="89">
        <f t="shared" si="1145"/>
        <v>0</v>
      </c>
      <c r="EW289" s="89">
        <f t="shared" si="1145"/>
        <v>0</v>
      </c>
      <c r="EX289" s="89">
        <f t="shared" si="1145"/>
        <v>0</v>
      </c>
      <c r="EY289" s="89">
        <f t="shared" si="1145"/>
        <v>0</v>
      </c>
      <c r="EZ289" s="89">
        <f t="shared" si="1145"/>
        <v>0</v>
      </c>
      <c r="FA289" s="89">
        <f t="shared" si="1145"/>
        <v>0</v>
      </c>
      <c r="FB289" s="89">
        <f t="shared" si="1145"/>
        <v>0</v>
      </c>
      <c r="FC289" s="89">
        <f t="shared" si="1145"/>
        <v>0</v>
      </c>
      <c r="FD289" s="89">
        <f t="shared" si="1145"/>
        <v>0</v>
      </c>
      <c r="FE289" s="89">
        <f t="shared" si="1145"/>
        <v>0</v>
      </c>
      <c r="FF289" s="89">
        <f t="shared" si="1145"/>
        <v>0</v>
      </c>
      <c r="FG289" s="89">
        <f t="shared" si="1145"/>
        <v>0</v>
      </c>
      <c r="FH289" s="89">
        <f t="shared" si="1145"/>
        <v>0</v>
      </c>
      <c r="FI289" s="89">
        <f t="shared" si="1145"/>
        <v>0</v>
      </c>
      <c r="FJ289" s="89">
        <f t="shared" si="1145"/>
        <v>0</v>
      </c>
      <c r="FK289" s="89">
        <f t="shared" si="1145"/>
        <v>0</v>
      </c>
      <c r="FL289" s="89">
        <f t="shared" si="1145"/>
        <v>0</v>
      </c>
      <c r="FM289" s="89">
        <f t="shared" si="1145"/>
        <v>0</v>
      </c>
      <c r="FN289" s="89">
        <f t="shared" si="1145"/>
        <v>0</v>
      </c>
      <c r="FO289" s="89">
        <f t="shared" si="1145"/>
        <v>0</v>
      </c>
      <c r="FP289" s="89">
        <f t="shared" si="1145"/>
        <v>0</v>
      </c>
      <c r="FQ289" s="89">
        <f t="shared" si="1145"/>
        <v>0</v>
      </c>
      <c r="FR289" s="89">
        <f t="shared" si="1145"/>
        <v>0</v>
      </c>
      <c r="FS289" s="89">
        <f t="shared" si="1145"/>
        <v>0</v>
      </c>
      <c r="FT289" s="89">
        <f t="shared" si="1145"/>
        <v>0</v>
      </c>
      <c r="FU289" s="89">
        <f t="shared" si="1145"/>
        <v>0</v>
      </c>
      <c r="FV289" s="89">
        <f t="shared" si="1145"/>
        <v>0</v>
      </c>
      <c r="FW289" s="89">
        <f t="shared" si="1145"/>
        <v>0</v>
      </c>
      <c r="FX289" s="89">
        <f t="shared" si="1145"/>
        <v>0</v>
      </c>
      <c r="FY289" s="89">
        <f t="shared" si="1145"/>
        <v>0</v>
      </c>
      <c r="FZ289" s="89">
        <f t="shared" si="1145"/>
        <v>0</v>
      </c>
      <c r="GA289" s="89">
        <f t="shared" si="1145"/>
        <v>0</v>
      </c>
      <c r="GB289" s="89">
        <f t="shared" si="1145"/>
        <v>0</v>
      </c>
      <c r="GC289" s="89">
        <f t="shared" si="1145"/>
        <v>0</v>
      </c>
      <c r="GD289" s="89">
        <f t="shared" si="1145"/>
        <v>0</v>
      </c>
      <c r="GE289" s="89">
        <f t="shared" si="1145"/>
        <v>0</v>
      </c>
      <c r="GF289" s="89">
        <f t="shared" si="1145"/>
        <v>0</v>
      </c>
      <c r="GG289" s="89">
        <f t="shared" si="1145"/>
        <v>0</v>
      </c>
      <c r="GH289" s="89">
        <f t="shared" si="1145"/>
        <v>0</v>
      </c>
      <c r="GI289" s="89">
        <f t="shared" si="1145"/>
        <v>0</v>
      </c>
      <c r="GJ289" s="89">
        <f t="shared" si="1145"/>
        <v>0</v>
      </c>
      <c r="GK289" s="89">
        <f t="shared" si="1145"/>
        <v>0</v>
      </c>
      <c r="GL289" s="89">
        <f t="shared" si="1145"/>
        <v>0</v>
      </c>
      <c r="GM289" s="89">
        <f t="shared" si="1145"/>
        <v>0</v>
      </c>
      <c r="GN289" s="89">
        <f t="shared" si="1145"/>
        <v>0</v>
      </c>
      <c r="GO289" s="89">
        <f t="shared" si="1145"/>
        <v>0</v>
      </c>
      <c r="GP289" s="89">
        <f t="shared" si="1145"/>
        <v>0</v>
      </c>
      <c r="GQ289" s="89">
        <f t="shared" si="1145"/>
        <v>0</v>
      </c>
      <c r="GR289" s="89">
        <f t="shared" si="1145"/>
        <v>0</v>
      </c>
      <c r="GS289" s="89">
        <f t="shared" si="1145"/>
        <v>0</v>
      </c>
      <c r="GT289" s="89">
        <f t="shared" si="1145"/>
        <v>0</v>
      </c>
      <c r="GU289" s="89">
        <f t="shared" si="1145"/>
        <v>0</v>
      </c>
      <c r="GV289" s="89">
        <f t="shared" ref="GV289:JG289" si="1146">GV290</f>
        <v>0</v>
      </c>
      <c r="GW289" s="89">
        <f t="shared" si="1146"/>
        <v>0</v>
      </c>
      <c r="GX289" s="89">
        <f t="shared" si="1146"/>
        <v>0</v>
      </c>
      <c r="GY289" s="89">
        <f t="shared" si="1146"/>
        <v>0</v>
      </c>
      <c r="GZ289" s="89">
        <f t="shared" si="1146"/>
        <v>0</v>
      </c>
      <c r="HA289" s="89">
        <f t="shared" si="1146"/>
        <v>0</v>
      </c>
      <c r="HB289" s="89">
        <f t="shared" si="1146"/>
        <v>0</v>
      </c>
      <c r="HC289" s="89">
        <f t="shared" si="1146"/>
        <v>0</v>
      </c>
      <c r="HD289" s="89">
        <f t="shared" si="1146"/>
        <v>0</v>
      </c>
      <c r="HE289" s="89">
        <f t="shared" si="1146"/>
        <v>0</v>
      </c>
      <c r="HF289" s="89">
        <f t="shared" si="1146"/>
        <v>0</v>
      </c>
      <c r="HG289" s="89">
        <f t="shared" si="1146"/>
        <v>0</v>
      </c>
      <c r="HH289" s="89">
        <f t="shared" si="1146"/>
        <v>0</v>
      </c>
      <c r="HI289" s="89">
        <f t="shared" si="1146"/>
        <v>0</v>
      </c>
      <c r="HJ289" s="89">
        <f t="shared" si="1146"/>
        <v>0</v>
      </c>
      <c r="HK289" s="89">
        <f t="shared" si="1146"/>
        <v>0</v>
      </c>
      <c r="HL289" s="89">
        <f t="shared" si="1146"/>
        <v>0</v>
      </c>
      <c r="HM289" s="89">
        <f t="shared" si="1146"/>
        <v>0</v>
      </c>
      <c r="HN289" s="89">
        <f t="shared" si="1146"/>
        <v>0</v>
      </c>
      <c r="HO289" s="89">
        <f t="shared" si="1146"/>
        <v>0</v>
      </c>
      <c r="HP289" s="89">
        <f t="shared" si="1146"/>
        <v>0</v>
      </c>
      <c r="HQ289" s="89">
        <f t="shared" si="1146"/>
        <v>0</v>
      </c>
      <c r="HR289" s="89">
        <f t="shared" si="1146"/>
        <v>0</v>
      </c>
      <c r="HS289" s="89">
        <f t="shared" si="1146"/>
        <v>0</v>
      </c>
      <c r="HT289" s="89">
        <f t="shared" si="1146"/>
        <v>0</v>
      </c>
      <c r="HU289" s="89">
        <f t="shared" si="1146"/>
        <v>0</v>
      </c>
      <c r="HV289" s="89">
        <f t="shared" si="1146"/>
        <v>0</v>
      </c>
      <c r="HW289" s="89">
        <f t="shared" si="1146"/>
        <v>0</v>
      </c>
      <c r="HX289" s="89">
        <f t="shared" si="1146"/>
        <v>0</v>
      </c>
      <c r="HY289" s="89">
        <f t="shared" si="1146"/>
        <v>0</v>
      </c>
      <c r="HZ289" s="89">
        <f t="shared" si="1146"/>
        <v>0</v>
      </c>
      <c r="IA289" s="89">
        <f t="shared" si="1146"/>
        <v>0</v>
      </c>
      <c r="IB289" s="89">
        <f t="shared" si="1146"/>
        <v>0</v>
      </c>
      <c r="IC289" s="89">
        <f t="shared" si="1146"/>
        <v>0</v>
      </c>
      <c r="ID289" s="89">
        <f t="shared" si="1146"/>
        <v>0</v>
      </c>
      <c r="IE289" s="89">
        <f t="shared" si="1146"/>
        <v>0</v>
      </c>
      <c r="IF289" s="89">
        <f t="shared" si="1146"/>
        <v>0</v>
      </c>
      <c r="IG289" s="89">
        <f t="shared" si="1146"/>
        <v>0</v>
      </c>
      <c r="IH289" s="89">
        <f t="shared" si="1146"/>
        <v>0</v>
      </c>
      <c r="II289" s="89">
        <f t="shared" si="1146"/>
        <v>0</v>
      </c>
      <c r="IJ289" s="89">
        <f t="shared" si="1146"/>
        <v>0</v>
      </c>
      <c r="IK289" s="89">
        <f t="shared" si="1146"/>
        <v>0</v>
      </c>
      <c r="IL289" s="89">
        <f t="shared" si="1146"/>
        <v>0</v>
      </c>
      <c r="IM289" s="89">
        <f t="shared" si="1146"/>
        <v>0</v>
      </c>
      <c r="IN289" s="89">
        <f t="shared" si="1146"/>
        <v>0</v>
      </c>
      <c r="IO289" s="89">
        <f t="shared" si="1146"/>
        <v>0</v>
      </c>
      <c r="IP289" s="89">
        <f t="shared" si="1146"/>
        <v>0</v>
      </c>
      <c r="IQ289" s="89">
        <f t="shared" si="1146"/>
        <v>0</v>
      </c>
      <c r="IR289" s="89">
        <f t="shared" si="1146"/>
        <v>0</v>
      </c>
      <c r="IS289" s="89">
        <f t="shared" si="1146"/>
        <v>0</v>
      </c>
      <c r="IT289" s="89">
        <f t="shared" si="1146"/>
        <v>0</v>
      </c>
      <c r="IU289" s="89">
        <f t="shared" si="1146"/>
        <v>0</v>
      </c>
      <c r="IV289" s="89">
        <f t="shared" si="1146"/>
        <v>0</v>
      </c>
      <c r="IW289" s="89">
        <f t="shared" si="1146"/>
        <v>0</v>
      </c>
      <c r="IX289" s="89">
        <f t="shared" si="1146"/>
        <v>0</v>
      </c>
      <c r="IY289" s="89">
        <f t="shared" si="1146"/>
        <v>0</v>
      </c>
      <c r="IZ289" s="89">
        <f t="shared" si="1146"/>
        <v>0</v>
      </c>
      <c r="JA289" s="89">
        <f t="shared" si="1146"/>
        <v>0</v>
      </c>
      <c r="JB289" s="89">
        <f t="shared" si="1146"/>
        <v>0</v>
      </c>
      <c r="JC289" s="89">
        <f t="shared" si="1146"/>
        <v>0</v>
      </c>
      <c r="JD289" s="89">
        <f t="shared" si="1146"/>
        <v>0</v>
      </c>
      <c r="JE289" s="89">
        <f t="shared" si="1146"/>
        <v>0</v>
      </c>
      <c r="JF289" s="89">
        <f t="shared" si="1146"/>
        <v>0</v>
      </c>
      <c r="JG289" s="89">
        <f t="shared" si="1146"/>
        <v>0</v>
      </c>
      <c r="JH289" s="89">
        <f t="shared" ref="JH289:KH289" si="1147">JH290</f>
        <v>0</v>
      </c>
      <c r="JI289" s="89">
        <f t="shared" si="1147"/>
        <v>0</v>
      </c>
      <c r="JJ289" s="89">
        <f t="shared" si="1147"/>
        <v>0</v>
      </c>
      <c r="JK289" s="89">
        <f t="shared" si="1147"/>
        <v>0</v>
      </c>
      <c r="JL289" s="89">
        <f t="shared" si="1147"/>
        <v>0</v>
      </c>
      <c r="JM289" s="89">
        <f t="shared" si="1147"/>
        <v>0</v>
      </c>
      <c r="JN289" s="89">
        <f t="shared" si="1147"/>
        <v>0</v>
      </c>
      <c r="JO289" s="89">
        <f t="shared" si="1147"/>
        <v>0</v>
      </c>
      <c r="JP289" s="89">
        <f t="shared" si="1147"/>
        <v>0</v>
      </c>
      <c r="JQ289" s="89">
        <f t="shared" si="1147"/>
        <v>0</v>
      </c>
      <c r="JR289" s="89">
        <f t="shared" si="1147"/>
        <v>0</v>
      </c>
      <c r="JS289" s="89">
        <f t="shared" si="1147"/>
        <v>0</v>
      </c>
      <c r="JT289" s="89">
        <f t="shared" si="1147"/>
        <v>0</v>
      </c>
      <c r="JU289" s="89">
        <f t="shared" si="1147"/>
        <v>0</v>
      </c>
      <c r="JV289" s="89">
        <f t="shared" si="1147"/>
        <v>0</v>
      </c>
      <c r="JW289" s="89">
        <f t="shared" si="1147"/>
        <v>0</v>
      </c>
      <c r="JX289" s="89">
        <f t="shared" si="1147"/>
        <v>0</v>
      </c>
      <c r="JY289" s="89">
        <f t="shared" si="1147"/>
        <v>0</v>
      </c>
      <c r="JZ289" s="89">
        <f t="shared" si="1147"/>
        <v>0</v>
      </c>
      <c r="KA289" s="89">
        <f t="shared" si="1147"/>
        <v>0</v>
      </c>
      <c r="KB289" s="89">
        <f t="shared" si="1147"/>
        <v>0</v>
      </c>
      <c r="KC289" s="89">
        <f t="shared" si="1147"/>
        <v>0</v>
      </c>
      <c r="KD289" s="89">
        <f t="shared" si="1147"/>
        <v>0</v>
      </c>
      <c r="KE289" s="89">
        <f t="shared" si="1147"/>
        <v>0</v>
      </c>
      <c r="KF289" s="89">
        <f t="shared" si="1147"/>
        <v>0</v>
      </c>
      <c r="KG289" s="89">
        <f t="shared" si="1147"/>
        <v>0</v>
      </c>
      <c r="KH289" s="89">
        <f t="shared" si="1147"/>
        <v>0</v>
      </c>
      <c r="KI289" s="89">
        <f t="shared" ref="KI289:LS289" si="1148">KI288+KH289</f>
        <v>0</v>
      </c>
      <c r="KJ289" s="89">
        <f t="shared" si="1148"/>
        <v>0</v>
      </c>
      <c r="KK289" s="89">
        <f t="shared" si="1148"/>
        <v>0</v>
      </c>
      <c r="KL289" s="89">
        <f t="shared" si="1148"/>
        <v>0</v>
      </c>
      <c r="KM289" s="89">
        <f t="shared" si="1148"/>
        <v>0</v>
      </c>
      <c r="KN289" s="89">
        <f t="shared" si="1148"/>
        <v>0</v>
      </c>
      <c r="KO289" s="89">
        <f t="shared" si="1148"/>
        <v>0</v>
      </c>
      <c r="KP289" s="89">
        <f t="shared" si="1148"/>
        <v>0</v>
      </c>
      <c r="KQ289" s="89">
        <f t="shared" si="1148"/>
        <v>0</v>
      </c>
      <c r="KR289" s="89">
        <f t="shared" si="1148"/>
        <v>0</v>
      </c>
      <c r="KS289" s="89">
        <f t="shared" si="1148"/>
        <v>0</v>
      </c>
      <c r="KT289" s="89">
        <f t="shared" si="1148"/>
        <v>0</v>
      </c>
      <c r="KU289" s="89">
        <f t="shared" si="1148"/>
        <v>0</v>
      </c>
      <c r="KV289" s="89">
        <f t="shared" si="1148"/>
        <v>0</v>
      </c>
      <c r="KW289" s="89">
        <f t="shared" si="1148"/>
        <v>0</v>
      </c>
      <c r="KX289" s="89">
        <f t="shared" si="1148"/>
        <v>0</v>
      </c>
      <c r="KY289" s="89">
        <f t="shared" si="1148"/>
        <v>0</v>
      </c>
      <c r="KZ289" s="89">
        <f t="shared" si="1148"/>
        <v>0</v>
      </c>
      <c r="LA289" s="89">
        <f t="shared" si="1148"/>
        <v>0</v>
      </c>
      <c r="LB289" s="89">
        <f t="shared" si="1148"/>
        <v>0</v>
      </c>
      <c r="LC289" s="89">
        <f t="shared" si="1148"/>
        <v>0</v>
      </c>
      <c r="LD289" s="89">
        <f t="shared" si="1148"/>
        <v>0</v>
      </c>
      <c r="LE289" s="89">
        <f t="shared" si="1148"/>
        <v>0</v>
      </c>
      <c r="LF289" s="89">
        <f t="shared" si="1148"/>
        <v>0</v>
      </c>
      <c r="LG289" s="89">
        <f t="shared" si="1148"/>
        <v>0</v>
      </c>
      <c r="LH289" s="89">
        <f t="shared" si="1148"/>
        <v>0</v>
      </c>
      <c r="LI289" s="89">
        <f t="shared" si="1148"/>
        <v>0</v>
      </c>
      <c r="LJ289" s="89">
        <f t="shared" si="1148"/>
        <v>0</v>
      </c>
      <c r="LK289" s="89">
        <f t="shared" si="1148"/>
        <v>0</v>
      </c>
      <c r="LL289" s="89">
        <f t="shared" si="1148"/>
        <v>0</v>
      </c>
      <c r="LM289" s="89">
        <f t="shared" si="1148"/>
        <v>0</v>
      </c>
      <c r="LN289" s="89">
        <f t="shared" si="1148"/>
        <v>0</v>
      </c>
      <c r="LO289" s="89">
        <f t="shared" si="1148"/>
        <v>0</v>
      </c>
      <c r="LP289" s="89">
        <f t="shared" si="1148"/>
        <v>0</v>
      </c>
      <c r="LQ289" s="89">
        <f t="shared" si="1148"/>
        <v>0</v>
      </c>
      <c r="LR289" s="89">
        <f t="shared" si="1148"/>
        <v>0</v>
      </c>
      <c r="LS289" s="89">
        <f t="shared" si="1148"/>
        <v>0</v>
      </c>
      <c r="LT289" s="89">
        <f t="shared" ref="LT289:OE289" si="1149">LT288+LS289</f>
        <v>0</v>
      </c>
      <c r="LU289" s="89">
        <f t="shared" si="1149"/>
        <v>0</v>
      </c>
      <c r="LV289" s="89">
        <f t="shared" si="1149"/>
        <v>0</v>
      </c>
      <c r="LW289" s="89">
        <f t="shared" si="1149"/>
        <v>0</v>
      </c>
      <c r="LX289" s="89">
        <f t="shared" si="1149"/>
        <v>0</v>
      </c>
      <c r="LY289" s="89">
        <f t="shared" si="1149"/>
        <v>0</v>
      </c>
      <c r="LZ289" s="89">
        <f t="shared" si="1149"/>
        <v>0</v>
      </c>
      <c r="MA289" s="89">
        <f t="shared" si="1149"/>
        <v>0</v>
      </c>
      <c r="MB289" s="89">
        <f t="shared" si="1149"/>
        <v>0</v>
      </c>
      <c r="MC289" s="89">
        <f t="shared" si="1149"/>
        <v>0</v>
      </c>
      <c r="MD289" s="89">
        <f t="shared" si="1149"/>
        <v>0</v>
      </c>
      <c r="ME289" s="89">
        <f t="shared" si="1149"/>
        <v>0</v>
      </c>
      <c r="MF289" s="89">
        <f t="shared" si="1149"/>
        <v>0</v>
      </c>
      <c r="MG289" s="89">
        <f t="shared" si="1149"/>
        <v>0</v>
      </c>
      <c r="MH289" s="89">
        <f t="shared" si="1149"/>
        <v>0</v>
      </c>
      <c r="MI289" s="89">
        <f t="shared" si="1149"/>
        <v>0</v>
      </c>
      <c r="MJ289" s="89">
        <f t="shared" si="1149"/>
        <v>0</v>
      </c>
      <c r="MK289" s="89">
        <f t="shared" si="1149"/>
        <v>0</v>
      </c>
      <c r="ML289" s="89">
        <f t="shared" si="1149"/>
        <v>0</v>
      </c>
      <c r="MM289" s="89">
        <f t="shared" si="1149"/>
        <v>0</v>
      </c>
      <c r="MN289" s="89">
        <f t="shared" si="1149"/>
        <v>0</v>
      </c>
      <c r="MO289" s="89">
        <f t="shared" si="1149"/>
        <v>0</v>
      </c>
      <c r="MP289" s="89">
        <f t="shared" si="1149"/>
        <v>0</v>
      </c>
      <c r="MQ289" s="89">
        <f t="shared" si="1149"/>
        <v>0</v>
      </c>
      <c r="MR289" s="89">
        <f t="shared" si="1149"/>
        <v>0</v>
      </c>
      <c r="MS289" s="89">
        <f t="shared" si="1149"/>
        <v>0</v>
      </c>
      <c r="MT289" s="89">
        <f t="shared" si="1149"/>
        <v>0</v>
      </c>
      <c r="MU289" s="89">
        <f t="shared" si="1149"/>
        <v>0</v>
      </c>
      <c r="MV289" s="89">
        <f t="shared" si="1149"/>
        <v>0</v>
      </c>
      <c r="MW289" s="89">
        <f t="shared" si="1149"/>
        <v>0</v>
      </c>
      <c r="MX289" s="89">
        <f t="shared" si="1149"/>
        <v>0</v>
      </c>
      <c r="MY289" s="89">
        <f t="shared" si="1149"/>
        <v>0</v>
      </c>
      <c r="MZ289" s="89">
        <f t="shared" si="1149"/>
        <v>0</v>
      </c>
      <c r="NA289" s="89">
        <f t="shared" si="1149"/>
        <v>0</v>
      </c>
      <c r="NB289" s="89">
        <f t="shared" si="1149"/>
        <v>0</v>
      </c>
      <c r="NC289" s="89">
        <f t="shared" si="1149"/>
        <v>0</v>
      </c>
      <c r="ND289" s="89">
        <f t="shared" si="1149"/>
        <v>0</v>
      </c>
      <c r="NE289" s="89">
        <f t="shared" si="1149"/>
        <v>0</v>
      </c>
      <c r="NF289" s="89">
        <f t="shared" si="1149"/>
        <v>0</v>
      </c>
      <c r="NG289" s="89">
        <f t="shared" si="1149"/>
        <v>0</v>
      </c>
      <c r="NH289" s="89">
        <f t="shared" si="1149"/>
        <v>0</v>
      </c>
      <c r="NI289" s="89">
        <f t="shared" si="1149"/>
        <v>0</v>
      </c>
      <c r="NJ289" s="89">
        <f t="shared" si="1149"/>
        <v>0</v>
      </c>
      <c r="NK289" s="89">
        <f t="shared" si="1149"/>
        <v>0</v>
      </c>
      <c r="NL289" s="89">
        <f t="shared" si="1149"/>
        <v>0</v>
      </c>
      <c r="NM289" s="89">
        <f t="shared" si="1149"/>
        <v>0</v>
      </c>
      <c r="NN289" s="89">
        <f t="shared" si="1149"/>
        <v>0</v>
      </c>
      <c r="NO289" s="89">
        <f t="shared" si="1149"/>
        <v>0</v>
      </c>
      <c r="NP289" s="89">
        <f t="shared" si="1149"/>
        <v>0</v>
      </c>
      <c r="NQ289" s="89">
        <f t="shared" si="1149"/>
        <v>0</v>
      </c>
      <c r="NR289" s="89">
        <f t="shared" si="1149"/>
        <v>0</v>
      </c>
      <c r="NS289" s="89">
        <f t="shared" si="1149"/>
        <v>0</v>
      </c>
      <c r="NT289" s="89">
        <f t="shared" si="1149"/>
        <v>0</v>
      </c>
      <c r="NU289" s="89">
        <f t="shared" si="1149"/>
        <v>0</v>
      </c>
      <c r="NV289" s="89">
        <f t="shared" si="1149"/>
        <v>0</v>
      </c>
      <c r="NW289" s="89">
        <f t="shared" si="1149"/>
        <v>0</v>
      </c>
      <c r="NX289" s="89">
        <f t="shared" si="1149"/>
        <v>0</v>
      </c>
      <c r="NY289" s="89">
        <f t="shared" si="1149"/>
        <v>0</v>
      </c>
      <c r="NZ289" s="89">
        <f t="shared" si="1149"/>
        <v>0</v>
      </c>
      <c r="OA289" s="89">
        <f t="shared" si="1149"/>
        <v>0</v>
      </c>
      <c r="OB289" s="89">
        <f t="shared" si="1149"/>
        <v>0</v>
      </c>
      <c r="OC289" s="89">
        <f t="shared" si="1149"/>
        <v>0</v>
      </c>
      <c r="OD289" s="89">
        <f t="shared" si="1149"/>
        <v>0</v>
      </c>
      <c r="OE289" s="89">
        <f t="shared" si="1149"/>
        <v>0</v>
      </c>
      <c r="OF289" s="89">
        <f t="shared" ref="OF289:QQ289" si="1150">OF288+OE289</f>
        <v>0</v>
      </c>
      <c r="OG289" s="89">
        <f t="shared" si="1150"/>
        <v>0</v>
      </c>
      <c r="OH289" s="89">
        <f t="shared" si="1150"/>
        <v>0</v>
      </c>
      <c r="OI289" s="89">
        <f t="shared" si="1150"/>
        <v>0</v>
      </c>
      <c r="OJ289" s="89">
        <f t="shared" si="1150"/>
        <v>0</v>
      </c>
      <c r="OK289" s="89">
        <f t="shared" si="1150"/>
        <v>0</v>
      </c>
      <c r="OL289" s="89">
        <f t="shared" si="1150"/>
        <v>0</v>
      </c>
      <c r="OM289" s="89">
        <f t="shared" si="1150"/>
        <v>0</v>
      </c>
      <c r="ON289" s="89">
        <f t="shared" si="1150"/>
        <v>0</v>
      </c>
      <c r="OO289" s="89">
        <f t="shared" si="1150"/>
        <v>0</v>
      </c>
      <c r="OP289" s="89">
        <f t="shared" si="1150"/>
        <v>0</v>
      </c>
      <c r="OQ289" s="89">
        <f t="shared" si="1150"/>
        <v>0</v>
      </c>
      <c r="OR289" s="89">
        <f t="shared" si="1150"/>
        <v>0</v>
      </c>
      <c r="OS289" s="89">
        <f t="shared" si="1150"/>
        <v>0</v>
      </c>
      <c r="OT289" s="89">
        <f t="shared" si="1150"/>
        <v>0</v>
      </c>
      <c r="OU289" s="89">
        <f t="shared" si="1150"/>
        <v>0</v>
      </c>
      <c r="OV289" s="89">
        <f t="shared" si="1150"/>
        <v>0</v>
      </c>
      <c r="OW289" s="89">
        <f t="shared" si="1150"/>
        <v>0</v>
      </c>
      <c r="OX289" s="89">
        <f t="shared" si="1150"/>
        <v>0</v>
      </c>
      <c r="OY289" s="89">
        <f t="shared" si="1150"/>
        <v>0</v>
      </c>
      <c r="OZ289" s="89">
        <f t="shared" si="1150"/>
        <v>0</v>
      </c>
      <c r="PA289" s="89">
        <f t="shared" si="1150"/>
        <v>0</v>
      </c>
      <c r="PB289" s="89">
        <f t="shared" si="1150"/>
        <v>0</v>
      </c>
      <c r="PC289" s="89">
        <f t="shared" si="1150"/>
        <v>0</v>
      </c>
      <c r="PD289" s="89">
        <f t="shared" si="1150"/>
        <v>0</v>
      </c>
      <c r="PE289" s="89">
        <f t="shared" si="1150"/>
        <v>0</v>
      </c>
      <c r="PF289" s="89">
        <f t="shared" si="1150"/>
        <v>0</v>
      </c>
      <c r="PG289" s="89">
        <f t="shared" si="1150"/>
        <v>0</v>
      </c>
      <c r="PH289" s="89">
        <f t="shared" si="1150"/>
        <v>0</v>
      </c>
      <c r="PI289" s="89">
        <f t="shared" si="1150"/>
        <v>0</v>
      </c>
      <c r="PJ289" s="89">
        <f t="shared" si="1150"/>
        <v>0</v>
      </c>
      <c r="PK289" s="89">
        <f t="shared" si="1150"/>
        <v>0</v>
      </c>
      <c r="PL289" s="89">
        <f t="shared" si="1150"/>
        <v>0</v>
      </c>
      <c r="PM289" s="89">
        <f t="shared" si="1150"/>
        <v>0</v>
      </c>
      <c r="PN289" s="89">
        <f t="shared" si="1150"/>
        <v>0</v>
      </c>
      <c r="PO289" s="89">
        <f t="shared" si="1150"/>
        <v>0</v>
      </c>
      <c r="PP289" s="89">
        <f t="shared" si="1150"/>
        <v>0</v>
      </c>
      <c r="PQ289" s="89">
        <f t="shared" si="1150"/>
        <v>0</v>
      </c>
      <c r="PR289" s="89">
        <f t="shared" si="1150"/>
        <v>0</v>
      </c>
      <c r="PS289" s="89">
        <f t="shared" si="1150"/>
        <v>0</v>
      </c>
      <c r="PT289" s="89">
        <f t="shared" si="1150"/>
        <v>0</v>
      </c>
      <c r="PU289" s="89">
        <f t="shared" si="1150"/>
        <v>0</v>
      </c>
      <c r="PV289" s="89">
        <f t="shared" si="1150"/>
        <v>0</v>
      </c>
      <c r="PW289" s="89">
        <f t="shared" si="1150"/>
        <v>0</v>
      </c>
      <c r="PX289" s="89">
        <f t="shared" si="1150"/>
        <v>0</v>
      </c>
      <c r="PY289" s="89">
        <f t="shared" si="1150"/>
        <v>0</v>
      </c>
      <c r="PZ289" s="89">
        <f t="shared" si="1150"/>
        <v>0</v>
      </c>
      <c r="QA289" s="89">
        <f t="shared" si="1150"/>
        <v>0</v>
      </c>
      <c r="QB289" s="89">
        <f t="shared" si="1150"/>
        <v>0</v>
      </c>
      <c r="QC289" s="89">
        <f t="shared" si="1150"/>
        <v>0</v>
      </c>
      <c r="QD289" s="89">
        <f t="shared" si="1150"/>
        <v>0</v>
      </c>
      <c r="QE289" s="89">
        <f t="shared" si="1150"/>
        <v>0</v>
      </c>
      <c r="QF289" s="89">
        <f t="shared" si="1150"/>
        <v>0</v>
      </c>
      <c r="QG289" s="89">
        <f t="shared" si="1150"/>
        <v>0</v>
      </c>
      <c r="QH289" s="89">
        <f t="shared" si="1150"/>
        <v>0</v>
      </c>
      <c r="QI289" s="89">
        <f t="shared" si="1150"/>
        <v>0</v>
      </c>
      <c r="QJ289" s="89">
        <f t="shared" si="1150"/>
        <v>0</v>
      </c>
      <c r="QK289" s="89">
        <f t="shared" si="1150"/>
        <v>0</v>
      </c>
      <c r="QL289" s="89">
        <f t="shared" si="1150"/>
        <v>0</v>
      </c>
      <c r="QM289" s="89">
        <f t="shared" si="1150"/>
        <v>0</v>
      </c>
      <c r="QN289" s="89">
        <f t="shared" si="1150"/>
        <v>0</v>
      </c>
      <c r="QO289" s="89">
        <f t="shared" si="1150"/>
        <v>0</v>
      </c>
      <c r="QP289" s="89">
        <f t="shared" si="1150"/>
        <v>0</v>
      </c>
      <c r="QQ289" s="89">
        <f t="shared" si="1150"/>
        <v>0</v>
      </c>
      <c r="QR289" s="89">
        <f t="shared" ref="QR289:TC289" si="1151">QR288+QQ289</f>
        <v>0</v>
      </c>
      <c r="QS289" s="89">
        <f t="shared" si="1151"/>
        <v>0</v>
      </c>
      <c r="QT289" s="89">
        <f t="shared" si="1151"/>
        <v>0</v>
      </c>
      <c r="QU289" s="89">
        <f t="shared" si="1151"/>
        <v>0</v>
      </c>
      <c r="QV289" s="89">
        <f t="shared" si="1151"/>
        <v>0</v>
      </c>
      <c r="QW289" s="89">
        <f t="shared" si="1151"/>
        <v>0</v>
      </c>
      <c r="QX289" s="89">
        <f t="shared" si="1151"/>
        <v>0</v>
      </c>
      <c r="QY289" s="89">
        <f t="shared" si="1151"/>
        <v>0</v>
      </c>
      <c r="QZ289" s="89">
        <f t="shared" si="1151"/>
        <v>0</v>
      </c>
      <c r="RA289" s="89">
        <f t="shared" si="1151"/>
        <v>0</v>
      </c>
      <c r="RB289" s="89">
        <f t="shared" si="1151"/>
        <v>0</v>
      </c>
      <c r="RC289" s="89">
        <f t="shared" si="1151"/>
        <v>0</v>
      </c>
      <c r="RD289" s="89">
        <f t="shared" si="1151"/>
        <v>0</v>
      </c>
      <c r="RE289" s="89">
        <f t="shared" si="1151"/>
        <v>0</v>
      </c>
      <c r="RF289" s="89">
        <f t="shared" si="1151"/>
        <v>0</v>
      </c>
      <c r="RG289" s="89">
        <f t="shared" si="1151"/>
        <v>0</v>
      </c>
      <c r="RH289" s="89">
        <f t="shared" si="1151"/>
        <v>0</v>
      </c>
      <c r="RI289" s="89">
        <f t="shared" si="1151"/>
        <v>0</v>
      </c>
      <c r="RJ289" s="89">
        <f t="shared" si="1151"/>
        <v>0</v>
      </c>
      <c r="RK289" s="89">
        <f t="shared" si="1151"/>
        <v>0</v>
      </c>
      <c r="RL289" s="89">
        <f t="shared" si="1151"/>
        <v>0</v>
      </c>
      <c r="RM289" s="89">
        <f t="shared" si="1151"/>
        <v>0</v>
      </c>
      <c r="RN289" s="89">
        <f t="shared" si="1151"/>
        <v>0</v>
      </c>
      <c r="RO289" s="89">
        <f t="shared" si="1151"/>
        <v>0</v>
      </c>
      <c r="RP289" s="89">
        <f t="shared" si="1151"/>
        <v>0</v>
      </c>
      <c r="RQ289" s="89">
        <f t="shared" si="1151"/>
        <v>0</v>
      </c>
      <c r="RR289" s="89">
        <f t="shared" si="1151"/>
        <v>0</v>
      </c>
      <c r="RS289" s="89">
        <f t="shared" si="1151"/>
        <v>0</v>
      </c>
      <c r="RT289" s="89">
        <f t="shared" si="1151"/>
        <v>0</v>
      </c>
      <c r="RU289" s="89">
        <f t="shared" si="1151"/>
        <v>0</v>
      </c>
      <c r="RV289" s="89">
        <f t="shared" si="1151"/>
        <v>0</v>
      </c>
      <c r="RW289" s="89">
        <f t="shared" si="1151"/>
        <v>0</v>
      </c>
      <c r="RX289" s="89">
        <f t="shared" si="1151"/>
        <v>0</v>
      </c>
      <c r="RY289" s="89">
        <f t="shared" si="1151"/>
        <v>0</v>
      </c>
      <c r="RZ289" s="89">
        <f t="shared" si="1151"/>
        <v>0</v>
      </c>
      <c r="SA289" s="89">
        <f t="shared" si="1151"/>
        <v>0</v>
      </c>
      <c r="SB289" s="89">
        <f t="shared" si="1151"/>
        <v>0</v>
      </c>
      <c r="SC289" s="89">
        <f t="shared" si="1151"/>
        <v>0</v>
      </c>
      <c r="SD289" s="89">
        <f t="shared" si="1151"/>
        <v>0</v>
      </c>
      <c r="SE289" s="89">
        <f t="shared" si="1151"/>
        <v>0</v>
      </c>
      <c r="SF289" s="89">
        <f t="shared" si="1151"/>
        <v>0</v>
      </c>
      <c r="SG289" s="89">
        <f t="shared" si="1151"/>
        <v>0</v>
      </c>
      <c r="SH289" s="89">
        <f t="shared" si="1151"/>
        <v>0</v>
      </c>
      <c r="SI289" s="89">
        <f t="shared" si="1151"/>
        <v>0</v>
      </c>
      <c r="SJ289" s="89">
        <f t="shared" si="1151"/>
        <v>0</v>
      </c>
      <c r="SK289" s="89">
        <f t="shared" si="1151"/>
        <v>0</v>
      </c>
      <c r="SL289" s="89">
        <f t="shared" si="1151"/>
        <v>0</v>
      </c>
      <c r="SM289" s="89">
        <f t="shared" si="1151"/>
        <v>0</v>
      </c>
      <c r="SN289" s="89">
        <f t="shared" si="1151"/>
        <v>0</v>
      </c>
      <c r="SO289" s="89">
        <f t="shared" si="1151"/>
        <v>0</v>
      </c>
      <c r="SP289" s="89">
        <f t="shared" si="1151"/>
        <v>0</v>
      </c>
      <c r="SQ289" s="89">
        <f t="shared" si="1151"/>
        <v>0</v>
      </c>
      <c r="SR289" s="89">
        <f t="shared" si="1151"/>
        <v>0</v>
      </c>
      <c r="SS289" s="89">
        <f t="shared" si="1151"/>
        <v>0</v>
      </c>
      <c r="ST289" s="89">
        <f t="shared" si="1151"/>
        <v>0</v>
      </c>
      <c r="SU289" s="89">
        <f t="shared" si="1151"/>
        <v>0</v>
      </c>
      <c r="SV289" s="89">
        <f t="shared" si="1151"/>
        <v>0</v>
      </c>
      <c r="SW289" s="89">
        <f t="shared" si="1151"/>
        <v>0</v>
      </c>
      <c r="SX289" s="89">
        <f t="shared" si="1151"/>
        <v>0</v>
      </c>
      <c r="SY289" s="89">
        <f t="shared" si="1151"/>
        <v>0</v>
      </c>
      <c r="SZ289" s="89">
        <f t="shared" si="1151"/>
        <v>0</v>
      </c>
      <c r="TA289" s="89">
        <f t="shared" si="1151"/>
        <v>0</v>
      </c>
      <c r="TB289" s="89">
        <f t="shared" si="1151"/>
        <v>0</v>
      </c>
      <c r="TC289" s="89">
        <f t="shared" si="1151"/>
        <v>0</v>
      </c>
      <c r="TD289" s="89">
        <f t="shared" ref="TD289:VO289" si="1152">TD288+TC289</f>
        <v>0</v>
      </c>
      <c r="TE289" s="89">
        <f t="shared" si="1152"/>
        <v>0</v>
      </c>
      <c r="TF289" s="89">
        <f t="shared" si="1152"/>
        <v>0</v>
      </c>
      <c r="TG289" s="89">
        <f t="shared" si="1152"/>
        <v>0</v>
      </c>
      <c r="TH289" s="89">
        <f t="shared" si="1152"/>
        <v>0</v>
      </c>
      <c r="TI289" s="89">
        <f t="shared" si="1152"/>
        <v>0</v>
      </c>
      <c r="TJ289" s="89">
        <f t="shared" si="1152"/>
        <v>0</v>
      </c>
      <c r="TK289" s="89">
        <f t="shared" si="1152"/>
        <v>0</v>
      </c>
      <c r="TL289" s="89">
        <f t="shared" si="1152"/>
        <v>0</v>
      </c>
      <c r="TM289" s="89">
        <f t="shared" si="1152"/>
        <v>0</v>
      </c>
      <c r="TN289" s="89">
        <f t="shared" si="1152"/>
        <v>0</v>
      </c>
      <c r="TO289" s="89">
        <f t="shared" si="1152"/>
        <v>0</v>
      </c>
      <c r="TP289" s="89">
        <f t="shared" si="1152"/>
        <v>0</v>
      </c>
      <c r="TQ289" s="89">
        <f t="shared" si="1152"/>
        <v>0</v>
      </c>
      <c r="TR289" s="89">
        <f t="shared" si="1152"/>
        <v>0</v>
      </c>
      <c r="TS289" s="89">
        <f t="shared" si="1152"/>
        <v>0</v>
      </c>
      <c r="TT289" s="89">
        <f t="shared" si="1152"/>
        <v>0</v>
      </c>
      <c r="TU289" s="89">
        <f t="shared" si="1152"/>
        <v>0</v>
      </c>
      <c r="TV289" s="89">
        <f t="shared" si="1152"/>
        <v>0</v>
      </c>
      <c r="TW289" s="89">
        <f t="shared" si="1152"/>
        <v>0</v>
      </c>
      <c r="TX289" s="89">
        <f t="shared" si="1152"/>
        <v>0</v>
      </c>
      <c r="TY289" s="89">
        <f t="shared" si="1152"/>
        <v>0</v>
      </c>
      <c r="TZ289" s="89">
        <f t="shared" si="1152"/>
        <v>0</v>
      </c>
      <c r="UA289" s="89">
        <f t="shared" si="1152"/>
        <v>0</v>
      </c>
      <c r="UB289" s="89">
        <f t="shared" si="1152"/>
        <v>0</v>
      </c>
      <c r="UC289" s="89">
        <f t="shared" si="1152"/>
        <v>0</v>
      </c>
      <c r="UD289" s="89">
        <f t="shared" si="1152"/>
        <v>0</v>
      </c>
      <c r="UE289" s="89">
        <f t="shared" si="1152"/>
        <v>0</v>
      </c>
      <c r="UF289" s="89">
        <f t="shared" si="1152"/>
        <v>0</v>
      </c>
      <c r="UG289" s="89">
        <f t="shared" si="1152"/>
        <v>0</v>
      </c>
      <c r="UH289" s="89">
        <f t="shared" si="1152"/>
        <v>0</v>
      </c>
      <c r="UI289" s="89">
        <f t="shared" si="1152"/>
        <v>0</v>
      </c>
      <c r="UJ289" s="89">
        <f t="shared" si="1152"/>
        <v>0</v>
      </c>
      <c r="UK289" s="89">
        <f t="shared" si="1152"/>
        <v>0</v>
      </c>
      <c r="UL289" s="89">
        <f t="shared" si="1152"/>
        <v>0</v>
      </c>
      <c r="UM289" s="89">
        <f t="shared" si="1152"/>
        <v>0</v>
      </c>
      <c r="UN289" s="89">
        <f t="shared" si="1152"/>
        <v>0</v>
      </c>
      <c r="UO289" s="89">
        <f t="shared" si="1152"/>
        <v>0</v>
      </c>
      <c r="UP289" s="89">
        <f t="shared" si="1152"/>
        <v>0</v>
      </c>
      <c r="UQ289" s="89">
        <f t="shared" si="1152"/>
        <v>0</v>
      </c>
      <c r="UR289" s="89">
        <f t="shared" si="1152"/>
        <v>0</v>
      </c>
      <c r="US289" s="89">
        <f t="shared" si="1152"/>
        <v>0</v>
      </c>
      <c r="UT289" s="89">
        <f t="shared" si="1152"/>
        <v>0</v>
      </c>
      <c r="UU289" s="89">
        <f t="shared" si="1152"/>
        <v>0</v>
      </c>
      <c r="UV289" s="89">
        <f t="shared" si="1152"/>
        <v>0</v>
      </c>
      <c r="UW289" s="89">
        <f t="shared" si="1152"/>
        <v>0</v>
      </c>
      <c r="UX289" s="89">
        <f t="shared" si="1152"/>
        <v>0</v>
      </c>
      <c r="UY289" s="89">
        <f t="shared" si="1152"/>
        <v>0</v>
      </c>
      <c r="UZ289" s="89">
        <f t="shared" si="1152"/>
        <v>0</v>
      </c>
      <c r="VA289" s="89">
        <f t="shared" si="1152"/>
        <v>0</v>
      </c>
      <c r="VB289" s="89">
        <f t="shared" si="1152"/>
        <v>0</v>
      </c>
      <c r="VC289" s="89">
        <f t="shared" si="1152"/>
        <v>0</v>
      </c>
      <c r="VD289" s="89">
        <f t="shared" si="1152"/>
        <v>0</v>
      </c>
      <c r="VE289" s="89">
        <f t="shared" si="1152"/>
        <v>0</v>
      </c>
      <c r="VF289" s="89">
        <f t="shared" si="1152"/>
        <v>0</v>
      </c>
      <c r="VG289" s="89">
        <f t="shared" si="1152"/>
        <v>0</v>
      </c>
      <c r="VH289" s="89">
        <f t="shared" si="1152"/>
        <v>0</v>
      </c>
      <c r="VI289" s="89">
        <f t="shared" si="1152"/>
        <v>0</v>
      </c>
      <c r="VJ289" s="89">
        <f t="shared" si="1152"/>
        <v>0</v>
      </c>
      <c r="VK289" s="89">
        <f t="shared" si="1152"/>
        <v>0</v>
      </c>
      <c r="VL289" s="89">
        <f t="shared" si="1152"/>
        <v>0</v>
      </c>
      <c r="VM289" s="89">
        <f t="shared" si="1152"/>
        <v>0</v>
      </c>
      <c r="VN289" s="89">
        <f t="shared" si="1152"/>
        <v>0</v>
      </c>
      <c r="VO289" s="89">
        <f t="shared" si="1152"/>
        <v>0</v>
      </c>
      <c r="VP289" s="89">
        <f t="shared" ref="VP289:WF289" si="1153">VP288+VO289</f>
        <v>0</v>
      </c>
      <c r="VQ289" s="89">
        <f t="shared" si="1153"/>
        <v>0</v>
      </c>
      <c r="VR289" s="89">
        <f t="shared" si="1153"/>
        <v>0</v>
      </c>
      <c r="VS289" s="89">
        <f t="shared" si="1153"/>
        <v>0</v>
      </c>
      <c r="VT289" s="89">
        <f t="shared" si="1153"/>
        <v>0</v>
      </c>
      <c r="VU289" s="89">
        <f t="shared" si="1153"/>
        <v>0</v>
      </c>
      <c r="VV289" s="89">
        <f t="shared" si="1153"/>
        <v>0</v>
      </c>
      <c r="VW289" s="89">
        <f t="shared" si="1153"/>
        <v>0</v>
      </c>
      <c r="VX289" s="89">
        <f t="shared" si="1153"/>
        <v>0</v>
      </c>
      <c r="VY289" s="89">
        <f t="shared" si="1153"/>
        <v>0</v>
      </c>
      <c r="VZ289" s="89">
        <f t="shared" si="1153"/>
        <v>0</v>
      </c>
      <c r="WA289" s="89">
        <f t="shared" si="1153"/>
        <v>0</v>
      </c>
      <c r="WB289" s="89">
        <f t="shared" si="1153"/>
        <v>0</v>
      </c>
      <c r="WC289" s="89">
        <f t="shared" si="1153"/>
        <v>0</v>
      </c>
      <c r="WD289" s="89">
        <f t="shared" si="1153"/>
        <v>0</v>
      </c>
      <c r="WE289" s="89">
        <f t="shared" si="1153"/>
        <v>0</v>
      </c>
      <c r="WF289" s="89">
        <f t="shared" si="1153"/>
        <v>0</v>
      </c>
    </row>
    <row r="290" spans="1:604" x14ac:dyDescent="0.3"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  <c r="U290" s="90"/>
      <c r="V290" s="90"/>
      <c r="W290" s="90"/>
      <c r="X290" s="90"/>
      <c r="Y290" s="90"/>
      <c r="Z290" s="90"/>
      <c r="AA290" s="90"/>
      <c r="AB290" s="90"/>
      <c r="AC290" s="90"/>
      <c r="AD290" s="90"/>
      <c r="AE290" s="90"/>
      <c r="AF290" s="90"/>
      <c r="AG290" s="90"/>
      <c r="AH290" s="90"/>
      <c r="AI290" s="90"/>
      <c r="AJ290" s="90"/>
      <c r="AK290" s="90"/>
      <c r="AL290" s="90"/>
      <c r="AM290" s="90"/>
      <c r="AN290" s="90"/>
      <c r="AO290" s="90"/>
      <c r="AP290" s="90"/>
      <c r="AQ290" s="90"/>
      <c r="AR290" s="90"/>
      <c r="AS290" s="90"/>
      <c r="AT290" s="90"/>
      <c r="AU290" s="90"/>
      <c r="AV290" s="90"/>
      <c r="AW290" s="90"/>
      <c r="AX290" s="90"/>
      <c r="AY290" s="90"/>
      <c r="AZ290" s="90"/>
      <c r="BA290" s="90"/>
      <c r="BB290" s="90"/>
      <c r="BC290" s="90"/>
      <c r="BD290" s="90"/>
      <c r="BE290" s="90"/>
      <c r="BF290" s="90"/>
      <c r="BG290" s="90"/>
      <c r="BH290" s="90"/>
      <c r="BI290" s="90"/>
      <c r="BJ290" s="90"/>
      <c r="BK290" s="90"/>
      <c r="BL290" s="90"/>
      <c r="BM290" s="90"/>
      <c r="BN290" s="90"/>
      <c r="BO290" s="90"/>
      <c r="BP290" s="90"/>
      <c r="BQ290" s="90"/>
      <c r="BR290" s="90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0"/>
      <c r="CV290" s="90"/>
      <c r="CW290" s="90"/>
      <c r="CX290" s="90"/>
      <c r="CY290" s="90"/>
      <c r="CZ290" s="90"/>
      <c r="DA290" s="90"/>
      <c r="DB290" s="90"/>
      <c r="DC290" s="90"/>
      <c r="DD290" s="90"/>
      <c r="DE290" s="90"/>
      <c r="DF290" s="90"/>
      <c r="DG290" s="90"/>
      <c r="DH290" s="90"/>
      <c r="DI290" s="90"/>
      <c r="DJ290" s="90"/>
      <c r="DK290" s="90"/>
      <c r="DL290" s="90"/>
      <c r="DM290" s="90"/>
      <c r="DN290" s="90"/>
      <c r="DO290" s="90"/>
      <c r="DP290" s="90"/>
      <c r="DQ290" s="90"/>
      <c r="DR290" s="90"/>
      <c r="DS290" s="90"/>
      <c r="DT290" s="90"/>
      <c r="DU290" s="90"/>
      <c r="DV290" s="90"/>
      <c r="DW290" s="90"/>
      <c r="DX290" s="90"/>
      <c r="DY290" s="90"/>
      <c r="DZ290" s="90"/>
      <c r="EA290" s="90"/>
      <c r="EB290" s="90"/>
      <c r="EC290" s="90"/>
      <c r="ED290" s="90"/>
      <c r="EE290" s="90"/>
      <c r="EF290" s="90"/>
      <c r="EG290" s="90"/>
      <c r="EH290" s="90"/>
      <c r="EI290" s="90"/>
      <c r="EJ290" s="90"/>
      <c r="EK290" s="90"/>
      <c r="EL290" s="90"/>
      <c r="EM290" s="90"/>
      <c r="EN290" s="90"/>
      <c r="EO290" s="90"/>
      <c r="EP290" s="90"/>
      <c r="EQ290" s="90"/>
    </row>
    <row r="291" spans="1:604" x14ac:dyDescent="0.3">
      <c r="O291">
        <f>3.57-3.56</f>
        <v>9.9999999999997868E-3</v>
      </c>
      <c r="AP291">
        <f>14.41-14.4</f>
        <v>9.9999999999997868E-3</v>
      </c>
      <c r="AT291">
        <f>15.69-15.68</f>
        <v>9.9999999999997868E-3</v>
      </c>
      <c r="AW291">
        <f>17.61-17.6</f>
        <v>9.9999999999980105E-3</v>
      </c>
      <c r="BU291">
        <f>24.46-24.45</f>
        <v>1.0000000000001563E-2</v>
      </c>
      <c r="BY291">
        <f>28.41-28.4</f>
        <v>1.0000000000001563E-2</v>
      </c>
      <c r="BZ291">
        <f>29.14-29.15</f>
        <v>-9.9999999999980105E-3</v>
      </c>
      <c r="CA291">
        <f>30.24-30.23</f>
        <v>9.9999999999980105E-3</v>
      </c>
      <c r="CB291">
        <f>30.97-30.98</f>
        <v>-1.0000000000001563E-2</v>
      </c>
      <c r="CG291">
        <f>33.38-33.35</f>
        <v>3.0000000000001137E-2</v>
      </c>
      <c r="CJ291">
        <f>34.41-34.4</f>
        <v>9.9999999999980105E-3</v>
      </c>
      <c r="CO291">
        <f>39.84-39.83</f>
        <v>1.0000000000005116E-2</v>
      </c>
      <c r="CP291">
        <f>41.88-41.89</f>
        <v>-9.9999999999980105E-3</v>
      </c>
      <c r="CU291">
        <f>46.7-46.69</f>
        <v>1.0000000000005116E-2</v>
      </c>
      <c r="CX291">
        <f>50.28-50.29</f>
        <v>-9.9999999999980105E-3</v>
      </c>
      <c r="DB291">
        <f>56.73-56.72</f>
        <v>9.9999999999980105E-3</v>
      </c>
      <c r="DC291">
        <f>57.46-57.47</f>
        <v>-9.9999999999980105E-3</v>
      </c>
    </row>
  </sheetData>
  <mergeCells count="5">
    <mergeCell ref="A285:I285"/>
    <mergeCell ref="A287:I287"/>
    <mergeCell ref="A286:I286"/>
    <mergeCell ref="A288:I288"/>
    <mergeCell ref="A289:I289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73" orientation="portrait" r:id="rId1"/>
  <colBreaks count="1" manualBreakCount="1">
    <brk id="9" max="278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8</vt:i4>
      </vt:variant>
    </vt:vector>
  </HeadingPairs>
  <TitlesOfParts>
    <vt:vector size="15" baseType="lpstr">
      <vt:lpstr>封面</vt:lpstr>
      <vt:lpstr>封面 (2)</vt:lpstr>
      <vt:lpstr>監造報表</vt:lpstr>
      <vt:lpstr>工程基本資料</vt:lpstr>
      <vt:lpstr>契約詳細價目表</vt:lpstr>
      <vt:lpstr>監造內容</vt:lpstr>
      <vt:lpstr>每日施工紀錄</vt:lpstr>
      <vt:lpstr>工程基本資料!Print_Area</vt:lpstr>
      <vt:lpstr>每日施工紀錄!Print_Area</vt:lpstr>
      <vt:lpstr>契約詳細價目表!Print_Area</vt:lpstr>
      <vt:lpstr>封面!Print_Area</vt:lpstr>
      <vt:lpstr>'封面 (2)'!Print_Area</vt:lpstr>
      <vt:lpstr>監造內容!Print_Area</vt:lpstr>
      <vt:lpstr>監造報表!Print_Area</vt:lpstr>
      <vt:lpstr>監造報表!Print_Titles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</dc:creator>
  <cp:lastModifiedBy>培軒 林</cp:lastModifiedBy>
  <cp:lastPrinted>2026-06-30T04:06:39Z</cp:lastPrinted>
  <dcterms:created xsi:type="dcterms:W3CDTF">2016-03-25T09:11:43Z</dcterms:created>
  <dcterms:modified xsi:type="dcterms:W3CDTF">2026-08-10T09:32:53Z</dcterms:modified>
</cp:coreProperties>
</file>