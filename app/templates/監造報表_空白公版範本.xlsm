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9155E1AD-C01B-47F2-B708-E2F592B9654E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7" l="1"/>
  <c r="A28" i="7"/>
  <c r="P763" i="13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30" i="24" l="1"/>
  <c r="WF1" i="14"/>
  <c r="J64" i="13"/>
  <c r="K63" i="13"/>
  <c r="J38" i="24" l="1"/>
  <c r="J16" i="24"/>
  <c r="J39" i="24"/>
  <c r="J33" i="24"/>
  <c r="J10" i="24"/>
  <c r="J18" i="24"/>
  <c r="J11" i="24"/>
  <c r="J22" i="24"/>
  <c r="J34" i="24"/>
  <c r="J26" i="24"/>
  <c r="J35" i="24"/>
  <c r="J28" i="24"/>
  <c r="J21" i="24"/>
  <c r="J17" i="24"/>
  <c r="J15" i="24"/>
  <c r="J12" i="24"/>
  <c r="J31" i="24"/>
  <c r="J29" i="24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MM37" i="14" l="1"/>
  <c r="MM284" i="14" s="1"/>
  <c r="VG37" i="14"/>
  <c r="VG284" i="14" s="1"/>
  <c r="WA37" i="14"/>
  <c r="WA284" i="14" s="1"/>
  <c r="JO37" i="14"/>
  <c r="JO284" i="14" s="1"/>
  <c r="UU37" i="14"/>
  <c r="UU284" i="14" s="1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RR284" i="14" s="1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TH284" i="14" s="1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<sst xmlns="http://schemas.openxmlformats.org/spreadsheetml/2006/main" count="79" uniqueCount="76">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</sst>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6" t="s">
        <v>2</v>
      </c>
      <c r="B3" s="116"/>
      <c r="C3" s="116"/>
      <c r="D3" s="116"/>
      <c r="E3" s="116"/>
      <c r="F3" s="116"/>
      <c r="G3" s="116"/>
      <c r="H3" s="116"/>
      <c r="I3" s="116"/>
    </row>
    <row r="4" spans="1:10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10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7" t="s">
        <v>3</v>
      </c>
      <c r="B15" s="117"/>
      <c r="C15" s="117"/>
      <c r="D15" s="117"/>
      <c r="E15" s="117"/>
      <c r="F15" s="117"/>
      <c r="G15" s="117"/>
      <c r="H15" s="117"/>
      <c r="I15" s="117"/>
      <c r="J15" t="str">
        <f ca="1">"("&amp;YEAR(TODAY())-1911&amp;"年"&amp;MONTH(NOW())&amp;"月份)"</f>
        <v>(115年8月份)</v>
      </c>
    </row>
    <row r="16" spans="1:10" ht="45" customHeight="1" x14ac:dyDescent="0.3">
      <c r="A16" s="113" t="str">
        <f ca="1">"("&amp;YEAR(TODAY())-1911&amp;"年"&amp;MONTH(TODAY()-DAY(TODAY()))&amp;"月份)"</f>
        <v>(115年7月份)</v>
      </c>
      <c r="B16" s="113"/>
      <c r="C16" s="113"/>
      <c r="D16" s="113"/>
      <c r="E16" s="113"/>
      <c r="F16" s="113"/>
      <c r="G16" s="113"/>
      <c r="H16" s="113"/>
      <c r="I16" s="113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 t="str">
        <f ca="1">"中 華 民 國  "&amp;YEAR(TODAY())-1911&amp;"  年  "&amp;MONTH(TODAY())&amp;"  月"</f>
        <v>中 華 民 國  115  年  8  月</v>
      </c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8.35" customHeight="1" x14ac:dyDescent="0.3">
      <c r="A4" s="119">
        <f>INDEX(工程基本資料!A:B,MATCH("工程名稱",工程基本資料!A:A,0),2)</f>
        <v>0</v>
      </c>
      <c r="B4" s="119"/>
      <c r="C4" s="119"/>
      <c r="D4" s="119"/>
      <c r="E4" s="119"/>
      <c r="F4" s="119"/>
      <c r="G4" s="119"/>
      <c r="H4" s="119"/>
      <c r="I4" s="119"/>
    </row>
    <row r="5" spans="1:9" ht="28.35" customHeight="1" x14ac:dyDescent="0.3">
      <c r="A5" s="119"/>
      <c r="B5" s="119"/>
      <c r="C5" s="119"/>
      <c r="D5" s="119"/>
      <c r="E5" s="119"/>
      <c r="F5" s="119"/>
      <c r="G5" s="119"/>
      <c r="H5" s="119"/>
      <c r="I5" s="119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7" t="s">
        <v>67</v>
      </c>
      <c r="B15" s="117"/>
      <c r="C15" s="117"/>
      <c r="D15" s="117"/>
      <c r="E15" s="117"/>
      <c r="F15" s="117"/>
      <c r="G15" s="117"/>
      <c r="H15" s="117"/>
      <c r="I15" s="117"/>
    </row>
    <row r="16" spans="1:9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/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5" t="s">
        <v>40</v>
      </c>
      <c r="B1" s="125"/>
      <c r="C1" s="125"/>
      <c r="D1" s="125"/>
      <c r="E1" s="125"/>
      <c r="F1" s="125"/>
      <c r="G1" s="125"/>
      <c r="H1" s="125"/>
      <c r="I1" s="125"/>
      <c r="J1" s="125"/>
      <c r="N1"/>
      <c r="O1"/>
    </row>
    <row r="2" spans="1:15" ht="15" customHeight="1" x14ac:dyDescent="0.3">
      <c r="A2" s="133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33"/>
      <c r="C2" s="133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34" t="str">
        <f>"上午 : "&amp;INDEX(監造內容!$1:$1048576,MATCH($H3,監造內容!B:B,0),3)&amp;
"      下午:"&amp;INDEX(監造內容!A:O,MATCH($H3,監造內容!B:B,0),4)</f>
        <v>上午 :       下午:</v>
      </c>
      <c r="C3" s="134"/>
      <c r="D3" s="134"/>
      <c r="E3" s="51"/>
      <c r="F3" s="51"/>
      <c r="G3" s="9" t="s">
        <v>41</v>
      </c>
      <c r="H3" s="126">
        <f>N8</f>
        <v>0</v>
      </c>
      <c r="I3" s="126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27">
        <f>INDEX(工程基本資料!A:B,MATCH(A4,工程基本資料!A:A,0),2)</f>
        <v>0</v>
      </c>
      <c r="C4" s="127"/>
      <c r="D4" s="127"/>
      <c r="E4" s="127"/>
      <c r="F4" s="127"/>
      <c r="G4" s="127"/>
      <c r="H4" s="127"/>
      <c r="I4" s="127"/>
      <c r="J4" s="128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9" t="s">
        <v>45</v>
      </c>
      <c r="F5" s="130"/>
      <c r="G5" s="74" t="str">
        <f>INDEX(監造內容!$1:$1048576,MATCH($H3,監造內容!B:B,0),16)</f>
        <v/>
      </c>
      <c r="H5" s="50" t="s">
        <v>46</v>
      </c>
      <c r="I5" s="131" t="e">
        <f>IF(INDEX(每日施工紀錄!$1:$1048576,MATCH("實際進度",每日施工紀錄!A:A,0),MATCH($H$3,每日施工紀錄!$1:$1,0))&gt;=1,$H$3," ")</f>
        <v>#DIV/0!</v>
      </c>
      <c r="J5" s="132"/>
      <c r="N5" s="13"/>
      <c r="O5" s="13"/>
    </row>
    <row r="6" spans="1:15" ht="19.5" customHeight="1" thickBot="1" x14ac:dyDescent="0.35">
      <c r="A6" s="135" t="s">
        <v>47</v>
      </c>
      <c r="B6" s="130"/>
      <c r="C6" s="73">
        <f>INDEX(監造內容!$1:$1048576,MATCH($H3,監造內容!B:B,0),14)</f>
        <v>0</v>
      </c>
      <c r="D6" s="130" t="s">
        <v>48</v>
      </c>
      <c r="E6" s="130"/>
      <c r="F6" s="130"/>
      <c r="G6" s="72">
        <f>SUM(INDEX(監造內容!$1:$1048576,MATCH($H3,監造內容!B:B,0),12),INDEX(監造內容!$1:$1048576,MATCH($H3,監造內容!B:B,0),13))</f>
        <v>0</v>
      </c>
      <c r="H6" s="130" t="s">
        <v>49</v>
      </c>
      <c r="I6" s="121">
        <f>INDEX(工程基本資料!A:B,MATCH("契約金額",工程基本資料!A:A,0),2)</f>
        <v>0</v>
      </c>
      <c r="J6" s="122"/>
      <c r="N6" s="13"/>
      <c r="O6" s="15"/>
    </row>
    <row r="7" spans="1:15" ht="20.25" customHeight="1" thickBot="1" x14ac:dyDescent="0.35">
      <c r="A7" s="49" t="s">
        <v>50</v>
      </c>
      <c r="B7" s="136">
        <f>INDEX(每日施工紀錄!$1:$1048576,MATCH("預定進度",每日施工紀錄!A:A,0),MATCH($H$3,每日施工紀錄!1:1,0))</f>
        <v>0</v>
      </c>
      <c r="C7" s="136"/>
      <c r="D7" s="130" t="s">
        <v>51</v>
      </c>
      <c r="E7" s="130"/>
      <c r="F7" s="136" t="e">
        <f>INDEX(每日施工紀錄!$1:$1048576,MATCH("實際進度",每日施工紀錄!A:A,0),MATCH($H$3,每日施工紀錄!$1:$1,0))</f>
        <v>#DIV/0!</v>
      </c>
      <c r="G7" s="136"/>
      <c r="H7" s="130"/>
      <c r="I7" s="123">
        <f>INDEX(監造內容!A:O,MATCH($H3,監造內容!B:B,0),15)</f>
        <v>0</v>
      </c>
      <c r="J7" s="124"/>
      <c r="N7" s="16" t="s">
        <v>36</v>
      </c>
      <c r="O7" s="13"/>
    </row>
    <row r="8" spans="1:15" ht="20.25" customHeight="1" thickBot="1" x14ac:dyDescent="0.35">
      <c r="A8" s="149" t="s">
        <v>52</v>
      </c>
      <c r="B8" s="150"/>
      <c r="C8" s="150"/>
      <c r="D8" s="150"/>
      <c r="E8" s="150"/>
      <c r="F8" s="150"/>
      <c r="G8" s="150"/>
      <c r="H8" s="150"/>
      <c r="I8" s="150"/>
      <c r="J8" s="151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56" t="s">
        <v>59</v>
      </c>
      <c r="C9" s="156"/>
      <c r="D9" s="156"/>
      <c r="E9" s="156"/>
      <c r="F9" s="156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20" t="str">
        <f>IF(契約詳細價目表!B2="","",契約詳細價目表!B2)</f>
        <v/>
      </c>
      <c r="C10" s="120"/>
      <c r="D10" s="120"/>
      <c r="E10" s="120"/>
      <c r="F10" s="120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20" t="str">
        <f>IF(契約詳細價目表!B3="","",契約詳細價目表!B3)</f>
        <v/>
      </c>
      <c r="C11" s="120"/>
      <c r="D11" s="120"/>
      <c r="E11" s="120"/>
      <c r="F11" s="120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20" t="str">
        <f>IF(契約詳細價目表!B4="","",契約詳細價目表!B4)</f>
        <v/>
      </c>
      <c r="C12" s="120"/>
      <c r="D12" s="120"/>
      <c r="E12" s="120"/>
      <c r="F12" s="120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20" t="str">
        <f>IF(契約詳細價目表!B5="","",契約詳細價目表!B5)</f>
        <v/>
      </c>
      <c r="C13" s="120"/>
      <c r="D13" s="120"/>
      <c r="E13" s="120"/>
      <c r="F13" s="120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20" t="str">
        <f>IF(契約詳細價目表!B6="","",契約詳細價目表!B6)</f>
        <v/>
      </c>
      <c r="C14" s="120"/>
      <c r="D14" s="120"/>
      <c r="E14" s="120"/>
      <c r="F14" s="120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20" t="str">
        <f>IF(契約詳細價目表!B7="","",契約詳細價目表!B7)</f>
        <v/>
      </c>
      <c r="C15" s="120"/>
      <c r="D15" s="120"/>
      <c r="E15" s="120"/>
      <c r="F15" s="120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20" t="str">
        <f>IF(契約詳細價目表!B8="","",契約詳細價目表!B8)</f>
        <v/>
      </c>
      <c r="C16" s="120"/>
      <c r="D16" s="120"/>
      <c r="E16" s="120"/>
      <c r="F16" s="120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20" t="str">
        <f>IF(契約詳細價目表!B9="","",契約詳細價目表!B9)</f>
        <v/>
      </c>
      <c r="C17" s="120"/>
      <c r="D17" s="120"/>
      <c r="E17" s="120"/>
      <c r="F17" s="120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20" t="str">
        <f>IF(契約詳細價目表!B10="","",契約詳細價目表!B10)</f>
        <v/>
      </c>
      <c r="C18" s="120"/>
      <c r="D18" s="120"/>
      <c r="E18" s="120"/>
      <c r="F18" s="120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20" t="str">
        <f>IF(契約詳細價目表!B11="","",契約詳細價目表!B11)</f>
        <v/>
      </c>
      <c r="C19" s="120"/>
      <c r="D19" s="120"/>
      <c r="E19" s="120"/>
      <c r="F19" s="120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20" t="str">
        <f>IF(契約詳細價目表!B12="","",契約詳細價目表!B12)</f>
        <v/>
      </c>
      <c r="C20" s="120"/>
      <c r="D20" s="120"/>
      <c r="E20" s="120"/>
      <c r="F20" s="120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20" t="str">
        <f>IF(契約詳細價目表!B13="","",契約詳細價目表!B13)</f>
        <v/>
      </c>
      <c r="C21" s="120"/>
      <c r="D21" s="120"/>
      <c r="E21" s="120"/>
      <c r="F21" s="120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20" t="str">
        <f>IF(契約詳細價目表!B14="","",契約詳細價目表!B14)</f>
        <v/>
      </c>
      <c r="C22" s="120"/>
      <c r="D22" s="120"/>
      <c r="E22" s="120"/>
      <c r="F22" s="120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20" t="str">
        <f>IF(契約詳細價目表!B15="","",契約詳細價目表!B15)</f>
        <v/>
      </c>
      <c r="C23" s="120"/>
      <c r="D23" s="120"/>
      <c r="E23" s="120"/>
      <c r="F23" s="120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20" t="str">
        <f>IF(契約詳細價目表!B16="","",契約詳細價目表!B16)</f>
        <v/>
      </c>
      <c r="C24" s="120"/>
      <c r="D24" s="120"/>
      <c r="E24" s="120"/>
      <c r="F24" s="120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20" t="str">
        <f>IF(契約詳細價目表!B17="","",契約詳細價目表!B17)</f>
        <v/>
      </c>
      <c r="C25" s="120"/>
      <c r="D25" s="120"/>
      <c r="E25" s="120"/>
      <c r="F25" s="120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20" t="str">
        <f>IF(契約詳細價目表!B18="","",契約詳細價目表!B18)</f>
        <v/>
      </c>
      <c r="C26" s="120"/>
      <c r="D26" s="120"/>
      <c r="E26" s="120"/>
      <c r="F26" s="120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20" t="str">
        <f>IF(契約詳細價目表!B19="","",契約詳細價目表!B19)</f>
        <v/>
      </c>
      <c r="C27" s="120"/>
      <c r="D27" s="120"/>
      <c r="E27" s="120"/>
      <c r="F27" s="120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20" t="str">
        <f>IF(契約詳細價目表!B20="","",契約詳細價目表!B20)</f>
        <v/>
      </c>
      <c r="C28" s="120"/>
      <c r="D28" s="120"/>
      <c r="E28" s="120"/>
      <c r="F28" s="120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20" t="str">
        <f>IF(契約詳細價目表!B21="","",契約詳細價目表!B21)</f>
        <v/>
      </c>
      <c r="C29" s="120"/>
      <c r="D29" s="120"/>
      <c r="E29" s="120"/>
      <c r="F29" s="120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20" t="str">
        <f>IF(契約詳細價目表!B22="","",契約詳細價目表!B22)</f>
        <v/>
      </c>
      <c r="C30" s="120"/>
      <c r="D30" s="120"/>
      <c r="E30" s="120"/>
      <c r="F30" s="120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20" t="str">
        <f>IF(契約詳細價目表!B23="","",契約詳細價目表!B23)</f>
        <v/>
      </c>
      <c r="C31" s="120"/>
      <c r="D31" s="120"/>
      <c r="E31" s="120"/>
      <c r="F31" s="120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20" t="str">
        <f>IF(契約詳細價目表!B24="","",契約詳細價目表!B24)</f>
        <v/>
      </c>
      <c r="C32" s="120"/>
      <c r="D32" s="120"/>
      <c r="E32" s="120"/>
      <c r="F32" s="120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20" t="str">
        <f>IF(契約詳細價目表!B25="","",契約詳細價目表!B25)</f>
        <v/>
      </c>
      <c r="C33" s="120"/>
      <c r="D33" s="120"/>
      <c r="E33" s="120"/>
      <c r="F33" s="120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20" t="str">
        <f>IF(契約詳細價目表!B26="","",契約詳細價目表!B26)</f>
        <v/>
      </c>
      <c r="C34" s="120"/>
      <c r="D34" s="120"/>
      <c r="E34" s="120"/>
      <c r="F34" s="120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20" t="str">
        <f>IF(契約詳細價目表!B27="","",契約詳細價目表!B27)</f>
        <v/>
      </c>
      <c r="C35" s="120"/>
      <c r="D35" s="120"/>
      <c r="E35" s="120"/>
      <c r="F35" s="120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20" t="str">
        <f>IF(契約詳細價目表!B28="","",契約詳細價目表!B28)</f>
        <v/>
      </c>
      <c r="C36" s="120"/>
      <c r="D36" s="120"/>
      <c r="E36" s="120"/>
      <c r="F36" s="120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20" t="str">
        <f>IF(契約詳細價目表!B29="","",契約詳細價目表!B29)</f>
        <v/>
      </c>
      <c r="C37" s="120"/>
      <c r="D37" s="120"/>
      <c r="E37" s="120"/>
      <c r="F37" s="120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20" t="str">
        <f>IF(契約詳細價目表!B30="","",契約詳細價目表!B30)</f>
        <v/>
      </c>
      <c r="C38" s="120"/>
      <c r="D38" s="120"/>
      <c r="E38" s="120"/>
      <c r="F38" s="120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20" t="str">
        <f>IF(契約詳細價目表!B31="","",契約詳細價目表!B31)</f>
        <v/>
      </c>
      <c r="C39" s="120"/>
      <c r="D39" s="120"/>
      <c r="E39" s="120"/>
      <c r="F39" s="120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20" t="str">
        <f>IF(契約詳細價目表!B32="","",契約詳細價目表!B32)</f>
        <v/>
      </c>
      <c r="C40" s="120"/>
      <c r="D40" s="120"/>
      <c r="E40" s="120"/>
      <c r="F40" s="120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9" t="s">
        <v>66</v>
      </c>
      <c r="B41" s="150"/>
      <c r="C41" s="150"/>
      <c r="D41" s="150"/>
      <c r="E41" s="150"/>
      <c r="F41" s="150"/>
      <c r="G41" s="150"/>
      <c r="H41" s="150"/>
      <c r="I41" s="150"/>
      <c r="J41" s="151"/>
      <c r="N41" s="19"/>
      <c r="O41" s="18"/>
    </row>
    <row r="42" spans="1:15" ht="69.900000000000006" customHeight="1" x14ac:dyDescent="0.3">
      <c r="A42" s="152">
        <f>INDEX(監造內容!$1:$1048576,MATCH($H3,監造內容!B:B,0),6)</f>
        <v>0</v>
      </c>
      <c r="B42" s="153"/>
      <c r="C42" s="153"/>
      <c r="D42" s="153"/>
      <c r="E42" s="153"/>
      <c r="F42" s="153"/>
      <c r="G42" s="153"/>
      <c r="H42" s="153"/>
      <c r="I42" s="153"/>
      <c r="J42" s="154"/>
      <c r="N42" s="19"/>
      <c r="O42" s="18"/>
    </row>
    <row r="43" spans="1:15" ht="19.5" customHeight="1" x14ac:dyDescent="0.3">
      <c r="A43" s="149" t="s">
        <v>53</v>
      </c>
      <c r="B43" s="150"/>
      <c r="C43" s="150"/>
      <c r="D43" s="150"/>
      <c r="E43" s="150"/>
      <c r="F43" s="150"/>
      <c r="G43" s="150"/>
      <c r="H43" s="150"/>
      <c r="I43" s="150"/>
      <c r="J43" s="151"/>
      <c r="N43" s="19"/>
      <c r="O43" s="18"/>
    </row>
    <row r="44" spans="1:15" ht="60" customHeight="1" x14ac:dyDescent="0.3">
      <c r="A44" s="152">
        <f>INDEX(監造內容!$1:$1048576,MATCH($H3,監造內容!B:B,0),7)</f>
        <v>0</v>
      </c>
      <c r="B44" s="153"/>
      <c r="C44" s="153"/>
      <c r="D44" s="153"/>
      <c r="E44" s="153"/>
      <c r="F44" s="153"/>
      <c r="G44" s="153"/>
      <c r="H44" s="153"/>
      <c r="I44" s="153"/>
      <c r="J44" s="154"/>
      <c r="N44" s="19"/>
      <c r="O44" s="18"/>
    </row>
    <row r="45" spans="1:15" ht="19.5" customHeight="1" x14ac:dyDescent="0.3">
      <c r="A45" s="155" t="s">
        <v>54</v>
      </c>
      <c r="B45" s="138"/>
      <c r="C45" s="138"/>
      <c r="D45" s="138"/>
      <c r="E45" s="138"/>
      <c r="F45" s="138"/>
      <c r="G45" s="138"/>
      <c r="H45" s="138"/>
      <c r="I45" s="138"/>
      <c r="J45" s="139"/>
      <c r="N45" s="19"/>
      <c r="O45" s="18"/>
    </row>
    <row r="46" spans="1:15" ht="63" customHeight="1" x14ac:dyDescent="0.3">
      <c r="A46" s="137" t="str">
        <f>INDEX(監造內容!$1:$1048576,MATCH($H3,監造內容!B:B,0),8)</f>
        <v>（一）施工廠商施工前檢查事項辦理情形：□完成 □未完成_x000D_
_x000D_
（二）其他工地安全衛生督導事項：</v>
      </c>
      <c r="B46" s="138"/>
      <c r="C46" s="138"/>
      <c r="D46" s="138"/>
      <c r="E46" s="138"/>
      <c r="F46" s="138"/>
      <c r="G46" s="138"/>
      <c r="H46" s="138"/>
      <c r="I46" s="138"/>
      <c r="J46" s="139"/>
      <c r="N46" s="19"/>
      <c r="O46" s="18"/>
    </row>
    <row r="47" spans="1:15" ht="19.5" customHeight="1" x14ac:dyDescent="0.3">
      <c r="A47" s="140" t="s">
        <v>55</v>
      </c>
      <c r="B47" s="141"/>
      <c r="C47" s="141"/>
      <c r="D47" s="141"/>
      <c r="E47" s="141"/>
      <c r="F47" s="141"/>
      <c r="G47" s="141"/>
      <c r="H47" s="141"/>
      <c r="I47" s="141"/>
      <c r="J47" s="142"/>
      <c r="N47" s="19"/>
      <c r="O47" s="18"/>
    </row>
    <row r="48" spans="1:15" ht="69.900000000000006" customHeight="1" x14ac:dyDescent="0.3">
      <c r="A48" s="143">
        <f>INDEX(監造內容!$1:$1048576,MATCH($H3,監造內容!B:B,0),9)</f>
        <v>0</v>
      </c>
      <c r="B48" s="144"/>
      <c r="C48" s="144"/>
      <c r="D48" s="144"/>
      <c r="E48" s="144"/>
      <c r="F48" s="144"/>
      <c r="G48" s="144"/>
      <c r="H48" s="144"/>
      <c r="I48" s="144"/>
      <c r="J48" s="145"/>
      <c r="N48" s="13"/>
      <c r="O48" s="13"/>
    </row>
    <row r="49" spans="1:15" ht="41.25" customHeight="1" thickBot="1" x14ac:dyDescent="0.35">
      <c r="A49" s="146" t="s">
        <v>56</v>
      </c>
      <c r="B49" s="147"/>
      <c r="C49" s="147"/>
      <c r="D49" s="147"/>
      <c r="E49" s="147"/>
      <c r="F49" s="147"/>
      <c r="G49" s="147"/>
      <c r="H49" s="147"/>
      <c r="I49" s="147"/>
      <c r="J49" s="148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 t="str">
        <f>IF(OR(B7="",B7=0),"",B8+B7-1)</f>
        <v/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7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7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7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7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7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7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7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7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7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7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7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7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7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7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 t="s">
        <v>68</v>
      </c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7"/>
      <c r="E284" s="157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8" t="s">
        <v>28</v>
      </c>
      <c r="B1" s="108" t="s">
        <v>16</v>
      </c>
      <c r="C1" s="108" t="s">
        <v>17</v>
      </c>
      <c r="D1" s="108"/>
      <c r="E1" s="112" t="s">
        <v>19</v>
      </c>
      <c r="F1" s="112" t="s">
        <v>20</v>
      </c>
      <c r="G1" s="112" t="s">
        <v>64</v>
      </c>
      <c r="H1" s="112" t="s">
        <v>21</v>
      </c>
      <c r="I1" s="112" t="s">
        <v>22</v>
      </c>
      <c r="J1" s="109" t="s">
        <v>24</v>
      </c>
      <c r="K1" s="109" t="s">
        <v>23</v>
      </c>
      <c r="L1" s="110" t="s">
        <v>25</v>
      </c>
      <c r="M1" s="110" t="s">
        <v>18</v>
      </c>
      <c r="N1" s="110" t="s">
        <v>26</v>
      </c>
      <c r="O1" s="112" t="s">
        <v>27</v>
      </c>
      <c r="P1" s="111" t="s">
        <v>65</v>
      </c>
    </row>
    <row r="2" spans="1:18" x14ac:dyDescent="0.3">
      <c r="A2" s="108"/>
      <c r="B2" s="108"/>
      <c r="C2" s="59"/>
      <c r="D2" s="59"/>
      <c r="E2" s="112"/>
      <c r="F2" s="112"/>
      <c r="G2" s="112"/>
      <c r="H2" s="112"/>
      <c r="I2" s="112"/>
      <c r="J2" s="109"/>
      <c r="K2" s="109"/>
      <c r="L2" s="110"/>
      <c r="M2" s="110"/>
      <c r="N2" s="110"/>
      <c r="O2" s="112"/>
      <c r="P2" s="111"/>
    </row>
    <row r="3" spans="1:18" ht="68.400000000000006" x14ac:dyDescent="0.3">
      <c r="A3" s="60">
        <f>1</f>
        <v>1</v>
      </c>
      <c r="B3" s="61">
        <f>工程基本資料!B8</f>
        <v>0</v>
      </c>
      <c r="C3" s="62"/>
      <c r="D3" s="62"/>
      <c r="E3" s="104"/>
      <c r="F3" s="63"/>
      <c r="G3" s="63"/>
      <c r="H3" s="64" t="str">
        <f>IF(Q3&gt;1,$R$3,$R$4)</f>
        <v>（一）施工廠商施工前檢查事項辦理情形：□完成 □未完成_x000D_
_x000D_
（二）其他工地安全衛生督導事項：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 t="str">
        <f>IF(OR(工程基本資料!$B$7="",工程基本資料!$B$7=0),"",工程基本資料!$B$8+工程基本資料!$B$7+$L3+$M3-1)</f>
        <v/>
      </c>
      <c r="Q3" s="9" cm="1">
        <f t="array" ref="Q3:Q597">TRANSPOSE(每日施工紀錄!J284:WF284)</f>
        <v>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 t="str">
        <f>IF(OR(工程基本資料!$B$7="",工程基本資料!$B$7=0),"",工程基本資料!$B$8+工程基本資料!$B$7+$L4+$M4-1)</f>
        <v/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2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-2</v>
      </c>
      <c r="L5" s="66"/>
      <c r="M5" s="66"/>
      <c r="N5" s="66"/>
      <c r="O5" s="70"/>
      <c r="P5" s="58" t="str">
        <f>IF(OR(工程基本資料!$B$7="",工程基本資料!$B$7=0),"",工程基本資料!$B$8+工程基本資料!$B$7+$L5+$M5-1)</f>
        <v/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3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-3</v>
      </c>
      <c r="L6" s="66"/>
      <c r="M6" s="66"/>
      <c r="N6" s="66"/>
      <c r="O6" s="70"/>
      <c r="P6" s="58" t="str">
        <f>IF(OR(工程基本資料!$B$7="",工程基本資料!$B$7=0),"",工程基本資料!$B$8+工程基本資料!$B$7+$L6+$M6-1)</f>
        <v/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-4</v>
      </c>
      <c r="L7" s="66"/>
      <c r="M7" s="66"/>
      <c r="N7" s="66"/>
      <c r="O7" s="70"/>
      <c r="P7" s="58" t="str">
        <f>IF(OR(工程基本資料!$B$7="",工程基本資料!$B$7=0),"",工程基本資料!$B$8+工程基本資料!$B$7+$L7+$M7-1)</f>
        <v/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5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-5</v>
      </c>
      <c r="L8" s="66"/>
      <c r="M8" s="66"/>
      <c r="N8" s="66"/>
      <c r="O8" s="70"/>
      <c r="P8" s="58" t="str">
        <f>IF(OR(工程基本資料!$B$7="",工程基本資料!$B$7=0),"",工程基本資料!$B$8+工程基本資料!$B$7+$L8+$M8-1)</f>
        <v/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6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-6</v>
      </c>
      <c r="L9" s="66"/>
      <c r="M9" s="66"/>
      <c r="N9" s="66"/>
      <c r="O9" s="70"/>
      <c r="P9" s="58" t="str">
        <f>IF(OR(工程基本資料!$B$7="",工程基本資料!$B$7=0),"",工程基本資料!$B$8+工程基本資料!$B$7+$L9+$M9-1)</f>
        <v/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7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-7</v>
      </c>
      <c r="L10" s="66"/>
      <c r="M10" s="66"/>
      <c r="N10" s="66"/>
      <c r="O10" s="70"/>
      <c r="P10" s="58" t="str">
        <f>IF(OR(工程基本資料!$B$7="",工程基本資料!$B$7=0),"",工程基本資料!$B$8+工程基本資料!$B$7+$L10+$M10-1)</f>
        <v/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8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-8</v>
      </c>
      <c r="L11" s="66"/>
      <c r="M11" s="66"/>
      <c r="N11" s="66"/>
      <c r="O11" s="70"/>
      <c r="P11" s="58" t="str">
        <f>IF(OR(工程基本資料!$B$7="",工程基本資料!$B$7=0),"",工程基本資料!$B$8+工程基本資料!$B$7+$L11+$M11-1)</f>
        <v/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9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-9</v>
      </c>
      <c r="L12" s="66"/>
      <c r="M12" s="66"/>
      <c r="N12" s="66"/>
      <c r="O12" s="70"/>
      <c r="P12" s="58" t="str">
        <f>IF(OR(工程基本資料!$B$7="",工程基本資料!$B$7=0),"",工程基本資料!$B$8+工程基本資料!$B$7+$L12+$M12-1)</f>
        <v/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10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-10</v>
      </c>
      <c r="L13" s="66"/>
      <c r="M13" s="66"/>
      <c r="N13" s="66"/>
      <c r="O13" s="70"/>
      <c r="P13" s="58" t="str">
        <f>IF(OR(工程基本資料!$B$7="",工程基本資料!$B$7=0),"",工程基本資料!$B$8+工程基本資料!$B$7+$L13+$M13-1)</f>
        <v/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11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-11</v>
      </c>
      <c r="L14" s="66"/>
      <c r="M14" s="66"/>
      <c r="N14" s="66"/>
      <c r="O14" s="70"/>
      <c r="P14" s="58" t="str">
        <f>IF(OR(工程基本資料!$B$7="",工程基本資料!$B$7=0),"",工程基本資料!$B$8+工程基本資料!$B$7+$L14+$M14-1)</f>
        <v/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12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-12</v>
      </c>
      <c r="L15" s="66"/>
      <c r="M15" s="66"/>
      <c r="N15" s="66"/>
      <c r="O15" s="70"/>
      <c r="P15" s="58" t="str">
        <f>IF(OR(工程基本資料!$B$7="",工程基本資料!$B$7=0),"",工程基本資料!$B$8+工程基本資料!$B$7+$L15+$M15-1)</f>
        <v/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13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-13</v>
      </c>
      <c r="L16" s="66"/>
      <c r="M16" s="66"/>
      <c r="N16" s="66"/>
      <c r="O16" s="70"/>
      <c r="P16" s="58" t="str">
        <f>IF(OR(工程基本資料!$B$7="",工程基本資料!$B$7=0),"",工程基本資料!$B$8+工程基本資料!$B$7+$L16+$M16-1)</f>
        <v/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14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-14</v>
      </c>
      <c r="L17" s="66"/>
      <c r="M17" s="66"/>
      <c r="N17" s="66"/>
      <c r="O17" s="70"/>
      <c r="P17" s="58" t="str">
        <f>IF(OR(工程基本資料!$B$7="",工程基本資料!$B$7=0),"",工程基本資料!$B$8+工程基本資料!$B$7+$L17+$M17-1)</f>
        <v/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15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-15</v>
      </c>
      <c r="L18" s="66"/>
      <c r="M18" s="66"/>
      <c r="N18" s="66"/>
      <c r="O18" s="70"/>
      <c r="P18" s="58" t="str">
        <f>IF(OR(工程基本資料!$B$7="",工程基本資料!$B$7=0),"",工程基本資料!$B$8+工程基本資料!$B$7+$L18+$M18-1)</f>
        <v/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16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-16</v>
      </c>
      <c r="L19" s="66"/>
      <c r="M19" s="66"/>
      <c r="N19" s="66"/>
      <c r="O19" s="70"/>
      <c r="P19" s="58" t="str">
        <f>IF(OR(工程基本資料!$B$7="",工程基本資料!$B$7=0),"",工程基本資料!$B$8+工程基本資料!$B$7+$L19+$M19-1)</f>
        <v/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17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-17</v>
      </c>
      <c r="L20" s="66"/>
      <c r="M20" s="66"/>
      <c r="N20" s="66"/>
      <c r="O20" s="70"/>
      <c r="P20" s="58" t="str">
        <f>IF(OR(工程基本資料!$B$7="",工程基本資料!$B$7=0),"",工程基本資料!$B$8+工程基本資料!$B$7+$L20+$M20-1)</f>
        <v/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18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-18</v>
      </c>
      <c r="L21" s="66"/>
      <c r="M21" s="66"/>
      <c r="N21" s="66"/>
      <c r="O21" s="70"/>
      <c r="P21" s="58" t="str">
        <f>IF(OR(工程基本資料!$B$7="",工程基本資料!$B$7=0),"",工程基本資料!$B$8+工程基本資料!$B$7+$L21+$M21-1)</f>
        <v/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19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-19</v>
      </c>
      <c r="L22" s="66"/>
      <c r="M22" s="66"/>
      <c r="N22" s="66"/>
      <c r="O22" s="70"/>
      <c r="P22" s="58" t="str">
        <f>IF(OR(工程基本資料!$B$7="",工程基本資料!$B$7=0),"",工程基本資料!$B$8+工程基本資料!$B$7+$L22+$M22-1)</f>
        <v/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20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-20</v>
      </c>
      <c r="L23" s="66"/>
      <c r="M23" s="66"/>
      <c r="N23" s="66"/>
      <c r="O23" s="70"/>
      <c r="P23" s="58" t="str">
        <f>IF(OR(工程基本資料!$B$7="",工程基本資料!$B$7=0),"",工程基本資料!$B$8+工程基本資料!$B$7+$L23+$M23-1)</f>
        <v/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21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-21</v>
      </c>
      <c r="L24" s="66"/>
      <c r="M24" s="66"/>
      <c r="N24" s="66"/>
      <c r="O24" s="70"/>
      <c r="P24" s="58" t="str">
        <f>IF(OR(工程基本資料!$B$7="",工程基本資料!$B$7=0),"",工程基本資料!$B$8+工程基本資料!$B$7+$L24+$M24-1)</f>
        <v/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22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-22</v>
      </c>
      <c r="L25" s="66"/>
      <c r="M25" s="66"/>
      <c r="N25" s="66"/>
      <c r="O25" s="70"/>
      <c r="P25" s="58" t="str">
        <f>IF(OR(工程基本資料!$B$7="",工程基本資料!$B$7=0),"",工程基本資料!$B$8+工程基本資料!$B$7+$L25+$M25-1)</f>
        <v/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23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-23</v>
      </c>
      <c r="L26" s="66"/>
      <c r="M26" s="66"/>
      <c r="N26" s="66"/>
      <c r="O26" s="70"/>
      <c r="P26" s="58" t="str">
        <f>IF(OR(工程基本資料!$B$7="",工程基本資料!$B$7=0),"",工程基本資料!$B$8+工程基本資料!$B$7+$L26+$M26-1)</f>
        <v/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24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-24</v>
      </c>
      <c r="L27" s="66"/>
      <c r="M27" s="66"/>
      <c r="N27" s="66"/>
      <c r="O27" s="70"/>
      <c r="P27" s="58" t="str">
        <f>IF(OR(工程基本資料!$B$7="",工程基本資料!$B$7=0),"",工程基本資料!$B$8+工程基本資料!$B$7+$L27+$M27-1)</f>
        <v/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25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-25</v>
      </c>
      <c r="L28" s="66"/>
      <c r="M28" s="66"/>
      <c r="N28" s="66"/>
      <c r="O28" s="70"/>
      <c r="P28" s="58" t="str">
        <f>IF(OR(工程基本資料!$B$7="",工程基本資料!$B$7=0),"",工程基本資料!$B$8+工程基本資料!$B$7+$L28+$M28-1)</f>
        <v/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26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-26</v>
      </c>
      <c r="L29" s="66"/>
      <c r="M29" s="66"/>
      <c r="N29" s="66"/>
      <c r="O29" s="70"/>
      <c r="P29" s="58" t="str">
        <f>IF(OR(工程基本資料!$B$7="",工程基本資料!$B$7=0),"",工程基本資料!$B$8+工程基本資料!$B$7+$L29+$M29-1)</f>
        <v/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27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-27</v>
      </c>
      <c r="L30" s="66"/>
      <c r="M30" s="66"/>
      <c r="N30" s="66"/>
      <c r="O30" s="70"/>
      <c r="P30" s="58" t="str">
        <f>IF(OR(工程基本資料!$B$7="",工程基本資料!$B$7=0),"",工程基本資料!$B$8+工程基本資料!$B$7+$L30+$M30-1)</f>
        <v/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28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-28</v>
      </c>
      <c r="L31" s="66"/>
      <c r="M31" s="66"/>
      <c r="N31" s="66"/>
      <c r="O31" s="70"/>
      <c r="P31" s="58" t="str">
        <f>IF(OR(工程基本資料!$B$7="",工程基本資料!$B$7=0),"",工程基本資料!$B$8+工程基本資料!$B$7+$L31+$M31-1)</f>
        <v/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29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-29</v>
      </c>
      <c r="L32" s="66"/>
      <c r="M32" s="66"/>
      <c r="N32" s="66"/>
      <c r="O32" s="70"/>
      <c r="P32" s="58" t="str">
        <f>IF(OR(工程基本資料!$B$7="",工程基本資料!$B$7=0),"",工程基本資料!$B$8+工程基本資料!$B$7+$L32+$M32-1)</f>
        <v/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30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-30</v>
      </c>
      <c r="L33" s="66"/>
      <c r="M33" s="66"/>
      <c r="N33" s="66"/>
      <c r="O33" s="70"/>
      <c r="P33" s="58" t="str">
        <f>IF(OR(工程基本資料!$B$7="",工程基本資料!$B$7=0),"",工程基本資料!$B$8+工程基本資料!$B$7+$L33+$M33-1)</f>
        <v/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31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-31</v>
      </c>
      <c r="L34" s="66"/>
      <c r="M34" s="66"/>
      <c r="N34" s="66"/>
      <c r="O34" s="70"/>
      <c r="P34" s="58" t="str">
        <f>IF(OR(工程基本資料!$B$7="",工程基本資料!$B$7=0),"",工程基本資料!$B$8+工程基本資料!$B$7+$L34+$M34-1)</f>
        <v/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32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-32</v>
      </c>
      <c r="L35" s="66"/>
      <c r="M35" s="66"/>
      <c r="N35" s="66"/>
      <c r="O35" s="70"/>
      <c r="P35" s="58" t="str">
        <f>IF(OR(工程基本資料!$B$7="",工程基本資料!$B$7=0),"",工程基本資料!$B$8+工程基本資料!$B$7+$L35+$M35-1)</f>
        <v/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33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-33</v>
      </c>
      <c r="L36" s="66"/>
      <c r="M36" s="66"/>
      <c r="N36" s="66"/>
      <c r="O36" s="70"/>
      <c r="P36" s="58" t="str">
        <f>IF(OR(工程基本資料!$B$7="",工程基本資料!$B$7=0),"",工程基本資料!$B$8+工程基本資料!$B$7+$L36+$M36-1)</f>
        <v/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34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-34</v>
      </c>
      <c r="L37" s="66"/>
      <c r="M37" s="66"/>
      <c r="N37" s="66"/>
      <c r="O37" s="70"/>
      <c r="P37" s="58" t="str">
        <f>IF(OR(工程基本資料!$B$7="",工程基本資料!$B$7=0),"",工程基本資料!$B$8+工程基本資料!$B$7+$L37+$M37-1)</f>
        <v/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35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-35</v>
      </c>
      <c r="L38" s="66"/>
      <c r="M38" s="66"/>
      <c r="N38" s="66"/>
      <c r="O38" s="70"/>
      <c r="P38" s="58" t="str">
        <f>IF(OR(工程基本資料!$B$7="",工程基本資料!$B$7=0),"",工程基本資料!$B$8+工程基本資料!$B$7+$L38+$M38-1)</f>
        <v/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36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-36</v>
      </c>
      <c r="L39" s="66"/>
      <c r="M39" s="66"/>
      <c r="N39" s="66"/>
      <c r="O39" s="70"/>
      <c r="P39" s="58" t="str">
        <f>IF(OR(工程基本資料!$B$7="",工程基本資料!$B$7=0),"",工程基本資料!$B$8+工程基本資料!$B$7+$L39+$M39-1)</f>
        <v/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37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-37</v>
      </c>
      <c r="L40" s="66"/>
      <c r="M40" s="66"/>
      <c r="N40" s="66"/>
      <c r="O40" s="70"/>
      <c r="P40" s="58" t="str">
        <f>IF(OR(工程基本資料!$B$7="",工程基本資料!$B$7=0),"",工程基本資料!$B$8+工程基本資料!$B$7+$L40+$M40-1)</f>
        <v/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38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-38</v>
      </c>
      <c r="L41" s="66"/>
      <c r="M41" s="66"/>
      <c r="N41" s="66"/>
      <c r="O41" s="70"/>
      <c r="P41" s="58" t="str">
        <f>IF(OR(工程基本資料!$B$7="",工程基本資料!$B$7=0),"",工程基本資料!$B$8+工程基本資料!$B$7+$L41+$M41-1)</f>
        <v/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39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-39</v>
      </c>
      <c r="L42" s="66"/>
      <c r="M42" s="66"/>
      <c r="N42" s="66"/>
      <c r="O42" s="70"/>
      <c r="P42" s="58" t="str">
        <f>IF(OR(工程基本資料!$B$7="",工程基本資料!$B$7=0),"",工程基本資料!$B$8+工程基本資料!$B$7+$L42+$M42-1)</f>
        <v/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40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-40</v>
      </c>
      <c r="L43" s="66"/>
      <c r="M43" s="66"/>
      <c r="N43" s="66"/>
      <c r="O43" s="70"/>
      <c r="P43" s="58" t="str">
        <f>IF(OR(工程基本資料!$B$7="",工程基本資料!$B$7=0),"",工程基本資料!$B$8+工程基本資料!$B$7+$L43+$M43-1)</f>
        <v/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41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-41</v>
      </c>
      <c r="L44" s="66"/>
      <c r="M44" s="66"/>
      <c r="N44" s="66"/>
      <c r="O44" s="70"/>
      <c r="P44" s="58" t="str">
        <f>IF(OR(工程基本資料!$B$7="",工程基本資料!$B$7=0),"",工程基本資料!$B$8+工程基本資料!$B$7+$L44+$M44-1)</f>
        <v/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42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-42</v>
      </c>
      <c r="L45" s="66"/>
      <c r="M45" s="66"/>
      <c r="N45" s="66"/>
      <c r="O45" s="70"/>
      <c r="P45" s="58" t="str">
        <f>IF(OR(工程基本資料!$B$7="",工程基本資料!$B$7=0),"",工程基本資料!$B$8+工程基本資料!$B$7+$L45+$M45-1)</f>
        <v/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43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-43</v>
      </c>
      <c r="L46" s="66"/>
      <c r="M46" s="66"/>
      <c r="N46" s="66"/>
      <c r="O46" s="70"/>
      <c r="P46" s="58" t="str">
        <f>IF(OR(工程基本資料!$B$7="",工程基本資料!$B$7=0),"",工程基本資料!$B$8+工程基本資料!$B$7+$L46+$M46-1)</f>
        <v/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44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-44</v>
      </c>
      <c r="L47" s="66"/>
      <c r="M47" s="66"/>
      <c r="N47" s="66"/>
      <c r="O47" s="70"/>
      <c r="P47" s="58" t="str">
        <f>IF(OR(工程基本資料!$B$7="",工程基本資料!$B$7=0),"",工程基本資料!$B$8+工程基本資料!$B$7+$L47+$M47-1)</f>
        <v/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45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-45</v>
      </c>
      <c r="L48" s="66"/>
      <c r="M48" s="66"/>
      <c r="N48" s="66"/>
      <c r="O48" s="70"/>
      <c r="P48" s="58" t="str">
        <f>IF(OR(工程基本資料!$B$7="",工程基本資料!$B$7=0),"",工程基本資料!$B$8+工程基本資料!$B$7+$L48+$M48-1)</f>
        <v/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-46</v>
      </c>
      <c r="L49" s="66"/>
      <c r="M49" s="66"/>
      <c r="N49" s="66"/>
      <c r="O49" s="70"/>
      <c r="P49" s="58" t="str">
        <f>IF(OR(工程基本資料!$B$7="",工程基本資料!$B$7=0),"",工程基本資料!$B$8+工程基本資料!$B$7+$L49+$M49-1)</f>
        <v/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47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-47</v>
      </c>
      <c r="L50" s="66"/>
      <c r="M50" s="66"/>
      <c r="N50" s="66"/>
      <c r="O50" s="70"/>
      <c r="P50" s="58" t="str">
        <f>IF(OR(工程基本資料!$B$7="",工程基本資料!$B$7=0),"",工程基本資料!$B$8+工程基本資料!$B$7+$L50+$M50-1)</f>
        <v/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48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-48</v>
      </c>
      <c r="L51" s="66"/>
      <c r="M51" s="66"/>
      <c r="N51" s="66"/>
      <c r="O51" s="70"/>
      <c r="P51" s="58" t="str">
        <f>IF(OR(工程基本資料!$B$7="",工程基本資料!$B$7=0),"",工程基本資料!$B$8+工程基本資料!$B$7+$L51+$M51-1)</f>
        <v/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49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-49</v>
      </c>
      <c r="L52" s="66"/>
      <c r="M52" s="66"/>
      <c r="N52" s="66"/>
      <c r="O52" s="70"/>
      <c r="P52" s="58" t="str">
        <f>IF(OR(工程基本資料!$B$7="",工程基本資料!$B$7=0),"",工程基本資料!$B$8+工程基本資料!$B$7+$L52+$M52-1)</f>
        <v/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50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-50</v>
      </c>
      <c r="L53" s="66"/>
      <c r="M53" s="66"/>
      <c r="N53" s="66"/>
      <c r="O53" s="70"/>
      <c r="P53" s="58" t="str">
        <f>IF(OR(工程基本資料!$B$7="",工程基本資料!$B$7=0),"",工程基本資料!$B$8+工程基本資料!$B$7+$L53+$M53-1)</f>
        <v/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51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-51</v>
      </c>
      <c r="L54" s="66"/>
      <c r="M54" s="66"/>
      <c r="N54" s="66"/>
      <c r="O54" s="70"/>
      <c r="P54" s="58" t="str">
        <f>IF(OR(工程基本資料!$B$7="",工程基本資料!$B$7=0),"",工程基本資料!$B$8+工程基本資料!$B$7+$L54+$M54-1)</f>
        <v/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52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-52</v>
      </c>
      <c r="L55" s="66"/>
      <c r="M55" s="66"/>
      <c r="N55" s="66"/>
      <c r="O55" s="70"/>
      <c r="P55" s="58" t="str">
        <f>IF(OR(工程基本資料!$B$7="",工程基本資料!$B$7=0),"",工程基本資料!$B$8+工程基本資料!$B$7+$L55+$M55-1)</f>
        <v/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53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-53</v>
      </c>
      <c r="L56" s="66"/>
      <c r="M56" s="66"/>
      <c r="N56" s="66"/>
      <c r="O56" s="70"/>
      <c r="P56" s="58" t="str">
        <f>IF(OR(工程基本資料!$B$7="",工程基本資料!$B$7=0),"",工程基本資料!$B$8+工程基本資料!$B$7+$L56+$M56-1)</f>
        <v/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54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-54</v>
      </c>
      <c r="L57" s="66"/>
      <c r="M57" s="66"/>
      <c r="N57" s="66"/>
      <c r="O57" s="70"/>
      <c r="P57" s="58" t="str">
        <f>IF(OR(工程基本資料!$B$7="",工程基本資料!$B$7=0),"",工程基本資料!$B$8+工程基本資料!$B$7+$L57+$M57-1)</f>
        <v/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55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-55</v>
      </c>
      <c r="L58" s="66"/>
      <c r="M58" s="66"/>
      <c r="N58" s="66"/>
      <c r="O58" s="70"/>
      <c r="P58" s="58" t="str">
        <f>IF(OR(工程基本資料!$B$7="",工程基本資料!$B$7=0),"",工程基本資料!$B$8+工程基本資料!$B$7+$L58+$M58-1)</f>
        <v/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56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-56</v>
      </c>
      <c r="L59" s="66"/>
      <c r="M59" s="66"/>
      <c r="N59" s="66"/>
      <c r="O59" s="70"/>
      <c r="P59" s="58" t="str">
        <f>IF(OR(工程基本資料!$B$7="",工程基本資料!$B$7=0),"",工程基本資料!$B$8+工程基本資料!$B$7+$L59+$M59-1)</f>
        <v/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57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-57</v>
      </c>
      <c r="L60" s="66"/>
      <c r="M60" s="66"/>
      <c r="N60" s="66"/>
      <c r="O60" s="70"/>
      <c r="P60" s="58" t="str">
        <f>IF(OR(工程基本資料!$B$7="",工程基本資料!$B$7=0),"",工程基本資料!$B$8+工程基本資料!$B$7+$L60+$M60-1)</f>
        <v/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58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-58</v>
      </c>
      <c r="L61" s="66"/>
      <c r="M61" s="66"/>
      <c r="N61" s="66"/>
      <c r="O61" s="70"/>
      <c r="P61" s="58" t="str">
        <f>IF(OR(工程基本資料!$B$7="",工程基本資料!$B$7=0),"",工程基本資料!$B$8+工程基本資料!$B$7+$L61+$M61-1)</f>
        <v/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59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-59</v>
      </c>
      <c r="L62" s="66"/>
      <c r="M62" s="66"/>
      <c r="N62" s="66"/>
      <c r="O62" s="70"/>
      <c r="P62" s="58" t="str">
        <f>IF(OR(工程基本資料!$B$7="",工程基本資料!$B$7=0),"",工程基本資料!$B$8+工程基本資料!$B$7+$L62+$M62-1)</f>
        <v/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60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-60</v>
      </c>
      <c r="L63" s="66"/>
      <c r="M63" s="66"/>
      <c r="N63" s="66"/>
      <c r="O63" s="70"/>
      <c r="P63" s="58" t="str">
        <f>IF(OR(工程基本資料!$B$7="",工程基本資料!$B$7=0),"",工程基本資料!$B$8+工程基本資料!$B$7+$L63+$M63-1)</f>
        <v/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61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-61</v>
      </c>
      <c r="L64" s="66"/>
      <c r="M64" s="66"/>
      <c r="N64" s="66"/>
      <c r="O64" s="70"/>
      <c r="P64" s="58" t="str">
        <f>IF(OR(工程基本資料!$B$7="",工程基本資料!$B$7=0),"",工程基本資料!$B$8+工程基本資料!$B$7+$L64+$M64-1)</f>
        <v/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62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-62</v>
      </c>
      <c r="L65" s="66"/>
      <c r="M65" s="66"/>
      <c r="N65" s="66"/>
      <c r="O65" s="70"/>
      <c r="P65" s="58" t="str">
        <f>IF(OR(工程基本資料!$B$7="",工程基本資料!$B$7=0),"",工程基本資料!$B$8+工程基本資料!$B$7+$L65+$M65-1)</f>
        <v/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63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-63</v>
      </c>
      <c r="L66" s="66"/>
      <c r="M66" s="66"/>
      <c r="N66" s="66"/>
      <c r="O66" s="70"/>
      <c r="P66" s="58" t="str">
        <f>IF(OR(工程基本資料!$B$7="",工程基本資料!$B$7=0),"",工程基本資料!$B$8+工程基本資料!$B$7+$L66+$M66-1)</f>
        <v/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64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-64</v>
      </c>
      <c r="L67" s="66"/>
      <c r="M67" s="66"/>
      <c r="N67" s="66"/>
      <c r="O67" s="70"/>
      <c r="P67" s="58" t="str">
        <f>IF(OR(工程基本資料!$B$7="",工程基本資料!$B$7=0),"",工程基本資料!$B$8+工程基本資料!$B$7+$L67+$M67-1)</f>
        <v/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65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-65</v>
      </c>
      <c r="L68" s="66"/>
      <c r="M68" s="66"/>
      <c r="N68" s="66"/>
      <c r="O68" s="70"/>
      <c r="P68" s="58" t="str">
        <f>IF(OR(工程基本資料!$B$7="",工程基本資料!$B$7=0),"",工程基本資料!$B$8+工程基本資料!$B$7+$L68+$M68-1)</f>
        <v/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66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-66</v>
      </c>
      <c r="L69" s="66"/>
      <c r="M69" s="66"/>
      <c r="N69" s="66"/>
      <c r="O69" s="70"/>
      <c r="P69" s="58" t="str">
        <f>IF(OR(工程基本資料!$B$7="",工程基本資料!$B$7=0),"",工程基本資料!$B$8+工程基本資料!$B$7+$L69+$M69-1)</f>
        <v/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67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-67</v>
      </c>
      <c r="L70" s="66"/>
      <c r="M70" s="66"/>
      <c r="N70" s="66"/>
      <c r="O70" s="70"/>
      <c r="P70" s="58" t="str">
        <f>IF(OR(工程基本資料!$B$7="",工程基本資料!$B$7=0),"",工程基本資料!$B$8+工程基本資料!$B$7+$L70+$M70-1)</f>
        <v/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68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-68</v>
      </c>
      <c r="L71" s="66"/>
      <c r="M71" s="66"/>
      <c r="N71" s="66"/>
      <c r="O71" s="70"/>
      <c r="P71" s="58" t="str">
        <f>IF(OR(工程基本資料!$B$7="",工程基本資料!$B$7=0),"",工程基本資料!$B$8+工程基本資料!$B$7+$L71+$M71-1)</f>
        <v/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69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-69</v>
      </c>
      <c r="L72" s="66"/>
      <c r="M72" s="66"/>
      <c r="N72" s="66"/>
      <c r="O72" s="70"/>
      <c r="P72" s="58" t="str">
        <f>IF(OR(工程基本資料!$B$7="",工程基本資料!$B$7=0),"",工程基本資料!$B$8+工程基本資料!$B$7+$L72+$M72-1)</f>
        <v/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70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-70</v>
      </c>
      <c r="L73" s="66"/>
      <c r="M73" s="66"/>
      <c r="N73" s="66"/>
      <c r="O73" s="70"/>
      <c r="P73" s="58" t="str">
        <f>IF(OR(工程基本資料!$B$7="",工程基本資料!$B$7=0),"",工程基本資料!$B$8+工程基本資料!$B$7+$L73+$M73-1)</f>
        <v/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71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-71</v>
      </c>
      <c r="L74" s="66"/>
      <c r="M74" s="66"/>
      <c r="N74" s="66"/>
      <c r="O74" s="70"/>
      <c r="P74" s="58" t="str">
        <f>IF(OR(工程基本資料!$B$7="",工程基本資料!$B$7=0),"",工程基本資料!$B$8+工程基本資料!$B$7+$L74+$M74-1)</f>
        <v/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72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-72</v>
      </c>
      <c r="L75" s="66"/>
      <c r="M75" s="66"/>
      <c r="N75" s="66"/>
      <c r="O75" s="70"/>
      <c r="P75" s="58" t="str">
        <f>IF(OR(工程基本資料!$B$7="",工程基本資料!$B$7=0),"",工程基本資料!$B$8+工程基本資料!$B$7+$L75+$M75-1)</f>
        <v/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73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-73</v>
      </c>
      <c r="L76" s="66"/>
      <c r="M76" s="66"/>
      <c r="N76" s="66"/>
      <c r="O76" s="70"/>
      <c r="P76" s="58" t="str">
        <f>IF(OR(工程基本資料!$B$7="",工程基本資料!$B$7=0),"",工程基本資料!$B$8+工程基本資料!$B$7+$L76+$M76-1)</f>
        <v/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74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-74</v>
      </c>
      <c r="L77" s="66"/>
      <c r="M77" s="66"/>
      <c r="N77" s="66"/>
      <c r="O77" s="70"/>
      <c r="P77" s="58" t="str">
        <f>IF(OR(工程基本資料!$B$7="",工程基本資料!$B$7=0),"",工程基本資料!$B$8+工程基本資料!$B$7+$L77+$M77-1)</f>
        <v/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75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-75</v>
      </c>
      <c r="L78" s="66"/>
      <c r="M78" s="66"/>
      <c r="N78" s="66"/>
      <c r="O78" s="70"/>
      <c r="P78" s="58" t="str">
        <f>IF(OR(工程基本資料!$B$7="",工程基本資料!$B$7=0),"",工程基本資料!$B$8+工程基本資料!$B$7+$L78+$M78-1)</f>
        <v/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76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-76</v>
      </c>
      <c r="L79" s="66"/>
      <c r="M79" s="66"/>
      <c r="N79" s="66"/>
      <c r="O79" s="70"/>
      <c r="P79" s="58" t="str">
        <f>IF(OR(工程基本資料!$B$7="",工程基本資料!$B$7=0),"",工程基本資料!$B$8+工程基本資料!$B$7+$L79+$M79-1)</f>
        <v/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77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-77</v>
      </c>
      <c r="L80" s="66"/>
      <c r="M80" s="66"/>
      <c r="N80" s="66"/>
      <c r="O80" s="70"/>
      <c r="P80" s="58" t="str">
        <f>IF(OR(工程基本資料!$B$7="",工程基本資料!$B$7=0),"",工程基本資料!$B$8+工程基本資料!$B$7+$L80+$M80-1)</f>
        <v/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78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-78</v>
      </c>
      <c r="L81" s="66"/>
      <c r="M81" s="66"/>
      <c r="N81" s="66"/>
      <c r="O81" s="70"/>
      <c r="P81" s="58" t="str">
        <f>IF(OR(工程基本資料!$B$7="",工程基本資料!$B$7=0),"",工程基本資料!$B$8+工程基本資料!$B$7+$L81+$M81-1)</f>
        <v/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79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-79</v>
      </c>
      <c r="L82" s="66"/>
      <c r="M82" s="66"/>
      <c r="N82" s="66"/>
      <c r="O82" s="70"/>
      <c r="P82" s="58" t="str">
        <f>IF(OR(工程基本資料!$B$7="",工程基本資料!$B$7=0),"",工程基本資料!$B$8+工程基本資料!$B$7+$L82+$M82-1)</f>
        <v/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80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-80</v>
      </c>
      <c r="L83" s="66"/>
      <c r="M83" s="66"/>
      <c r="N83" s="66"/>
      <c r="O83" s="70"/>
      <c r="P83" s="58" t="str">
        <f>IF(OR(工程基本資料!$B$7="",工程基本資料!$B$7=0),"",工程基本資料!$B$8+工程基本資料!$B$7+$L83+$M83-1)</f>
        <v/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81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-81</v>
      </c>
      <c r="L84" s="66"/>
      <c r="M84" s="66"/>
      <c r="N84" s="66"/>
      <c r="O84" s="70"/>
      <c r="P84" s="58" t="str">
        <f>IF(OR(工程基本資料!$B$7="",工程基本資料!$B$7=0),"",工程基本資料!$B$8+工程基本資料!$B$7+$L84+$M84-1)</f>
        <v/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82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-82</v>
      </c>
      <c r="L85" s="66"/>
      <c r="M85" s="66"/>
      <c r="N85" s="66"/>
      <c r="O85" s="70"/>
      <c r="P85" s="58" t="str">
        <f>IF(OR(工程基本資料!$B$7="",工程基本資料!$B$7=0),"",工程基本資料!$B$8+工程基本資料!$B$7+$L85+$M85-1)</f>
        <v/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83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-83</v>
      </c>
      <c r="L86" s="66"/>
      <c r="M86" s="66"/>
      <c r="N86" s="66"/>
      <c r="O86" s="70"/>
      <c r="P86" s="58" t="str">
        <f>IF(OR(工程基本資料!$B$7="",工程基本資料!$B$7=0),"",工程基本資料!$B$8+工程基本資料!$B$7+$L86+$M86-1)</f>
        <v/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84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-84</v>
      </c>
      <c r="L87" s="66"/>
      <c r="M87" s="66"/>
      <c r="N87" s="66"/>
      <c r="O87" s="70"/>
      <c r="P87" s="58" t="str">
        <f>IF(OR(工程基本資料!$B$7="",工程基本資料!$B$7=0),"",工程基本資料!$B$8+工程基本資料!$B$7+$L87+$M87-1)</f>
        <v/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85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-85</v>
      </c>
      <c r="L88" s="66"/>
      <c r="M88" s="66"/>
      <c r="N88" s="66"/>
      <c r="O88" s="70"/>
      <c r="P88" s="58" t="str">
        <f>IF(OR(工程基本資料!$B$7="",工程基本資料!$B$7=0),"",工程基本資料!$B$8+工程基本資料!$B$7+$L88+$M88-1)</f>
        <v/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86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-86</v>
      </c>
      <c r="L89" s="66"/>
      <c r="M89" s="66"/>
      <c r="N89" s="66"/>
      <c r="O89" s="70"/>
      <c r="P89" s="58" t="str">
        <f>IF(OR(工程基本資料!$B$7="",工程基本資料!$B$7=0),"",工程基本資料!$B$8+工程基本資料!$B$7+$L89+$M89-1)</f>
        <v/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87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-87</v>
      </c>
      <c r="L90" s="66"/>
      <c r="M90" s="66"/>
      <c r="N90" s="66"/>
      <c r="O90" s="70"/>
      <c r="P90" s="58" t="str">
        <f>IF(OR(工程基本資料!$B$7="",工程基本資料!$B$7=0),"",工程基本資料!$B$8+工程基本資料!$B$7+$L90+$M90-1)</f>
        <v/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88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-88</v>
      </c>
      <c r="L91" s="66"/>
      <c r="M91" s="66"/>
      <c r="N91" s="66"/>
      <c r="O91" s="70"/>
      <c r="P91" s="58" t="str">
        <f>IF(OR(工程基本資料!$B$7="",工程基本資料!$B$7=0),"",工程基本資料!$B$8+工程基本資料!$B$7+$L91+$M91-1)</f>
        <v/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89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-89</v>
      </c>
      <c r="L92" s="66"/>
      <c r="M92" s="66"/>
      <c r="N92" s="66"/>
      <c r="O92" s="70"/>
      <c r="P92" s="58" t="str">
        <f>IF(OR(工程基本資料!$B$7="",工程基本資料!$B$7=0),"",工程基本資料!$B$8+工程基本資料!$B$7+$L92+$M92-1)</f>
        <v/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90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-90</v>
      </c>
      <c r="L93" s="66"/>
      <c r="M93" s="66"/>
      <c r="N93" s="66"/>
      <c r="O93" s="70"/>
      <c r="P93" s="58" t="str">
        <f>IF(OR(工程基本資料!$B$7="",工程基本資料!$B$7=0),"",工程基本資料!$B$8+工程基本資料!$B$7+$L93+$M93-1)</f>
        <v/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91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-91</v>
      </c>
      <c r="L94" s="66"/>
      <c r="M94" s="66"/>
      <c r="N94" s="66"/>
      <c r="O94" s="70"/>
      <c r="P94" s="58" t="str">
        <f>IF(OR(工程基本資料!$B$7="",工程基本資料!$B$7=0),"",工程基本資料!$B$8+工程基本資料!$B$7+$L94+$M94-1)</f>
        <v/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92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-92</v>
      </c>
      <c r="L95" s="66"/>
      <c r="M95" s="66"/>
      <c r="N95" s="66"/>
      <c r="O95" s="70"/>
      <c r="P95" s="58" t="str">
        <f>IF(OR(工程基本資料!$B$7="",工程基本資料!$B$7=0),"",工程基本資料!$B$8+工程基本資料!$B$7+$L95+$M95-1)</f>
        <v/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93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-93</v>
      </c>
      <c r="L96" s="66"/>
      <c r="M96" s="66"/>
      <c r="N96" s="66"/>
      <c r="O96" s="70"/>
      <c r="P96" s="58" t="str">
        <f>IF(OR(工程基本資料!$B$7="",工程基本資料!$B$7=0),"",工程基本資料!$B$8+工程基本資料!$B$7+$L96+$M96-1)</f>
        <v/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94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-94</v>
      </c>
      <c r="L97" s="66"/>
      <c r="M97" s="66"/>
      <c r="N97" s="66"/>
      <c r="O97" s="70"/>
      <c r="P97" s="58" t="str">
        <f>IF(OR(工程基本資料!$B$7="",工程基本資料!$B$7=0),"",工程基本資料!$B$8+工程基本資料!$B$7+$L97+$M97-1)</f>
        <v/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95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-95</v>
      </c>
      <c r="L98" s="66"/>
      <c r="M98" s="66"/>
      <c r="N98" s="66"/>
      <c r="O98" s="70"/>
      <c r="P98" s="58" t="str">
        <f>IF(OR(工程基本資料!$B$7="",工程基本資料!$B$7=0),"",工程基本資料!$B$8+工程基本資料!$B$7+$L98+$M98-1)</f>
        <v/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96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-96</v>
      </c>
      <c r="L99" s="66"/>
      <c r="M99" s="66"/>
      <c r="N99" s="66"/>
      <c r="O99" s="70"/>
      <c r="P99" s="58" t="str">
        <f>IF(OR(工程基本資料!$B$7="",工程基本資料!$B$7=0),"",工程基本資料!$B$8+工程基本資料!$B$7+$L99+$M99-1)</f>
        <v/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97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-97</v>
      </c>
      <c r="L100" s="66"/>
      <c r="M100" s="66"/>
      <c r="N100" s="66"/>
      <c r="O100" s="70"/>
      <c r="P100" s="58" t="str">
        <f>IF(OR(工程基本資料!$B$7="",工程基本資料!$B$7=0),"",工程基本資料!$B$8+工程基本資料!$B$7+$L100+$M100-1)</f>
        <v/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98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-98</v>
      </c>
      <c r="L101" s="66"/>
      <c r="M101" s="66"/>
      <c r="N101" s="66"/>
      <c r="O101" s="70"/>
      <c r="P101" s="58" t="str">
        <f>IF(OR(工程基本資料!$B$7="",工程基本資料!$B$7=0),"",工程基本資料!$B$8+工程基本資料!$B$7+$L101+$M101-1)</f>
        <v/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99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-99</v>
      </c>
      <c r="L102" s="66"/>
      <c r="M102" s="66"/>
      <c r="N102" s="66"/>
      <c r="O102" s="70"/>
      <c r="P102" s="58" t="str">
        <f>IF(OR(工程基本資料!$B$7="",工程基本資料!$B$7=0),"",工程基本資料!$B$8+工程基本資料!$B$7+$L102+$M102-1)</f>
        <v/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100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 t="str">
        <f>IF(OR(工程基本資料!$B$7="",工程基本資料!$B$7=0),"",工程基本資料!$B$8+工程基本資料!$B$7+$L103+$M103-1)</f>
        <v/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101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 t="str">
        <f>IF(OR(工程基本資料!$B$7="",工程基本資料!$B$7=0),"",工程基本資料!$B$8+工程基本資料!$B$7+$L104+$M104-1)</f>
        <v/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102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 t="str">
        <f>IF(OR(工程基本資料!$B$7="",工程基本資料!$B$7=0),"",工程基本資料!$B$8+工程基本資料!$B$7+$L105+$M105-1)</f>
        <v/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103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 t="str">
        <f>IF(OR(工程基本資料!$B$7="",工程基本資料!$B$7=0),"",工程基本資料!$B$8+工程基本資料!$B$7+$L106+$M106-1)</f>
        <v/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104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 t="str">
        <f>IF(OR(工程基本資料!$B$7="",工程基本資料!$B$7=0),"",工程基本資料!$B$8+工程基本資料!$B$7+$L107+$M107-1)</f>
        <v/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105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 t="str">
        <f>IF(OR(工程基本資料!$B$7="",工程基本資料!$B$7=0),"",工程基本資料!$B$8+工程基本資料!$B$7+$L108+$M108-1)</f>
        <v/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106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 t="str">
        <f>IF(OR(工程基本資料!$B$7="",工程基本資料!$B$7=0),"",工程基本資料!$B$8+工程基本資料!$B$7+$L109+$M109-1)</f>
        <v/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107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 t="str">
        <f>IF(OR(工程基本資料!$B$7="",工程基本資料!$B$7=0),"",工程基本資料!$B$8+工程基本資料!$B$7+$L110+$M110-1)</f>
        <v/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108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 t="str">
        <f>IF(OR(工程基本資料!$B$7="",工程基本資料!$B$7=0),"",工程基本資料!$B$8+工程基本資料!$B$7+$L111+$M111-1)</f>
        <v/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109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 t="str">
        <f>IF(OR(工程基本資料!$B$7="",工程基本資料!$B$7=0),"",工程基本資料!$B$8+工程基本資料!$B$7+$L112+$M112-1)</f>
        <v/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110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 t="str">
        <f>IF(OR(工程基本資料!$B$7="",工程基本資料!$B$7=0),"",工程基本資料!$B$8+工程基本資料!$B$7+$L113+$M113-1)</f>
        <v/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111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 t="str">
        <f>IF(OR(工程基本資料!$B$7="",工程基本資料!$B$7=0),"",工程基本資料!$B$8+工程基本資料!$B$7+$L114+$M114-1)</f>
        <v/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112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 t="str">
        <f>IF(OR(工程基本資料!$B$7="",工程基本資料!$B$7=0),"",工程基本資料!$B$8+工程基本資料!$B$7+$L115+$M115-1)</f>
        <v/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113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 t="str">
        <f>IF(OR(工程基本資料!$B$7="",工程基本資料!$B$7=0),"",工程基本資料!$B$8+工程基本資料!$B$7+$L116+$M116-1)</f>
        <v/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114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 t="str">
        <f>IF(OR(工程基本資料!$B$7="",工程基本資料!$B$7=0),"",工程基本資料!$B$8+工程基本資料!$B$7+$L117+$M117-1)</f>
        <v/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115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 t="str">
        <f>IF(OR(工程基本資料!$B$7="",工程基本資料!$B$7=0),"",工程基本資料!$B$8+工程基本資料!$B$7+$L118+$M118-1)</f>
        <v/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116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 t="str">
        <f>IF(OR(工程基本資料!$B$7="",工程基本資料!$B$7=0),"",工程基本資料!$B$8+工程基本資料!$B$7+$L119+$M119-1)</f>
        <v/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117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 t="str">
        <f>IF(OR(工程基本資料!$B$7="",工程基本資料!$B$7=0),"",工程基本資料!$B$8+工程基本資料!$B$7+$L120+$M120-1)</f>
        <v/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118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 t="str">
        <f>IF(OR(工程基本資料!$B$7="",工程基本資料!$B$7=0),"",工程基本資料!$B$8+工程基本資料!$B$7+$L121+$M121-1)</f>
        <v/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119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 t="str">
        <f>IF(OR(工程基本資料!$B$7="",工程基本資料!$B$7=0),"",工程基本資料!$B$8+工程基本資料!$B$7+$L122+$M122-1)</f>
        <v/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120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 t="str">
        <f>IF(OR(工程基本資料!$B$7="",工程基本資料!$B$7=0),"",工程基本資料!$B$8+工程基本資料!$B$7+$L123+$M123-1)</f>
        <v/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121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 t="str">
        <f>IF(OR(工程基本資料!$B$7="",工程基本資料!$B$7=0),"",工程基本資料!$B$8+工程基本資料!$B$7+$L124+$M124-1)</f>
        <v/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122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 t="str">
        <f>IF(OR(工程基本資料!$B$7="",工程基本資料!$B$7=0),"",工程基本資料!$B$8+工程基本資料!$B$7+$L125+$M125-1)</f>
        <v/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123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 t="str">
        <f>IF(OR(工程基本資料!$B$7="",工程基本資料!$B$7=0),"",工程基本資料!$B$8+工程基本資料!$B$7+$L126+$M126-1)</f>
        <v/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124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 t="str">
        <f>IF(OR(工程基本資料!$B$7="",工程基本資料!$B$7=0),"",工程基本資料!$B$8+工程基本資料!$B$7+$L127+$M127-1)</f>
        <v/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125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 t="str">
        <f>IF(OR(工程基本資料!$B$7="",工程基本資料!$B$7=0),"",工程基本資料!$B$8+工程基本資料!$B$7+$L128+$M128-1)</f>
        <v/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126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 t="str">
        <f>IF(OR(工程基本資料!$B$7="",工程基本資料!$B$7=0),"",工程基本資料!$B$8+工程基本資料!$B$7+$L129+$M129-1)</f>
        <v/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127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 t="str">
        <f>IF(OR(工程基本資料!$B$7="",工程基本資料!$B$7=0),"",工程基本資料!$B$8+工程基本資料!$B$7+$L130+$M130-1)</f>
        <v/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128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 t="str">
        <f>IF(OR(工程基本資料!$B$7="",工程基本資料!$B$7=0),"",工程基本資料!$B$8+工程基本資料!$B$7+$L131+$M131-1)</f>
        <v/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129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 t="str">
        <f>IF(OR(工程基本資料!$B$7="",工程基本資料!$B$7=0),"",工程基本資料!$B$8+工程基本資料!$B$7+$L132+$M132-1)</f>
        <v/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130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 t="str">
        <f>IF(OR(工程基本資料!$B$7="",工程基本資料!$B$7=0),"",工程基本資料!$B$8+工程基本資料!$B$7+$L133+$M133-1)</f>
        <v/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131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 t="str">
        <f>IF(OR(工程基本資料!$B$7="",工程基本資料!$B$7=0),"",工程基本資料!$B$8+工程基本資料!$B$7+$L134+$M134-1)</f>
        <v/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132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 t="str">
        <f>IF(OR(工程基本資料!$B$7="",工程基本資料!$B$7=0),"",工程基本資料!$B$8+工程基本資料!$B$7+$L135+$M135-1)</f>
        <v/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133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 t="str">
        <f>IF(OR(工程基本資料!$B$7="",工程基本資料!$B$7=0),"",工程基本資料!$B$8+工程基本資料!$B$7+$L136+$M136-1)</f>
        <v/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134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 t="str">
        <f>IF(OR(工程基本資料!$B$7="",工程基本資料!$B$7=0),"",工程基本資料!$B$8+工程基本資料!$B$7+$L137+$M137-1)</f>
        <v/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135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 t="str">
        <f>IF(OR(工程基本資料!$B$7="",工程基本資料!$B$7=0),"",工程基本資料!$B$8+工程基本資料!$B$7+$L138+$M138-1)</f>
        <v/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136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 t="str">
        <f>IF(OR(工程基本資料!$B$7="",工程基本資料!$B$7=0),"",工程基本資料!$B$8+工程基本資料!$B$7+$L139+$M139-1)</f>
        <v/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137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 t="str">
        <f>IF(OR(工程基本資料!$B$7="",工程基本資料!$B$7=0),"",工程基本資料!$B$8+工程基本資料!$B$7+$L140+$M140-1)</f>
        <v/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138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 t="str">
        <f>IF(OR(工程基本資料!$B$7="",工程基本資料!$B$7=0),"",工程基本資料!$B$8+工程基本資料!$B$7+$L141+$M141-1)</f>
        <v/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139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 t="str">
        <f>IF(OR(工程基本資料!$B$7="",工程基本資料!$B$7=0),"",工程基本資料!$B$8+工程基本資料!$B$7+$L142+$M142-1)</f>
        <v/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140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 t="str">
        <f>IF(OR(工程基本資料!$B$7="",工程基本資料!$B$7=0),"",工程基本資料!$B$8+工程基本資料!$B$7+$L143+$M143-1)</f>
        <v/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141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 t="str">
        <f>IF(OR(工程基本資料!$B$7="",工程基本資料!$B$7=0),"",工程基本資料!$B$8+工程基本資料!$B$7+$L144+$M144-1)</f>
        <v/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142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 t="str">
        <f>IF(OR(工程基本資料!$B$7="",工程基本資料!$B$7=0),"",工程基本資料!$B$8+工程基本資料!$B$7+$L145+$M145-1)</f>
        <v/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143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 t="str">
        <f>IF(OR(工程基本資料!$B$7="",工程基本資料!$B$7=0),"",工程基本資料!$B$8+工程基本資料!$B$7+$L146+$M146-1)</f>
        <v/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144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 t="str">
        <f>IF(OR(工程基本資料!$B$7="",工程基本資料!$B$7=0),"",工程基本資料!$B$8+工程基本資料!$B$7+$L147+$M147-1)</f>
        <v/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145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 t="str">
        <f>IF(OR(工程基本資料!$B$7="",工程基本資料!$B$7=0),"",工程基本資料!$B$8+工程基本資料!$B$7+$L148+$M148-1)</f>
        <v/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146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 t="str">
        <f>IF(OR(工程基本資料!$B$7="",工程基本資料!$B$7=0),"",工程基本資料!$B$8+工程基本資料!$B$7+$L149+$M149-1)</f>
        <v/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147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 t="str">
        <f>IF(OR(工程基本資料!$B$7="",工程基本資料!$B$7=0),"",工程基本資料!$B$8+工程基本資料!$B$7+$L150+$M150-1)</f>
        <v/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148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 t="str">
        <f>IF(OR(工程基本資料!$B$7="",工程基本資料!$B$7=0),"",工程基本資料!$B$8+工程基本資料!$B$7+$L151+$M151-1)</f>
        <v/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149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 t="str">
        <f>IF(OR(工程基本資料!$B$7="",工程基本資料!$B$7=0),"",工程基本資料!$B$8+工程基本資料!$B$7+$L152+$M152-1)</f>
        <v/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150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 t="str">
        <f>IF(OR(工程基本資料!$B$7="",工程基本資料!$B$7=0),"",工程基本資料!$B$8+工程基本資料!$B$7+$L153+$M153-1)</f>
        <v/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151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 t="str">
        <f>IF(OR(工程基本資料!$B$7="",工程基本資料!$B$7=0),"",工程基本資料!$B$8+工程基本資料!$B$7+$L154+$M154-1)</f>
        <v/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152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 t="str">
        <f>IF(OR(工程基本資料!$B$7="",工程基本資料!$B$7=0),"",工程基本資料!$B$8+工程基本資料!$B$7+$L155+$M155-1)</f>
        <v/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153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 t="str">
        <f>IF(OR(工程基本資料!$B$7="",工程基本資料!$B$7=0),"",工程基本資料!$B$8+工程基本資料!$B$7+$L156+$M156-1)</f>
        <v/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154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 t="str">
        <f>IF(OR(工程基本資料!$B$7="",工程基本資料!$B$7=0),"",工程基本資料!$B$8+工程基本資料!$B$7+$L157+$M157-1)</f>
        <v/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155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 t="str">
        <f>IF(OR(工程基本資料!$B$7="",工程基本資料!$B$7=0),"",工程基本資料!$B$8+工程基本資料!$B$7+$L158+$M158-1)</f>
        <v/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156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 t="str">
        <f>IF(OR(工程基本資料!$B$7="",工程基本資料!$B$7=0),"",工程基本資料!$B$8+工程基本資料!$B$7+$L159+$M159-1)</f>
        <v/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157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 t="str">
        <f>IF(OR(工程基本資料!$B$7="",工程基本資料!$B$7=0),"",工程基本資料!$B$8+工程基本資料!$B$7+$L160+$M160-1)</f>
        <v/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158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 t="str">
        <f>IF(OR(工程基本資料!$B$7="",工程基本資料!$B$7=0),"",工程基本資料!$B$8+工程基本資料!$B$7+$L161+$M161-1)</f>
        <v/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159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 t="str">
        <f>IF(OR(工程基本資料!$B$7="",工程基本資料!$B$7=0),"",工程基本資料!$B$8+工程基本資料!$B$7+$L162+$M162-1)</f>
        <v/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160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 t="str">
        <f>IF(OR(工程基本資料!$B$7="",工程基本資料!$B$7=0),"",工程基本資料!$B$8+工程基本資料!$B$7+$L163+$M163-1)</f>
        <v/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161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 t="str">
        <f>IF(OR(工程基本資料!$B$7="",工程基本資料!$B$7=0),"",工程基本資料!$B$8+工程基本資料!$B$7+$L164+$M164-1)</f>
        <v/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162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 t="str">
        <f>IF(OR(工程基本資料!$B$7="",工程基本資料!$B$7=0),"",工程基本資料!$B$8+工程基本資料!$B$7+$L165+$M165-1)</f>
        <v/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163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 t="str">
        <f>IF(OR(工程基本資料!$B$7="",工程基本資料!$B$7=0),"",工程基本資料!$B$8+工程基本資料!$B$7+$L166+$M166-1)</f>
        <v/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164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 t="str">
        <f>IF(OR(工程基本資料!$B$7="",工程基本資料!$B$7=0),"",工程基本資料!$B$8+工程基本資料!$B$7+$L167+$M167-1)</f>
        <v/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165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 t="str">
        <f>IF(OR(工程基本資料!$B$7="",工程基本資料!$B$7=0),"",工程基本資料!$B$8+工程基本資料!$B$7+$L168+$M168-1)</f>
        <v/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166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 t="str">
        <f>IF(OR(工程基本資料!$B$7="",工程基本資料!$B$7=0),"",工程基本資料!$B$8+工程基本資料!$B$7+$L169+$M169-1)</f>
        <v/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167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 t="str">
        <f>IF(OR(工程基本資料!$B$7="",工程基本資料!$B$7=0),"",工程基本資料!$B$8+工程基本資料!$B$7+$L170+$M170-1)</f>
        <v/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168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 t="str">
        <f>IF(OR(工程基本資料!$B$7="",工程基本資料!$B$7=0),"",工程基本資料!$B$8+工程基本資料!$B$7+$L171+$M171-1)</f>
        <v/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169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 t="str">
        <f>IF(OR(工程基本資料!$B$7="",工程基本資料!$B$7=0),"",工程基本資料!$B$8+工程基本資料!$B$7+$L172+$M172-1)</f>
        <v/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170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 t="str">
        <f>IF(OR(工程基本資料!$B$7="",工程基本資料!$B$7=0),"",工程基本資料!$B$8+工程基本資料!$B$7+$L173+$M173-1)</f>
        <v/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171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 t="str">
        <f>IF(OR(工程基本資料!$B$7="",工程基本資料!$B$7=0),"",工程基本資料!$B$8+工程基本資料!$B$7+$L174+$M174-1)</f>
        <v/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172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 t="str">
        <f>IF(OR(工程基本資料!$B$7="",工程基本資料!$B$7=0),"",工程基本資料!$B$8+工程基本資料!$B$7+$L175+$M175-1)</f>
        <v/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173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 t="str">
        <f>IF(OR(工程基本資料!$B$7="",工程基本資料!$B$7=0),"",工程基本資料!$B$8+工程基本資料!$B$7+$L176+$M176-1)</f>
        <v/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174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 t="str">
        <f>IF(OR(工程基本資料!$B$7="",工程基本資料!$B$7=0),"",工程基本資料!$B$8+工程基本資料!$B$7+$L177+$M177-1)</f>
        <v/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175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 t="str">
        <f>IF(OR(工程基本資料!$B$7="",工程基本資料!$B$7=0),"",工程基本資料!$B$8+工程基本資料!$B$7+$L178+$M178-1)</f>
        <v/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176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 t="str">
        <f>IF(OR(工程基本資料!$B$7="",工程基本資料!$B$7=0),"",工程基本資料!$B$8+工程基本資料!$B$7+$L179+$M179-1)</f>
        <v/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177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 t="str">
        <f>IF(OR(工程基本資料!$B$7="",工程基本資料!$B$7=0),"",工程基本資料!$B$8+工程基本資料!$B$7+$L180+$M180-1)</f>
        <v/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178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 t="str">
        <f>IF(OR(工程基本資料!$B$7="",工程基本資料!$B$7=0),"",工程基本資料!$B$8+工程基本資料!$B$7+$L181+$M181-1)</f>
        <v/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179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 t="str">
        <f>IF(OR(工程基本資料!$B$7="",工程基本資料!$B$7=0),"",工程基本資料!$B$8+工程基本資料!$B$7+$L182+$M182-1)</f>
        <v/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180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 t="str">
        <f>IF(OR(工程基本資料!$B$7="",工程基本資料!$B$7=0),"",工程基本資料!$B$8+工程基本資料!$B$7+$L183+$M183-1)</f>
        <v/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181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 t="str">
        <f>IF(OR(工程基本資料!$B$7="",工程基本資料!$B$7=0),"",工程基本資料!$B$8+工程基本資料!$B$7+$L184+$M184-1)</f>
        <v/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182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 t="str">
        <f>IF(OR(工程基本資料!$B$7="",工程基本資料!$B$7=0),"",工程基本資料!$B$8+工程基本資料!$B$7+$L185+$M185-1)</f>
        <v/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183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 t="str">
        <f>IF(OR(工程基本資料!$B$7="",工程基本資料!$B$7=0),"",工程基本資料!$B$8+工程基本資料!$B$7+$L186+$M186-1)</f>
        <v/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184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 t="str">
        <f>IF(OR(工程基本資料!$B$7="",工程基本資料!$B$7=0),"",工程基本資料!$B$8+工程基本資料!$B$7+$L187+$M187-1)</f>
        <v/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185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 t="str">
        <f>IF(OR(工程基本資料!$B$7="",工程基本資料!$B$7=0),"",工程基本資料!$B$8+工程基本資料!$B$7+$L188+$M188-1)</f>
        <v/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186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 t="str">
        <f>IF(OR(工程基本資料!$B$7="",工程基本資料!$B$7=0),"",工程基本資料!$B$8+工程基本資料!$B$7+$L189+$M189-1)</f>
        <v/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187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 t="str">
        <f>IF(OR(工程基本資料!$B$7="",工程基本資料!$B$7=0),"",工程基本資料!$B$8+工程基本資料!$B$7+$L190+$M190-1)</f>
        <v/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188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 t="str">
        <f>IF(OR(工程基本資料!$B$7="",工程基本資料!$B$7=0),"",工程基本資料!$B$8+工程基本資料!$B$7+$L191+$M191-1)</f>
        <v/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189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 t="str">
        <f>IF(OR(工程基本資料!$B$7="",工程基本資料!$B$7=0),"",工程基本資料!$B$8+工程基本資料!$B$7+$L192+$M192-1)</f>
        <v/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190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 t="str">
        <f>IF(OR(工程基本資料!$B$7="",工程基本資料!$B$7=0),"",工程基本資料!$B$8+工程基本資料!$B$7+$L193+$M193-1)</f>
        <v/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191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 t="str">
        <f>IF(OR(工程基本資料!$B$7="",工程基本資料!$B$7=0),"",工程基本資料!$B$8+工程基本資料!$B$7+$L194+$M194-1)</f>
        <v/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192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 t="str">
        <f>IF(OR(工程基本資料!$B$7="",工程基本資料!$B$7=0),"",工程基本資料!$B$8+工程基本資料!$B$7+$L195+$M195-1)</f>
        <v/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193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 t="str">
        <f>IF(OR(工程基本資料!$B$7="",工程基本資料!$B$7=0),"",工程基本資料!$B$8+工程基本資料!$B$7+$L196+$M196-1)</f>
        <v/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194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 t="str">
        <f>IF(OR(工程基本資料!$B$7="",工程基本資料!$B$7=0),"",工程基本資料!$B$8+工程基本資料!$B$7+$L197+$M197-1)</f>
        <v/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195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 t="str">
        <f>IF(OR(工程基本資料!$B$7="",工程基本資料!$B$7=0),"",工程基本資料!$B$8+工程基本資料!$B$7+$L198+$M198-1)</f>
        <v/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196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 t="str">
        <f>IF(OR(工程基本資料!$B$7="",工程基本資料!$B$7=0),"",工程基本資料!$B$8+工程基本資料!$B$7+$L199+$M199-1)</f>
        <v/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197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 t="str">
        <f>IF(OR(工程基本資料!$B$7="",工程基本資料!$B$7=0),"",工程基本資料!$B$8+工程基本資料!$B$7+$L200+$M200-1)</f>
        <v/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198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 t="str">
        <f>IF(OR(工程基本資料!$B$7="",工程基本資料!$B$7=0),"",工程基本資料!$B$8+工程基本資料!$B$7+$L201+$M201-1)</f>
        <v/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199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 t="str">
        <f>IF(OR(工程基本資料!$B$7="",工程基本資料!$B$7=0),"",工程基本資料!$B$8+工程基本資料!$B$7+$L202+$M202-1)</f>
        <v/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200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 t="str">
        <f>IF(OR(工程基本資料!$B$7="",工程基本資料!$B$7=0),"",工程基本資料!$B$8+工程基本資料!$B$7+$L203+$M203-1)</f>
        <v/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201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 t="str">
        <f>IF(OR(工程基本資料!$B$7="",工程基本資料!$B$7=0),"",工程基本資料!$B$8+工程基本資料!$B$7+$L204+$M204-1)</f>
        <v/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202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 t="str">
        <f>IF(OR(工程基本資料!$B$7="",工程基本資料!$B$7=0),"",工程基本資料!$B$8+工程基本資料!$B$7+$L205+$M205-1)</f>
        <v/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203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 t="str">
        <f>IF(OR(工程基本資料!$B$7="",工程基本資料!$B$7=0),"",工程基本資料!$B$8+工程基本資料!$B$7+$L206+$M206-1)</f>
        <v/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204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 t="str">
        <f>IF(OR(工程基本資料!$B$7="",工程基本資料!$B$7=0),"",工程基本資料!$B$8+工程基本資料!$B$7+$L207+$M207-1)</f>
        <v/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205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 t="str">
        <f>IF(OR(工程基本資料!$B$7="",工程基本資料!$B$7=0),"",工程基本資料!$B$8+工程基本資料!$B$7+$L208+$M208-1)</f>
        <v/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206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 t="str">
        <f>IF(OR(工程基本資料!$B$7="",工程基本資料!$B$7=0),"",工程基本資料!$B$8+工程基本資料!$B$7+$L209+$M209-1)</f>
        <v/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207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 t="str">
        <f>IF(OR(工程基本資料!$B$7="",工程基本資料!$B$7=0),"",工程基本資料!$B$8+工程基本資料!$B$7+$L210+$M210-1)</f>
        <v/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208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 t="str">
        <f>IF(OR(工程基本資料!$B$7="",工程基本資料!$B$7=0),"",工程基本資料!$B$8+工程基本資料!$B$7+$L211+$M211-1)</f>
        <v/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209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 t="str">
        <f>IF(OR(工程基本資料!$B$7="",工程基本資料!$B$7=0),"",工程基本資料!$B$8+工程基本資料!$B$7+$L212+$M212-1)</f>
        <v/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210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 t="str">
        <f>IF(OR(工程基本資料!$B$7="",工程基本資料!$B$7=0),"",工程基本資料!$B$8+工程基本資料!$B$7+$L213+$M213-1)</f>
        <v/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211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 t="str">
        <f>IF(OR(工程基本資料!$B$7="",工程基本資料!$B$7=0),"",工程基本資料!$B$8+工程基本資料!$B$7+$L214+$M214-1)</f>
        <v/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212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 t="str">
        <f>IF(OR(工程基本資料!$B$7="",工程基本資料!$B$7=0),"",工程基本資料!$B$8+工程基本資料!$B$7+$L215+$M215-1)</f>
        <v/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213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 t="str">
        <f>IF(OR(工程基本資料!$B$7="",工程基本資料!$B$7=0),"",工程基本資料!$B$8+工程基本資料!$B$7+$L216+$M216-1)</f>
        <v/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214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 t="str">
        <f>IF(OR(工程基本資料!$B$7="",工程基本資料!$B$7=0),"",工程基本資料!$B$8+工程基本資料!$B$7+$L217+$M217-1)</f>
        <v/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215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 t="str">
        <f>IF(OR(工程基本資料!$B$7="",工程基本資料!$B$7=0),"",工程基本資料!$B$8+工程基本資料!$B$7+$L218+$M218-1)</f>
        <v/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216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 t="str">
        <f>IF(OR(工程基本資料!$B$7="",工程基本資料!$B$7=0),"",工程基本資料!$B$8+工程基本資料!$B$7+$L219+$M219-1)</f>
        <v/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217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 t="str">
        <f>IF(OR(工程基本資料!$B$7="",工程基本資料!$B$7=0),"",工程基本資料!$B$8+工程基本資料!$B$7+$L220+$M220-1)</f>
        <v/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218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 t="str">
        <f>IF(OR(工程基本資料!$B$7="",工程基本資料!$B$7=0),"",工程基本資料!$B$8+工程基本資料!$B$7+$L221+$M221-1)</f>
        <v/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219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 t="str">
        <f>IF(OR(工程基本資料!$B$7="",工程基本資料!$B$7=0),"",工程基本資料!$B$8+工程基本資料!$B$7+$L222+$M222-1)</f>
        <v/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220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 t="str">
        <f>IF(OR(工程基本資料!$B$7="",工程基本資料!$B$7=0),"",工程基本資料!$B$8+工程基本資料!$B$7+$L223+$M223-1)</f>
        <v/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221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 t="str">
        <f>IF(OR(工程基本資料!$B$7="",工程基本資料!$B$7=0),"",工程基本資料!$B$8+工程基本資料!$B$7+$L224+$M224-1)</f>
        <v/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222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 t="str">
        <f>IF(OR(工程基本資料!$B$7="",工程基本資料!$B$7=0),"",工程基本資料!$B$8+工程基本資料!$B$7+$L225+$M225-1)</f>
        <v/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223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 t="str">
        <f>IF(OR(工程基本資料!$B$7="",工程基本資料!$B$7=0),"",工程基本資料!$B$8+工程基本資料!$B$7+$L226+$M226-1)</f>
        <v/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224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 t="str">
        <f>IF(OR(工程基本資料!$B$7="",工程基本資料!$B$7=0),"",工程基本資料!$B$8+工程基本資料!$B$7+$L227+$M227-1)</f>
        <v/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225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 t="str">
        <f>IF(OR(工程基本資料!$B$7="",工程基本資料!$B$7=0),"",工程基本資料!$B$8+工程基本資料!$B$7+$L228+$M228-1)</f>
        <v/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226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 t="str">
        <f>IF(OR(工程基本資料!$B$7="",工程基本資料!$B$7=0),"",工程基本資料!$B$8+工程基本資料!$B$7+$L229+$M229-1)</f>
        <v/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227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 t="str">
        <f>IF(OR(工程基本資料!$B$7="",工程基本資料!$B$7=0),"",工程基本資料!$B$8+工程基本資料!$B$7+$L230+$M230-1)</f>
        <v/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228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 t="str">
        <f>IF(OR(工程基本資料!$B$7="",工程基本資料!$B$7=0),"",工程基本資料!$B$8+工程基本資料!$B$7+$L231+$M231-1)</f>
        <v/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229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 t="str">
        <f>IF(OR(工程基本資料!$B$7="",工程基本資料!$B$7=0),"",工程基本資料!$B$8+工程基本資料!$B$7+$L232+$M232-1)</f>
        <v/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230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 t="str">
        <f>IF(OR(工程基本資料!$B$7="",工程基本資料!$B$7=0),"",工程基本資料!$B$8+工程基本資料!$B$7+$L233+$M233-1)</f>
        <v/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231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 t="str">
        <f>IF(OR(工程基本資料!$B$7="",工程基本資料!$B$7=0),"",工程基本資料!$B$8+工程基本資料!$B$7+$L234+$M234-1)</f>
        <v/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232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 t="str">
        <f>IF(OR(工程基本資料!$B$7="",工程基本資料!$B$7=0),"",工程基本資料!$B$8+工程基本資料!$B$7+$L235+$M235-1)</f>
        <v/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233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 t="str">
        <f>IF(OR(工程基本資料!$B$7="",工程基本資料!$B$7=0),"",工程基本資料!$B$8+工程基本資料!$B$7+$L236+$M236-1)</f>
        <v/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234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 t="str">
        <f>IF(OR(工程基本資料!$B$7="",工程基本資料!$B$7=0),"",工程基本資料!$B$8+工程基本資料!$B$7+$L237+$M237-1)</f>
        <v/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235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 t="str">
        <f>IF(OR(工程基本資料!$B$7="",工程基本資料!$B$7=0),"",工程基本資料!$B$8+工程基本資料!$B$7+$L238+$M238-1)</f>
        <v/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236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 t="str">
        <f>IF(OR(工程基本資料!$B$7="",工程基本資料!$B$7=0),"",工程基本資料!$B$8+工程基本資料!$B$7+$L239+$M239-1)</f>
        <v/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237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 t="str">
        <f>IF(OR(工程基本資料!$B$7="",工程基本資料!$B$7=0),"",工程基本資料!$B$8+工程基本資料!$B$7+$L240+$M240-1)</f>
        <v/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238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 t="str">
        <f>IF(OR(工程基本資料!$B$7="",工程基本資料!$B$7=0),"",工程基本資料!$B$8+工程基本資料!$B$7+$L241+$M241-1)</f>
        <v/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239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 t="str">
        <f>IF(OR(工程基本資料!$B$7="",工程基本資料!$B$7=0),"",工程基本資料!$B$8+工程基本資料!$B$7+$L242+$M242-1)</f>
        <v/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240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 t="str">
        <f>IF(OR(工程基本資料!$B$7="",工程基本資料!$B$7=0),"",工程基本資料!$B$8+工程基本資料!$B$7+$L243+$M243-1)</f>
        <v/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241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 t="str">
        <f>IF(OR(工程基本資料!$B$7="",工程基本資料!$B$7=0),"",工程基本資料!$B$8+工程基本資料!$B$7+$L244+$M244-1)</f>
        <v/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242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 t="str">
        <f>IF(OR(工程基本資料!$B$7="",工程基本資料!$B$7=0),"",工程基本資料!$B$8+工程基本資料!$B$7+$L245+$M245-1)</f>
        <v/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243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 t="str">
        <f>IF(OR(工程基本資料!$B$7="",工程基本資料!$B$7=0),"",工程基本資料!$B$8+工程基本資料!$B$7+$L246+$M246-1)</f>
        <v/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244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 t="str">
        <f>IF(OR(工程基本資料!$B$7="",工程基本資料!$B$7=0),"",工程基本資料!$B$8+工程基本資料!$B$7+$L247+$M247-1)</f>
        <v/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245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 t="str">
        <f>IF(OR(工程基本資料!$B$7="",工程基本資料!$B$7=0),"",工程基本資料!$B$8+工程基本資料!$B$7+$L248+$M248-1)</f>
        <v/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246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 t="str">
        <f>IF(OR(工程基本資料!$B$7="",工程基本資料!$B$7=0),"",工程基本資料!$B$8+工程基本資料!$B$7+$L249+$M249-1)</f>
        <v/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247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 t="str">
        <f>IF(OR(工程基本資料!$B$7="",工程基本資料!$B$7=0),"",工程基本資料!$B$8+工程基本資料!$B$7+$L250+$M250-1)</f>
        <v/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248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 t="str">
        <f>IF(OR(工程基本資料!$B$7="",工程基本資料!$B$7=0),"",工程基本資料!$B$8+工程基本資料!$B$7+$L251+$M251-1)</f>
        <v/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249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 t="str">
        <f>IF(OR(工程基本資料!$B$7="",工程基本資料!$B$7=0),"",工程基本資料!$B$8+工程基本資料!$B$7+$L252+$M252-1)</f>
        <v/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250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 t="str">
        <f>IF(OR(工程基本資料!$B$7="",工程基本資料!$B$7=0),"",工程基本資料!$B$8+工程基本資料!$B$7+$L253+$M253-1)</f>
        <v/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251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 t="str">
        <f>IF(OR(工程基本資料!$B$7="",工程基本資料!$B$7=0),"",工程基本資料!$B$8+工程基本資料!$B$7+$L254+$M254-1)</f>
        <v/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252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 t="str">
        <f>IF(OR(工程基本資料!$B$7="",工程基本資料!$B$7=0),"",工程基本資料!$B$8+工程基本資料!$B$7+$L255+$M255-1)</f>
        <v/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253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 t="str">
        <f>IF(OR(工程基本資料!$B$7="",工程基本資料!$B$7=0),"",工程基本資料!$B$8+工程基本資料!$B$7+$L256+$M256-1)</f>
        <v/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254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 t="str">
        <f>IF(OR(工程基本資料!$B$7="",工程基本資料!$B$7=0),"",工程基本資料!$B$8+工程基本資料!$B$7+$L257+$M257-1)</f>
        <v/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255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 t="str">
        <f>IF(OR(工程基本資料!$B$7="",工程基本資料!$B$7=0),"",工程基本資料!$B$8+工程基本資料!$B$7+$L258+$M258-1)</f>
        <v/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256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 t="str">
        <f>IF(OR(工程基本資料!$B$7="",工程基本資料!$B$7=0),"",工程基本資料!$B$8+工程基本資料!$B$7+$L259+$M259-1)</f>
        <v/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257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 t="str">
        <f>IF(OR(工程基本資料!$B$7="",工程基本資料!$B$7=0),"",工程基本資料!$B$8+工程基本資料!$B$7+$L260+$M260-1)</f>
        <v/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258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 t="str">
        <f>IF(OR(工程基本資料!$B$7="",工程基本資料!$B$7=0),"",工程基本資料!$B$8+工程基本資料!$B$7+$L261+$M261-1)</f>
        <v/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259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 t="str">
        <f>IF(OR(工程基本資料!$B$7="",工程基本資料!$B$7=0),"",工程基本資料!$B$8+工程基本資料!$B$7+$L262+$M262-1)</f>
        <v/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260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 t="str">
        <f>IF(OR(工程基本資料!$B$7="",工程基本資料!$B$7=0),"",工程基本資料!$B$8+工程基本資料!$B$7+$L263+$M263-1)</f>
        <v/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261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 t="str">
        <f>IF(OR(工程基本資料!$B$7="",工程基本資料!$B$7=0),"",工程基本資料!$B$8+工程基本資料!$B$7+$L264+$M264-1)</f>
        <v/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262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 t="str">
        <f>IF(OR(工程基本資料!$B$7="",工程基本資料!$B$7=0),"",工程基本資料!$B$8+工程基本資料!$B$7+$L265+$M265-1)</f>
        <v/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263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 t="str">
        <f>IF(OR(工程基本資料!$B$7="",工程基本資料!$B$7=0),"",工程基本資料!$B$8+工程基本資料!$B$7+$L266+$M266-1)</f>
        <v/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264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 t="str">
        <f>IF(OR(工程基本資料!$B$7="",工程基本資料!$B$7=0),"",工程基本資料!$B$8+工程基本資料!$B$7+$L267+$M267-1)</f>
        <v/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265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 t="str">
        <f>IF(OR(工程基本資料!$B$7="",工程基本資料!$B$7=0),"",工程基本資料!$B$8+工程基本資料!$B$7+$L268+$M268-1)</f>
        <v/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266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 t="str">
        <f>IF(OR(工程基本資料!$B$7="",工程基本資料!$B$7=0),"",工程基本資料!$B$8+工程基本資料!$B$7+$L269+$M269-1)</f>
        <v/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267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 t="str">
        <f>IF(OR(工程基本資料!$B$7="",工程基本資料!$B$7=0),"",工程基本資料!$B$8+工程基本資料!$B$7+$L270+$M270-1)</f>
        <v/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268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 t="str">
        <f>IF(OR(工程基本資料!$B$7="",工程基本資料!$B$7=0),"",工程基本資料!$B$8+工程基本資料!$B$7+$L271+$M271-1)</f>
        <v/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269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 t="str">
        <f>IF(OR(工程基本資料!$B$7="",工程基本資料!$B$7=0),"",工程基本資料!$B$8+工程基本資料!$B$7+$L272+$M272-1)</f>
        <v/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270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 t="str">
        <f>IF(OR(工程基本資料!$B$7="",工程基本資料!$B$7=0),"",工程基本資料!$B$8+工程基本資料!$B$7+$L273+$M273-1)</f>
        <v/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271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 t="str">
        <f>IF(OR(工程基本資料!$B$7="",工程基本資料!$B$7=0),"",工程基本資料!$B$8+工程基本資料!$B$7+$L274+$M274-1)</f>
        <v/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272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 t="str">
        <f>IF(OR(工程基本資料!$B$7="",工程基本資料!$B$7=0),"",工程基本資料!$B$8+工程基本資料!$B$7+$L275+$M275-1)</f>
        <v/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273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 t="str">
        <f>IF(OR(工程基本資料!$B$7="",工程基本資料!$B$7=0),"",工程基本資料!$B$8+工程基本資料!$B$7+$L276+$M276-1)</f>
        <v/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274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 t="str">
        <f>IF(OR(工程基本資料!$B$7="",工程基本資料!$B$7=0),"",工程基本資料!$B$8+工程基本資料!$B$7+$L277+$M277-1)</f>
        <v/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275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 t="str">
        <f>IF(OR(工程基本資料!$B$7="",工程基本資料!$B$7=0),"",工程基本資料!$B$8+工程基本資料!$B$7+$L278+$M278-1)</f>
        <v/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276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 t="str">
        <f>IF(OR(工程基本資料!$B$7="",工程基本資料!$B$7=0),"",工程基本資料!$B$8+工程基本資料!$B$7+$L279+$M279-1)</f>
        <v/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277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 t="str">
        <f>IF(OR(工程基本資料!$B$7="",工程基本資料!$B$7=0),"",工程基本資料!$B$8+工程基本資料!$B$7+$L280+$M280-1)</f>
        <v/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278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 t="str">
        <f>IF(OR(工程基本資料!$B$7="",工程基本資料!$B$7=0),"",工程基本資料!$B$8+工程基本資料!$B$7+$L281+$M281-1)</f>
        <v/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279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 t="str">
        <f>IF(OR(工程基本資料!$B$7="",工程基本資料!$B$7=0),"",工程基本資料!$B$8+工程基本資料!$B$7+$L282+$M282-1)</f>
        <v/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280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 t="str">
        <f>IF(OR(工程基本資料!$B$7="",工程基本資料!$B$7=0),"",工程基本資料!$B$8+工程基本資料!$B$7+$L283+$M283-1)</f>
        <v/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281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 t="str">
        <f>IF(OR(工程基本資料!$B$7="",工程基本資料!$B$7=0),"",工程基本資料!$B$8+工程基本資料!$B$7+$L284+$M284-1)</f>
        <v/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282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 t="str">
        <f>IF(OR(工程基本資料!$B$7="",工程基本資料!$B$7=0),"",工程基本資料!$B$8+工程基本資料!$B$7+$L285+$M285-1)</f>
        <v/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283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 t="str">
        <f>IF(OR(工程基本資料!$B$7="",工程基本資料!$B$7=0),"",工程基本資料!$B$8+工程基本資料!$B$7+$L286+$M286-1)</f>
        <v/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284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 t="str">
        <f>IF(OR(工程基本資料!$B$7="",工程基本資料!$B$7=0),"",工程基本資料!$B$8+工程基本資料!$B$7+$L287+$M287-1)</f>
        <v/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285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 t="str">
        <f>IF(OR(工程基本資料!$B$7="",工程基本資料!$B$7=0),"",工程基本資料!$B$8+工程基本資料!$B$7+$L288+$M288-1)</f>
        <v/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286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 t="str">
        <f>IF(OR(工程基本資料!$B$7="",工程基本資料!$B$7=0),"",工程基本資料!$B$8+工程基本資料!$B$7+$L289+$M289-1)</f>
        <v/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287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 t="str">
        <f>IF(OR(工程基本資料!$B$7="",工程基本資料!$B$7=0),"",工程基本資料!$B$8+工程基本資料!$B$7+$L290+$M290-1)</f>
        <v/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288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 t="str">
        <f>IF(OR(工程基本資料!$B$7="",工程基本資料!$B$7=0),"",工程基本資料!$B$8+工程基本資料!$B$7+$L291+$M291-1)</f>
        <v/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289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 t="str">
        <f>IF(OR(工程基本資料!$B$7="",工程基本資料!$B$7=0),"",工程基本資料!$B$8+工程基本資料!$B$7+$L292+$M292-1)</f>
        <v/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290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 t="str">
        <f>IF(OR(工程基本資料!$B$7="",工程基本資料!$B$7=0),"",工程基本資料!$B$8+工程基本資料!$B$7+$L293+$M293-1)</f>
        <v/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291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 t="str">
        <f>IF(OR(工程基本資料!$B$7="",工程基本資料!$B$7=0),"",工程基本資料!$B$8+工程基本資料!$B$7+$L294+$M294-1)</f>
        <v/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292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 t="str">
        <f>IF(OR(工程基本資料!$B$7="",工程基本資料!$B$7=0),"",工程基本資料!$B$8+工程基本資料!$B$7+$L295+$M295-1)</f>
        <v/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293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 t="str">
        <f>IF(OR(工程基本資料!$B$7="",工程基本資料!$B$7=0),"",工程基本資料!$B$8+工程基本資料!$B$7+$L296+$M296-1)</f>
        <v/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294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 t="str">
        <f>IF(OR(工程基本資料!$B$7="",工程基本資料!$B$7=0),"",工程基本資料!$B$8+工程基本資料!$B$7+$L297+$M297-1)</f>
        <v/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295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 t="str">
        <f>IF(OR(工程基本資料!$B$7="",工程基本資料!$B$7=0),"",工程基本資料!$B$8+工程基本資料!$B$7+$L298+$M298-1)</f>
        <v/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296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 t="str">
        <f>IF(OR(工程基本資料!$B$7="",工程基本資料!$B$7=0),"",工程基本資料!$B$8+工程基本資料!$B$7+$L299+$M299-1)</f>
        <v/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297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 t="str">
        <f>IF(OR(工程基本資料!$B$7="",工程基本資料!$B$7=0),"",工程基本資料!$B$8+工程基本資料!$B$7+$L300+$M300-1)</f>
        <v/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298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 t="str">
        <f>IF(OR(工程基本資料!$B$7="",工程基本資料!$B$7=0),"",工程基本資料!$B$8+工程基本資料!$B$7+$L301+$M301-1)</f>
        <v/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299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 t="str">
        <f>IF(OR(工程基本資料!$B$7="",工程基本資料!$B$7=0),"",工程基本資料!$B$8+工程基本資料!$B$7+$L302+$M302-1)</f>
        <v/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300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 t="str">
        <f>IF(OR(工程基本資料!$B$7="",工程基本資料!$B$7=0),"",工程基本資料!$B$8+工程基本資料!$B$7+$L303+$M303-1)</f>
        <v/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301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 t="str">
        <f>IF(OR(工程基本資料!$B$7="",工程基本資料!$B$7=0),"",工程基本資料!$B$8+工程基本資料!$B$7+$L304+$M304-1)</f>
        <v/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302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 t="str">
        <f>IF(OR(工程基本資料!$B$7="",工程基本資料!$B$7=0),"",工程基本資料!$B$8+工程基本資料!$B$7+$L305+$M305-1)</f>
        <v/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303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 t="str">
        <f>IF(OR(工程基本資料!$B$7="",工程基本資料!$B$7=0),"",工程基本資料!$B$8+工程基本資料!$B$7+$L306+$M306-1)</f>
        <v/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304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 t="str">
        <f>IF(OR(工程基本資料!$B$7="",工程基本資料!$B$7=0),"",工程基本資料!$B$8+工程基本資料!$B$7+$L307+$M307-1)</f>
        <v/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305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 t="str">
        <f>IF(OR(工程基本資料!$B$7="",工程基本資料!$B$7=0),"",工程基本資料!$B$8+工程基本資料!$B$7+$L308+$M308-1)</f>
        <v/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306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 t="str">
        <f>IF(OR(工程基本資料!$B$7="",工程基本資料!$B$7=0),"",工程基本資料!$B$8+工程基本資料!$B$7+$L309+$M309-1)</f>
        <v/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307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 t="str">
        <f>IF(OR(工程基本資料!$B$7="",工程基本資料!$B$7=0),"",工程基本資料!$B$8+工程基本資料!$B$7+$L310+$M310-1)</f>
        <v/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308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 t="str">
        <f>IF(OR(工程基本資料!$B$7="",工程基本資料!$B$7=0),"",工程基本資料!$B$8+工程基本資料!$B$7+$L311+$M311-1)</f>
        <v/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309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 t="str">
        <f>IF(OR(工程基本資料!$B$7="",工程基本資料!$B$7=0),"",工程基本資料!$B$8+工程基本資料!$B$7+$L312+$M312-1)</f>
        <v/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310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 t="str">
        <f>IF(OR(工程基本資料!$B$7="",工程基本資料!$B$7=0),"",工程基本資料!$B$8+工程基本資料!$B$7+$L313+$M313-1)</f>
        <v/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311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 t="str">
        <f>IF(OR(工程基本資料!$B$7="",工程基本資料!$B$7=0),"",工程基本資料!$B$8+工程基本資料!$B$7+$L314+$M314-1)</f>
        <v/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312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 t="str">
        <f>IF(OR(工程基本資料!$B$7="",工程基本資料!$B$7=0),"",工程基本資料!$B$8+工程基本資料!$B$7+$L315+$M315-1)</f>
        <v/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313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 t="str">
        <f>IF(OR(工程基本資料!$B$7="",工程基本資料!$B$7=0),"",工程基本資料!$B$8+工程基本資料!$B$7+$L316+$M316-1)</f>
        <v/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314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 t="str">
        <f>IF(OR(工程基本資料!$B$7="",工程基本資料!$B$7=0),"",工程基本資料!$B$8+工程基本資料!$B$7+$L317+$M317-1)</f>
        <v/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315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 t="str">
        <f>IF(OR(工程基本資料!$B$7="",工程基本資料!$B$7=0),"",工程基本資料!$B$8+工程基本資料!$B$7+$L318+$M318-1)</f>
        <v/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316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 t="str">
        <f>IF(OR(工程基本資料!$B$7="",工程基本資料!$B$7=0),"",工程基本資料!$B$8+工程基本資料!$B$7+$L319+$M319-1)</f>
        <v/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317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 t="str">
        <f>IF(OR(工程基本資料!$B$7="",工程基本資料!$B$7=0),"",工程基本資料!$B$8+工程基本資料!$B$7+$L320+$M320-1)</f>
        <v/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318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 t="str">
        <f>IF(OR(工程基本資料!$B$7="",工程基本資料!$B$7=0),"",工程基本資料!$B$8+工程基本資料!$B$7+$L321+$M321-1)</f>
        <v/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319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 t="str">
        <f>IF(OR(工程基本資料!$B$7="",工程基本資料!$B$7=0),"",工程基本資料!$B$8+工程基本資料!$B$7+$L322+$M322-1)</f>
        <v/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320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 t="str">
        <f>IF(OR(工程基本資料!$B$7="",工程基本資料!$B$7=0),"",工程基本資料!$B$8+工程基本資料!$B$7+$L323+$M323-1)</f>
        <v/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321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 t="str">
        <f>IF(OR(工程基本資料!$B$7="",工程基本資料!$B$7=0),"",工程基本資料!$B$8+工程基本資料!$B$7+$L324+$M324-1)</f>
        <v/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322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 t="str">
        <f>IF(OR(工程基本資料!$B$7="",工程基本資料!$B$7=0),"",工程基本資料!$B$8+工程基本資料!$B$7+$L325+$M325-1)</f>
        <v/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323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 t="str">
        <f>IF(OR(工程基本資料!$B$7="",工程基本資料!$B$7=0),"",工程基本資料!$B$8+工程基本資料!$B$7+$L326+$M326-1)</f>
        <v/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324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 t="str">
        <f>IF(OR(工程基本資料!$B$7="",工程基本資料!$B$7=0),"",工程基本資料!$B$8+工程基本資料!$B$7+$L327+$M327-1)</f>
        <v/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325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 t="str">
        <f>IF(OR(工程基本資料!$B$7="",工程基本資料!$B$7=0),"",工程基本資料!$B$8+工程基本資料!$B$7+$L328+$M328-1)</f>
        <v/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326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 t="str">
        <f>IF(OR(工程基本資料!$B$7="",工程基本資料!$B$7=0),"",工程基本資料!$B$8+工程基本資料!$B$7+$L329+$M329-1)</f>
        <v/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327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 t="str">
        <f>IF(OR(工程基本資料!$B$7="",工程基本資料!$B$7=0),"",工程基本資料!$B$8+工程基本資料!$B$7+$L330+$M330-1)</f>
        <v/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328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 t="str">
        <f>IF(OR(工程基本資料!$B$7="",工程基本資料!$B$7=0),"",工程基本資料!$B$8+工程基本資料!$B$7+$L331+$M331-1)</f>
        <v/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329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 t="str">
        <f>IF(OR(工程基本資料!$B$7="",工程基本資料!$B$7=0),"",工程基本資料!$B$8+工程基本資料!$B$7+$L332+$M332-1)</f>
        <v/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330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 t="str">
        <f>IF(OR(工程基本資料!$B$7="",工程基本資料!$B$7=0),"",工程基本資料!$B$8+工程基本資料!$B$7+$L333+$M333-1)</f>
        <v/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331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 t="str">
        <f>IF(OR(工程基本資料!$B$7="",工程基本資料!$B$7=0),"",工程基本資料!$B$8+工程基本資料!$B$7+$L334+$M334-1)</f>
        <v/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332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 t="str">
        <f>IF(OR(工程基本資料!$B$7="",工程基本資料!$B$7=0),"",工程基本資料!$B$8+工程基本資料!$B$7+$L335+$M335-1)</f>
        <v/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333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 t="str">
        <f>IF(OR(工程基本資料!$B$7="",工程基本資料!$B$7=0),"",工程基本資料!$B$8+工程基本資料!$B$7+$L336+$M336-1)</f>
        <v/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334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 t="str">
        <f>IF(OR(工程基本資料!$B$7="",工程基本資料!$B$7=0),"",工程基本資料!$B$8+工程基本資料!$B$7+$L337+$M337-1)</f>
        <v/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335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 t="str">
        <f>IF(OR(工程基本資料!$B$7="",工程基本資料!$B$7=0),"",工程基本資料!$B$8+工程基本資料!$B$7+$L338+$M338-1)</f>
        <v/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336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 t="str">
        <f>IF(OR(工程基本資料!$B$7="",工程基本資料!$B$7=0),"",工程基本資料!$B$8+工程基本資料!$B$7+$L339+$M339-1)</f>
        <v/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337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 t="str">
        <f>IF(OR(工程基本資料!$B$7="",工程基本資料!$B$7=0),"",工程基本資料!$B$8+工程基本資料!$B$7+$L340+$M340-1)</f>
        <v/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338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 t="str">
        <f>IF(OR(工程基本資料!$B$7="",工程基本資料!$B$7=0),"",工程基本資料!$B$8+工程基本資料!$B$7+$L341+$M341-1)</f>
        <v/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339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 t="str">
        <f>IF(OR(工程基本資料!$B$7="",工程基本資料!$B$7=0),"",工程基本資料!$B$8+工程基本資料!$B$7+$L342+$M342-1)</f>
        <v/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340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 t="str">
        <f>IF(OR(工程基本資料!$B$7="",工程基本資料!$B$7=0),"",工程基本資料!$B$8+工程基本資料!$B$7+$L343+$M343-1)</f>
        <v/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341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 t="str">
        <f>IF(OR(工程基本資料!$B$7="",工程基本資料!$B$7=0),"",工程基本資料!$B$8+工程基本資料!$B$7+$L344+$M344-1)</f>
        <v/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342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 t="str">
        <f>IF(OR(工程基本資料!$B$7="",工程基本資料!$B$7=0),"",工程基本資料!$B$8+工程基本資料!$B$7+$L345+$M345-1)</f>
        <v/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343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 t="str">
        <f>IF(OR(工程基本資料!$B$7="",工程基本資料!$B$7=0),"",工程基本資料!$B$8+工程基本資料!$B$7+$L346+$M346-1)</f>
        <v/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344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 t="str">
        <f>IF(OR(工程基本資料!$B$7="",工程基本資料!$B$7=0),"",工程基本資料!$B$8+工程基本資料!$B$7+$L347+$M347-1)</f>
        <v/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345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 t="str">
        <f>IF(OR(工程基本資料!$B$7="",工程基本資料!$B$7=0),"",工程基本資料!$B$8+工程基本資料!$B$7+$L348+$M348-1)</f>
        <v/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346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 t="str">
        <f>IF(OR(工程基本資料!$B$7="",工程基本資料!$B$7=0),"",工程基本資料!$B$8+工程基本資料!$B$7+$L349+$M349-1)</f>
        <v/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347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 t="str">
        <f>IF(OR(工程基本資料!$B$7="",工程基本資料!$B$7=0),"",工程基本資料!$B$8+工程基本資料!$B$7+$L350+$M350-1)</f>
        <v/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348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 t="str">
        <f>IF(OR(工程基本資料!$B$7="",工程基本資料!$B$7=0),"",工程基本資料!$B$8+工程基本資料!$B$7+$L351+$M351-1)</f>
        <v/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349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 t="str">
        <f>IF(OR(工程基本資料!$B$7="",工程基本資料!$B$7=0),"",工程基本資料!$B$8+工程基本資料!$B$7+$L352+$M352-1)</f>
        <v/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350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 t="str">
        <f>IF(OR(工程基本資料!$B$7="",工程基本資料!$B$7=0),"",工程基本資料!$B$8+工程基本資料!$B$7+$L353+$M353-1)</f>
        <v/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351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 t="str">
        <f>IF(OR(工程基本資料!$B$7="",工程基本資料!$B$7=0),"",工程基本資料!$B$8+工程基本資料!$B$7+$L354+$M354-1)</f>
        <v/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352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 t="str">
        <f>IF(OR(工程基本資料!$B$7="",工程基本資料!$B$7=0),"",工程基本資料!$B$8+工程基本資料!$B$7+$L355+$M355-1)</f>
        <v/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353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 t="str">
        <f>IF(OR(工程基本資料!$B$7="",工程基本資料!$B$7=0),"",工程基本資料!$B$8+工程基本資料!$B$7+$L356+$M356-1)</f>
        <v/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354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 t="str">
        <f>IF(OR(工程基本資料!$B$7="",工程基本資料!$B$7=0),"",工程基本資料!$B$8+工程基本資料!$B$7+$L357+$M357-1)</f>
        <v/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355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 t="str">
        <f>IF(OR(工程基本資料!$B$7="",工程基本資料!$B$7=0),"",工程基本資料!$B$8+工程基本資料!$B$7+$L358+$M358-1)</f>
        <v/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356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 t="str">
        <f>IF(OR(工程基本資料!$B$7="",工程基本資料!$B$7=0),"",工程基本資料!$B$8+工程基本資料!$B$7+$L359+$M359-1)</f>
        <v/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357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 t="str">
        <f>IF(OR(工程基本資料!$B$7="",工程基本資料!$B$7=0),"",工程基本資料!$B$8+工程基本資料!$B$7+$L360+$M360-1)</f>
        <v/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358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 t="str">
        <f>IF(OR(工程基本資料!$B$7="",工程基本資料!$B$7=0),"",工程基本資料!$B$8+工程基本資料!$B$7+$L361+$M361-1)</f>
        <v/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359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 t="str">
        <f>IF(OR(工程基本資料!$B$7="",工程基本資料!$B$7=0),"",工程基本資料!$B$8+工程基本資料!$B$7+$L362+$M362-1)</f>
        <v/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360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 t="str">
        <f>IF(OR(工程基本資料!$B$7="",工程基本資料!$B$7=0),"",工程基本資料!$B$8+工程基本資料!$B$7+$L363+$M363-1)</f>
        <v/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361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 t="str">
        <f>IF(OR(工程基本資料!$B$7="",工程基本資料!$B$7=0),"",工程基本資料!$B$8+工程基本資料!$B$7+$L364+$M364-1)</f>
        <v/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362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 t="str">
        <f>IF(OR(工程基本資料!$B$7="",工程基本資料!$B$7=0),"",工程基本資料!$B$8+工程基本資料!$B$7+$L365+$M365-1)</f>
        <v/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363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 t="str">
        <f>IF(OR(工程基本資料!$B$7="",工程基本資料!$B$7=0),"",工程基本資料!$B$8+工程基本資料!$B$7+$L366+$M366-1)</f>
        <v/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364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 t="str">
        <f>IF(OR(工程基本資料!$B$7="",工程基本資料!$B$7=0),"",工程基本資料!$B$8+工程基本資料!$B$7+$L367+$M367-1)</f>
        <v/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365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 t="str">
        <f>IF(OR(工程基本資料!$B$7="",工程基本資料!$B$7=0),"",工程基本資料!$B$8+工程基本資料!$B$7+$L368+$M368-1)</f>
        <v/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366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 t="str">
        <f>IF(OR(工程基本資料!$B$7="",工程基本資料!$B$7=0),"",工程基本資料!$B$8+工程基本資料!$B$7+$L369+$M369-1)</f>
        <v/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367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 t="str">
        <f>IF(OR(工程基本資料!$B$7="",工程基本資料!$B$7=0),"",工程基本資料!$B$8+工程基本資料!$B$7+$L370+$M370-1)</f>
        <v/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368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 t="str">
        <f>IF(OR(工程基本資料!$B$7="",工程基本資料!$B$7=0),"",工程基本資料!$B$8+工程基本資料!$B$7+$L371+$M371-1)</f>
        <v/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369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 t="str">
        <f>IF(OR(工程基本資料!$B$7="",工程基本資料!$B$7=0),"",工程基本資料!$B$8+工程基本資料!$B$7+$L372+$M372-1)</f>
        <v/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370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 t="str">
        <f>IF(OR(工程基本資料!$B$7="",工程基本資料!$B$7=0),"",工程基本資料!$B$8+工程基本資料!$B$7+$L373+$M373-1)</f>
        <v/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371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 t="str">
        <f>IF(OR(工程基本資料!$B$7="",工程基本資料!$B$7=0),"",工程基本資料!$B$8+工程基本資料!$B$7+$L374+$M374-1)</f>
        <v/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372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 t="str">
        <f>IF(OR(工程基本資料!$B$7="",工程基本資料!$B$7=0),"",工程基本資料!$B$8+工程基本資料!$B$7+$L375+$M375-1)</f>
        <v/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373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 t="str">
        <f>IF(OR(工程基本資料!$B$7="",工程基本資料!$B$7=0),"",工程基本資料!$B$8+工程基本資料!$B$7+$L376+$M376-1)</f>
        <v/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374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 t="str">
        <f>IF(OR(工程基本資料!$B$7="",工程基本資料!$B$7=0),"",工程基本資料!$B$8+工程基本資料!$B$7+$L377+$M377-1)</f>
        <v/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375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 t="str">
        <f>IF(OR(工程基本資料!$B$7="",工程基本資料!$B$7=0),"",工程基本資料!$B$8+工程基本資料!$B$7+$L378+$M378-1)</f>
        <v/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376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 t="str">
        <f>IF(OR(工程基本資料!$B$7="",工程基本資料!$B$7=0),"",工程基本資料!$B$8+工程基本資料!$B$7+$L379+$M379-1)</f>
        <v/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377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 t="str">
        <f>IF(OR(工程基本資料!$B$7="",工程基本資料!$B$7=0),"",工程基本資料!$B$8+工程基本資料!$B$7+$L380+$M380-1)</f>
        <v/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378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 t="str">
        <f>IF(OR(工程基本資料!$B$7="",工程基本資料!$B$7=0),"",工程基本資料!$B$8+工程基本資料!$B$7+$L381+$M381-1)</f>
        <v/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379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 t="str">
        <f>IF(OR(工程基本資料!$B$7="",工程基本資料!$B$7=0),"",工程基本資料!$B$8+工程基本資料!$B$7+$L382+$M382-1)</f>
        <v/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380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 t="str">
        <f>IF(OR(工程基本資料!$B$7="",工程基本資料!$B$7=0),"",工程基本資料!$B$8+工程基本資料!$B$7+$L383+$M383-1)</f>
        <v/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381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 t="str">
        <f>IF(OR(工程基本資料!$B$7="",工程基本資料!$B$7=0),"",工程基本資料!$B$8+工程基本資料!$B$7+$L384+$M384-1)</f>
        <v/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382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 t="str">
        <f>IF(OR(工程基本資料!$B$7="",工程基本資料!$B$7=0),"",工程基本資料!$B$8+工程基本資料!$B$7+$L385+$M385-1)</f>
        <v/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383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 t="str">
        <f>IF(OR(工程基本資料!$B$7="",工程基本資料!$B$7=0),"",工程基本資料!$B$8+工程基本資料!$B$7+$L386+$M386-1)</f>
        <v/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384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 t="str">
        <f>IF(OR(工程基本資料!$B$7="",工程基本資料!$B$7=0),"",工程基本資料!$B$8+工程基本資料!$B$7+$L387+$M387-1)</f>
        <v/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385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 t="str">
        <f>IF(OR(工程基本資料!$B$7="",工程基本資料!$B$7=0),"",工程基本資料!$B$8+工程基本資料!$B$7+$L388+$M388-1)</f>
        <v/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386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 t="str">
        <f>IF(OR(工程基本資料!$B$7="",工程基本資料!$B$7=0),"",工程基本資料!$B$8+工程基本資料!$B$7+$L389+$M389-1)</f>
        <v/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387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 t="str">
        <f>IF(OR(工程基本資料!$B$7="",工程基本資料!$B$7=0),"",工程基本資料!$B$8+工程基本資料!$B$7+$L390+$M390-1)</f>
        <v/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388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 t="str">
        <f>IF(OR(工程基本資料!$B$7="",工程基本資料!$B$7=0),"",工程基本資料!$B$8+工程基本資料!$B$7+$L391+$M391-1)</f>
        <v/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389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 t="str">
        <f>IF(OR(工程基本資料!$B$7="",工程基本資料!$B$7=0),"",工程基本資料!$B$8+工程基本資料!$B$7+$L392+$M392-1)</f>
        <v/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390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 t="str">
        <f>IF(OR(工程基本資料!$B$7="",工程基本資料!$B$7=0),"",工程基本資料!$B$8+工程基本資料!$B$7+$L393+$M393-1)</f>
        <v/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391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 t="str">
        <f>IF(OR(工程基本資料!$B$7="",工程基本資料!$B$7=0),"",工程基本資料!$B$8+工程基本資料!$B$7+$L394+$M394-1)</f>
        <v/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392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 t="str">
        <f>IF(OR(工程基本資料!$B$7="",工程基本資料!$B$7=0),"",工程基本資料!$B$8+工程基本資料!$B$7+$L395+$M395-1)</f>
        <v/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393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 t="str">
        <f>IF(OR(工程基本資料!$B$7="",工程基本資料!$B$7=0),"",工程基本資料!$B$8+工程基本資料!$B$7+$L396+$M396-1)</f>
        <v/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394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 t="str">
        <f>IF(OR(工程基本資料!$B$7="",工程基本資料!$B$7=0),"",工程基本資料!$B$8+工程基本資料!$B$7+$L397+$M397-1)</f>
        <v/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395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 t="str">
        <f>IF(OR(工程基本資料!$B$7="",工程基本資料!$B$7=0),"",工程基本資料!$B$8+工程基本資料!$B$7+$L398+$M398-1)</f>
        <v/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396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 t="str">
        <f>IF(OR(工程基本資料!$B$7="",工程基本資料!$B$7=0),"",工程基本資料!$B$8+工程基本資料!$B$7+$L399+$M399-1)</f>
        <v/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397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 t="str">
        <f>IF(OR(工程基本資料!$B$7="",工程基本資料!$B$7=0),"",工程基本資料!$B$8+工程基本資料!$B$7+$L400+$M400-1)</f>
        <v/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398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 t="str">
        <f>IF(OR(工程基本資料!$B$7="",工程基本資料!$B$7=0),"",工程基本資料!$B$8+工程基本資料!$B$7+$L401+$M401-1)</f>
        <v/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399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 t="str">
        <f>IF(OR(工程基本資料!$B$7="",工程基本資料!$B$7=0),"",工程基本資料!$B$8+工程基本資料!$B$7+$L402+$M402-1)</f>
        <v/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400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 t="str">
        <f>IF(OR(工程基本資料!$B$7="",工程基本資料!$B$7=0),"",工程基本資料!$B$8+工程基本資料!$B$7+$L403+$M403-1)</f>
        <v/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401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 t="str">
        <f>IF(OR(工程基本資料!$B$7="",工程基本資料!$B$7=0),"",工程基本資料!$B$8+工程基本資料!$B$7+$L404+$M404-1)</f>
        <v/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402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 t="str">
        <f>IF(OR(工程基本資料!$B$7="",工程基本資料!$B$7=0),"",工程基本資料!$B$8+工程基本資料!$B$7+$L405+$M405-1)</f>
        <v/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403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 t="str">
        <f>IF(OR(工程基本資料!$B$7="",工程基本資料!$B$7=0),"",工程基本資料!$B$8+工程基本資料!$B$7+$L406+$M406-1)</f>
        <v/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404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 t="str">
        <f>IF(OR(工程基本資料!$B$7="",工程基本資料!$B$7=0),"",工程基本資料!$B$8+工程基本資料!$B$7+$L407+$M407-1)</f>
        <v/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405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 t="str">
        <f>IF(OR(工程基本資料!$B$7="",工程基本資料!$B$7=0),"",工程基本資料!$B$8+工程基本資料!$B$7+$L408+$M408-1)</f>
        <v/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406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 t="str">
        <f>IF(OR(工程基本資料!$B$7="",工程基本資料!$B$7=0),"",工程基本資料!$B$8+工程基本資料!$B$7+$L409+$M409-1)</f>
        <v/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407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 t="str">
        <f>IF(OR(工程基本資料!$B$7="",工程基本資料!$B$7=0),"",工程基本資料!$B$8+工程基本資料!$B$7+$L410+$M410-1)</f>
        <v/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408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 t="str">
        <f>IF(OR(工程基本資料!$B$7="",工程基本資料!$B$7=0),"",工程基本資料!$B$8+工程基本資料!$B$7+$L411+$M411-1)</f>
        <v/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409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 t="str">
        <f>IF(OR(工程基本資料!$B$7="",工程基本資料!$B$7=0),"",工程基本資料!$B$8+工程基本資料!$B$7+$L412+$M412-1)</f>
        <v/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410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 t="str">
        <f>IF(OR(工程基本資料!$B$7="",工程基本資料!$B$7=0),"",工程基本資料!$B$8+工程基本資料!$B$7+$L413+$M413-1)</f>
        <v/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411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 t="str">
        <f>IF(OR(工程基本資料!$B$7="",工程基本資料!$B$7=0),"",工程基本資料!$B$8+工程基本資料!$B$7+$L414+$M414-1)</f>
        <v/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412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 t="str">
        <f>IF(OR(工程基本資料!$B$7="",工程基本資料!$B$7=0),"",工程基本資料!$B$8+工程基本資料!$B$7+$L415+$M415-1)</f>
        <v/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413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 t="str">
        <f>IF(OR(工程基本資料!$B$7="",工程基本資料!$B$7=0),"",工程基本資料!$B$8+工程基本資料!$B$7+$L416+$M416-1)</f>
        <v/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414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 t="str">
        <f>IF(OR(工程基本資料!$B$7="",工程基本資料!$B$7=0),"",工程基本資料!$B$8+工程基本資料!$B$7+$L417+$M417-1)</f>
        <v/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415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 t="str">
        <f>IF(OR(工程基本資料!$B$7="",工程基本資料!$B$7=0),"",工程基本資料!$B$8+工程基本資料!$B$7+$L418+$M418-1)</f>
        <v/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416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 t="str">
        <f>IF(OR(工程基本資料!$B$7="",工程基本資料!$B$7=0),"",工程基本資料!$B$8+工程基本資料!$B$7+$L419+$M419-1)</f>
        <v/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417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 t="str">
        <f>IF(OR(工程基本資料!$B$7="",工程基本資料!$B$7=0),"",工程基本資料!$B$8+工程基本資料!$B$7+$L420+$M420-1)</f>
        <v/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418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 t="str">
        <f>IF(OR(工程基本資料!$B$7="",工程基本資料!$B$7=0),"",工程基本資料!$B$8+工程基本資料!$B$7+$L421+$M421-1)</f>
        <v/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419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 t="str">
        <f>IF(OR(工程基本資料!$B$7="",工程基本資料!$B$7=0),"",工程基本資料!$B$8+工程基本資料!$B$7+$L422+$M422-1)</f>
        <v/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420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 t="str">
        <f>IF(OR(工程基本資料!$B$7="",工程基本資料!$B$7=0),"",工程基本資料!$B$8+工程基本資料!$B$7+$L423+$M423-1)</f>
        <v/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421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 t="str">
        <f>IF(OR(工程基本資料!$B$7="",工程基本資料!$B$7=0),"",工程基本資料!$B$8+工程基本資料!$B$7+$L424+$M424-1)</f>
        <v/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422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 t="str">
        <f>IF(OR(工程基本資料!$B$7="",工程基本資料!$B$7=0),"",工程基本資料!$B$8+工程基本資料!$B$7+$L425+$M425-1)</f>
        <v/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423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 t="str">
        <f>IF(OR(工程基本資料!$B$7="",工程基本資料!$B$7=0),"",工程基本資料!$B$8+工程基本資料!$B$7+$L426+$M426-1)</f>
        <v/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424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 t="str">
        <f>IF(OR(工程基本資料!$B$7="",工程基本資料!$B$7=0),"",工程基本資料!$B$8+工程基本資料!$B$7+$L427+$M427-1)</f>
        <v/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425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 t="str">
        <f>IF(OR(工程基本資料!$B$7="",工程基本資料!$B$7=0),"",工程基本資料!$B$8+工程基本資料!$B$7+$L428+$M428-1)</f>
        <v/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426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 t="str">
        <f>IF(OR(工程基本資料!$B$7="",工程基本資料!$B$7=0),"",工程基本資料!$B$8+工程基本資料!$B$7+$L429+$M429-1)</f>
        <v/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427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 t="str">
        <f>IF(OR(工程基本資料!$B$7="",工程基本資料!$B$7=0),"",工程基本資料!$B$8+工程基本資料!$B$7+$L430+$M430-1)</f>
        <v/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428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 t="str">
        <f>IF(OR(工程基本資料!$B$7="",工程基本資料!$B$7=0),"",工程基本資料!$B$8+工程基本資料!$B$7+$L431+$M431-1)</f>
        <v/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429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 t="str">
        <f>IF(OR(工程基本資料!$B$7="",工程基本資料!$B$7=0),"",工程基本資料!$B$8+工程基本資料!$B$7+$L432+$M432-1)</f>
        <v/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430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 t="str">
        <f>IF(OR(工程基本資料!$B$7="",工程基本資料!$B$7=0),"",工程基本資料!$B$8+工程基本資料!$B$7+$L433+$M433-1)</f>
        <v/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431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 t="str">
        <f>IF(OR(工程基本資料!$B$7="",工程基本資料!$B$7=0),"",工程基本資料!$B$8+工程基本資料!$B$7+$L434+$M434-1)</f>
        <v/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432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 t="str">
        <f>IF(OR(工程基本資料!$B$7="",工程基本資料!$B$7=0),"",工程基本資料!$B$8+工程基本資料!$B$7+$L435+$M435-1)</f>
        <v/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433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 t="str">
        <f>IF(OR(工程基本資料!$B$7="",工程基本資料!$B$7=0),"",工程基本資料!$B$8+工程基本資料!$B$7+$L436+$M436-1)</f>
        <v/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434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 t="str">
        <f>IF(OR(工程基本資料!$B$7="",工程基本資料!$B$7=0),"",工程基本資料!$B$8+工程基本資料!$B$7+$L437+$M437-1)</f>
        <v/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435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 t="str">
        <f>IF(OR(工程基本資料!$B$7="",工程基本資料!$B$7=0),"",工程基本資料!$B$8+工程基本資料!$B$7+$L438+$M438-1)</f>
        <v/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436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 t="str">
        <f>IF(OR(工程基本資料!$B$7="",工程基本資料!$B$7=0),"",工程基本資料!$B$8+工程基本資料!$B$7+$L439+$M439-1)</f>
        <v/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437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 t="str">
        <f>IF(OR(工程基本資料!$B$7="",工程基本資料!$B$7=0),"",工程基本資料!$B$8+工程基本資料!$B$7+$L440+$M440-1)</f>
        <v/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438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 t="str">
        <f>IF(OR(工程基本資料!$B$7="",工程基本資料!$B$7=0),"",工程基本資料!$B$8+工程基本資料!$B$7+$L441+$M441-1)</f>
        <v/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439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 t="str">
        <f>IF(OR(工程基本資料!$B$7="",工程基本資料!$B$7=0),"",工程基本資料!$B$8+工程基本資料!$B$7+$L442+$M442-1)</f>
        <v/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440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 t="str">
        <f>IF(OR(工程基本資料!$B$7="",工程基本資料!$B$7=0),"",工程基本資料!$B$8+工程基本資料!$B$7+$L443+$M443-1)</f>
        <v/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441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 t="str">
        <f>IF(OR(工程基本資料!$B$7="",工程基本資料!$B$7=0),"",工程基本資料!$B$8+工程基本資料!$B$7+$L444+$M444-1)</f>
        <v/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442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 t="str">
        <f>IF(OR(工程基本資料!$B$7="",工程基本資料!$B$7=0),"",工程基本資料!$B$8+工程基本資料!$B$7+$L445+$M445-1)</f>
        <v/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443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 t="str">
        <f>IF(OR(工程基本資料!$B$7="",工程基本資料!$B$7=0),"",工程基本資料!$B$8+工程基本資料!$B$7+$L446+$M446-1)</f>
        <v/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444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 t="str">
        <f>IF(OR(工程基本資料!$B$7="",工程基本資料!$B$7=0),"",工程基本資料!$B$8+工程基本資料!$B$7+$L447+$M447-1)</f>
        <v/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445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 t="str">
        <f>IF(OR(工程基本資料!$B$7="",工程基本資料!$B$7=0),"",工程基本資料!$B$8+工程基本資料!$B$7+$L448+$M448-1)</f>
        <v/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446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 t="str">
        <f>IF(OR(工程基本資料!$B$7="",工程基本資料!$B$7=0),"",工程基本資料!$B$8+工程基本資料!$B$7+$L449+$M449-1)</f>
        <v/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447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 t="str">
        <f>IF(OR(工程基本資料!$B$7="",工程基本資料!$B$7=0),"",工程基本資料!$B$8+工程基本資料!$B$7+$L450+$M450-1)</f>
        <v/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448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 t="str">
        <f>IF(OR(工程基本資料!$B$7="",工程基本資料!$B$7=0),"",工程基本資料!$B$8+工程基本資料!$B$7+$L451+$M451-1)</f>
        <v/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449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 t="str">
        <f>IF(OR(工程基本資料!$B$7="",工程基本資料!$B$7=0),"",工程基本資料!$B$8+工程基本資料!$B$7+$L452+$M452-1)</f>
        <v/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450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 t="str">
        <f>IF(OR(工程基本資料!$B$7="",工程基本資料!$B$7=0),"",工程基本資料!$B$8+工程基本資料!$B$7+$L453+$M453-1)</f>
        <v/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451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 t="str">
        <f>IF(OR(工程基本資料!$B$7="",工程基本資料!$B$7=0),"",工程基本資料!$B$8+工程基本資料!$B$7+$L454+$M454-1)</f>
        <v/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452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 t="str">
        <f>IF(OR(工程基本資料!$B$7="",工程基本資料!$B$7=0),"",工程基本資料!$B$8+工程基本資料!$B$7+$L455+$M455-1)</f>
        <v/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453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 t="str">
        <f>IF(OR(工程基本資料!$B$7="",工程基本資料!$B$7=0),"",工程基本資料!$B$8+工程基本資料!$B$7+$L456+$M456-1)</f>
        <v/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454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 t="str">
        <f>IF(OR(工程基本資料!$B$7="",工程基本資料!$B$7=0),"",工程基本資料!$B$8+工程基本資料!$B$7+$L457+$M457-1)</f>
        <v/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455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 t="str">
        <f>IF(OR(工程基本資料!$B$7="",工程基本資料!$B$7=0),"",工程基本資料!$B$8+工程基本資料!$B$7+$L458+$M458-1)</f>
        <v/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456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 t="str">
        <f>IF(OR(工程基本資料!$B$7="",工程基本資料!$B$7=0),"",工程基本資料!$B$8+工程基本資料!$B$7+$L459+$M459-1)</f>
        <v/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457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 t="str">
        <f>IF(OR(工程基本資料!$B$7="",工程基本資料!$B$7=0),"",工程基本資料!$B$8+工程基本資料!$B$7+$L460+$M460-1)</f>
        <v/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458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 t="str">
        <f>IF(OR(工程基本資料!$B$7="",工程基本資料!$B$7=0),"",工程基本資料!$B$8+工程基本資料!$B$7+$L461+$M461-1)</f>
        <v/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459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 t="str">
        <f>IF(OR(工程基本資料!$B$7="",工程基本資料!$B$7=0),"",工程基本資料!$B$8+工程基本資料!$B$7+$L462+$M462-1)</f>
        <v/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460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 t="str">
        <f>IF(OR(工程基本資料!$B$7="",工程基本資料!$B$7=0),"",工程基本資料!$B$8+工程基本資料!$B$7+$L463+$M463-1)</f>
        <v/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461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 t="str">
        <f>IF(OR(工程基本資料!$B$7="",工程基本資料!$B$7=0),"",工程基本資料!$B$8+工程基本資料!$B$7+$L464+$M464-1)</f>
        <v/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462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 t="str">
        <f>IF(OR(工程基本資料!$B$7="",工程基本資料!$B$7=0),"",工程基本資料!$B$8+工程基本資料!$B$7+$L465+$M465-1)</f>
        <v/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463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 t="str">
        <f>IF(OR(工程基本資料!$B$7="",工程基本資料!$B$7=0),"",工程基本資料!$B$8+工程基本資料!$B$7+$L466+$M466-1)</f>
        <v/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464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 t="str">
        <f>IF(OR(工程基本資料!$B$7="",工程基本資料!$B$7=0),"",工程基本資料!$B$8+工程基本資料!$B$7+$L467+$M467-1)</f>
        <v/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 t="str">
        <f>IF(OR(工程基本資料!$B$7="",工程基本資料!$B$7=0),"",工程基本資料!$B$8+工程基本資料!$B$7+$L468+$M468-1)</f>
        <v/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466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 t="str">
        <f>IF(OR(工程基本資料!$B$7="",工程基本資料!$B$7=0),"",工程基本資料!$B$8+工程基本資料!$B$7+$L469+$M469-1)</f>
        <v/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467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 t="str">
        <f>IF(OR(工程基本資料!$B$7="",工程基本資料!$B$7=0),"",工程基本資料!$B$8+工程基本資料!$B$7+$L470+$M470-1)</f>
        <v/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468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 t="str">
        <f>IF(OR(工程基本資料!$B$7="",工程基本資料!$B$7=0),"",工程基本資料!$B$8+工程基本資料!$B$7+$L471+$M471-1)</f>
        <v/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469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 t="str">
        <f>IF(OR(工程基本資料!$B$7="",工程基本資料!$B$7=0),"",工程基本資料!$B$8+工程基本資料!$B$7+$L472+$M472-1)</f>
        <v/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470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 t="str">
        <f>IF(OR(工程基本資料!$B$7="",工程基本資料!$B$7=0),"",工程基本資料!$B$8+工程基本資料!$B$7+$L473+$M473-1)</f>
        <v/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471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 t="str">
        <f>IF(OR(工程基本資料!$B$7="",工程基本資料!$B$7=0),"",工程基本資料!$B$8+工程基本資料!$B$7+$L474+$M474-1)</f>
        <v/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472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 t="str">
        <f>IF(OR(工程基本資料!$B$7="",工程基本資料!$B$7=0),"",工程基本資料!$B$8+工程基本資料!$B$7+$L475+$M475-1)</f>
        <v/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473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 t="str">
        <f>IF(OR(工程基本資料!$B$7="",工程基本資料!$B$7=0),"",工程基本資料!$B$8+工程基本資料!$B$7+$L476+$M476-1)</f>
        <v/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474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 t="str">
        <f>IF(OR(工程基本資料!$B$7="",工程基本資料!$B$7=0),"",工程基本資料!$B$8+工程基本資料!$B$7+$L477+$M477-1)</f>
        <v/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475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 t="str">
        <f>IF(OR(工程基本資料!$B$7="",工程基本資料!$B$7=0),"",工程基本資料!$B$8+工程基本資料!$B$7+$L478+$M478-1)</f>
        <v/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476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 t="str">
        <f>IF(OR(工程基本資料!$B$7="",工程基本資料!$B$7=0),"",工程基本資料!$B$8+工程基本資料!$B$7+$L479+$M479-1)</f>
        <v/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477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 t="str">
        <f>IF(OR(工程基本資料!$B$7="",工程基本資料!$B$7=0),"",工程基本資料!$B$8+工程基本資料!$B$7+$L480+$M480-1)</f>
        <v/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478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 t="str">
        <f>IF(OR(工程基本資料!$B$7="",工程基本資料!$B$7=0),"",工程基本資料!$B$8+工程基本資料!$B$7+$L481+$M481-1)</f>
        <v/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479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 t="str">
        <f>IF(OR(工程基本資料!$B$7="",工程基本資料!$B$7=0),"",工程基本資料!$B$8+工程基本資料!$B$7+$L482+$M482-1)</f>
        <v/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480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 t="str">
        <f>IF(OR(工程基本資料!$B$7="",工程基本資料!$B$7=0),"",工程基本資料!$B$8+工程基本資料!$B$7+$L483+$M483-1)</f>
        <v/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481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 t="str">
        <f>IF(OR(工程基本資料!$B$7="",工程基本資料!$B$7=0),"",工程基本資料!$B$8+工程基本資料!$B$7+$L484+$M484-1)</f>
        <v/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482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 t="str">
        <f>IF(OR(工程基本資料!$B$7="",工程基本資料!$B$7=0),"",工程基本資料!$B$8+工程基本資料!$B$7+$L485+$M485-1)</f>
        <v/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483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 t="str">
        <f>IF(OR(工程基本資料!$B$7="",工程基本資料!$B$7=0),"",工程基本資料!$B$8+工程基本資料!$B$7+$L486+$M486-1)</f>
        <v/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484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 t="str">
        <f>IF(OR(工程基本資料!$B$7="",工程基本資料!$B$7=0),"",工程基本資料!$B$8+工程基本資料!$B$7+$L487+$M487-1)</f>
        <v/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485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 t="str">
        <f>IF(OR(工程基本資料!$B$7="",工程基本資料!$B$7=0),"",工程基本資料!$B$8+工程基本資料!$B$7+$L488+$M488-1)</f>
        <v/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486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 t="str">
        <f>IF(OR(工程基本資料!$B$7="",工程基本資料!$B$7=0),"",工程基本資料!$B$8+工程基本資料!$B$7+$L489+$M489-1)</f>
        <v/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487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 t="str">
        <f>IF(OR(工程基本資料!$B$7="",工程基本資料!$B$7=0),"",工程基本資料!$B$8+工程基本資料!$B$7+$L490+$M490-1)</f>
        <v/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488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 t="str">
        <f>IF(OR(工程基本資料!$B$7="",工程基本資料!$B$7=0),"",工程基本資料!$B$8+工程基本資料!$B$7+$L491+$M491-1)</f>
        <v/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489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 t="str">
        <f>IF(OR(工程基本資料!$B$7="",工程基本資料!$B$7=0),"",工程基本資料!$B$8+工程基本資料!$B$7+$L492+$M492-1)</f>
        <v/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490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 t="str">
        <f>IF(OR(工程基本資料!$B$7="",工程基本資料!$B$7=0),"",工程基本資料!$B$8+工程基本資料!$B$7+$L493+$M493-1)</f>
        <v/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491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 t="str">
        <f>IF(OR(工程基本資料!$B$7="",工程基本資料!$B$7=0),"",工程基本資料!$B$8+工程基本資料!$B$7+$L494+$M494-1)</f>
        <v/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492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 t="str">
        <f>IF(OR(工程基本資料!$B$7="",工程基本資料!$B$7=0),"",工程基本資料!$B$8+工程基本資料!$B$7+$L495+$M495-1)</f>
        <v/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493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 t="str">
        <f>IF(OR(工程基本資料!$B$7="",工程基本資料!$B$7=0),"",工程基本資料!$B$8+工程基本資料!$B$7+$L496+$M496-1)</f>
        <v/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494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 t="str">
        <f>IF(OR(工程基本資料!$B$7="",工程基本資料!$B$7=0),"",工程基本資料!$B$8+工程基本資料!$B$7+$L497+$M497-1)</f>
        <v/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495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 t="str">
        <f>IF(OR(工程基本資料!$B$7="",工程基本資料!$B$7=0),"",工程基本資料!$B$8+工程基本資料!$B$7+$L498+$M498-1)</f>
        <v/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496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 t="str">
        <f>IF(OR(工程基本資料!$B$7="",工程基本資料!$B$7=0),"",工程基本資料!$B$8+工程基本資料!$B$7+$L499+$M499-1)</f>
        <v/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497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 t="str">
        <f>IF(OR(工程基本資料!$B$7="",工程基本資料!$B$7=0),"",工程基本資料!$B$8+工程基本資料!$B$7+$L500+$M500-1)</f>
        <v/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498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 t="str">
        <f>IF(OR(工程基本資料!$B$7="",工程基本資料!$B$7=0),"",工程基本資料!$B$8+工程基本資料!$B$7+$L501+$M501-1)</f>
        <v/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499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 t="str">
        <f>IF(OR(工程基本資料!$B$7="",工程基本資料!$B$7=0),"",工程基本資料!$B$8+工程基本資料!$B$7+$L502+$M502-1)</f>
        <v/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500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 t="str">
        <f>IF(OR(工程基本資料!$B$7="",工程基本資料!$B$7=0),"",工程基本資料!$B$8+工程基本資料!$B$7+$L503+$M503-1)</f>
        <v/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501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 t="str">
        <f>IF(OR(工程基本資料!$B$7="",工程基本資料!$B$7=0),"",工程基本資料!$B$8+工程基本資料!$B$7+$L504+$M504-1)</f>
        <v/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502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 t="str">
        <f>IF(OR(工程基本資料!$B$7="",工程基本資料!$B$7=0),"",工程基本資料!$B$8+工程基本資料!$B$7+$L505+$M505-1)</f>
        <v/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503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 t="str">
        <f>IF(OR(工程基本資料!$B$7="",工程基本資料!$B$7=0),"",工程基本資料!$B$8+工程基本資料!$B$7+$L506+$M506-1)</f>
        <v/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504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 t="str">
        <f>IF(OR(工程基本資料!$B$7="",工程基本資料!$B$7=0),"",工程基本資料!$B$8+工程基本資料!$B$7+$L507+$M507-1)</f>
        <v/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505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 t="str">
        <f>IF(OR(工程基本資料!$B$7="",工程基本資料!$B$7=0),"",工程基本資料!$B$8+工程基本資料!$B$7+$L508+$M508-1)</f>
        <v/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506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 t="str">
        <f>IF(OR(工程基本資料!$B$7="",工程基本資料!$B$7=0),"",工程基本資料!$B$8+工程基本資料!$B$7+$L509+$M509-1)</f>
        <v/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507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 t="str">
        <f>IF(OR(工程基本資料!$B$7="",工程基本資料!$B$7=0),"",工程基本資料!$B$8+工程基本資料!$B$7+$L510+$M510-1)</f>
        <v/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508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 t="str">
        <f>IF(OR(工程基本資料!$B$7="",工程基本資料!$B$7=0),"",工程基本資料!$B$8+工程基本資料!$B$7+$L511+$M511-1)</f>
        <v/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509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 t="str">
        <f>IF(OR(工程基本資料!$B$7="",工程基本資料!$B$7=0),"",工程基本資料!$B$8+工程基本資料!$B$7+$L512+$M512-1)</f>
        <v/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510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 t="str">
        <f>IF(OR(工程基本資料!$B$7="",工程基本資料!$B$7=0),"",工程基本資料!$B$8+工程基本資料!$B$7+$L513+$M513-1)</f>
        <v/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511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 t="str">
        <f>IF(OR(工程基本資料!$B$7="",工程基本資料!$B$7=0),"",工程基本資料!$B$8+工程基本資料!$B$7+$L514+$M514-1)</f>
        <v/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512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 t="str">
        <f>IF(OR(工程基本資料!$B$7="",工程基本資料!$B$7=0),"",工程基本資料!$B$8+工程基本資料!$B$7+$L515+$M515-1)</f>
        <v/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513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 t="str">
        <f>IF(OR(工程基本資料!$B$7="",工程基本資料!$B$7=0),"",工程基本資料!$B$8+工程基本資料!$B$7+$L516+$M516-1)</f>
        <v/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514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 t="str">
        <f>IF(OR(工程基本資料!$B$7="",工程基本資料!$B$7=0),"",工程基本資料!$B$8+工程基本資料!$B$7+$L517+$M517-1)</f>
        <v/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515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 t="str">
        <f>IF(OR(工程基本資料!$B$7="",工程基本資料!$B$7=0),"",工程基本資料!$B$8+工程基本資料!$B$7+$L518+$M518-1)</f>
        <v/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516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 t="str">
        <f>IF(OR(工程基本資料!$B$7="",工程基本資料!$B$7=0),"",工程基本資料!$B$8+工程基本資料!$B$7+$L519+$M519-1)</f>
        <v/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517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 t="str">
        <f>IF(OR(工程基本資料!$B$7="",工程基本資料!$B$7=0),"",工程基本資料!$B$8+工程基本資料!$B$7+$L520+$M520-1)</f>
        <v/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518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 t="str">
        <f>IF(OR(工程基本資料!$B$7="",工程基本資料!$B$7=0),"",工程基本資料!$B$8+工程基本資料!$B$7+$L521+$M521-1)</f>
        <v/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519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 t="str">
        <f>IF(OR(工程基本資料!$B$7="",工程基本資料!$B$7=0),"",工程基本資料!$B$8+工程基本資料!$B$7+$L522+$M522-1)</f>
        <v/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520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 t="str">
        <f>IF(OR(工程基本資料!$B$7="",工程基本資料!$B$7=0),"",工程基本資料!$B$8+工程基本資料!$B$7+$L523+$M523-1)</f>
        <v/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521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 t="str">
        <f>IF(OR(工程基本資料!$B$7="",工程基本資料!$B$7=0),"",工程基本資料!$B$8+工程基本資料!$B$7+$L524+$M524-1)</f>
        <v/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522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 t="str">
        <f>IF(OR(工程基本資料!$B$7="",工程基本資料!$B$7=0),"",工程基本資料!$B$8+工程基本資料!$B$7+$L525+$M525-1)</f>
        <v/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523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 t="str">
        <f>IF(OR(工程基本資料!$B$7="",工程基本資料!$B$7=0),"",工程基本資料!$B$8+工程基本資料!$B$7+$L526+$M526-1)</f>
        <v/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524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 t="str">
        <f>IF(OR(工程基本資料!$B$7="",工程基本資料!$B$7=0),"",工程基本資料!$B$8+工程基本資料!$B$7+$L527+$M527-1)</f>
        <v/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525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 t="str">
        <f>IF(OR(工程基本資料!$B$7="",工程基本資料!$B$7=0),"",工程基本資料!$B$8+工程基本資料!$B$7+$L528+$M528-1)</f>
        <v/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526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 t="str">
        <f>IF(OR(工程基本資料!$B$7="",工程基本資料!$B$7=0),"",工程基本資料!$B$8+工程基本資料!$B$7+$L529+$M529-1)</f>
        <v/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527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 t="str">
        <f>IF(OR(工程基本資料!$B$7="",工程基本資料!$B$7=0),"",工程基本資料!$B$8+工程基本資料!$B$7+$L530+$M530-1)</f>
        <v/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528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 t="str">
        <f>IF(OR(工程基本資料!$B$7="",工程基本資料!$B$7=0),"",工程基本資料!$B$8+工程基本資料!$B$7+$L531+$M531-1)</f>
        <v/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529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 t="str">
        <f>IF(OR(工程基本資料!$B$7="",工程基本資料!$B$7=0),"",工程基本資料!$B$8+工程基本資料!$B$7+$L532+$M532-1)</f>
        <v/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530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 t="str">
        <f>IF(OR(工程基本資料!$B$7="",工程基本資料!$B$7=0),"",工程基本資料!$B$8+工程基本資料!$B$7+$L533+$M533-1)</f>
        <v/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531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 t="str">
        <f>IF(OR(工程基本資料!$B$7="",工程基本資料!$B$7=0),"",工程基本資料!$B$8+工程基本資料!$B$7+$L534+$M534-1)</f>
        <v/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532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 t="str">
        <f>IF(OR(工程基本資料!$B$7="",工程基本資料!$B$7=0),"",工程基本資料!$B$8+工程基本資料!$B$7+$L535+$M535-1)</f>
        <v/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533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 t="str">
        <f>IF(OR(工程基本資料!$B$7="",工程基本資料!$B$7=0),"",工程基本資料!$B$8+工程基本資料!$B$7+$L536+$M536-1)</f>
        <v/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534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 t="str">
        <f>IF(OR(工程基本資料!$B$7="",工程基本資料!$B$7=0),"",工程基本資料!$B$8+工程基本資料!$B$7+$L537+$M537-1)</f>
        <v/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535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 t="str">
        <f>IF(OR(工程基本資料!$B$7="",工程基本資料!$B$7=0),"",工程基本資料!$B$8+工程基本資料!$B$7+$L538+$M538-1)</f>
        <v/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536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 t="str">
        <f>IF(OR(工程基本資料!$B$7="",工程基本資料!$B$7=0),"",工程基本資料!$B$8+工程基本資料!$B$7+$L539+$M539-1)</f>
        <v/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537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 t="str">
        <f>IF(OR(工程基本資料!$B$7="",工程基本資料!$B$7=0),"",工程基本資料!$B$8+工程基本資料!$B$7+$L540+$M540-1)</f>
        <v/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538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 t="str">
        <f>IF(OR(工程基本資料!$B$7="",工程基本資料!$B$7=0),"",工程基本資料!$B$8+工程基本資料!$B$7+$L541+$M541-1)</f>
        <v/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539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 t="str">
        <f>IF(OR(工程基本資料!$B$7="",工程基本資料!$B$7=0),"",工程基本資料!$B$8+工程基本資料!$B$7+$L542+$M542-1)</f>
        <v/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540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 t="str">
        <f>IF(OR(工程基本資料!$B$7="",工程基本資料!$B$7=0),"",工程基本資料!$B$8+工程基本資料!$B$7+$L543+$M543-1)</f>
        <v/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541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 t="str">
        <f>IF(OR(工程基本資料!$B$7="",工程基本資料!$B$7=0),"",工程基本資料!$B$8+工程基本資料!$B$7+$L544+$M544-1)</f>
        <v/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542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 t="str">
        <f>IF(OR(工程基本資料!$B$7="",工程基本資料!$B$7=0),"",工程基本資料!$B$8+工程基本資料!$B$7+$L545+$M545-1)</f>
        <v/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543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 t="str">
        <f>IF(OR(工程基本資料!$B$7="",工程基本資料!$B$7=0),"",工程基本資料!$B$8+工程基本資料!$B$7+$L546+$M546-1)</f>
        <v/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544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 t="str">
        <f>IF(OR(工程基本資料!$B$7="",工程基本資料!$B$7=0),"",工程基本資料!$B$8+工程基本資料!$B$7+$L547+$M547-1)</f>
        <v/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545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 t="str">
        <f>IF(OR(工程基本資料!$B$7="",工程基本資料!$B$7=0),"",工程基本資料!$B$8+工程基本資料!$B$7+$L548+$M548-1)</f>
        <v/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546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 t="str">
        <f>IF(OR(工程基本資料!$B$7="",工程基本資料!$B$7=0),"",工程基本資料!$B$8+工程基本資料!$B$7+$L549+$M549-1)</f>
        <v/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547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 t="str">
        <f>IF(OR(工程基本資料!$B$7="",工程基本資料!$B$7=0),"",工程基本資料!$B$8+工程基本資料!$B$7+$L550+$M550-1)</f>
        <v/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548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 t="str">
        <f>IF(OR(工程基本資料!$B$7="",工程基本資料!$B$7=0),"",工程基本資料!$B$8+工程基本資料!$B$7+$L551+$M551-1)</f>
        <v/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549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 t="str">
        <f>IF(OR(工程基本資料!$B$7="",工程基本資料!$B$7=0),"",工程基本資料!$B$8+工程基本資料!$B$7+$L552+$M552-1)</f>
        <v/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550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 t="str">
        <f>IF(OR(工程基本資料!$B$7="",工程基本資料!$B$7=0),"",工程基本資料!$B$8+工程基本資料!$B$7+$L553+$M553-1)</f>
        <v/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551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 t="str">
        <f>IF(OR(工程基本資料!$B$7="",工程基本資料!$B$7=0),"",工程基本資料!$B$8+工程基本資料!$B$7+$L554+$M554-1)</f>
        <v/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552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 t="str">
        <f>IF(OR(工程基本資料!$B$7="",工程基本資料!$B$7=0),"",工程基本資料!$B$8+工程基本資料!$B$7+$L555+$M555-1)</f>
        <v/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553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 t="str">
        <f>IF(OR(工程基本資料!$B$7="",工程基本資料!$B$7=0),"",工程基本資料!$B$8+工程基本資料!$B$7+$L556+$M556-1)</f>
        <v/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554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 t="str">
        <f>IF(OR(工程基本資料!$B$7="",工程基本資料!$B$7=0),"",工程基本資料!$B$8+工程基本資料!$B$7+$L557+$M557-1)</f>
        <v/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555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 t="str">
        <f>IF(OR(工程基本資料!$B$7="",工程基本資料!$B$7=0),"",工程基本資料!$B$8+工程基本資料!$B$7+$L558+$M558-1)</f>
        <v/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556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 t="str">
        <f>IF(OR(工程基本資料!$B$7="",工程基本資料!$B$7=0),"",工程基本資料!$B$8+工程基本資料!$B$7+$L559+$M559-1)</f>
        <v/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557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 t="str">
        <f>IF(OR(工程基本資料!$B$7="",工程基本資料!$B$7=0),"",工程基本資料!$B$8+工程基本資料!$B$7+$L560+$M560-1)</f>
        <v/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558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 t="str">
        <f>IF(OR(工程基本資料!$B$7="",工程基本資料!$B$7=0),"",工程基本資料!$B$8+工程基本資料!$B$7+$L561+$M561-1)</f>
        <v/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559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 t="str">
        <f>IF(OR(工程基本資料!$B$7="",工程基本資料!$B$7=0),"",工程基本資料!$B$8+工程基本資料!$B$7+$L562+$M562-1)</f>
        <v/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560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 t="str">
        <f>IF(OR(工程基本資料!$B$7="",工程基本資料!$B$7=0),"",工程基本資料!$B$8+工程基本資料!$B$7+$L563+$M563-1)</f>
        <v/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561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 t="str">
        <f>IF(OR(工程基本資料!$B$7="",工程基本資料!$B$7=0),"",工程基本資料!$B$8+工程基本資料!$B$7+$L564+$M564-1)</f>
        <v/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562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 t="str">
        <f>IF(OR(工程基本資料!$B$7="",工程基本資料!$B$7=0),"",工程基本資料!$B$8+工程基本資料!$B$7+$L565+$M565-1)</f>
        <v/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563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 t="str">
        <f>IF(OR(工程基本資料!$B$7="",工程基本資料!$B$7=0),"",工程基本資料!$B$8+工程基本資料!$B$7+$L566+$M566-1)</f>
        <v/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564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 t="str">
        <f>IF(OR(工程基本資料!$B$7="",工程基本資料!$B$7=0),"",工程基本資料!$B$8+工程基本資料!$B$7+$L567+$M567-1)</f>
        <v/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565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 t="str">
        <f>IF(OR(工程基本資料!$B$7="",工程基本資料!$B$7=0),"",工程基本資料!$B$8+工程基本資料!$B$7+$L568+$M568-1)</f>
        <v/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566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 t="str">
        <f>IF(OR(工程基本資料!$B$7="",工程基本資料!$B$7=0),"",工程基本資料!$B$8+工程基本資料!$B$7+$L569+$M569-1)</f>
        <v/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567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 t="str">
        <f>IF(OR(工程基本資料!$B$7="",工程基本資料!$B$7=0),"",工程基本資料!$B$8+工程基本資料!$B$7+$L570+$M570-1)</f>
        <v/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568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 t="str">
        <f>IF(OR(工程基本資料!$B$7="",工程基本資料!$B$7=0),"",工程基本資料!$B$8+工程基本資料!$B$7+$L571+$M571-1)</f>
        <v/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569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 t="str">
        <f>IF(OR(工程基本資料!$B$7="",工程基本資料!$B$7=0),"",工程基本資料!$B$8+工程基本資料!$B$7+$L572+$M572-1)</f>
        <v/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570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 t="str">
        <f>IF(OR(工程基本資料!$B$7="",工程基本資料!$B$7=0),"",工程基本資料!$B$8+工程基本資料!$B$7+$L573+$M573-1)</f>
        <v/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571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 t="str">
        <f>IF(OR(工程基本資料!$B$7="",工程基本資料!$B$7=0),"",工程基本資料!$B$8+工程基本資料!$B$7+$L574+$M574-1)</f>
        <v/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572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 t="str">
        <f>IF(OR(工程基本資料!$B$7="",工程基本資料!$B$7=0),"",工程基本資料!$B$8+工程基本資料!$B$7+$L575+$M575-1)</f>
        <v/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573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 t="str">
        <f>IF(OR(工程基本資料!$B$7="",工程基本資料!$B$7=0),"",工程基本資料!$B$8+工程基本資料!$B$7+$L576+$M576-1)</f>
        <v/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574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 t="str">
        <f>IF(OR(工程基本資料!$B$7="",工程基本資料!$B$7=0),"",工程基本資料!$B$8+工程基本資料!$B$7+$L577+$M577-1)</f>
        <v/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575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 t="str">
        <f>IF(OR(工程基本資料!$B$7="",工程基本資料!$B$7=0),"",工程基本資料!$B$8+工程基本資料!$B$7+$L578+$M578-1)</f>
        <v/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576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 t="str">
        <f>IF(OR(工程基本資料!$B$7="",工程基本資料!$B$7=0),"",工程基本資料!$B$8+工程基本資料!$B$7+$L579+$M579-1)</f>
        <v/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577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 t="str">
        <f>IF(OR(工程基本資料!$B$7="",工程基本資料!$B$7=0),"",工程基本資料!$B$8+工程基本資料!$B$7+$L580+$M580-1)</f>
        <v/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578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 t="str">
        <f>IF(OR(工程基本資料!$B$7="",工程基本資料!$B$7=0),"",工程基本資料!$B$8+工程基本資料!$B$7+$L581+$M581-1)</f>
        <v/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579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 t="str">
        <f>IF(OR(工程基本資料!$B$7="",工程基本資料!$B$7=0),"",工程基本資料!$B$8+工程基本資料!$B$7+$L582+$M582-1)</f>
        <v/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580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 t="str">
        <f>IF(OR(工程基本資料!$B$7="",工程基本資料!$B$7=0),"",工程基本資料!$B$8+工程基本資料!$B$7+$L583+$M583-1)</f>
        <v/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581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 t="str">
        <f>IF(OR(工程基本資料!$B$7="",工程基本資料!$B$7=0),"",工程基本資料!$B$8+工程基本資料!$B$7+$L584+$M584-1)</f>
        <v/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582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 t="str">
        <f>IF(OR(工程基本資料!$B$7="",工程基本資料!$B$7=0),"",工程基本資料!$B$8+工程基本資料!$B$7+$L585+$M585-1)</f>
        <v/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583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 t="str">
        <f>IF(OR(工程基本資料!$B$7="",工程基本資料!$B$7=0),"",工程基本資料!$B$8+工程基本資料!$B$7+$L586+$M586-1)</f>
        <v/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584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 t="str">
        <f>IF(OR(工程基本資料!$B$7="",工程基本資料!$B$7=0),"",工程基本資料!$B$8+工程基本資料!$B$7+$L587+$M587-1)</f>
        <v/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585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 t="str">
        <f>IF(OR(工程基本資料!$B$7="",工程基本資料!$B$7=0),"",工程基本資料!$B$8+工程基本資料!$B$7+$L588+$M588-1)</f>
        <v/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586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 t="str">
        <f>IF(OR(工程基本資料!$B$7="",工程基本資料!$B$7=0),"",工程基本資料!$B$8+工程基本資料!$B$7+$L589+$M589-1)</f>
        <v/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587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 t="str">
        <f>IF(OR(工程基本資料!$B$7="",工程基本資料!$B$7=0),"",工程基本資料!$B$8+工程基本資料!$B$7+$L590+$M590-1)</f>
        <v/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588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 t="str">
        <f>IF(OR(工程基本資料!$B$7="",工程基本資料!$B$7=0),"",工程基本資料!$B$8+工程基本資料!$B$7+$L591+$M591-1)</f>
        <v/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589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 t="str">
        <f>IF(OR(工程基本資料!$B$7="",工程基本資料!$B$7=0),"",工程基本資料!$B$8+工程基本資料!$B$7+$L592+$M592-1)</f>
        <v/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590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 t="str">
        <f>IF(OR(工程基本資料!$B$7="",工程基本資料!$B$7=0),"",工程基本資料!$B$8+工程基本資料!$B$7+$L593+$M593-1)</f>
        <v/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591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 t="str">
        <f>IF(OR(工程基本資料!$B$7="",工程基本資料!$B$7=0),"",工程基本資料!$B$8+工程基本資料!$B$7+$L594+$M594-1)</f>
        <v/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592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 t="str">
        <f>IF(OR(工程基本資料!$B$7="",工程基本資料!$B$7=0),"",工程基本資料!$B$8+工程基本資料!$B$7+$L595+$M595-1)</f>
        <v/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593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 t="str">
        <f>IF(OR(工程基本資料!$B$7="",工程基本資料!$B$7=0),"",工程基本資料!$B$8+工程基本資料!$B$7+$L596+$M596-1)</f>
        <v/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594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 t="str">
        <f>IF(OR(工程基本資料!$B$7="",工程基本資料!$B$7=0),"",工程基本資料!$B$8+工程基本資料!$B$7+$L597+$M597-1)</f>
        <v/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595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 t="str">
        <f>IF(OR(工程基本資料!$B$7="",工程基本資料!$B$7=0),"",工程基本資料!$B$8+工程基本資料!$B$7+$L598+$M598-1)</f>
        <v/>
      </c>
    </row>
    <row r="599" spans="1:17" ht="63" customHeight="1" x14ac:dyDescent="0.3">
      <c r="A599" s="60">
        <f t="shared" si="37"/>
        <v>597</v>
      </c>
      <c r="B599" s="61">
        <f t="shared" si="38"/>
        <v>596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 t="str">
        <f>IF(OR(工程基本資料!$B$7="",工程基本資料!$B$7=0),"",工程基本資料!$B$8+工程基本資料!$B$7+$L599+$M599-1)</f>
        <v/>
      </c>
    </row>
    <row r="600" spans="1:17" ht="63" customHeight="1" x14ac:dyDescent="0.3">
      <c r="A600" s="60">
        <f t="shared" si="37"/>
        <v>598</v>
      </c>
      <c r="B600" s="61">
        <f t="shared" si="38"/>
        <v>597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 t="str">
        <f>IF(OR(工程基本資料!$B$7="",工程基本資料!$B$7=0),"",工程基本資料!$B$8+工程基本資料!$B$7+$L600+$M600-1)</f>
        <v/>
      </c>
    </row>
    <row r="601" spans="1:17" ht="63" customHeight="1" x14ac:dyDescent="0.3">
      <c r="A601" s="60">
        <f t="shared" si="37"/>
        <v>599</v>
      </c>
      <c r="B601" s="61">
        <f t="shared" si="38"/>
        <v>598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 t="str">
        <f>IF(OR(工程基本資料!$B$7="",工程基本資料!$B$7=0),"",工程基本資料!$B$8+工程基本資料!$B$7+$L601+$M601-1)</f>
        <v/>
      </c>
    </row>
    <row r="602" spans="1:17" ht="63" customHeight="1" x14ac:dyDescent="0.3">
      <c r="A602" s="60">
        <f t="shared" si="37"/>
        <v>600</v>
      </c>
      <c r="B602" s="61">
        <f t="shared" si="38"/>
        <v>599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 t="str">
        <f>IF(OR(工程基本資料!$B$7="",工程基本資料!$B$7=0),"",工程基本資料!$B$8+工程基本資料!$B$7+$L602+$M602-1)</f>
        <v/>
      </c>
    </row>
    <row r="603" spans="1:17" ht="63" customHeight="1" x14ac:dyDescent="0.3">
      <c r="A603" s="60">
        <f t="shared" si="37"/>
        <v>601</v>
      </c>
      <c r="B603" s="61">
        <f t="shared" si="38"/>
        <v>600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 t="str">
        <f>IF(OR(工程基本資料!$B$7="",工程基本資料!$B$7=0),"",工程基本資料!$B$8+工程基本資料!$B$7+$L603+$M603-1)</f>
        <v/>
      </c>
    </row>
    <row r="604" spans="1:17" ht="63" customHeight="1" x14ac:dyDescent="0.3">
      <c r="A604" s="60">
        <f t="shared" si="37"/>
        <v>602</v>
      </c>
      <c r="B604" s="61">
        <f t="shared" si="38"/>
        <v>601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 t="str">
        <f>IF(OR(工程基本資料!$B$7="",工程基本資料!$B$7=0),"",工程基本資料!$B$8+工程基本資料!$B$7+$L604+$M604-1)</f>
        <v/>
      </c>
    </row>
    <row r="605" spans="1:17" ht="63" customHeight="1" x14ac:dyDescent="0.3">
      <c r="A605" s="60">
        <f t="shared" si="37"/>
        <v>603</v>
      </c>
      <c r="B605" s="61">
        <f t="shared" si="38"/>
        <v>602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 t="str">
        <f>IF(OR(工程基本資料!$B$7="",工程基本資料!$B$7=0),"",工程基本資料!$B$8+工程基本資料!$B$7+$L605+$M605-1)</f>
        <v/>
      </c>
    </row>
    <row r="606" spans="1:17" ht="63" customHeight="1" x14ac:dyDescent="0.3">
      <c r="A606" s="60">
        <f t="shared" si="37"/>
        <v>604</v>
      </c>
      <c r="B606" s="61">
        <f t="shared" si="38"/>
        <v>603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 t="str">
        <f>IF(OR(工程基本資料!$B$7="",工程基本資料!$B$7=0),"",工程基本資料!$B$8+工程基本資料!$B$7+$L606+$M606-1)</f>
        <v/>
      </c>
    </row>
    <row r="607" spans="1:17" ht="63" customHeight="1" x14ac:dyDescent="0.3">
      <c r="A607" s="60">
        <f t="shared" si="37"/>
        <v>605</v>
      </c>
      <c r="B607" s="61">
        <f t="shared" si="38"/>
        <v>604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 t="str">
        <f>IF(OR(工程基本資料!$B$7="",工程基本資料!$B$7=0),"",工程基本資料!$B$8+工程基本資料!$B$7+$L607+$M607-1)</f>
        <v/>
      </c>
    </row>
    <row r="608" spans="1:17" ht="63" customHeight="1" x14ac:dyDescent="0.3">
      <c r="A608" s="60">
        <f t="shared" si="37"/>
        <v>606</v>
      </c>
      <c r="B608" s="61">
        <f t="shared" si="38"/>
        <v>605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 t="str">
        <f>IF(OR(工程基本資料!$B$7="",工程基本資料!$B$7=0),"",工程基本資料!$B$8+工程基本資料!$B$7+$L608+$M608-1)</f>
        <v/>
      </c>
    </row>
    <row r="609" spans="1:16" ht="63" customHeight="1" x14ac:dyDescent="0.3">
      <c r="A609" s="60">
        <f t="shared" si="37"/>
        <v>607</v>
      </c>
      <c r="B609" s="61">
        <f t="shared" si="38"/>
        <v>606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 t="str">
        <f>IF(OR(工程基本資料!$B$7="",工程基本資料!$B$7=0),"",工程基本資料!$B$8+工程基本資料!$B$7+$L609+$M609-1)</f>
        <v/>
      </c>
    </row>
    <row r="610" spans="1:16" ht="63" customHeight="1" x14ac:dyDescent="0.3">
      <c r="A610" s="60">
        <f t="shared" si="37"/>
        <v>608</v>
      </c>
      <c r="B610" s="61">
        <f t="shared" si="38"/>
        <v>607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 t="str">
        <f>IF(OR(工程基本資料!$B$7="",工程基本資料!$B$7=0),"",工程基本資料!$B$8+工程基本資料!$B$7+$L610+$M610-1)</f>
        <v/>
      </c>
    </row>
    <row r="611" spans="1:16" ht="63" customHeight="1" x14ac:dyDescent="0.3">
      <c r="A611" s="60">
        <f t="shared" si="37"/>
        <v>609</v>
      </c>
      <c r="B611" s="61">
        <f t="shared" si="38"/>
        <v>608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 t="str">
        <f>IF(OR(工程基本資料!$B$7="",工程基本資料!$B$7=0),"",工程基本資料!$B$8+工程基本資料!$B$7+$L611+$M611-1)</f>
        <v/>
      </c>
    </row>
    <row r="612" spans="1:16" ht="63" customHeight="1" x14ac:dyDescent="0.3">
      <c r="A612" s="60">
        <f t="shared" si="37"/>
        <v>610</v>
      </c>
      <c r="B612" s="61">
        <f t="shared" si="38"/>
        <v>609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 t="str">
        <f>IF(OR(工程基本資料!$B$7="",工程基本資料!$B$7=0),"",工程基本資料!$B$8+工程基本資料!$B$7+$L612+$M612-1)</f>
        <v/>
      </c>
    </row>
    <row r="613" spans="1:16" ht="63" customHeight="1" x14ac:dyDescent="0.3">
      <c r="A613" s="60">
        <f t="shared" si="37"/>
        <v>611</v>
      </c>
      <c r="B613" s="61">
        <f t="shared" si="38"/>
        <v>610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 t="str">
        <f>IF(OR(工程基本資料!$B$7="",工程基本資料!$B$7=0),"",工程基本資料!$B$8+工程基本資料!$B$7+$L613+$M613-1)</f>
        <v/>
      </c>
    </row>
    <row r="614" spans="1:16" ht="63" customHeight="1" x14ac:dyDescent="0.3">
      <c r="A614" s="60">
        <f t="shared" si="37"/>
        <v>612</v>
      </c>
      <c r="B614" s="61">
        <f t="shared" si="38"/>
        <v>611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 t="str">
        <f>IF(OR(工程基本資料!$B$7="",工程基本資料!$B$7=0),"",工程基本資料!$B$8+工程基本資料!$B$7+$L614+$M614-1)</f>
        <v/>
      </c>
    </row>
    <row r="615" spans="1:16" ht="63" customHeight="1" x14ac:dyDescent="0.3">
      <c r="A615" s="60">
        <f t="shared" si="37"/>
        <v>613</v>
      </c>
      <c r="B615" s="61">
        <f t="shared" si="38"/>
        <v>612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 t="str">
        <f>IF(OR(工程基本資料!$B$7="",工程基本資料!$B$7=0),"",工程基本資料!$B$8+工程基本資料!$B$7+$L615+$M615-1)</f>
        <v/>
      </c>
    </row>
    <row r="616" spans="1:16" ht="63" customHeight="1" x14ac:dyDescent="0.3">
      <c r="A616" s="60">
        <f t="shared" si="37"/>
        <v>614</v>
      </c>
      <c r="B616" s="61">
        <f t="shared" si="38"/>
        <v>613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 t="str">
        <f>IF(OR(工程基本資料!$B$7="",工程基本資料!$B$7=0),"",工程基本資料!$B$8+工程基本資料!$B$7+$L616+$M616-1)</f>
        <v/>
      </c>
    </row>
    <row r="617" spans="1:16" ht="63" customHeight="1" x14ac:dyDescent="0.3">
      <c r="A617" s="60">
        <f t="shared" si="37"/>
        <v>615</v>
      </c>
      <c r="B617" s="61">
        <f t="shared" si="38"/>
        <v>614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 t="str">
        <f>IF(OR(工程基本資料!$B$7="",工程基本資料!$B$7=0),"",工程基本資料!$B$8+工程基本資料!$B$7+$L617+$M617-1)</f>
        <v/>
      </c>
    </row>
    <row r="618" spans="1:16" ht="63" customHeight="1" x14ac:dyDescent="0.3">
      <c r="A618" s="60">
        <f t="shared" si="37"/>
        <v>616</v>
      </c>
      <c r="B618" s="61">
        <f t="shared" si="38"/>
        <v>615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 t="str">
        <f>IF(OR(工程基本資料!$B$7="",工程基本資料!$B$7=0),"",工程基本資料!$B$8+工程基本資料!$B$7+$L618+$M618-1)</f>
        <v/>
      </c>
    </row>
    <row r="619" spans="1:16" ht="63" customHeight="1" x14ac:dyDescent="0.3">
      <c r="A619" s="60">
        <f t="shared" si="37"/>
        <v>617</v>
      </c>
      <c r="B619" s="61">
        <f t="shared" si="38"/>
        <v>616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 t="str">
        <f>IF(OR(工程基本資料!$B$7="",工程基本資料!$B$7=0),"",工程基本資料!$B$8+工程基本資料!$B$7+$L619+$M619-1)</f>
        <v/>
      </c>
    </row>
    <row r="620" spans="1:16" ht="63" customHeight="1" x14ac:dyDescent="0.3">
      <c r="A620" s="60">
        <f t="shared" si="37"/>
        <v>618</v>
      </c>
      <c r="B620" s="61">
        <f t="shared" si="38"/>
        <v>617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 t="str">
        <f>IF(OR(工程基本資料!$B$7="",工程基本資料!$B$7=0),"",工程基本資料!$B$8+工程基本資料!$B$7+$L620+$M620-1)</f>
        <v/>
      </c>
    </row>
    <row r="621" spans="1:16" ht="63" customHeight="1" x14ac:dyDescent="0.3">
      <c r="A621" s="60">
        <f t="shared" si="37"/>
        <v>619</v>
      </c>
      <c r="B621" s="61">
        <f t="shared" si="38"/>
        <v>618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 t="str">
        <f>IF(OR(工程基本資料!$B$7="",工程基本資料!$B$7=0),"",工程基本資料!$B$8+工程基本資料!$B$7+$L621+$M621-1)</f>
        <v/>
      </c>
    </row>
    <row r="622" spans="1:16" ht="63" customHeight="1" x14ac:dyDescent="0.3">
      <c r="A622" s="60">
        <f t="shared" si="37"/>
        <v>620</v>
      </c>
      <c r="B622" s="61">
        <f t="shared" si="38"/>
        <v>619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 t="str">
        <f>IF(OR(工程基本資料!$B$7="",工程基本資料!$B$7=0),"",工程基本資料!$B$8+工程基本資料!$B$7+$L622+$M622-1)</f>
        <v/>
      </c>
    </row>
    <row r="623" spans="1:16" ht="63" customHeight="1" x14ac:dyDescent="0.3">
      <c r="A623" s="60">
        <f t="shared" si="37"/>
        <v>621</v>
      </c>
      <c r="B623" s="61">
        <f t="shared" si="38"/>
        <v>620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 t="str">
        <f>IF(OR(工程基本資料!$B$7="",工程基本資料!$B$7=0),"",工程基本資料!$B$8+工程基本資料!$B$7+$L623+$M623-1)</f>
        <v/>
      </c>
    </row>
    <row r="624" spans="1:16" ht="63" customHeight="1" x14ac:dyDescent="0.3">
      <c r="A624" s="60">
        <f t="shared" si="37"/>
        <v>622</v>
      </c>
      <c r="B624" s="61">
        <f t="shared" si="38"/>
        <v>621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 t="str">
        <f>IF(OR(工程基本資料!$B$7="",工程基本資料!$B$7=0),"",工程基本資料!$B$8+工程基本資料!$B$7+$L624+$M624-1)</f>
        <v/>
      </c>
    </row>
    <row r="625" spans="1:16" ht="63" customHeight="1" x14ac:dyDescent="0.3">
      <c r="A625" s="60">
        <f t="shared" si="37"/>
        <v>623</v>
      </c>
      <c r="B625" s="61">
        <f t="shared" si="38"/>
        <v>622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 t="str">
        <f>IF(OR(工程基本資料!$B$7="",工程基本資料!$B$7=0),"",工程基本資料!$B$8+工程基本資料!$B$7+$L625+$M625-1)</f>
        <v/>
      </c>
    </row>
    <row r="626" spans="1:16" ht="63" customHeight="1" x14ac:dyDescent="0.3">
      <c r="A626" s="60">
        <f t="shared" si="37"/>
        <v>624</v>
      </c>
      <c r="B626" s="61">
        <f t="shared" si="38"/>
        <v>623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 t="str">
        <f>IF(OR(工程基本資料!$B$7="",工程基本資料!$B$7=0),"",工程基本資料!$B$8+工程基本資料!$B$7+$L626+$M626-1)</f>
        <v/>
      </c>
    </row>
    <row r="627" spans="1:16" ht="63" customHeight="1" x14ac:dyDescent="0.3">
      <c r="A627" s="60">
        <f t="shared" si="37"/>
        <v>625</v>
      </c>
      <c r="B627" s="61">
        <f t="shared" si="38"/>
        <v>624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 t="str">
        <f>IF(OR(工程基本資料!$B$7="",工程基本資料!$B$7=0),"",工程基本資料!$B$8+工程基本資料!$B$7+$L627+$M627-1)</f>
        <v/>
      </c>
    </row>
    <row r="628" spans="1:16" ht="68.400000000000006" x14ac:dyDescent="0.3">
      <c r="A628" s="60">
        <f t="shared" si="37"/>
        <v>626</v>
      </c>
      <c r="B628" s="61">
        <f t="shared" si="38"/>
        <v>625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 t="str">
        <f>IF(OR(工程基本資料!$B$7="",工程基本資料!$B$7=0),"",工程基本資料!$B$8+工程基本資料!$B$7+$L628+$M628-1)</f>
        <v/>
      </c>
    </row>
    <row r="629" spans="1:16" ht="68.400000000000006" x14ac:dyDescent="0.3">
      <c r="A629" s="60">
        <f t="shared" si="37"/>
        <v>627</v>
      </c>
      <c r="B629" s="61">
        <f t="shared" si="38"/>
        <v>626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 t="str">
        <f>IF(OR(工程基本資料!$B$7="",工程基本資料!$B$7=0),"",工程基本資料!$B$8+工程基本資料!$B$7+$L629+$M629-1)</f>
        <v/>
      </c>
    </row>
    <row r="630" spans="1:16" ht="68.400000000000006" x14ac:dyDescent="0.3">
      <c r="A630" s="60">
        <f t="shared" si="37"/>
        <v>628</v>
      </c>
      <c r="B630" s="61">
        <f t="shared" si="38"/>
        <v>627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 t="str">
        <f>IF(OR(工程基本資料!$B$7="",工程基本資料!$B$7=0),"",工程基本資料!$B$8+工程基本資料!$B$7+$L630+$M630-1)</f>
        <v/>
      </c>
    </row>
    <row r="631" spans="1:16" ht="68.400000000000006" x14ac:dyDescent="0.3">
      <c r="A631" s="60">
        <f t="shared" si="37"/>
        <v>629</v>
      </c>
      <c r="B631" s="61">
        <f t="shared" si="38"/>
        <v>628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 t="str">
        <f>IF(OR(工程基本資料!$B$7="",工程基本資料!$B$7=0),"",工程基本資料!$B$8+工程基本資料!$B$7+$L631+$M631-1)</f>
        <v/>
      </c>
    </row>
    <row r="632" spans="1:16" ht="68.400000000000006" x14ac:dyDescent="0.3">
      <c r="A632" s="60">
        <f t="shared" si="37"/>
        <v>630</v>
      </c>
      <c r="B632" s="61">
        <f t="shared" si="38"/>
        <v>629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 t="str">
        <f>IF(OR(工程基本資料!$B$7="",工程基本資料!$B$7=0),"",工程基本資料!$B$8+工程基本資料!$B$7+$L632+$M632-1)</f>
        <v/>
      </c>
    </row>
    <row r="633" spans="1:16" ht="68.400000000000006" x14ac:dyDescent="0.3">
      <c r="A633" s="60">
        <f t="shared" si="37"/>
        <v>631</v>
      </c>
      <c r="B633" s="61">
        <f t="shared" si="38"/>
        <v>630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 t="str">
        <f>IF(OR(工程基本資料!$B$7="",工程基本資料!$B$7=0),"",工程基本資料!$B$8+工程基本資料!$B$7+$L633+$M633-1)</f>
        <v/>
      </c>
    </row>
    <row r="634" spans="1:16" ht="68.400000000000006" x14ac:dyDescent="0.3">
      <c r="A634" s="60">
        <f t="shared" si="37"/>
        <v>632</v>
      </c>
      <c r="B634" s="61">
        <f t="shared" si="38"/>
        <v>631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 t="str">
        <f>IF(OR(工程基本資料!$B$7="",工程基本資料!$B$7=0),"",工程基本資料!$B$8+工程基本資料!$B$7+$L634+$M634-1)</f>
        <v/>
      </c>
    </row>
    <row r="635" spans="1:16" ht="68.400000000000006" x14ac:dyDescent="0.3">
      <c r="A635" s="60">
        <f t="shared" si="37"/>
        <v>633</v>
      </c>
      <c r="B635" s="61">
        <f t="shared" si="38"/>
        <v>632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 t="str">
        <f>IF(OR(工程基本資料!$B$7="",工程基本資料!$B$7=0),"",工程基本資料!$B$8+工程基本資料!$B$7+$L635+$M635-1)</f>
        <v/>
      </c>
    </row>
    <row r="636" spans="1:16" ht="68.400000000000006" x14ac:dyDescent="0.3">
      <c r="A636" s="60">
        <f t="shared" si="37"/>
        <v>634</v>
      </c>
      <c r="B636" s="61">
        <f t="shared" si="38"/>
        <v>633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 t="str">
        <f>IF(OR(工程基本資料!$B$7="",工程基本資料!$B$7=0),"",工程基本資料!$B$8+工程基本資料!$B$7+$L636+$M636-1)</f>
        <v/>
      </c>
    </row>
    <row r="637" spans="1:16" ht="68.400000000000006" x14ac:dyDescent="0.3">
      <c r="A637" s="60">
        <f t="shared" si="37"/>
        <v>635</v>
      </c>
      <c r="B637" s="61">
        <f t="shared" si="38"/>
        <v>634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 t="str">
        <f>IF(OR(工程基本資料!$B$7="",工程基本資料!$B$7=0),"",工程基本資料!$B$8+工程基本資料!$B$7+$L637+$M637-1)</f>
        <v/>
      </c>
    </row>
    <row r="638" spans="1:16" ht="68.400000000000006" x14ac:dyDescent="0.3">
      <c r="A638" s="60">
        <f t="shared" si="37"/>
        <v>636</v>
      </c>
      <c r="B638" s="61">
        <f t="shared" si="38"/>
        <v>635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 t="str">
        <f>IF(OR(工程基本資料!$B$7="",工程基本資料!$B$7=0),"",工程基本資料!$B$8+工程基本資料!$B$7+$L638+$M638-1)</f>
        <v/>
      </c>
    </row>
    <row r="639" spans="1:16" ht="68.400000000000006" x14ac:dyDescent="0.3">
      <c r="A639" s="60">
        <f t="shared" si="37"/>
        <v>637</v>
      </c>
      <c r="B639" s="61">
        <f t="shared" si="38"/>
        <v>636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 t="str">
        <f>IF(OR(工程基本資料!$B$7="",工程基本資料!$B$7=0),"",工程基本資料!$B$8+工程基本資料!$B$7+$L639+$M639-1)</f>
        <v/>
      </c>
    </row>
    <row r="640" spans="1:16" ht="68.400000000000006" x14ac:dyDescent="0.3">
      <c r="A640" s="60">
        <f t="shared" si="37"/>
        <v>638</v>
      </c>
      <c r="B640" s="61">
        <f t="shared" si="38"/>
        <v>637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 t="str">
        <f>IF(OR(工程基本資料!$B$7="",工程基本資料!$B$7=0),"",工程基本資料!$B$8+工程基本資料!$B$7+$L640+$M640-1)</f>
        <v/>
      </c>
    </row>
    <row r="641" spans="1:16" ht="68.400000000000006" x14ac:dyDescent="0.3">
      <c r="A641" s="60">
        <f t="shared" si="37"/>
        <v>639</v>
      </c>
      <c r="B641" s="61">
        <f t="shared" si="38"/>
        <v>638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 t="str">
        <f>IF(OR(工程基本資料!$B$7="",工程基本資料!$B$7=0),"",工程基本資料!$B$8+工程基本資料!$B$7+$L641+$M641-1)</f>
        <v/>
      </c>
    </row>
    <row r="642" spans="1:16" ht="68.400000000000006" x14ac:dyDescent="0.3">
      <c r="A642" s="60">
        <f t="shared" si="37"/>
        <v>640</v>
      </c>
      <c r="B642" s="61">
        <f t="shared" si="38"/>
        <v>639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 t="str">
        <f>IF(OR(工程基本資料!$B$7="",工程基本資料!$B$7=0),"",工程基本資料!$B$8+工程基本資料!$B$7+$L642+$M642-1)</f>
        <v/>
      </c>
    </row>
    <row r="643" spans="1:16" ht="68.400000000000006" x14ac:dyDescent="0.3">
      <c r="A643" s="60">
        <f t="shared" si="37"/>
        <v>641</v>
      </c>
      <c r="B643" s="61">
        <f t="shared" si="38"/>
        <v>640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 t="str">
        <f>IF(OR(工程基本資料!$B$7="",工程基本資料!$B$7=0),"",工程基本資料!$B$8+工程基本資料!$B$7+$L643+$M643-1)</f>
        <v/>
      </c>
    </row>
    <row r="644" spans="1:16" ht="68.400000000000006" x14ac:dyDescent="0.3">
      <c r="A644" s="60">
        <f t="shared" si="37"/>
        <v>642</v>
      </c>
      <c r="B644" s="61">
        <f t="shared" si="38"/>
        <v>641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 t="str">
        <f>IF(OR(工程基本資料!$B$7="",工程基本資料!$B$7=0),"",工程基本資料!$B$8+工程基本資料!$B$7+$L644+$M644-1)</f>
        <v/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 t="str">
        <f>IF(OR(工程基本資料!$B$7="",工程基本資料!$B$7=0),"",工程基本資料!$B$8+工程基本資料!$B$7+$L645+$M645-1)</f>
        <v/>
      </c>
    </row>
    <row r="646" spans="1:16" x14ac:dyDescent="0.3">
      <c r="A646" s="60">
        <f t="shared" si="41"/>
        <v>644</v>
      </c>
      <c r="B646" s="61">
        <f t="shared" si="42"/>
        <v>643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 t="str">
        <f>IF(OR(工程基本資料!$B$7="",工程基本資料!$B$7=0),"",工程基本資料!$B$8+工程基本資料!$B$7+$L646+$M646-1)</f>
        <v/>
      </c>
    </row>
    <row r="647" spans="1:16" x14ac:dyDescent="0.3">
      <c r="A647" s="60">
        <f t="shared" si="41"/>
        <v>645</v>
      </c>
      <c r="B647" s="61">
        <f t="shared" si="42"/>
        <v>644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 t="str">
        <f>IF(OR(工程基本資料!$B$7="",工程基本資料!$B$7=0),"",工程基本資料!$B$8+工程基本資料!$B$7+$L647+$M647-1)</f>
        <v/>
      </c>
    </row>
    <row r="648" spans="1:16" x14ac:dyDescent="0.3">
      <c r="A648" s="60">
        <f t="shared" si="41"/>
        <v>646</v>
      </c>
      <c r="B648" s="61">
        <f t="shared" si="42"/>
        <v>645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 t="str">
        <f>IF(OR(工程基本資料!$B$7="",工程基本資料!$B$7=0),"",工程基本資料!$B$8+工程基本資料!$B$7+$L648+$M648-1)</f>
        <v/>
      </c>
    </row>
    <row r="649" spans="1:16" x14ac:dyDescent="0.3">
      <c r="A649" s="60">
        <f t="shared" si="41"/>
        <v>647</v>
      </c>
      <c r="B649" s="61">
        <f t="shared" si="42"/>
        <v>646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 t="str">
        <f>IF(OR(工程基本資料!$B$7="",工程基本資料!$B$7=0),"",工程基本資料!$B$8+工程基本資料!$B$7+$L649+$M649-1)</f>
        <v/>
      </c>
    </row>
    <row r="650" spans="1:16" x14ac:dyDescent="0.3">
      <c r="A650" s="60">
        <f t="shared" si="41"/>
        <v>648</v>
      </c>
      <c r="B650" s="61">
        <f t="shared" si="42"/>
        <v>647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 t="str">
        <f>IF(OR(工程基本資料!$B$7="",工程基本資料!$B$7=0),"",工程基本資料!$B$8+工程基本資料!$B$7+$L650+$M650-1)</f>
        <v/>
      </c>
    </row>
    <row r="651" spans="1:16" x14ac:dyDescent="0.3">
      <c r="A651" s="60">
        <f t="shared" si="41"/>
        <v>649</v>
      </c>
      <c r="B651" s="61">
        <f t="shared" si="42"/>
        <v>648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 t="str">
        <f>IF(OR(工程基本資料!$B$7="",工程基本資料!$B$7=0),"",工程基本資料!$B$8+工程基本資料!$B$7+$L651+$M651-1)</f>
        <v/>
      </c>
    </row>
    <row r="652" spans="1:16" x14ac:dyDescent="0.3">
      <c r="A652" s="60">
        <f t="shared" si="41"/>
        <v>650</v>
      </c>
      <c r="B652" s="61">
        <f t="shared" si="42"/>
        <v>649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 t="str">
        <f>IF(OR(工程基本資料!$B$7="",工程基本資料!$B$7=0),"",工程基本資料!$B$8+工程基本資料!$B$7+$L652+$M652-1)</f>
        <v/>
      </c>
    </row>
    <row r="653" spans="1:16" x14ac:dyDescent="0.3">
      <c r="A653" s="60">
        <f t="shared" si="41"/>
        <v>651</v>
      </c>
      <c r="B653" s="61">
        <f t="shared" si="42"/>
        <v>650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 t="str">
        <f>IF(OR(工程基本資料!$B$7="",工程基本資料!$B$7=0),"",工程基本資料!$B$8+工程基本資料!$B$7+$L653+$M653-1)</f>
        <v/>
      </c>
    </row>
    <row r="654" spans="1:16" x14ac:dyDescent="0.3">
      <c r="A654" s="60">
        <f t="shared" si="41"/>
        <v>652</v>
      </c>
      <c r="B654" s="61">
        <f t="shared" si="42"/>
        <v>651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 t="str">
        <f>IF(OR(工程基本資料!$B$7="",工程基本資料!$B$7=0),"",工程基本資料!$B$8+工程基本資料!$B$7+$L654+$M654-1)</f>
        <v/>
      </c>
    </row>
    <row r="655" spans="1:16" x14ac:dyDescent="0.3">
      <c r="A655" s="60">
        <f t="shared" si="41"/>
        <v>653</v>
      </c>
      <c r="B655" s="61">
        <f t="shared" si="42"/>
        <v>652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 t="str">
        <f>IF(OR(工程基本資料!$B$7="",工程基本資料!$B$7=0),"",工程基本資料!$B$8+工程基本資料!$B$7+$L655+$M655-1)</f>
        <v/>
      </c>
    </row>
    <row r="656" spans="1:16" x14ac:dyDescent="0.3">
      <c r="A656" s="60">
        <f t="shared" si="41"/>
        <v>654</v>
      </c>
      <c r="B656" s="61">
        <f t="shared" si="42"/>
        <v>653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 t="str">
        <f>IF(OR(工程基本資料!$B$7="",工程基本資料!$B$7=0),"",工程基本資料!$B$8+工程基本資料!$B$7+$L656+$M656-1)</f>
        <v/>
      </c>
    </row>
    <row r="657" spans="1:16" x14ac:dyDescent="0.3">
      <c r="A657" s="60">
        <f t="shared" si="41"/>
        <v>655</v>
      </c>
      <c r="B657" s="61">
        <f t="shared" si="42"/>
        <v>654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 t="str">
        <f>IF(OR(工程基本資料!$B$7="",工程基本資料!$B$7=0),"",工程基本資料!$B$8+工程基本資料!$B$7+$L657+$M657-1)</f>
        <v/>
      </c>
    </row>
    <row r="658" spans="1:16" x14ac:dyDescent="0.3">
      <c r="A658" s="60">
        <f t="shared" si="41"/>
        <v>656</v>
      </c>
      <c r="B658" s="61">
        <f t="shared" si="42"/>
        <v>655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 t="str">
        <f>IF(OR(工程基本資料!$B$7="",工程基本資料!$B$7=0),"",工程基本資料!$B$8+工程基本資料!$B$7+$L658+$M658-1)</f>
        <v/>
      </c>
    </row>
    <row r="659" spans="1:16" x14ac:dyDescent="0.3">
      <c r="A659" s="60">
        <f t="shared" si="41"/>
        <v>657</v>
      </c>
      <c r="B659" s="61">
        <f t="shared" si="42"/>
        <v>656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 t="str">
        <f>IF(OR(工程基本資料!$B$7="",工程基本資料!$B$7=0),"",工程基本資料!$B$8+工程基本資料!$B$7+$L659+$M659-1)</f>
        <v/>
      </c>
    </row>
    <row r="660" spans="1:16" x14ac:dyDescent="0.3">
      <c r="A660" s="60">
        <f t="shared" si="41"/>
        <v>658</v>
      </c>
      <c r="B660" s="61">
        <f t="shared" si="42"/>
        <v>657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 t="str">
        <f>IF(OR(工程基本資料!$B$7="",工程基本資料!$B$7=0),"",工程基本資料!$B$8+工程基本資料!$B$7+$L660+$M660-1)</f>
        <v/>
      </c>
    </row>
    <row r="661" spans="1:16" x14ac:dyDescent="0.3">
      <c r="A661" s="60">
        <f t="shared" si="41"/>
        <v>659</v>
      </c>
      <c r="B661" s="61">
        <f t="shared" si="42"/>
        <v>658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 t="str">
        <f>IF(OR(工程基本資料!$B$7="",工程基本資料!$B$7=0),"",工程基本資料!$B$8+工程基本資料!$B$7+$L661+$M661-1)</f>
        <v/>
      </c>
    </row>
    <row r="662" spans="1:16" x14ac:dyDescent="0.3">
      <c r="A662" s="60">
        <f t="shared" si="41"/>
        <v>660</v>
      </c>
      <c r="B662" s="61">
        <f t="shared" si="42"/>
        <v>659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 t="str">
        <f>IF(OR(工程基本資料!$B$7="",工程基本資料!$B$7=0),"",工程基本資料!$B$8+工程基本資料!$B$7+$L662+$M662-1)</f>
        <v/>
      </c>
    </row>
    <row r="663" spans="1:16" x14ac:dyDescent="0.3">
      <c r="A663" s="60">
        <f t="shared" si="41"/>
        <v>661</v>
      </c>
      <c r="B663" s="61">
        <f t="shared" si="42"/>
        <v>660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 t="str">
        <f>IF(OR(工程基本資料!$B$7="",工程基本資料!$B$7=0),"",工程基本資料!$B$8+工程基本資料!$B$7+$L663+$M663-1)</f>
        <v/>
      </c>
    </row>
    <row r="664" spans="1:16" x14ac:dyDescent="0.3">
      <c r="A664" s="60">
        <f t="shared" si="41"/>
        <v>662</v>
      </c>
      <c r="B664" s="61">
        <f t="shared" si="42"/>
        <v>661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 t="str">
        <f>IF(OR(工程基本資料!$B$7="",工程基本資料!$B$7=0),"",工程基本資料!$B$8+工程基本資料!$B$7+$L664+$M664-1)</f>
        <v/>
      </c>
    </row>
    <row r="665" spans="1:16" x14ac:dyDescent="0.3">
      <c r="A665" s="60">
        <f t="shared" si="41"/>
        <v>663</v>
      </c>
      <c r="B665" s="61">
        <f t="shared" si="42"/>
        <v>662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 t="str">
        <f>IF(OR(工程基本資料!$B$7="",工程基本資料!$B$7=0),"",工程基本資料!$B$8+工程基本資料!$B$7+$L665+$M665-1)</f>
        <v/>
      </c>
    </row>
    <row r="666" spans="1:16" x14ac:dyDescent="0.3">
      <c r="A666" s="60">
        <f t="shared" si="41"/>
        <v>664</v>
      </c>
      <c r="B666" s="61">
        <f t="shared" si="42"/>
        <v>663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 t="str">
        <f>IF(OR(工程基本資料!$B$7="",工程基本資料!$B$7=0),"",工程基本資料!$B$8+工程基本資料!$B$7+$L666+$M666-1)</f>
        <v/>
      </c>
    </row>
    <row r="667" spans="1:16" x14ac:dyDescent="0.3">
      <c r="A667" s="60">
        <f t="shared" si="41"/>
        <v>665</v>
      </c>
      <c r="B667" s="61">
        <f t="shared" si="42"/>
        <v>664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 t="str">
        <f>IF(OR(工程基本資料!$B$7="",工程基本資料!$B$7=0),"",工程基本資料!$B$8+工程基本資料!$B$7+$L667+$M667-1)</f>
        <v/>
      </c>
    </row>
    <row r="668" spans="1:16" x14ac:dyDescent="0.3">
      <c r="A668" s="60">
        <f t="shared" si="41"/>
        <v>666</v>
      </c>
      <c r="B668" s="61">
        <f t="shared" si="42"/>
        <v>665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 t="str">
        <f>IF(OR(工程基本資料!$B$7="",工程基本資料!$B$7=0),"",工程基本資料!$B$8+工程基本資料!$B$7+$L668+$M668-1)</f>
        <v/>
      </c>
    </row>
    <row r="669" spans="1:16" x14ac:dyDescent="0.3">
      <c r="A669" s="60">
        <f t="shared" si="41"/>
        <v>667</v>
      </c>
      <c r="B669" s="61">
        <f t="shared" si="42"/>
        <v>666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 t="str">
        <f>IF(OR(工程基本資料!$B$7="",工程基本資料!$B$7=0),"",工程基本資料!$B$8+工程基本資料!$B$7+$L669+$M669-1)</f>
        <v/>
      </c>
    </row>
    <row r="670" spans="1:16" x14ac:dyDescent="0.3">
      <c r="A670" s="60">
        <f t="shared" si="41"/>
        <v>668</v>
      </c>
      <c r="B670" s="61">
        <f t="shared" si="42"/>
        <v>667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 t="str">
        <f>IF(OR(工程基本資料!$B$7="",工程基本資料!$B$7=0),"",工程基本資料!$B$8+工程基本資料!$B$7+$L670+$M670-1)</f>
        <v/>
      </c>
    </row>
    <row r="671" spans="1:16" x14ac:dyDescent="0.3">
      <c r="A671" s="60">
        <f t="shared" si="41"/>
        <v>669</v>
      </c>
      <c r="B671" s="61">
        <f t="shared" si="42"/>
        <v>668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 t="str">
        <f>IF(OR(工程基本資料!$B$7="",工程基本資料!$B$7=0),"",工程基本資料!$B$8+工程基本資料!$B$7+$L671+$M671-1)</f>
        <v/>
      </c>
    </row>
    <row r="672" spans="1:16" x14ac:dyDescent="0.3">
      <c r="A672" s="60">
        <f t="shared" si="41"/>
        <v>670</v>
      </c>
      <c r="B672" s="61">
        <f t="shared" si="42"/>
        <v>669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 t="str">
        <f>IF(OR(工程基本資料!$B$7="",工程基本資料!$B$7=0),"",工程基本資料!$B$8+工程基本資料!$B$7+$L672+$M672-1)</f>
        <v/>
      </c>
    </row>
    <row r="673" spans="1:16" x14ac:dyDescent="0.3">
      <c r="A673" s="60">
        <f t="shared" si="41"/>
        <v>671</v>
      </c>
      <c r="B673" s="61">
        <f t="shared" si="42"/>
        <v>670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 t="str">
        <f>IF(OR(工程基本資料!$B$7="",工程基本資料!$B$7=0),"",工程基本資料!$B$8+工程基本資料!$B$7+$L673+$M673-1)</f>
        <v/>
      </c>
    </row>
    <row r="674" spans="1:16" x14ac:dyDescent="0.3">
      <c r="A674" s="60">
        <f t="shared" si="41"/>
        <v>672</v>
      </c>
      <c r="B674" s="61">
        <f t="shared" si="42"/>
        <v>671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 t="str">
        <f>IF(OR(工程基本資料!$B$7="",工程基本資料!$B$7=0),"",工程基本資料!$B$8+工程基本資料!$B$7+$L674+$M674-1)</f>
        <v/>
      </c>
    </row>
    <row r="675" spans="1:16" x14ac:dyDescent="0.3">
      <c r="A675" s="60">
        <f t="shared" si="41"/>
        <v>673</v>
      </c>
      <c r="B675" s="61">
        <f t="shared" si="42"/>
        <v>672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 t="str">
        <f>IF(OR(工程基本資料!$B$7="",工程基本資料!$B$7=0),"",工程基本資料!$B$8+工程基本資料!$B$7+$L675+$M675-1)</f>
        <v/>
      </c>
    </row>
    <row r="676" spans="1:16" x14ac:dyDescent="0.3">
      <c r="A676" s="60">
        <f t="shared" si="41"/>
        <v>674</v>
      </c>
      <c r="B676" s="61">
        <f t="shared" si="42"/>
        <v>673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 t="str">
        <f>IF(OR(工程基本資料!$B$7="",工程基本資料!$B$7=0),"",工程基本資料!$B$8+工程基本資料!$B$7+$L676+$M676-1)</f>
        <v/>
      </c>
    </row>
    <row r="677" spans="1:16" x14ac:dyDescent="0.3">
      <c r="A677" s="60">
        <f t="shared" si="41"/>
        <v>675</v>
      </c>
      <c r="B677" s="61">
        <f t="shared" si="42"/>
        <v>674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 t="str">
        <f>IF(OR(工程基本資料!$B$7="",工程基本資料!$B$7=0),"",工程基本資料!$B$8+工程基本資料!$B$7+$L677+$M677-1)</f>
        <v/>
      </c>
    </row>
    <row r="678" spans="1:16" x14ac:dyDescent="0.3">
      <c r="A678" s="60">
        <f t="shared" si="41"/>
        <v>676</v>
      </c>
      <c r="B678" s="61">
        <f t="shared" si="42"/>
        <v>675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 t="str">
        <f>IF(OR(工程基本資料!$B$7="",工程基本資料!$B$7=0),"",工程基本資料!$B$8+工程基本資料!$B$7+$L678+$M678-1)</f>
        <v/>
      </c>
    </row>
    <row r="679" spans="1:16" x14ac:dyDescent="0.3">
      <c r="A679" s="60">
        <f t="shared" si="41"/>
        <v>677</v>
      </c>
      <c r="B679" s="61">
        <f t="shared" si="42"/>
        <v>676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 t="str">
        <f>IF(OR(工程基本資料!$B$7="",工程基本資料!$B$7=0),"",工程基本資料!$B$8+工程基本資料!$B$7+$L679+$M679-1)</f>
        <v/>
      </c>
    </row>
    <row r="680" spans="1:16" x14ac:dyDescent="0.3">
      <c r="A680" s="60">
        <f t="shared" si="41"/>
        <v>678</v>
      </c>
      <c r="B680" s="61">
        <f t="shared" si="42"/>
        <v>677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 t="str">
        <f>IF(OR(工程基本資料!$B$7="",工程基本資料!$B$7=0),"",工程基本資料!$B$8+工程基本資料!$B$7+$L680+$M680-1)</f>
        <v/>
      </c>
    </row>
    <row r="681" spans="1:16" x14ac:dyDescent="0.3">
      <c r="A681" s="60">
        <f t="shared" si="41"/>
        <v>679</v>
      </c>
      <c r="B681" s="61">
        <f t="shared" si="42"/>
        <v>678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 t="str">
        <f>IF(OR(工程基本資料!$B$7="",工程基本資料!$B$7=0),"",工程基本資料!$B$8+工程基本資料!$B$7+$L681+$M681-1)</f>
        <v/>
      </c>
    </row>
    <row r="682" spans="1:16" x14ac:dyDescent="0.3">
      <c r="A682" s="60">
        <f t="shared" si="41"/>
        <v>680</v>
      </c>
      <c r="B682" s="61">
        <f t="shared" si="42"/>
        <v>679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 t="str">
        <f>IF(OR(工程基本資料!$B$7="",工程基本資料!$B$7=0),"",工程基本資料!$B$8+工程基本資料!$B$7+$L682+$M682-1)</f>
        <v/>
      </c>
    </row>
    <row r="683" spans="1:16" x14ac:dyDescent="0.3">
      <c r="A683" s="60">
        <f t="shared" si="41"/>
        <v>681</v>
      </c>
      <c r="B683" s="61">
        <f t="shared" si="42"/>
        <v>680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 t="str">
        <f>IF(OR(工程基本資料!$B$7="",工程基本資料!$B$7=0),"",工程基本資料!$B$8+工程基本資料!$B$7+$L683+$M683-1)</f>
        <v/>
      </c>
    </row>
    <row r="684" spans="1:16" x14ac:dyDescent="0.3">
      <c r="A684" s="60">
        <f t="shared" si="41"/>
        <v>682</v>
      </c>
      <c r="B684" s="61">
        <f t="shared" si="42"/>
        <v>681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 t="str">
        <f>IF(OR(工程基本資料!$B$7="",工程基本資料!$B$7=0),"",工程基本資料!$B$8+工程基本資料!$B$7+$L684+$M684-1)</f>
        <v/>
      </c>
    </row>
    <row r="685" spans="1:16" x14ac:dyDescent="0.3">
      <c r="A685" s="60">
        <f t="shared" si="41"/>
        <v>683</v>
      </c>
      <c r="B685" s="61">
        <f t="shared" si="42"/>
        <v>682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 t="str">
        <f>IF(OR(工程基本資料!$B$7="",工程基本資料!$B$7=0),"",工程基本資料!$B$8+工程基本資料!$B$7+$L685+$M685-1)</f>
        <v/>
      </c>
    </row>
    <row r="686" spans="1:16" x14ac:dyDescent="0.3">
      <c r="A686" s="60">
        <f t="shared" si="41"/>
        <v>684</v>
      </c>
      <c r="B686" s="61">
        <f t="shared" si="42"/>
        <v>683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 t="str">
        <f>IF(OR(工程基本資料!$B$7="",工程基本資料!$B$7=0),"",工程基本資料!$B$8+工程基本資料!$B$7+$L686+$M686-1)</f>
        <v/>
      </c>
    </row>
    <row r="687" spans="1:16" x14ac:dyDescent="0.3">
      <c r="A687" s="60">
        <f t="shared" si="41"/>
        <v>685</v>
      </c>
      <c r="B687" s="61">
        <f t="shared" si="42"/>
        <v>684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 t="str">
        <f>IF(OR(工程基本資料!$B$7="",工程基本資料!$B$7=0),"",工程基本資料!$B$8+工程基本資料!$B$7+$L687+$M687-1)</f>
        <v/>
      </c>
    </row>
    <row r="688" spans="1:16" x14ac:dyDescent="0.3">
      <c r="A688" s="60">
        <f t="shared" si="41"/>
        <v>686</v>
      </c>
      <c r="B688" s="61">
        <f t="shared" si="42"/>
        <v>685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 t="str">
        <f>IF(OR(工程基本資料!$B$7="",工程基本資料!$B$7=0),"",工程基本資料!$B$8+工程基本資料!$B$7+$L688+$M688-1)</f>
        <v/>
      </c>
    </row>
    <row r="689" spans="1:16" x14ac:dyDescent="0.3">
      <c r="A689" s="60">
        <f t="shared" si="41"/>
        <v>687</v>
      </c>
      <c r="B689" s="61">
        <f t="shared" si="42"/>
        <v>686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 t="str">
        <f>IF(OR(工程基本資料!$B$7="",工程基本資料!$B$7=0),"",工程基本資料!$B$8+工程基本資料!$B$7+$L689+$M689-1)</f>
        <v/>
      </c>
    </row>
    <row r="690" spans="1:16" x14ac:dyDescent="0.3">
      <c r="A690" s="60">
        <f t="shared" si="41"/>
        <v>688</v>
      </c>
      <c r="B690" s="61">
        <f t="shared" si="42"/>
        <v>687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 t="str">
        <f>IF(OR(工程基本資料!$B$7="",工程基本資料!$B$7=0),"",工程基本資料!$B$8+工程基本資料!$B$7+$L690+$M690-1)</f>
        <v/>
      </c>
    </row>
    <row r="691" spans="1:16" x14ac:dyDescent="0.3">
      <c r="A691" s="60">
        <f t="shared" si="41"/>
        <v>689</v>
      </c>
      <c r="B691" s="61">
        <f t="shared" si="42"/>
        <v>688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 t="str">
        <f>IF(OR(工程基本資料!$B$7="",工程基本資料!$B$7=0),"",工程基本資料!$B$8+工程基本資料!$B$7+$L691+$M691-1)</f>
        <v/>
      </c>
    </row>
    <row r="692" spans="1:16" x14ac:dyDescent="0.3">
      <c r="A692" s="60">
        <f t="shared" si="41"/>
        <v>690</v>
      </c>
      <c r="B692" s="61">
        <f t="shared" si="42"/>
        <v>689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 t="str">
        <f>IF(OR(工程基本資料!$B$7="",工程基本資料!$B$7=0),"",工程基本資料!$B$8+工程基本資料!$B$7+$L692+$M692-1)</f>
        <v/>
      </c>
    </row>
    <row r="693" spans="1:16" x14ac:dyDescent="0.3">
      <c r="A693" s="60">
        <f t="shared" si="41"/>
        <v>691</v>
      </c>
      <c r="B693" s="61">
        <f t="shared" si="42"/>
        <v>690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 t="str">
        <f>IF(OR(工程基本資料!$B$7="",工程基本資料!$B$7=0),"",工程基本資料!$B$8+工程基本資料!$B$7+$L693+$M693-1)</f>
        <v/>
      </c>
    </row>
    <row r="694" spans="1:16" x14ac:dyDescent="0.3">
      <c r="A694" s="60">
        <f t="shared" si="41"/>
        <v>692</v>
      </c>
      <c r="B694" s="61">
        <f t="shared" si="42"/>
        <v>691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 t="str">
        <f>IF(OR(工程基本資料!$B$7="",工程基本資料!$B$7=0),"",工程基本資料!$B$8+工程基本資料!$B$7+$L694+$M694-1)</f>
        <v/>
      </c>
    </row>
    <row r="695" spans="1:16" x14ac:dyDescent="0.3">
      <c r="A695" s="60">
        <f t="shared" si="41"/>
        <v>693</v>
      </c>
      <c r="B695" s="61">
        <f t="shared" si="42"/>
        <v>692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 t="str">
        <f>IF(OR(工程基本資料!$B$7="",工程基本資料!$B$7=0),"",工程基本資料!$B$8+工程基本資料!$B$7+$L695+$M695-1)</f>
        <v/>
      </c>
    </row>
    <row r="696" spans="1:16" x14ac:dyDescent="0.3">
      <c r="A696" s="60">
        <f t="shared" si="41"/>
        <v>694</v>
      </c>
      <c r="B696" s="61">
        <f t="shared" si="42"/>
        <v>693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 t="str">
        <f>IF(OR(工程基本資料!$B$7="",工程基本資料!$B$7=0),"",工程基本資料!$B$8+工程基本資料!$B$7+$L696+$M696-1)</f>
        <v/>
      </c>
    </row>
    <row r="697" spans="1:16" x14ac:dyDescent="0.3">
      <c r="A697" s="60">
        <f t="shared" si="41"/>
        <v>695</v>
      </c>
      <c r="B697" s="61">
        <f t="shared" si="42"/>
        <v>694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 t="str">
        <f>IF(OR(工程基本資料!$B$7="",工程基本資料!$B$7=0),"",工程基本資料!$B$8+工程基本資料!$B$7+$L697+$M697-1)</f>
        <v/>
      </c>
    </row>
    <row r="698" spans="1:16" x14ac:dyDescent="0.3">
      <c r="A698" s="60">
        <f t="shared" si="41"/>
        <v>696</v>
      </c>
      <c r="B698" s="61">
        <f t="shared" si="42"/>
        <v>695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 t="str">
        <f>IF(OR(工程基本資料!$B$7="",工程基本資料!$B$7=0),"",工程基本資料!$B$8+工程基本資料!$B$7+$L698+$M698-1)</f>
        <v/>
      </c>
    </row>
    <row r="699" spans="1:16" x14ac:dyDescent="0.3">
      <c r="A699" s="60">
        <f t="shared" si="41"/>
        <v>697</v>
      </c>
      <c r="B699" s="61">
        <f t="shared" si="42"/>
        <v>696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 t="str">
        <f>IF(OR(工程基本資料!$B$7="",工程基本資料!$B$7=0),"",工程基本資料!$B$8+工程基本資料!$B$7+$L699+$M699-1)</f>
        <v/>
      </c>
    </row>
    <row r="700" spans="1:16" x14ac:dyDescent="0.3">
      <c r="A700" s="60">
        <f t="shared" si="41"/>
        <v>698</v>
      </c>
      <c r="B700" s="61">
        <f t="shared" si="42"/>
        <v>697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 t="str">
        <f>IF(OR(工程基本資料!$B$7="",工程基本資料!$B$7=0),"",工程基本資料!$B$8+工程基本資料!$B$7+$L700+$M700-1)</f>
        <v/>
      </c>
    </row>
    <row r="701" spans="1:16" x14ac:dyDescent="0.3">
      <c r="A701" s="60">
        <f t="shared" si="41"/>
        <v>699</v>
      </c>
      <c r="B701" s="61">
        <f t="shared" si="42"/>
        <v>698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 t="str">
        <f>IF(OR(工程基本資料!$B$7="",工程基本資料!$B$7=0),"",工程基本資料!$B$8+工程基本資料!$B$7+$L701+$M701-1)</f>
        <v/>
      </c>
    </row>
    <row r="702" spans="1:16" x14ac:dyDescent="0.3">
      <c r="A702" s="60">
        <f t="shared" si="41"/>
        <v>700</v>
      </c>
      <c r="B702" s="61">
        <f t="shared" si="42"/>
        <v>699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 t="str">
        <f>IF(OR(工程基本資料!$B$7="",工程基本資料!$B$7=0),"",工程基本資料!$B$8+工程基本資料!$B$7+$L702+$M702-1)</f>
        <v/>
      </c>
    </row>
    <row r="703" spans="1:16" x14ac:dyDescent="0.3">
      <c r="A703" s="60">
        <f t="shared" si="41"/>
        <v>701</v>
      </c>
      <c r="B703" s="61">
        <f t="shared" si="42"/>
        <v>700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 t="str">
        <f>IF(OR(工程基本資料!$B$7="",工程基本資料!$B$7=0),"",工程基本資料!$B$8+工程基本資料!$B$7+$L703+$M703-1)</f>
        <v/>
      </c>
    </row>
    <row r="704" spans="1:16" x14ac:dyDescent="0.3">
      <c r="A704" s="60">
        <f t="shared" si="41"/>
        <v>702</v>
      </c>
      <c r="B704" s="61">
        <f t="shared" si="42"/>
        <v>701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 t="str">
        <f>IF(OR(工程基本資料!$B$7="",工程基本資料!$B$7=0),"",工程基本資料!$B$8+工程基本資料!$B$7+$L704+$M704-1)</f>
        <v/>
      </c>
    </row>
    <row r="705" spans="1:16" x14ac:dyDescent="0.3">
      <c r="A705" s="60">
        <f t="shared" si="41"/>
        <v>703</v>
      </c>
      <c r="B705" s="61">
        <f t="shared" si="42"/>
        <v>702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 t="str">
        <f>IF(OR(工程基本資料!$B$7="",工程基本資料!$B$7=0),"",工程基本資料!$B$8+工程基本資料!$B$7+$L705+$M705-1)</f>
        <v/>
      </c>
    </row>
    <row r="706" spans="1:16" x14ac:dyDescent="0.3">
      <c r="A706" s="60">
        <f t="shared" si="41"/>
        <v>704</v>
      </c>
      <c r="B706" s="61">
        <f t="shared" si="42"/>
        <v>703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 t="str">
        <f>IF(OR(工程基本資料!$B$7="",工程基本資料!$B$7=0),"",工程基本資料!$B$8+工程基本資料!$B$7+$L706+$M706-1)</f>
        <v/>
      </c>
    </row>
    <row r="707" spans="1:16" x14ac:dyDescent="0.3">
      <c r="A707" s="60">
        <f t="shared" si="41"/>
        <v>705</v>
      </c>
      <c r="B707" s="61">
        <f t="shared" si="42"/>
        <v>704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 t="str">
        <f>IF(OR(工程基本資料!$B$7="",工程基本資料!$B$7=0),"",工程基本資料!$B$8+工程基本資料!$B$7+$L707+$M707-1)</f>
        <v/>
      </c>
    </row>
    <row r="708" spans="1:16" x14ac:dyDescent="0.3">
      <c r="A708" s="60">
        <f t="shared" si="41"/>
        <v>706</v>
      </c>
      <c r="B708" s="61">
        <f t="shared" si="42"/>
        <v>705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 t="str">
        <f>IF(OR(工程基本資料!$B$7="",工程基本資料!$B$7=0),"",工程基本資料!$B$8+工程基本資料!$B$7+$L708+$M708-1)</f>
        <v/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 t="str">
        <f>IF(OR(工程基本資料!$B$7="",工程基本資料!$B$7=0),"",工程基本資料!$B$8+工程基本資料!$B$7+$L709+$M709-1)</f>
        <v/>
      </c>
    </row>
    <row r="710" spans="1:16" x14ac:dyDescent="0.3">
      <c r="A710" s="60">
        <f t="shared" si="44"/>
        <v>708</v>
      </c>
      <c r="B710" s="61">
        <f t="shared" si="45"/>
        <v>707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 t="str">
        <f>IF(OR(工程基本資料!$B$7="",工程基本資料!$B$7=0),"",工程基本資料!$B$8+工程基本資料!$B$7+$L710+$M710-1)</f>
        <v/>
      </c>
    </row>
    <row r="711" spans="1:16" x14ac:dyDescent="0.3">
      <c r="A711" s="60">
        <f t="shared" si="44"/>
        <v>709</v>
      </c>
      <c r="B711" s="61">
        <f t="shared" si="45"/>
        <v>708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 t="str">
        <f>IF(OR(工程基本資料!$B$7="",工程基本資料!$B$7=0),"",工程基本資料!$B$8+工程基本資料!$B$7+$L711+$M711-1)</f>
        <v/>
      </c>
    </row>
    <row r="712" spans="1:16" x14ac:dyDescent="0.3">
      <c r="A712" s="60">
        <f t="shared" si="44"/>
        <v>710</v>
      </c>
      <c r="B712" s="61">
        <f t="shared" si="45"/>
        <v>709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 t="str">
        <f>IF(OR(工程基本資料!$B$7="",工程基本資料!$B$7=0),"",工程基本資料!$B$8+工程基本資料!$B$7+$L712+$M712-1)</f>
        <v/>
      </c>
    </row>
    <row r="713" spans="1:16" x14ac:dyDescent="0.3">
      <c r="A713" s="60">
        <f t="shared" si="44"/>
        <v>711</v>
      </c>
      <c r="B713" s="61">
        <f t="shared" si="45"/>
        <v>710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 t="str">
        <f>IF(OR(工程基本資料!$B$7="",工程基本資料!$B$7=0),"",工程基本資料!$B$8+工程基本資料!$B$7+$L713+$M713-1)</f>
        <v/>
      </c>
    </row>
    <row r="714" spans="1:16" x14ac:dyDescent="0.3">
      <c r="A714" s="60">
        <f t="shared" si="44"/>
        <v>712</v>
      </c>
      <c r="B714" s="61">
        <f t="shared" si="45"/>
        <v>711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 t="str">
        <f>IF(OR(工程基本資料!$B$7="",工程基本資料!$B$7=0),"",工程基本資料!$B$8+工程基本資料!$B$7+$L714+$M714-1)</f>
        <v/>
      </c>
    </row>
    <row r="715" spans="1:16" x14ac:dyDescent="0.3">
      <c r="A715" s="60">
        <f t="shared" si="44"/>
        <v>713</v>
      </c>
      <c r="B715" s="61">
        <f t="shared" si="45"/>
        <v>712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 t="str">
        <f>IF(OR(工程基本資料!$B$7="",工程基本資料!$B$7=0),"",工程基本資料!$B$8+工程基本資料!$B$7+$L715+$M715-1)</f>
        <v/>
      </c>
    </row>
    <row r="716" spans="1:16" x14ac:dyDescent="0.3">
      <c r="A716" s="60">
        <f t="shared" si="44"/>
        <v>714</v>
      </c>
      <c r="B716" s="61">
        <f t="shared" si="45"/>
        <v>713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 t="str">
        <f>IF(OR(工程基本資料!$B$7="",工程基本資料!$B$7=0),"",工程基本資料!$B$8+工程基本資料!$B$7+$L716+$M716-1)</f>
        <v/>
      </c>
    </row>
    <row r="717" spans="1:16" x14ac:dyDescent="0.3">
      <c r="A717" s="60">
        <f t="shared" si="44"/>
        <v>715</v>
      </c>
      <c r="B717" s="61">
        <f t="shared" si="45"/>
        <v>714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 t="str">
        <f>IF(OR(工程基本資料!$B$7="",工程基本資料!$B$7=0),"",工程基本資料!$B$8+工程基本資料!$B$7+$L717+$M717-1)</f>
        <v/>
      </c>
    </row>
    <row r="718" spans="1:16" x14ac:dyDescent="0.3">
      <c r="A718" s="60">
        <f t="shared" si="44"/>
        <v>716</v>
      </c>
      <c r="B718" s="61">
        <f t="shared" si="45"/>
        <v>715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 t="str">
        <f>IF(OR(工程基本資料!$B$7="",工程基本資料!$B$7=0),"",工程基本資料!$B$8+工程基本資料!$B$7+$L718+$M718-1)</f>
        <v/>
      </c>
    </row>
    <row r="719" spans="1:16" x14ac:dyDescent="0.3">
      <c r="A719" s="60">
        <f t="shared" si="44"/>
        <v>717</v>
      </c>
      <c r="B719" s="61">
        <f t="shared" si="45"/>
        <v>716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 t="str">
        <f>IF(OR(工程基本資料!$B$7="",工程基本資料!$B$7=0),"",工程基本資料!$B$8+工程基本資料!$B$7+$L719+$M719-1)</f>
        <v/>
      </c>
    </row>
    <row r="720" spans="1:16" x14ac:dyDescent="0.3">
      <c r="A720" s="60">
        <f t="shared" si="44"/>
        <v>718</v>
      </c>
      <c r="B720" s="61">
        <f t="shared" si="45"/>
        <v>717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 t="str">
        <f>IF(OR(工程基本資料!$B$7="",工程基本資料!$B$7=0),"",工程基本資料!$B$8+工程基本資料!$B$7+$L720+$M720-1)</f>
        <v/>
      </c>
    </row>
    <row r="721" spans="1:16" x14ac:dyDescent="0.3">
      <c r="A721" s="60">
        <f t="shared" si="44"/>
        <v>719</v>
      </c>
      <c r="B721" s="61">
        <f t="shared" si="45"/>
        <v>718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 t="str">
        <f>IF(OR(工程基本資料!$B$7="",工程基本資料!$B$7=0),"",工程基本資料!$B$8+工程基本資料!$B$7+$L721+$M721-1)</f>
        <v/>
      </c>
    </row>
    <row r="722" spans="1:16" x14ac:dyDescent="0.3">
      <c r="A722" s="60">
        <f t="shared" si="44"/>
        <v>720</v>
      </c>
      <c r="B722" s="61">
        <f t="shared" si="45"/>
        <v>719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 t="str">
        <f>IF(OR(工程基本資料!$B$7="",工程基本資料!$B$7=0),"",工程基本資料!$B$8+工程基本資料!$B$7+$L722+$M722-1)</f>
        <v/>
      </c>
    </row>
    <row r="723" spans="1:16" x14ac:dyDescent="0.3">
      <c r="A723" s="60">
        <f t="shared" si="44"/>
        <v>721</v>
      </c>
      <c r="B723" s="61">
        <f t="shared" si="45"/>
        <v>720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 t="str">
        <f>IF(OR(工程基本資料!$B$7="",工程基本資料!$B$7=0),"",工程基本資料!$B$8+工程基本資料!$B$7+$L723+$M723-1)</f>
        <v/>
      </c>
    </row>
    <row r="724" spans="1:16" x14ac:dyDescent="0.3">
      <c r="A724" s="60">
        <f t="shared" si="44"/>
        <v>722</v>
      </c>
      <c r="B724" s="61">
        <f t="shared" si="45"/>
        <v>721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 t="str">
        <f>IF(OR(工程基本資料!$B$7="",工程基本資料!$B$7=0),"",工程基本資料!$B$8+工程基本資料!$B$7+$L724+$M724-1)</f>
        <v/>
      </c>
    </row>
    <row r="725" spans="1:16" x14ac:dyDescent="0.3">
      <c r="A725" s="60">
        <f t="shared" si="44"/>
        <v>723</v>
      </c>
      <c r="B725" s="61">
        <f t="shared" si="45"/>
        <v>722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 t="str">
        <f>IF(OR(工程基本資料!$B$7="",工程基本資料!$B$7=0),"",工程基本資料!$B$8+工程基本資料!$B$7+$L725+$M725-1)</f>
        <v/>
      </c>
    </row>
    <row r="726" spans="1:16" x14ac:dyDescent="0.3">
      <c r="A726" s="60">
        <f t="shared" si="44"/>
        <v>724</v>
      </c>
      <c r="B726" s="61">
        <f t="shared" si="45"/>
        <v>723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 t="str">
        <f>IF(OR(工程基本資料!$B$7="",工程基本資料!$B$7=0),"",工程基本資料!$B$8+工程基本資料!$B$7+$L726+$M726-1)</f>
        <v/>
      </c>
    </row>
    <row r="727" spans="1:16" x14ac:dyDescent="0.3">
      <c r="A727" s="60">
        <f t="shared" si="44"/>
        <v>725</v>
      </c>
      <c r="B727" s="61">
        <f t="shared" si="45"/>
        <v>724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 t="str">
        <f>IF(OR(工程基本資料!$B$7="",工程基本資料!$B$7=0),"",工程基本資料!$B$8+工程基本資料!$B$7+$L727+$M727-1)</f>
        <v/>
      </c>
    </row>
    <row r="728" spans="1:16" x14ac:dyDescent="0.3">
      <c r="A728" s="60">
        <f t="shared" si="44"/>
        <v>726</v>
      </c>
      <c r="B728" s="61">
        <f t="shared" si="45"/>
        <v>725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 t="str">
        <f>IF(OR(工程基本資料!$B$7="",工程基本資料!$B$7=0),"",工程基本資料!$B$8+工程基本資料!$B$7+$L728+$M728-1)</f>
        <v/>
      </c>
    </row>
    <row r="729" spans="1:16" x14ac:dyDescent="0.3">
      <c r="A729" s="60">
        <f t="shared" si="44"/>
        <v>727</v>
      </c>
      <c r="B729" s="61">
        <f t="shared" si="45"/>
        <v>726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 t="str">
        <f>IF(OR(工程基本資料!$B$7="",工程基本資料!$B$7=0),"",工程基本資料!$B$8+工程基本資料!$B$7+$L729+$M729-1)</f>
        <v/>
      </c>
    </row>
    <row r="730" spans="1:16" x14ac:dyDescent="0.3">
      <c r="A730" s="60">
        <f t="shared" si="44"/>
        <v>728</v>
      </c>
      <c r="B730" s="61">
        <f t="shared" si="45"/>
        <v>727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 t="str">
        <f>IF(OR(工程基本資料!$B$7="",工程基本資料!$B$7=0),"",工程基本資料!$B$8+工程基本資料!$B$7+$L730+$M730-1)</f>
        <v/>
      </c>
    </row>
    <row r="731" spans="1:16" x14ac:dyDescent="0.3">
      <c r="A731" s="60">
        <f t="shared" si="44"/>
        <v>729</v>
      </c>
      <c r="B731" s="61">
        <f t="shared" si="45"/>
        <v>728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 t="str">
        <f>IF(OR(工程基本資料!$B$7="",工程基本資料!$B$7=0),"",工程基本資料!$B$8+工程基本資料!$B$7+$L731+$M731-1)</f>
        <v/>
      </c>
    </row>
    <row r="732" spans="1:16" x14ac:dyDescent="0.3">
      <c r="A732" s="60">
        <f t="shared" si="44"/>
        <v>730</v>
      </c>
      <c r="B732" s="61">
        <f t="shared" si="45"/>
        <v>729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 t="str">
        <f>IF(OR(工程基本資料!$B$7="",工程基本資料!$B$7=0),"",工程基本資料!$B$8+工程基本資料!$B$7+$L732+$M732-1)</f>
        <v/>
      </c>
    </row>
    <row r="733" spans="1:16" x14ac:dyDescent="0.3">
      <c r="A733" s="60">
        <f t="shared" si="44"/>
        <v>731</v>
      </c>
      <c r="B733" s="61">
        <f t="shared" si="45"/>
        <v>730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 t="str">
        <f>IF(OR(工程基本資料!$B$7="",工程基本資料!$B$7=0),"",工程基本資料!$B$8+工程基本資料!$B$7+$L733+$M733-1)</f>
        <v/>
      </c>
    </row>
    <row r="734" spans="1:16" x14ac:dyDescent="0.3">
      <c r="A734" s="60">
        <f t="shared" si="44"/>
        <v>732</v>
      </c>
      <c r="B734" s="61">
        <f t="shared" si="45"/>
        <v>731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 t="str">
        <f>IF(OR(工程基本資料!$B$7="",工程基本資料!$B$7=0),"",工程基本資料!$B$8+工程基本資料!$B$7+$L734+$M734-1)</f>
        <v/>
      </c>
    </row>
    <row r="735" spans="1:16" x14ac:dyDescent="0.3">
      <c r="A735" s="60">
        <f t="shared" si="44"/>
        <v>733</v>
      </c>
      <c r="B735" s="61">
        <f t="shared" si="45"/>
        <v>732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 t="str">
        <f>IF(OR(工程基本資料!$B$7="",工程基本資料!$B$7=0),"",工程基本資料!$B$8+工程基本資料!$B$7+$L735+$M735-1)</f>
        <v/>
      </c>
    </row>
    <row r="736" spans="1:16" x14ac:dyDescent="0.3">
      <c r="A736" s="60">
        <f t="shared" si="44"/>
        <v>734</v>
      </c>
      <c r="B736" s="61">
        <f t="shared" si="45"/>
        <v>733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 t="str">
        <f>IF(OR(工程基本資料!$B$7="",工程基本資料!$B$7=0),"",工程基本資料!$B$8+工程基本資料!$B$7+$L736+$M736-1)</f>
        <v/>
      </c>
    </row>
    <row r="737" spans="1:16" x14ac:dyDescent="0.3">
      <c r="A737" s="60">
        <f t="shared" si="44"/>
        <v>735</v>
      </c>
      <c r="B737" s="61">
        <f t="shared" si="45"/>
        <v>734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 t="str">
        <f>IF(OR(工程基本資料!$B$7="",工程基本資料!$B$7=0),"",工程基本資料!$B$8+工程基本資料!$B$7+$L737+$M737-1)</f>
        <v/>
      </c>
    </row>
    <row r="738" spans="1:16" x14ac:dyDescent="0.3">
      <c r="A738" s="60">
        <f t="shared" si="44"/>
        <v>736</v>
      </c>
      <c r="B738" s="61">
        <f t="shared" si="45"/>
        <v>735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 t="str">
        <f>IF(OR(工程基本資料!$B$7="",工程基本資料!$B$7=0),"",工程基本資料!$B$8+工程基本資料!$B$7+$L738+$M738-1)</f>
        <v/>
      </c>
    </row>
    <row r="739" spans="1:16" x14ac:dyDescent="0.3">
      <c r="A739" s="60">
        <f t="shared" si="44"/>
        <v>737</v>
      </c>
      <c r="B739" s="61">
        <f t="shared" si="45"/>
        <v>736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 t="str">
        <f>IF(OR(工程基本資料!$B$7="",工程基本資料!$B$7=0),"",工程基本資料!$B$8+工程基本資料!$B$7+$L739+$M739-1)</f>
        <v/>
      </c>
    </row>
    <row r="740" spans="1:16" x14ac:dyDescent="0.3">
      <c r="A740" s="60">
        <f t="shared" si="44"/>
        <v>738</v>
      </c>
      <c r="B740" s="61">
        <f t="shared" si="45"/>
        <v>737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 t="str">
        <f>IF(OR(工程基本資料!$B$7="",工程基本資料!$B$7=0),"",工程基本資料!$B$8+工程基本資料!$B$7+$L740+$M740-1)</f>
        <v/>
      </c>
    </row>
    <row r="741" spans="1:16" x14ac:dyDescent="0.3">
      <c r="A741" s="60">
        <f t="shared" si="44"/>
        <v>739</v>
      </c>
      <c r="B741" s="61">
        <f t="shared" si="45"/>
        <v>738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 t="str">
        <f>IF(OR(工程基本資料!$B$7="",工程基本資料!$B$7=0),"",工程基本資料!$B$8+工程基本資料!$B$7+$L741+$M741-1)</f>
        <v/>
      </c>
    </row>
    <row r="742" spans="1:16" x14ac:dyDescent="0.3">
      <c r="A742" s="60">
        <f t="shared" si="44"/>
        <v>740</v>
      </c>
      <c r="B742" s="61">
        <f t="shared" si="45"/>
        <v>739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 t="str">
        <f>IF(OR(工程基本資料!$B$7="",工程基本資料!$B$7=0),"",工程基本資料!$B$8+工程基本資料!$B$7+$L742+$M742-1)</f>
        <v/>
      </c>
    </row>
    <row r="743" spans="1:16" x14ac:dyDescent="0.3">
      <c r="A743" s="60">
        <f t="shared" si="44"/>
        <v>741</v>
      </c>
      <c r="B743" s="61">
        <f t="shared" si="45"/>
        <v>740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 t="str">
        <f>IF(OR(工程基本資料!$B$7="",工程基本資料!$B$7=0),"",工程基本資料!$B$8+工程基本資料!$B$7+$L743+$M743-1)</f>
        <v/>
      </c>
    </row>
    <row r="744" spans="1:16" x14ac:dyDescent="0.3">
      <c r="A744" s="60">
        <f t="shared" si="44"/>
        <v>742</v>
      </c>
      <c r="B744" s="61">
        <f t="shared" si="45"/>
        <v>741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 t="str">
        <f>IF(OR(工程基本資料!$B$7="",工程基本資料!$B$7=0),"",工程基本資料!$B$8+工程基本資料!$B$7+$L744+$M744-1)</f>
        <v/>
      </c>
    </row>
    <row r="745" spans="1:16" x14ac:dyDescent="0.3">
      <c r="A745" s="60">
        <f t="shared" si="44"/>
        <v>743</v>
      </c>
      <c r="B745" s="61">
        <f t="shared" si="45"/>
        <v>742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 t="str">
        <f>IF(OR(工程基本資料!$B$7="",工程基本資料!$B$7=0),"",工程基本資料!$B$8+工程基本資料!$B$7+$L745+$M745-1)</f>
        <v/>
      </c>
    </row>
    <row r="746" spans="1:16" x14ac:dyDescent="0.3">
      <c r="A746" s="60">
        <f t="shared" si="44"/>
        <v>744</v>
      </c>
      <c r="B746" s="61">
        <f t="shared" si="45"/>
        <v>743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 t="str">
        <f>IF(OR(工程基本資料!$B$7="",工程基本資料!$B$7=0),"",工程基本資料!$B$8+工程基本資料!$B$7+$L746+$M746-1)</f>
        <v/>
      </c>
    </row>
    <row r="747" spans="1:16" x14ac:dyDescent="0.3">
      <c r="A747" s="60">
        <f t="shared" si="44"/>
        <v>745</v>
      </c>
      <c r="B747" s="61">
        <f t="shared" si="45"/>
        <v>744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 t="str">
        <f>IF(OR(工程基本資料!$B$7="",工程基本資料!$B$7=0),"",工程基本資料!$B$8+工程基本資料!$B$7+$L747+$M747-1)</f>
        <v/>
      </c>
    </row>
    <row r="748" spans="1:16" x14ac:dyDescent="0.3">
      <c r="A748" s="60">
        <f t="shared" si="44"/>
        <v>746</v>
      </c>
      <c r="B748" s="61">
        <f t="shared" si="45"/>
        <v>745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 t="str">
        <f>IF(OR(工程基本資料!$B$7="",工程基本資料!$B$7=0),"",工程基本資料!$B$8+工程基本資料!$B$7+$L748+$M748-1)</f>
        <v/>
      </c>
    </row>
    <row r="749" spans="1:16" x14ac:dyDescent="0.3">
      <c r="A749" s="60">
        <f t="shared" si="44"/>
        <v>747</v>
      </c>
      <c r="B749" s="61">
        <f t="shared" si="45"/>
        <v>746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 t="str">
        <f>IF(OR(工程基本資料!$B$7="",工程基本資料!$B$7=0),"",工程基本資料!$B$8+工程基本資料!$B$7+$L749+$M749-1)</f>
        <v/>
      </c>
    </row>
    <row r="750" spans="1:16" x14ac:dyDescent="0.3">
      <c r="A750" s="60">
        <f t="shared" si="44"/>
        <v>748</v>
      </c>
      <c r="B750" s="61">
        <f t="shared" si="45"/>
        <v>747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 t="str">
        <f>IF(OR(工程基本資料!$B$7="",工程基本資料!$B$7=0),"",工程基本資料!$B$8+工程基本資料!$B$7+$L750+$M750-1)</f>
        <v/>
      </c>
    </row>
    <row r="751" spans="1:16" x14ac:dyDescent="0.3">
      <c r="A751" s="60">
        <f t="shared" si="44"/>
        <v>749</v>
      </c>
      <c r="B751" s="61">
        <f t="shared" si="45"/>
        <v>748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 t="str">
        <f>IF(OR(工程基本資料!$B$7="",工程基本資料!$B$7=0),"",工程基本資料!$B$8+工程基本資料!$B$7+$L751+$M751-1)</f>
        <v/>
      </c>
    </row>
    <row r="752" spans="1:16" x14ac:dyDescent="0.3">
      <c r="A752" s="60">
        <f t="shared" si="44"/>
        <v>750</v>
      </c>
      <c r="B752" s="61">
        <f t="shared" si="45"/>
        <v>749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 t="str">
        <f>IF(OR(工程基本資料!$B$7="",工程基本資料!$B$7=0),"",工程基本資料!$B$8+工程基本資料!$B$7+$L752+$M752-1)</f>
        <v/>
      </c>
    </row>
    <row r="753" spans="1:16" x14ac:dyDescent="0.3">
      <c r="A753" s="60">
        <f t="shared" si="44"/>
        <v>751</v>
      </c>
      <c r="B753" s="61">
        <f t="shared" si="45"/>
        <v>750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 t="str">
        <f>IF(OR(工程基本資料!$B$7="",工程基本資料!$B$7=0),"",工程基本資料!$B$8+工程基本資料!$B$7+$L753+$M753-1)</f>
        <v/>
      </c>
    </row>
    <row r="754" spans="1:16" x14ac:dyDescent="0.3">
      <c r="A754" s="60">
        <f t="shared" si="44"/>
        <v>752</v>
      </c>
      <c r="B754" s="61">
        <f t="shared" si="45"/>
        <v>751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 t="str">
        <f>IF(OR(工程基本資料!$B$7="",工程基本資料!$B$7=0),"",工程基本資料!$B$8+工程基本資料!$B$7+$L754+$M754-1)</f>
        <v/>
      </c>
    </row>
    <row r="755" spans="1:16" x14ac:dyDescent="0.3">
      <c r="A755" s="60">
        <f t="shared" si="44"/>
        <v>753</v>
      </c>
      <c r="B755" s="61">
        <f t="shared" si="45"/>
        <v>752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 t="str">
        <f>IF(OR(工程基本資料!$B$7="",工程基本資料!$B$7=0),"",工程基本資料!$B$8+工程基本資料!$B$7+$L755+$M755-1)</f>
        <v/>
      </c>
    </row>
    <row r="756" spans="1:16" x14ac:dyDescent="0.3">
      <c r="A756" s="60">
        <f t="shared" si="44"/>
        <v>754</v>
      </c>
      <c r="B756" s="61">
        <f t="shared" si="45"/>
        <v>753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 t="str">
        <f>IF(OR(工程基本資料!$B$7="",工程基本資料!$B$7=0),"",工程基本資料!$B$8+工程基本資料!$B$7+$L756+$M756-1)</f>
        <v/>
      </c>
    </row>
    <row r="757" spans="1:16" x14ac:dyDescent="0.3">
      <c r="A757" s="60">
        <f t="shared" si="44"/>
        <v>755</v>
      </c>
      <c r="B757" s="61">
        <f t="shared" si="45"/>
        <v>754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 t="str">
        <f>IF(OR(工程基本資料!$B$7="",工程基本資料!$B$7=0),"",工程基本資料!$B$8+工程基本資料!$B$7+$L757+$M757-1)</f>
        <v/>
      </c>
    </row>
    <row r="758" spans="1:16" x14ac:dyDescent="0.3">
      <c r="A758" s="60">
        <f t="shared" si="44"/>
        <v>756</v>
      </c>
      <c r="B758" s="61">
        <f t="shared" si="45"/>
        <v>755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 t="str">
        <f>IF(OR(工程基本資料!$B$7="",工程基本資料!$B$7=0),"",工程基本資料!$B$8+工程基本資料!$B$7+$L758+$M758-1)</f>
        <v/>
      </c>
    </row>
    <row r="759" spans="1:16" x14ac:dyDescent="0.3">
      <c r="A759" s="60">
        <f t="shared" si="44"/>
        <v>757</v>
      </c>
      <c r="B759" s="61">
        <f t="shared" si="45"/>
        <v>756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 t="str">
        <f>IF(OR(工程基本資料!$B$7="",工程基本資料!$B$7=0),"",工程基本資料!$B$8+工程基本資料!$B$7+$L759+$M759-1)</f>
        <v/>
      </c>
    </row>
    <row r="760" spans="1:16" x14ac:dyDescent="0.3">
      <c r="A760" s="60">
        <f t="shared" si="44"/>
        <v>758</v>
      </c>
      <c r="B760" s="61">
        <f t="shared" si="45"/>
        <v>757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 t="str">
        <f>IF(OR(工程基本資料!$B$7="",工程基本資料!$B$7=0),"",工程基本資料!$B$8+工程基本資料!$B$7+$L760+$M760-1)</f>
        <v/>
      </c>
    </row>
    <row r="761" spans="1:16" x14ac:dyDescent="0.3">
      <c r="A761" s="60">
        <f t="shared" si="44"/>
        <v>759</v>
      </c>
      <c r="B761" s="61">
        <f t="shared" si="45"/>
        <v>758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 t="str">
        <f>IF(OR(工程基本資料!$B$7="",工程基本資料!$B$7=0),"",工程基本資料!$B$8+工程基本資料!$B$7+$L761+$M761-1)</f>
        <v/>
      </c>
    </row>
    <row r="762" spans="1:16" x14ac:dyDescent="0.3">
      <c r="A762" s="60">
        <f t="shared" si="44"/>
        <v>760</v>
      </c>
      <c r="B762" s="61">
        <f t="shared" si="45"/>
        <v>759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 t="str">
        <f>IF(OR(工程基本資料!$B$7="",工程基本資料!$B$7=0),"",工程基本資料!$B$8+工程基本資料!$B$7+$L762+$M762-1)</f>
        <v/>
      </c>
    </row>
    <row r="763" spans="1:16" x14ac:dyDescent="0.3">
      <c r="A763" s="60">
        <f t="shared" si="44"/>
        <v>761</v>
      </c>
      <c r="B763" s="61">
        <f t="shared" si="45"/>
        <v>760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 t="str">
        <f>IF(OR(工程基本資料!$B$7="",工程基本資料!$B$7=0),"",工程基本資料!$B$8+工程基本資料!$B$7+$L763+$M763-1)</f>
        <v/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6">
        <f t="shared" si="537"/>
        <v>0</v>
      </c>
      <c r="H33" s="87">
        <f>IF($E33="","",G33*E33)</f>
        <v>0</v>
      </c>
      <c r="I33" s="43" t="str">
        <f t="shared" si="536"/>
        <v/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6">
        <f t="shared" si="537"/>
        <v>0</v>
      </c>
      <c r="H34" s="87">
        <f>IF($E34="","",G34*E34)</f>
        <v>0</v>
      </c>
      <c r="I34" s="43" t="str">
        <f t="shared" si="536"/>
        <v/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7">ROUNDUP(SUMPRODUCT($E$2:$E$26,CT$2:CT$26)*1.03214954700103%,0)</f>
        <v>0</v>
      </c>
      <c r="CU34" s="105"/>
      <c r="CV34" s="105"/>
      <c r="CW34" s="105">
        <f t="shared" si="547"/>
        <v>0</v>
      </c>
      <c r="CX34" s="105"/>
      <c r="CY34" s="105"/>
      <c r="CZ34" s="105"/>
      <c r="DA34" s="105">
        <f t="shared" si="547"/>
        <v>0</v>
      </c>
      <c r="DB34" s="105"/>
      <c r="DC34" s="105"/>
      <c r="DD34" s="105">
        <f t="shared" si="547"/>
        <v>0</v>
      </c>
      <c r="DE34" s="105"/>
      <c r="DF34" s="105"/>
      <c r="DG34" s="105"/>
      <c r="DH34" s="105">
        <f t="shared" si="547"/>
        <v>0</v>
      </c>
      <c r="DI34" s="105">
        <f t="shared" si="547"/>
        <v>0</v>
      </c>
      <c r="DJ34" s="105">
        <f t="shared" si="547"/>
        <v>0</v>
      </c>
      <c r="DK34" s="105">
        <f t="shared" si="547"/>
        <v>0</v>
      </c>
      <c r="DL34" s="105">
        <f t="shared" si="547"/>
        <v>0</v>
      </c>
      <c r="DM34" s="105">
        <f t="shared" si="547"/>
        <v>0</v>
      </c>
      <c r="DN34" s="105">
        <f t="shared" si="547"/>
        <v>0</v>
      </c>
      <c r="DO34" s="105">
        <f t="shared" si="547"/>
        <v>0</v>
      </c>
      <c r="DP34" s="105">
        <f t="shared" si="547"/>
        <v>0</v>
      </c>
      <c r="DQ34" s="105">
        <f t="shared" si="547"/>
        <v>0</v>
      </c>
      <c r="DR34" s="105">
        <f t="shared" si="547"/>
        <v>0</v>
      </c>
      <c r="DS34" s="105">
        <f t="shared" si="547"/>
        <v>0</v>
      </c>
      <c r="DT34" s="105">
        <f t="shared" si="547"/>
        <v>0</v>
      </c>
      <c r="DU34" s="105">
        <f t="shared" si="547"/>
        <v>0</v>
      </c>
      <c r="DV34" s="105">
        <f t="shared" si="547"/>
        <v>0</v>
      </c>
      <c r="DW34" s="105">
        <f t="shared" si="547"/>
        <v>0</v>
      </c>
      <c r="DX34" s="105">
        <f t="shared" si="547"/>
        <v>0</v>
      </c>
      <c r="DY34" s="105">
        <f t="shared" si="547"/>
        <v>0</v>
      </c>
      <c r="DZ34" s="105">
        <f t="shared" si="547"/>
        <v>0</v>
      </c>
      <c r="EA34" s="105">
        <f t="shared" si="547"/>
        <v>0</v>
      </c>
      <c r="EB34" s="105">
        <f t="shared" si="547"/>
        <v>0</v>
      </c>
      <c r="EC34" s="105">
        <f t="shared" si="547"/>
        <v>0</v>
      </c>
      <c r="ED34" s="105">
        <f t="shared" si="547"/>
        <v>0</v>
      </c>
      <c r="EE34" s="105">
        <f t="shared" si="547"/>
        <v>0</v>
      </c>
      <c r="EF34" s="105">
        <f t="shared" si="547"/>
        <v>0</v>
      </c>
      <c r="EG34" s="105">
        <f t="shared" si="547"/>
        <v>0</v>
      </c>
      <c r="EH34" s="105">
        <f t="shared" si="547"/>
        <v>0</v>
      </c>
      <c r="EI34" s="105">
        <f t="shared" ref="EI34:GT34" si="548">ROUNDUP(SUMPRODUCT($E$2:$E$26,EI$2:EI$26)*1.03214954700103%,0)</f>
        <v>0</v>
      </c>
      <c r="EJ34" s="105">
        <f t="shared" si="548"/>
        <v>0</v>
      </c>
      <c r="EK34" s="105">
        <f t="shared" si="548"/>
        <v>0</v>
      </c>
      <c r="EL34" s="105">
        <f t="shared" si="548"/>
        <v>0</v>
      </c>
      <c r="EM34" s="105">
        <f t="shared" si="548"/>
        <v>0</v>
      </c>
      <c r="EN34" s="105">
        <f t="shared" si="548"/>
        <v>0</v>
      </c>
      <c r="EO34" s="105">
        <f t="shared" si="548"/>
        <v>0</v>
      </c>
      <c r="EP34" s="105">
        <f t="shared" si="548"/>
        <v>0</v>
      </c>
      <c r="EQ34" s="105">
        <f t="shared" si="548"/>
        <v>0</v>
      </c>
      <c r="ER34" s="105">
        <f t="shared" si="548"/>
        <v>0</v>
      </c>
      <c r="ES34" s="105">
        <f t="shared" si="548"/>
        <v>0</v>
      </c>
      <c r="ET34" s="105">
        <f t="shared" si="548"/>
        <v>0</v>
      </c>
      <c r="EU34" s="105">
        <f t="shared" si="548"/>
        <v>0</v>
      </c>
      <c r="EV34" s="105">
        <f t="shared" si="548"/>
        <v>0</v>
      </c>
      <c r="EW34" s="105">
        <f t="shared" si="548"/>
        <v>0</v>
      </c>
      <c r="EX34" s="105">
        <f t="shared" si="548"/>
        <v>0</v>
      </c>
      <c r="EY34" s="105">
        <f t="shared" si="548"/>
        <v>0</v>
      </c>
      <c r="EZ34" s="105">
        <f t="shared" si="548"/>
        <v>0</v>
      </c>
      <c r="FA34" s="105">
        <f t="shared" si="548"/>
        <v>0</v>
      </c>
      <c r="FB34" s="105">
        <f t="shared" si="548"/>
        <v>0</v>
      </c>
      <c r="FC34" s="105">
        <f t="shared" si="548"/>
        <v>0</v>
      </c>
      <c r="FD34" s="105">
        <f t="shared" si="548"/>
        <v>0</v>
      </c>
      <c r="FE34" s="105">
        <f t="shared" si="548"/>
        <v>0</v>
      </c>
      <c r="FF34" s="105">
        <f t="shared" si="548"/>
        <v>0</v>
      </c>
      <c r="FG34" s="105">
        <f t="shared" si="548"/>
        <v>0</v>
      </c>
      <c r="FH34" s="105">
        <f t="shared" si="548"/>
        <v>0</v>
      </c>
      <c r="FI34" s="105">
        <f t="shared" si="548"/>
        <v>0</v>
      </c>
      <c r="FJ34" s="105">
        <f t="shared" si="548"/>
        <v>0</v>
      </c>
      <c r="FK34" s="105">
        <f t="shared" si="548"/>
        <v>0</v>
      </c>
      <c r="FL34" s="105">
        <f t="shared" si="548"/>
        <v>0</v>
      </c>
      <c r="FM34" s="105">
        <f t="shared" si="548"/>
        <v>0</v>
      </c>
      <c r="FN34" s="105">
        <f t="shared" si="548"/>
        <v>0</v>
      </c>
      <c r="FO34" s="105">
        <f t="shared" si="548"/>
        <v>0</v>
      </c>
      <c r="FP34" s="105">
        <f t="shared" si="548"/>
        <v>0</v>
      </c>
      <c r="FQ34" s="105">
        <f t="shared" si="548"/>
        <v>0</v>
      </c>
      <c r="FR34" s="105">
        <f t="shared" si="548"/>
        <v>0</v>
      </c>
      <c r="FS34" s="105">
        <f t="shared" si="548"/>
        <v>0</v>
      </c>
      <c r="FT34" s="105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6">
        <f t="shared" si="537"/>
        <v>0</v>
      </c>
      <c r="H35" s="87">
        <f>IF($E35="","",G35*E35)</f>
        <v>0</v>
      </c>
      <c r="I35" s="43" t="str">
        <f t="shared" si="536"/>
        <v/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6">ROUND(SUMPRODUCT($E$2:$E$26,CT$2:CT$26)*5%,0)</f>
        <v>0</v>
      </c>
      <c r="CU35" s="105"/>
      <c r="CV35" s="105"/>
      <c r="CW35" s="105">
        <f t="shared" si="556"/>
        <v>0</v>
      </c>
      <c r="CX35" s="105"/>
      <c r="CY35" s="105"/>
      <c r="CZ35" s="105"/>
      <c r="DA35" s="105">
        <f t="shared" si="556"/>
        <v>0</v>
      </c>
      <c r="DB35" s="105"/>
      <c r="DC35" s="105"/>
      <c r="DD35" s="105">
        <f t="shared" si="556"/>
        <v>0</v>
      </c>
      <c r="DE35" s="105"/>
      <c r="DF35" s="105"/>
      <c r="DG35" s="105"/>
      <c r="DH35" s="105">
        <f t="shared" si="556"/>
        <v>0</v>
      </c>
      <c r="DI35" s="105">
        <f t="shared" si="556"/>
        <v>0</v>
      </c>
      <c r="DJ35" s="105">
        <f t="shared" si="556"/>
        <v>0</v>
      </c>
      <c r="DK35" s="105">
        <f t="shared" si="556"/>
        <v>0</v>
      </c>
      <c r="DL35" s="105">
        <f t="shared" si="556"/>
        <v>0</v>
      </c>
      <c r="DM35" s="105">
        <f t="shared" si="556"/>
        <v>0</v>
      </c>
      <c r="DN35" s="105">
        <f t="shared" si="556"/>
        <v>0</v>
      </c>
      <c r="DO35" s="105">
        <f t="shared" si="556"/>
        <v>0</v>
      </c>
      <c r="DP35" s="105">
        <f t="shared" si="556"/>
        <v>0</v>
      </c>
      <c r="DQ35" s="105">
        <f t="shared" si="556"/>
        <v>0</v>
      </c>
      <c r="DR35" s="105">
        <f t="shared" si="556"/>
        <v>0</v>
      </c>
      <c r="DS35" s="105">
        <f t="shared" si="556"/>
        <v>0</v>
      </c>
      <c r="DT35" s="105">
        <f t="shared" si="556"/>
        <v>0</v>
      </c>
      <c r="DU35" s="105">
        <f t="shared" si="556"/>
        <v>0</v>
      </c>
      <c r="DV35" s="105">
        <f t="shared" si="556"/>
        <v>0</v>
      </c>
      <c r="DW35" s="105">
        <f t="shared" si="556"/>
        <v>0</v>
      </c>
      <c r="DX35" s="105">
        <f t="shared" si="556"/>
        <v>0</v>
      </c>
      <c r="DY35" s="105">
        <f t="shared" si="556"/>
        <v>0</v>
      </c>
      <c r="DZ35" s="105">
        <f t="shared" si="556"/>
        <v>0</v>
      </c>
      <c r="EA35" s="105">
        <f t="shared" si="556"/>
        <v>0</v>
      </c>
      <c r="EB35" s="105">
        <f t="shared" si="556"/>
        <v>0</v>
      </c>
      <c r="EC35" s="105">
        <f t="shared" si="556"/>
        <v>0</v>
      </c>
      <c r="ED35" s="105">
        <f t="shared" si="556"/>
        <v>0</v>
      </c>
      <c r="EE35" s="105">
        <f t="shared" si="556"/>
        <v>0</v>
      </c>
      <c r="EF35" s="105">
        <f t="shared" si="556"/>
        <v>0</v>
      </c>
      <c r="EG35" s="105">
        <f t="shared" si="556"/>
        <v>0</v>
      </c>
      <c r="EH35" s="105">
        <f t="shared" si="556"/>
        <v>0</v>
      </c>
      <c r="EI35" s="105">
        <f t="shared" ref="EI35:GT35" si="557">ROUND(SUMPRODUCT($E$2:$E$26,EI$2:EI$26)*5%,0)</f>
        <v>0</v>
      </c>
      <c r="EJ35" s="105">
        <f t="shared" si="557"/>
        <v>0</v>
      </c>
      <c r="EK35" s="105">
        <f t="shared" si="557"/>
        <v>0</v>
      </c>
      <c r="EL35" s="105">
        <f t="shared" si="557"/>
        <v>0</v>
      </c>
      <c r="EM35" s="105">
        <f t="shared" si="557"/>
        <v>0</v>
      </c>
      <c r="EN35" s="105">
        <f t="shared" si="557"/>
        <v>0</v>
      </c>
      <c r="EO35" s="105">
        <f t="shared" si="557"/>
        <v>0</v>
      </c>
      <c r="EP35" s="105">
        <f t="shared" si="557"/>
        <v>0</v>
      </c>
      <c r="EQ35" s="105">
        <f t="shared" si="557"/>
        <v>0</v>
      </c>
      <c r="ER35" s="105">
        <f t="shared" si="557"/>
        <v>0</v>
      </c>
      <c r="ES35" s="105">
        <f t="shared" si="557"/>
        <v>0</v>
      </c>
      <c r="ET35" s="105">
        <f t="shared" si="557"/>
        <v>0</v>
      </c>
      <c r="EU35" s="105">
        <f t="shared" si="557"/>
        <v>0</v>
      </c>
      <c r="EV35" s="105">
        <f t="shared" si="557"/>
        <v>0</v>
      </c>
      <c r="EW35" s="105">
        <f t="shared" si="557"/>
        <v>0</v>
      </c>
      <c r="EX35" s="105">
        <f t="shared" si="557"/>
        <v>0</v>
      </c>
      <c r="EY35" s="105">
        <f t="shared" si="557"/>
        <v>0</v>
      </c>
      <c r="EZ35" s="105">
        <f t="shared" si="557"/>
        <v>0</v>
      </c>
      <c r="FA35" s="105">
        <f t="shared" si="557"/>
        <v>0</v>
      </c>
      <c r="FB35" s="105">
        <f t="shared" si="557"/>
        <v>0</v>
      </c>
      <c r="FC35" s="105">
        <f t="shared" si="557"/>
        <v>0</v>
      </c>
      <c r="FD35" s="105">
        <f t="shared" si="557"/>
        <v>0</v>
      </c>
      <c r="FE35" s="105">
        <f t="shared" si="557"/>
        <v>0</v>
      </c>
      <c r="FF35" s="105">
        <f t="shared" si="557"/>
        <v>0</v>
      </c>
      <c r="FG35" s="105">
        <f t="shared" si="557"/>
        <v>0</v>
      </c>
      <c r="FH35" s="105">
        <f t="shared" si="557"/>
        <v>0</v>
      </c>
      <c r="FI35" s="105">
        <f t="shared" si="557"/>
        <v>0</v>
      </c>
      <c r="FJ35" s="105">
        <f t="shared" si="557"/>
        <v>0</v>
      </c>
      <c r="FK35" s="105">
        <f t="shared" si="557"/>
        <v>0</v>
      </c>
      <c r="FL35" s="105">
        <f t="shared" si="557"/>
        <v>0</v>
      </c>
      <c r="FM35" s="105">
        <f t="shared" si="557"/>
        <v>0</v>
      </c>
      <c r="FN35" s="105">
        <f t="shared" si="557"/>
        <v>0</v>
      </c>
      <c r="FO35" s="105">
        <f t="shared" si="557"/>
        <v>0</v>
      </c>
      <c r="FP35" s="105">
        <f t="shared" si="557"/>
        <v>0</v>
      </c>
      <c r="FQ35" s="105">
        <f t="shared" si="557"/>
        <v>0</v>
      </c>
      <c r="FR35" s="105">
        <f t="shared" si="557"/>
        <v>0</v>
      </c>
      <c r="FS35" s="105">
        <f t="shared" si="557"/>
        <v>0</v>
      </c>
      <c r="FT35" s="105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6">
        <f t="shared" si="537"/>
        <v>0</v>
      </c>
      <c r="H37" s="87">
        <f>IF($E37="","",G37*E37)</f>
        <v>0</v>
      </c>
      <c r="I37" s="43" t="str">
        <f t="shared" si="536"/>
        <v/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4">ROUND(SUM(SUMPRODUCT($E$2:$E$26,CT$2:CT$26),CT$33:CT$36)*5%,0)</f>
        <v>0</v>
      </c>
      <c r="CU37" s="105"/>
      <c r="CV37" s="105"/>
      <c r="CW37" s="105">
        <f t="shared" si="574"/>
        <v>0</v>
      </c>
      <c r="CX37" s="105"/>
      <c r="CY37" s="105"/>
      <c r="CZ37" s="105"/>
      <c r="DA37" s="105">
        <f t="shared" si="574"/>
        <v>0</v>
      </c>
      <c r="DB37" s="105"/>
      <c r="DC37" s="105"/>
      <c r="DD37" s="105">
        <f t="shared" si="574"/>
        <v>0</v>
      </c>
      <c r="DE37" s="105"/>
      <c r="DF37" s="105"/>
      <c r="DG37" s="105"/>
      <c r="DH37" s="105">
        <f t="shared" si="574"/>
        <v>0</v>
      </c>
      <c r="DI37" s="105">
        <f t="shared" si="574"/>
        <v>0</v>
      </c>
      <c r="DJ37" s="105">
        <f t="shared" si="574"/>
        <v>0</v>
      </c>
      <c r="DK37" s="105">
        <f t="shared" si="574"/>
        <v>0</v>
      </c>
      <c r="DL37" s="105">
        <f t="shared" si="574"/>
        <v>0</v>
      </c>
      <c r="DM37" s="105">
        <f t="shared" si="574"/>
        <v>0</v>
      </c>
      <c r="DN37" s="105">
        <f t="shared" si="574"/>
        <v>0</v>
      </c>
      <c r="DO37" s="105">
        <f t="shared" si="574"/>
        <v>0</v>
      </c>
      <c r="DP37" s="105">
        <f t="shared" si="574"/>
        <v>0</v>
      </c>
      <c r="DQ37" s="105">
        <f t="shared" si="574"/>
        <v>0</v>
      </c>
      <c r="DR37" s="105">
        <f t="shared" si="574"/>
        <v>0</v>
      </c>
      <c r="DS37" s="105">
        <f t="shared" si="574"/>
        <v>0</v>
      </c>
      <c r="DT37" s="105">
        <f t="shared" si="574"/>
        <v>0</v>
      </c>
      <c r="DU37" s="105">
        <f t="shared" si="574"/>
        <v>0</v>
      </c>
      <c r="DV37" s="105">
        <f t="shared" si="574"/>
        <v>0</v>
      </c>
      <c r="DW37" s="105">
        <f t="shared" si="574"/>
        <v>0</v>
      </c>
      <c r="DX37" s="105">
        <f t="shared" si="574"/>
        <v>0</v>
      </c>
      <c r="DY37" s="105">
        <f t="shared" si="574"/>
        <v>0</v>
      </c>
      <c r="DZ37" s="105">
        <f t="shared" si="574"/>
        <v>0</v>
      </c>
      <c r="EA37" s="105">
        <f t="shared" si="574"/>
        <v>0</v>
      </c>
      <c r="EB37" s="105">
        <f t="shared" si="574"/>
        <v>0</v>
      </c>
      <c r="EC37" s="105">
        <f t="shared" si="574"/>
        <v>0</v>
      </c>
      <c r="ED37" s="105">
        <f t="shared" si="574"/>
        <v>0</v>
      </c>
      <c r="EE37" s="105">
        <f t="shared" si="574"/>
        <v>0</v>
      </c>
      <c r="EF37" s="105">
        <f t="shared" si="574"/>
        <v>0</v>
      </c>
      <c r="EG37" s="105">
        <f t="shared" si="574"/>
        <v>0</v>
      </c>
      <c r="EH37" s="105">
        <f t="shared" si="574"/>
        <v>0</v>
      </c>
      <c r="EI37" s="105">
        <f t="shared" si="574"/>
        <v>0</v>
      </c>
      <c r="EJ37" s="105">
        <f t="shared" si="574"/>
        <v>0</v>
      </c>
      <c r="EK37" s="105">
        <f t="shared" si="574"/>
        <v>0</v>
      </c>
      <c r="EL37" s="105">
        <f t="shared" si="574"/>
        <v>0</v>
      </c>
      <c r="EM37" s="105">
        <f t="shared" si="574"/>
        <v>0</v>
      </c>
      <c r="EN37" s="105">
        <f t="shared" si="574"/>
        <v>0</v>
      </c>
      <c r="EO37" s="105">
        <f t="shared" si="574"/>
        <v>0</v>
      </c>
      <c r="EP37" s="105">
        <f t="shared" si="574"/>
        <v>0</v>
      </c>
      <c r="EQ37" s="105">
        <f t="shared" si="574"/>
        <v>0</v>
      </c>
      <c r="ER37" s="105">
        <f t="shared" si="574"/>
        <v>0</v>
      </c>
      <c r="ES37" s="105">
        <f t="shared" si="574"/>
        <v>0</v>
      </c>
      <c r="ET37" s="105">
        <f t="shared" si="574"/>
        <v>0</v>
      </c>
      <c r="EU37" s="105">
        <f t="shared" si="574"/>
        <v>0</v>
      </c>
      <c r="EV37" s="105">
        <f t="shared" si="574"/>
        <v>0</v>
      </c>
      <c r="EW37" s="105">
        <f t="shared" ref="EW37:HH37" si="575">ROUND(SUM(SUMPRODUCT($E$2:$E$26,EW$2:EW$26),EW$33:EW$36)*5%,0)</f>
        <v>0</v>
      </c>
      <c r="EX37" s="105">
        <f t="shared" si="575"/>
        <v>0</v>
      </c>
      <c r="EY37" s="105">
        <f t="shared" si="575"/>
        <v>0</v>
      </c>
      <c r="EZ37" s="105">
        <f t="shared" si="575"/>
        <v>0</v>
      </c>
      <c r="FA37" s="105">
        <f t="shared" si="575"/>
        <v>0</v>
      </c>
      <c r="FB37" s="105">
        <f t="shared" si="575"/>
        <v>0</v>
      </c>
      <c r="FC37" s="105">
        <f t="shared" si="575"/>
        <v>0</v>
      </c>
      <c r="FD37" s="105">
        <f t="shared" si="575"/>
        <v>0</v>
      </c>
      <c r="FE37" s="105">
        <f t="shared" si="575"/>
        <v>0</v>
      </c>
      <c r="FF37" s="105">
        <f t="shared" si="575"/>
        <v>0</v>
      </c>
      <c r="FG37" s="105">
        <f t="shared" si="575"/>
        <v>0</v>
      </c>
      <c r="FH37" s="105">
        <f t="shared" si="575"/>
        <v>0</v>
      </c>
      <c r="FI37" s="105">
        <f t="shared" si="575"/>
        <v>0</v>
      </c>
      <c r="FJ37" s="105">
        <f t="shared" si="575"/>
        <v>0</v>
      </c>
      <c r="FK37" s="105">
        <f t="shared" si="575"/>
        <v>0</v>
      </c>
      <c r="FL37" s="105">
        <f t="shared" si="575"/>
        <v>0</v>
      </c>
      <c r="FM37" s="105">
        <f t="shared" si="575"/>
        <v>0</v>
      </c>
      <c r="FN37" s="105">
        <f t="shared" si="575"/>
        <v>0</v>
      </c>
      <c r="FO37" s="105">
        <f t="shared" si="575"/>
        <v>0</v>
      </c>
      <c r="FP37" s="105">
        <f t="shared" si="575"/>
        <v>0</v>
      </c>
      <c r="FQ37" s="105">
        <f t="shared" si="575"/>
        <v>0</v>
      </c>
      <c r="FR37" s="105">
        <f t="shared" si="575"/>
        <v>0</v>
      </c>
      <c r="FS37" s="105">
        <f t="shared" si="575"/>
        <v>0</v>
      </c>
      <c r="FT37" s="105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8" t="s">
        <v>69</v>
      </c>
      <c r="B285" s="158"/>
      <c r="C285" s="158"/>
      <c r="D285" s="158"/>
      <c r="E285" s="158"/>
      <c r="F285" s="158"/>
      <c r="G285" s="158"/>
      <c r="H285" s="158"/>
      <c r="I285" s="158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2" t="s">
        <v>70</v>
      </c>
      <c r="B286" s="162"/>
      <c r="C286" s="162"/>
      <c r="D286" s="162"/>
      <c r="E286" s="162"/>
      <c r="F286" s="162"/>
      <c r="G286" s="162"/>
      <c r="H286" s="162"/>
      <c r="I286" s="162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9" t="s">
        <v>71</v>
      </c>
      <c r="B287" s="160"/>
      <c r="C287" s="160"/>
      <c r="D287" s="160"/>
      <c r="E287" s="160"/>
      <c r="F287" s="160"/>
      <c r="G287" s="160"/>
      <c r="H287" s="160"/>
      <c r="I287" s="161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2" t="s">
        <v>72</v>
      </c>
      <c r="B288" s="162"/>
      <c r="C288" s="162"/>
      <c r="D288" s="162"/>
      <c r="E288" s="162"/>
      <c r="F288" s="162"/>
      <c r="G288" s="162"/>
      <c r="H288" s="162"/>
      <c r="I288" s="162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2" t="s">
        <v>73</v>
      </c>
      <c r="B289" s="162"/>
      <c r="C289" s="162"/>
      <c r="D289" s="162"/>
      <c r="E289" s="162"/>
      <c r="F289" s="162"/>
      <c r="G289" s="162"/>
      <c r="H289" s="162"/>
      <c r="I289" s="162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2026-08-11T07:36:57Z</dcterms:modified>
</cp:coreProperties>
</file>