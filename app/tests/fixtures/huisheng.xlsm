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S1\Office_1.12T\41_施工案14\建_11412_柏翔_光明國中-行政大樓外牆與屋頂防水工程_完成契約_平審\51_監造品管\21_施工日報表\"/>
    </mc:Choice>
  </mc:AlternateContent>
  <xr:revisionPtr revIDLastSave="0" documentId="13_ncr:1_{6ECC01A8-A80D-4463-9177-5938E309FCB1}" xr6:coauthVersionLast="47" xr6:coauthVersionMax="47" xr10:uidLastSave="{00000000-0000-0000-0000-000000000000}"/>
  <bookViews>
    <workbookView xWindow="1500" yWindow="105" windowWidth="22050" windowHeight="15345" tabRatio="611" activeTab="1" xr2:uid="{00000000-000D-0000-FFFF-FFFF00000000}"/>
  </bookViews>
  <sheets>
    <sheet name="封面" sheetId="6" r:id="rId1"/>
    <sheet name="內容" sheetId="3" r:id="rId2"/>
    <sheet name="公共工程施工日誌" sheetId="12" r:id="rId3"/>
    <sheet name="監造日報(有才印)" sheetId="5" r:id="rId4"/>
    <sheet name="進度曲線(查核可用)" sheetId="13" r:id="rId5"/>
  </sheets>
  <definedNames>
    <definedName name="_xleta.N" hidden="1" xlm="1">#NAME?</definedName>
    <definedName name="_xleta.SUM" hidden="1" xlm="1">#NAME?</definedName>
    <definedName name="_xlnm.Print_Area" localSheetId="2">公共工程施工日誌!$A$1:$R$38</definedName>
    <definedName name="_xlnm.Print_Area" localSheetId="3">'監造日報(有才印)'!$A$1:$L$33</definedName>
    <definedName name="日期">內容!$L$7:$DG$7</definedName>
    <definedName name="本日完成">內容!$L$4:$DG$4</definedName>
    <definedName name="累計工期">內容!$L$2:$DG$2</definedName>
    <definedName name="累計完成">內容!$L$5:$DG$5</definedName>
    <definedName name="剩餘工期">內容!$L$3:$DG$3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I160" i="3" l="1"/>
  <c r="DI159" i="3"/>
  <c r="DH160" i="3"/>
  <c r="DH159" i="3"/>
  <c r="C3" i="13"/>
  <c r="D3" i="13"/>
  <c r="E3" i="13"/>
  <c r="F3" i="13"/>
  <c r="G3" i="13"/>
  <c r="H3" i="13"/>
  <c r="I3" i="13"/>
  <c r="K3" i="13"/>
  <c r="M3" i="13"/>
  <c r="N3" i="13"/>
  <c r="O3" i="13"/>
  <c r="P3" i="13"/>
  <c r="Q3" i="13"/>
  <c r="R3" i="13"/>
  <c r="S3" i="13"/>
  <c r="T3" i="13"/>
  <c r="U3" i="13"/>
  <c r="V3" i="13"/>
  <c r="W3" i="13"/>
  <c r="X3" i="13"/>
  <c r="Y3" i="13"/>
  <c r="Z3" i="13"/>
  <c r="AA3" i="13"/>
  <c r="AB3" i="13"/>
  <c r="AC3" i="13"/>
  <c r="AD3" i="13"/>
  <c r="AE3" i="13"/>
  <c r="AF3" i="13"/>
  <c r="AG3" i="13"/>
  <c r="AH3" i="13"/>
  <c r="AI3" i="13"/>
  <c r="AJ3" i="13"/>
  <c r="AK3" i="13"/>
  <c r="AL3" i="13"/>
  <c r="AM3" i="13"/>
  <c r="AN3" i="13"/>
  <c r="AO3" i="13"/>
  <c r="AP3" i="13"/>
  <c r="AQ3" i="13"/>
  <c r="AR3" i="13"/>
  <c r="AS3" i="13"/>
  <c r="AT3" i="13"/>
  <c r="AU3" i="13"/>
  <c r="AV3" i="13"/>
  <c r="AW3" i="13"/>
  <c r="AX3" i="13"/>
  <c r="AY3" i="13"/>
  <c r="AZ3" i="13"/>
  <c r="BA3" i="13"/>
  <c r="BB3" i="13"/>
  <c r="BC3" i="13"/>
  <c r="BD3" i="13"/>
  <c r="BE3" i="13"/>
  <c r="BF3" i="13"/>
  <c r="BG3" i="13"/>
  <c r="BH3" i="13"/>
  <c r="BI3" i="13"/>
  <c r="BJ3" i="13"/>
  <c r="BK3" i="13"/>
  <c r="BL3" i="13"/>
  <c r="BM3" i="13"/>
  <c r="BN3" i="13"/>
  <c r="BO3" i="13"/>
  <c r="BP3" i="13"/>
  <c r="BQ3" i="13"/>
  <c r="BR3" i="13"/>
  <c r="BS3" i="13"/>
  <c r="BT3" i="13"/>
  <c r="BU3" i="13"/>
  <c r="BV3" i="13"/>
  <c r="BW3" i="13"/>
  <c r="BX3" i="13"/>
  <c r="BY3" i="13"/>
  <c r="BZ3" i="13"/>
  <c r="CA3" i="13"/>
  <c r="CB3" i="13"/>
  <c r="CC3" i="13"/>
  <c r="CD3" i="13"/>
  <c r="CE3" i="13"/>
  <c r="CF3" i="13"/>
  <c r="CG3" i="13"/>
  <c r="CH3" i="13"/>
  <c r="CI3" i="13"/>
  <c r="CJ3" i="13"/>
  <c r="CK3" i="13"/>
  <c r="CL3" i="13"/>
  <c r="CM3" i="13"/>
  <c r="CN3" i="13"/>
  <c r="CO3" i="13"/>
  <c r="CP3" i="13"/>
  <c r="CQ3" i="13"/>
  <c r="CR3" i="13"/>
  <c r="CS3" i="13"/>
  <c r="CT3" i="13"/>
  <c r="CU3" i="13"/>
  <c r="CV3" i="13"/>
  <c r="CW3" i="13"/>
  <c r="CX3" i="13"/>
  <c r="CY3" i="13"/>
  <c r="V6" i="3"/>
  <c r="L3" i="13" s="1"/>
  <c r="T6" i="3"/>
  <c r="J3" i="13" s="1"/>
  <c r="B3" i="13"/>
  <c r="B1" i="13"/>
  <c r="E9" i="3"/>
  <c r="DI4" i="3" s="1"/>
  <c r="DH4" i="3" l="1"/>
  <c r="I7" i="5"/>
  <c r="K9" i="3"/>
  <c r="Q5" i="12"/>
  <c r="CR160" i="3"/>
  <c r="CR159" i="3"/>
  <c r="C1" i="13"/>
  <c r="D1" i="13" s="1"/>
  <c r="E1" i="13" s="1"/>
  <c r="F1" i="13" s="1"/>
  <c r="G1" i="13" s="1"/>
  <c r="H1" i="13" s="1"/>
  <c r="I1" i="13" s="1"/>
  <c r="J1" i="13" s="1"/>
  <c r="K1" i="13" s="1"/>
  <c r="L1" i="13" s="1"/>
  <c r="M1" i="13" s="1"/>
  <c r="N1" i="13" s="1"/>
  <c r="O1" i="13" s="1"/>
  <c r="P1" i="13" s="1"/>
  <c r="Q1" i="13" s="1"/>
  <c r="R1" i="13" s="1"/>
  <c r="S1" i="13" s="1"/>
  <c r="T1" i="13" s="1"/>
  <c r="U1" i="13" s="1"/>
  <c r="V1" i="13" s="1"/>
  <c r="W1" i="13" s="1"/>
  <c r="X1" i="13" s="1"/>
  <c r="Y1" i="13" s="1"/>
  <c r="Z1" i="13" s="1"/>
  <c r="AA1" i="13" s="1"/>
  <c r="AB1" i="13" s="1"/>
  <c r="AC1" i="13" s="1"/>
  <c r="AD1" i="13" s="1"/>
  <c r="AE1" i="13" s="1"/>
  <c r="AF1" i="13" s="1"/>
  <c r="AG1" i="13" s="1"/>
  <c r="AH1" i="13" s="1"/>
  <c r="AI1" i="13" s="1"/>
  <c r="AJ1" i="13" s="1"/>
  <c r="AK1" i="13" s="1"/>
  <c r="AL1" i="13" s="1"/>
  <c r="AM1" i="13" s="1"/>
  <c r="AN1" i="13" s="1"/>
  <c r="AO1" i="13" s="1"/>
  <c r="AP1" i="13" s="1"/>
  <c r="AQ1" i="13" s="1"/>
  <c r="AR1" i="13" s="1"/>
  <c r="AS1" i="13" s="1"/>
  <c r="AT1" i="13" s="1"/>
  <c r="AU1" i="13" s="1"/>
  <c r="AV1" i="13" s="1"/>
  <c r="AW1" i="13" s="1"/>
  <c r="AX1" i="13" s="1"/>
  <c r="AY1" i="13" s="1"/>
  <c r="AZ1" i="13" s="1"/>
  <c r="BA1" i="13" s="1"/>
  <c r="BB1" i="13" s="1"/>
  <c r="BC1" i="13" s="1"/>
  <c r="BD1" i="13" s="1"/>
  <c r="BE1" i="13" s="1"/>
  <c r="BF1" i="13" s="1"/>
  <c r="BG1" i="13" s="1"/>
  <c r="BH1" i="13" s="1"/>
  <c r="BI1" i="13" s="1"/>
  <c r="BJ1" i="13" s="1"/>
  <c r="BK1" i="13" s="1"/>
  <c r="BL1" i="13" s="1"/>
  <c r="BM1" i="13" s="1"/>
  <c r="BN1" i="13" s="1"/>
  <c r="BO1" i="13" s="1"/>
  <c r="BP1" i="13" s="1"/>
  <c r="BQ1" i="13" s="1"/>
  <c r="BR1" i="13" s="1"/>
  <c r="BS1" i="13" s="1"/>
  <c r="BT1" i="13" s="1"/>
  <c r="BU1" i="13" s="1"/>
  <c r="BV1" i="13" s="1"/>
  <c r="BW1" i="13" s="1"/>
  <c r="BX1" i="13" s="1"/>
  <c r="BY1" i="13" s="1"/>
  <c r="BZ1" i="13" s="1"/>
  <c r="CA1" i="13" s="1"/>
  <c r="CB1" i="13" s="1"/>
  <c r="CC1" i="13" s="1"/>
  <c r="CD1" i="13" s="1"/>
  <c r="CE1" i="13" s="1"/>
  <c r="CF1" i="13" s="1"/>
  <c r="CG1" i="13" s="1"/>
  <c r="CH1" i="13" s="1"/>
  <c r="CI1" i="13" s="1"/>
  <c r="CJ1" i="13" s="1"/>
  <c r="CK1" i="13" s="1"/>
  <c r="CL1" i="13" s="1"/>
  <c r="CM1" i="13" s="1"/>
  <c r="CN1" i="13" s="1"/>
  <c r="CO1" i="13" s="1"/>
  <c r="CP1" i="13" s="1"/>
  <c r="CQ1" i="13" s="1"/>
  <c r="CR1" i="13" s="1"/>
  <c r="CS1" i="13" s="1"/>
  <c r="CT1" i="13" s="1"/>
  <c r="CU1" i="13" s="1"/>
  <c r="CV1" i="13" s="1"/>
  <c r="CW1" i="13" s="1"/>
  <c r="CX1" i="13" s="1"/>
  <c r="CY1" i="13" s="1"/>
  <c r="E6" i="12"/>
  <c r="C5" i="12"/>
  <c r="C4" i="12"/>
  <c r="B2" i="12"/>
  <c r="S1" i="12"/>
  <c r="I187" i="3"/>
  <c r="H187" i="3"/>
  <c r="A187" i="3" s="1"/>
  <c r="I186" i="3"/>
  <c r="H186" i="3"/>
  <c r="AN4" i="3" l="1"/>
  <c r="AP4" i="3"/>
  <c r="AF4" i="3"/>
  <c r="U4" i="3"/>
  <c r="AG4" i="3"/>
  <c r="AS4" i="3"/>
  <c r="BF4" i="3"/>
  <c r="BR4" i="3"/>
  <c r="CD4" i="3"/>
  <c r="DB4" i="3"/>
  <c r="BA4" i="3"/>
  <c r="AD4" i="3"/>
  <c r="V4" i="3"/>
  <c r="AH4" i="3"/>
  <c r="AT4" i="3"/>
  <c r="BG4" i="3"/>
  <c r="BS4" i="3"/>
  <c r="CE4" i="3"/>
  <c r="CQ4" i="3"/>
  <c r="DC4" i="3"/>
  <c r="CK4" i="3"/>
  <c r="CM4" i="3"/>
  <c r="W4" i="3"/>
  <c r="AI4" i="3"/>
  <c r="AU4" i="3"/>
  <c r="BH4" i="3"/>
  <c r="BT4" i="3"/>
  <c r="CF4" i="3"/>
  <c r="CR4" i="3"/>
  <c r="DD4" i="3"/>
  <c r="AX4" i="3"/>
  <c r="R4" i="3"/>
  <c r="L4" i="3"/>
  <c r="X4" i="3"/>
  <c r="AJ4" i="3"/>
  <c r="AV4" i="3"/>
  <c r="BI4" i="3"/>
  <c r="BU4" i="3"/>
  <c r="CG4" i="3"/>
  <c r="CS4" i="3"/>
  <c r="DE4" i="3"/>
  <c r="AB4" i="3"/>
  <c r="BO4" i="3"/>
  <c r="M4" i="3"/>
  <c r="Y4" i="3"/>
  <c r="AK4" i="3"/>
  <c r="AW4" i="3"/>
  <c r="BJ4" i="3"/>
  <c r="BV4" i="3"/>
  <c r="CH4" i="3"/>
  <c r="CT4" i="3"/>
  <c r="DF4" i="3"/>
  <c r="P4" i="3"/>
  <c r="CA4" i="3"/>
  <c r="N4" i="3"/>
  <c r="Z4" i="3"/>
  <c r="AL4" i="3"/>
  <c r="AY4" i="3"/>
  <c r="BK4" i="3"/>
  <c r="BW4" i="3"/>
  <c r="CI4" i="3"/>
  <c r="CU4" i="3"/>
  <c r="DG4" i="3"/>
  <c r="O4" i="3"/>
  <c r="AA4" i="3"/>
  <c r="AM4" i="3"/>
  <c r="AZ4" i="3"/>
  <c r="BL4" i="3"/>
  <c r="BX4" i="3"/>
  <c r="CJ4" i="3"/>
  <c r="CV4" i="3"/>
  <c r="CW4" i="3"/>
  <c r="Q4" i="3"/>
  <c r="AC4" i="3"/>
  <c r="AO4" i="3"/>
  <c r="BB4" i="3"/>
  <c r="BN4" i="3"/>
  <c r="BZ4" i="3"/>
  <c r="CL4" i="3"/>
  <c r="CX4" i="3"/>
  <c r="BM4" i="3"/>
  <c r="BC4" i="3"/>
  <c r="S4" i="3"/>
  <c r="AE4" i="3"/>
  <c r="AQ4" i="3"/>
  <c r="BD4" i="3"/>
  <c r="BP4" i="3"/>
  <c r="CB4" i="3"/>
  <c r="CN4" i="3"/>
  <c r="CZ4" i="3"/>
  <c r="BY4" i="3"/>
  <c r="CY4" i="3"/>
  <c r="T4" i="3"/>
  <c r="AR4" i="3"/>
  <c r="BE4" i="3"/>
  <c r="BQ4" i="3"/>
  <c r="CC4" i="3"/>
  <c r="CO4" i="3"/>
  <c r="DA4" i="3"/>
  <c r="K163" i="3"/>
  <c r="L157" i="3"/>
  <c r="L159" i="3"/>
  <c r="M159" i="3"/>
  <c r="N159" i="3"/>
  <c r="O159" i="3"/>
  <c r="P159" i="3"/>
  <c r="Q159" i="3"/>
  <c r="R159" i="3"/>
  <c r="S159" i="3"/>
  <c r="T159" i="3"/>
  <c r="U159" i="3"/>
  <c r="V159" i="3"/>
  <c r="W159" i="3"/>
  <c r="X159" i="3"/>
  <c r="Y159" i="3"/>
  <c r="Z159" i="3"/>
  <c r="AA159" i="3"/>
  <c r="AB159" i="3"/>
  <c r="AC159" i="3"/>
  <c r="AD159" i="3"/>
  <c r="AE159" i="3"/>
  <c r="AF159" i="3"/>
  <c r="AG159" i="3"/>
  <c r="AH159" i="3"/>
  <c r="AI159" i="3"/>
  <c r="AJ159" i="3"/>
  <c r="AK159" i="3"/>
  <c r="AL159" i="3"/>
  <c r="AM159" i="3"/>
  <c r="AN159" i="3"/>
  <c r="AO159" i="3"/>
  <c r="AP159" i="3"/>
  <c r="AQ159" i="3"/>
  <c r="AR159" i="3"/>
  <c r="AS159" i="3"/>
  <c r="AT159" i="3"/>
  <c r="AU159" i="3"/>
  <c r="AV159" i="3"/>
  <c r="AW159" i="3"/>
  <c r="AX159" i="3"/>
  <c r="AY159" i="3"/>
  <c r="AZ159" i="3"/>
  <c r="BA159" i="3"/>
  <c r="BB159" i="3"/>
  <c r="BC159" i="3"/>
  <c r="BD159" i="3"/>
  <c r="BE159" i="3"/>
  <c r="BF159" i="3"/>
  <c r="BG159" i="3"/>
  <c r="BH159" i="3"/>
  <c r="BI159" i="3"/>
  <c r="BJ159" i="3"/>
  <c r="BK159" i="3"/>
  <c r="BL159" i="3"/>
  <c r="BM159" i="3"/>
  <c r="BN159" i="3"/>
  <c r="BO159" i="3"/>
  <c r="BP159" i="3"/>
  <c r="BQ159" i="3"/>
  <c r="BR159" i="3"/>
  <c r="BS159" i="3"/>
  <c r="BT159" i="3"/>
  <c r="BU159" i="3"/>
  <c r="BV159" i="3"/>
  <c r="BW159" i="3"/>
  <c r="BX159" i="3"/>
  <c r="BY159" i="3"/>
  <c r="BZ159" i="3"/>
  <c r="CA159" i="3"/>
  <c r="CB159" i="3"/>
  <c r="CC159" i="3"/>
  <c r="CD159" i="3"/>
  <c r="CE159" i="3"/>
  <c r="CF159" i="3"/>
  <c r="CG159" i="3"/>
  <c r="CH159" i="3"/>
  <c r="CI159" i="3"/>
  <c r="CJ159" i="3"/>
  <c r="CK159" i="3"/>
  <c r="CL159" i="3"/>
  <c r="CM159" i="3"/>
  <c r="CN159" i="3"/>
  <c r="CO159" i="3"/>
  <c r="CP159" i="3"/>
  <c r="CQ159" i="3"/>
  <c r="CS159" i="3"/>
  <c r="CT159" i="3"/>
  <c r="CU159" i="3"/>
  <c r="CV159" i="3"/>
  <c r="CW159" i="3"/>
  <c r="CX159" i="3"/>
  <c r="CY159" i="3"/>
  <c r="CZ159" i="3"/>
  <c r="DA159" i="3"/>
  <c r="DB159" i="3"/>
  <c r="DC159" i="3"/>
  <c r="DD159" i="3"/>
  <c r="DE159" i="3"/>
  <c r="DF159" i="3"/>
  <c r="DG159" i="3"/>
  <c r="L160" i="3"/>
  <c r="M160" i="3"/>
  <c r="N160" i="3"/>
  <c r="O160" i="3"/>
  <c r="P160" i="3"/>
  <c r="Q160" i="3"/>
  <c r="R160" i="3"/>
  <c r="S160" i="3"/>
  <c r="T160" i="3"/>
  <c r="U160" i="3"/>
  <c r="V160" i="3"/>
  <c r="W160" i="3"/>
  <c r="X160" i="3"/>
  <c r="Y160" i="3"/>
  <c r="Z160" i="3"/>
  <c r="AA160" i="3"/>
  <c r="AB160" i="3"/>
  <c r="AC160" i="3"/>
  <c r="AD160" i="3"/>
  <c r="AE160" i="3"/>
  <c r="AF160" i="3"/>
  <c r="AG160" i="3"/>
  <c r="AH160" i="3"/>
  <c r="AI160" i="3"/>
  <c r="AJ160" i="3"/>
  <c r="AK160" i="3"/>
  <c r="AL160" i="3"/>
  <c r="AM160" i="3"/>
  <c r="AN160" i="3"/>
  <c r="AO160" i="3"/>
  <c r="AP160" i="3"/>
  <c r="AQ160" i="3"/>
  <c r="AR160" i="3"/>
  <c r="AS160" i="3"/>
  <c r="AT160" i="3"/>
  <c r="AU160" i="3"/>
  <c r="AV160" i="3"/>
  <c r="AW160" i="3"/>
  <c r="AX160" i="3"/>
  <c r="AY160" i="3"/>
  <c r="AZ160" i="3"/>
  <c r="BA160" i="3"/>
  <c r="BB160" i="3"/>
  <c r="BC160" i="3"/>
  <c r="BD160" i="3"/>
  <c r="BE160" i="3"/>
  <c r="BF160" i="3"/>
  <c r="BG160" i="3"/>
  <c r="BH160" i="3"/>
  <c r="BI160" i="3"/>
  <c r="BJ160" i="3"/>
  <c r="BK160" i="3"/>
  <c r="BL160" i="3"/>
  <c r="BM160" i="3"/>
  <c r="BN160" i="3"/>
  <c r="BO160" i="3"/>
  <c r="BP160" i="3"/>
  <c r="BQ160" i="3"/>
  <c r="BR160" i="3"/>
  <c r="BS160" i="3"/>
  <c r="BT160" i="3"/>
  <c r="BU160" i="3"/>
  <c r="BV160" i="3"/>
  <c r="BW160" i="3"/>
  <c r="BX160" i="3"/>
  <c r="BY160" i="3"/>
  <c r="BZ160" i="3"/>
  <c r="CA160" i="3"/>
  <c r="CB160" i="3"/>
  <c r="CC160" i="3"/>
  <c r="CD160" i="3"/>
  <c r="CE160" i="3"/>
  <c r="CF160" i="3"/>
  <c r="CG160" i="3"/>
  <c r="CH160" i="3"/>
  <c r="CI160" i="3"/>
  <c r="CJ160" i="3"/>
  <c r="CK160" i="3"/>
  <c r="CL160" i="3"/>
  <c r="CM160" i="3"/>
  <c r="CN160" i="3"/>
  <c r="CO160" i="3"/>
  <c r="CP160" i="3"/>
  <c r="CQ160" i="3"/>
  <c r="CS160" i="3"/>
  <c r="CT160" i="3"/>
  <c r="CU160" i="3"/>
  <c r="CV160" i="3"/>
  <c r="CW160" i="3"/>
  <c r="CX160" i="3"/>
  <c r="CY160" i="3"/>
  <c r="CZ160" i="3"/>
  <c r="DA160" i="3"/>
  <c r="DB160" i="3"/>
  <c r="DC160" i="3"/>
  <c r="DD160" i="3"/>
  <c r="DE160" i="3"/>
  <c r="DF160" i="3"/>
  <c r="DG160" i="3"/>
  <c r="L190" i="3"/>
  <c r="A186" i="3" l="1"/>
  <c r="I185" i="3"/>
  <c r="H185" i="3"/>
  <c r="A185" i="3" s="1"/>
  <c r="H182" i="3"/>
  <c r="A182" i="3" s="1"/>
  <c r="I182" i="3"/>
  <c r="I183" i="3"/>
  <c r="I184" i="3"/>
  <c r="H189" i="3"/>
  <c r="K7" i="5"/>
  <c r="B3" i="5"/>
  <c r="K191" i="3"/>
  <c r="I179" i="3"/>
  <c r="I180" i="3"/>
  <c r="H180" i="3"/>
  <c r="A180" i="3" s="1"/>
  <c r="H179" i="3"/>
  <c r="A179" i="3" s="1"/>
  <c r="I178" i="3"/>
  <c r="H178" i="3"/>
  <c r="A178" i="3" s="1"/>
  <c r="I177" i="3"/>
  <c r="H177" i="3"/>
  <c r="A177" i="3" s="1"/>
  <c r="I176" i="3"/>
  <c r="H176" i="3"/>
  <c r="A176" i="3" s="1"/>
  <c r="H169" i="3" l="1"/>
  <c r="K171" i="3"/>
  <c r="I193" i="3"/>
  <c r="H193" i="3"/>
  <c r="A193" i="3" s="1"/>
  <c r="I201" i="3"/>
  <c r="H201" i="3"/>
  <c r="A201" i="3" s="1"/>
  <c r="I200" i="3"/>
  <c r="H200" i="3"/>
  <c r="A200" i="3" s="1"/>
  <c r="I199" i="3"/>
  <c r="H199" i="3"/>
  <c r="A199" i="3" s="1"/>
  <c r="I198" i="3"/>
  <c r="H198" i="3"/>
  <c r="A198" i="3" s="1"/>
  <c r="I197" i="3"/>
  <c r="H197" i="3"/>
  <c r="A197" i="3" s="1"/>
  <c r="I196" i="3"/>
  <c r="H196" i="3"/>
  <c r="A196" i="3" s="1"/>
  <c r="I195" i="3"/>
  <c r="H195" i="3"/>
  <c r="A195" i="3" s="1"/>
  <c r="I194" i="3"/>
  <c r="H194" i="3"/>
  <c r="A194" i="3" s="1"/>
  <c r="I188" i="3"/>
  <c r="H188" i="3"/>
  <c r="A188" i="3" s="1"/>
  <c r="H184" i="3"/>
  <c r="A184" i="3" s="1"/>
  <c r="H183" i="3"/>
  <c r="A183" i="3" s="1"/>
  <c r="I181" i="3"/>
  <c r="H181" i="3"/>
  <c r="A181" i="3" s="1"/>
  <c r="I175" i="3"/>
  <c r="H175" i="3"/>
  <c r="A175" i="3" s="1"/>
  <c r="I174" i="3"/>
  <c r="H174" i="3"/>
  <c r="A174" i="3" s="1"/>
  <c r="I173" i="3"/>
  <c r="H173" i="3"/>
  <c r="A173" i="3" s="1"/>
  <c r="H161" i="3"/>
  <c r="A1" i="6"/>
  <c r="A3" i="6"/>
  <c r="C8" i="6"/>
  <c r="K192" i="3" l="1"/>
  <c r="K172" i="3"/>
  <c r="M1" i="5" l="1"/>
  <c r="E6" i="5" l="1"/>
  <c r="B5" i="5"/>
  <c r="B6" i="5"/>
  <c r="L210" i="3" l="1"/>
  <c r="H11" i="3"/>
  <c r="L8" i="3"/>
  <c r="M7" i="3"/>
  <c r="L5" i="3"/>
  <c r="B2" i="13" s="1"/>
  <c r="L2" i="3"/>
  <c r="M2" i="3" s="1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J1" i="3" s="1"/>
  <c r="AK1" i="3" s="1"/>
  <c r="AL1" i="3" s="1"/>
  <c r="AM1" i="3" s="1"/>
  <c r="AN1" i="3" s="1"/>
  <c r="AO1" i="3" s="1"/>
  <c r="AP1" i="3" s="1"/>
  <c r="AQ1" i="3" s="1"/>
  <c r="AR1" i="3" s="1"/>
  <c r="AS1" i="3" s="1"/>
  <c r="AT1" i="3" s="1"/>
  <c r="AU1" i="3" s="1"/>
  <c r="AV1" i="3" s="1"/>
  <c r="AW1" i="3" s="1"/>
  <c r="AX1" i="3" s="1"/>
  <c r="AY1" i="3" s="1"/>
  <c r="AZ1" i="3" s="1"/>
  <c r="BA1" i="3" s="1"/>
  <c r="BB1" i="3" s="1"/>
  <c r="BC1" i="3" s="1"/>
  <c r="BD1" i="3" s="1"/>
  <c r="BE1" i="3" s="1"/>
  <c r="BF1" i="3" s="1"/>
  <c r="BG1" i="3" s="1"/>
  <c r="BH1" i="3" s="1"/>
  <c r="BI1" i="3" s="1"/>
  <c r="K4" i="3" s="1"/>
  <c r="BJ1" i="3" l="1"/>
  <c r="BK1" i="3" s="1"/>
  <c r="BL1" i="3" s="1"/>
  <c r="BM1" i="3" s="1"/>
  <c r="BN1" i="3" s="1"/>
  <c r="BO1" i="3" s="1"/>
  <c r="BP1" i="3" s="1"/>
  <c r="BQ1" i="3" s="1"/>
  <c r="BR1" i="3" s="1"/>
  <c r="BS1" i="3" s="1"/>
  <c r="BT1" i="3" s="1"/>
  <c r="BU1" i="3" s="1"/>
  <c r="BV1" i="3" s="1"/>
  <c r="BW1" i="3" s="1"/>
  <c r="L191" i="3"/>
  <c r="L158" i="3"/>
  <c r="L211" i="3" s="1"/>
  <c r="M157" i="3"/>
  <c r="M210" i="3" s="1"/>
  <c r="M190" i="3"/>
  <c r="N7" i="3"/>
  <c r="M8" i="3"/>
  <c r="M5" i="3"/>
  <c r="C2" i="13" s="1"/>
  <c r="N2" i="3"/>
  <c r="M3" i="3"/>
  <c r="L3" i="3"/>
  <c r="N5" i="3" l="1"/>
  <c r="D2" i="13" s="1"/>
  <c r="BX1" i="3"/>
  <c r="O7" i="3"/>
  <c r="N157" i="3"/>
  <c r="N210" i="3" s="1"/>
  <c r="N190" i="3"/>
  <c r="M191" i="3"/>
  <c r="M158" i="3"/>
  <c r="M211" i="3" s="1"/>
  <c r="O2" i="3"/>
  <c r="N3" i="3"/>
  <c r="N8" i="3"/>
  <c r="O5" i="3" l="1"/>
  <c r="E2" i="13" s="1"/>
  <c r="BY1" i="3"/>
  <c r="BZ1" i="3" s="1"/>
  <c r="CA1" i="3" s="1"/>
  <c r="CB1" i="3" s="1"/>
  <c r="CC1" i="3" s="1"/>
  <c r="CD1" i="3" s="1"/>
  <c r="CE1" i="3" s="1"/>
  <c r="CF1" i="3" s="1"/>
  <c r="CG1" i="3" s="1"/>
  <c r="CH1" i="3" s="1"/>
  <c r="N191" i="3"/>
  <c r="N158" i="3"/>
  <c r="O157" i="3"/>
  <c r="O190" i="3"/>
  <c r="N211" i="3"/>
  <c r="O210" i="3"/>
  <c r="P7" i="3"/>
  <c r="O8" i="3"/>
  <c r="P2" i="3"/>
  <c r="O3" i="3"/>
  <c r="P5" i="3" l="1"/>
  <c r="F2" i="13" s="1"/>
  <c r="CI1" i="3"/>
  <c r="CJ1" i="3" s="1"/>
  <c r="CK1" i="3" s="1"/>
  <c r="CL1" i="3" s="1"/>
  <c r="CM1" i="3" s="1"/>
  <c r="CN1" i="3" s="1"/>
  <c r="CO1" i="3" s="1"/>
  <c r="CP1" i="3" s="1"/>
  <c r="CQ1" i="3" s="1"/>
  <c r="CR1" i="3" s="1"/>
  <c r="CS1" i="3" s="1"/>
  <c r="CT1" i="3" s="1"/>
  <c r="CU1" i="3" s="1"/>
  <c r="CV1" i="3" s="1"/>
  <c r="CW1" i="3" s="1"/>
  <c r="CX1" i="3" s="1"/>
  <c r="CY1" i="3" s="1"/>
  <c r="CZ1" i="3" s="1"/>
  <c r="DA1" i="3" s="1"/>
  <c r="DB1" i="3" s="1"/>
  <c r="DC1" i="3" s="1"/>
  <c r="DD1" i="3" s="1"/>
  <c r="P157" i="3"/>
  <c r="P190" i="3"/>
  <c r="O191" i="3"/>
  <c r="O158" i="3"/>
  <c r="O211" i="3" s="1"/>
  <c r="Q2" i="3"/>
  <c r="P3" i="3"/>
  <c r="P210" i="3"/>
  <c r="Q7" i="3"/>
  <c r="P8" i="3"/>
  <c r="Q5" i="3" l="1"/>
  <c r="G2" i="13" s="1"/>
  <c r="DE1" i="3"/>
  <c r="DF1" i="3" s="1"/>
  <c r="DG1" i="3" s="1"/>
  <c r="DH1" i="3" s="1"/>
  <c r="DI1" i="3" s="1"/>
  <c r="P191" i="3"/>
  <c r="P158" i="3"/>
  <c r="Q157" i="3"/>
  <c r="Q210" i="3" s="1"/>
  <c r="Q190" i="3"/>
  <c r="P211" i="3"/>
  <c r="R7" i="3"/>
  <c r="Q8" i="3"/>
  <c r="Q3" i="3"/>
  <c r="R2" i="3"/>
  <c r="R5" i="3" l="1"/>
  <c r="H2" i="13" s="1"/>
  <c r="K13" i="3"/>
  <c r="Q158" i="3"/>
  <c r="Q211" i="3" s="1"/>
  <c r="Q191" i="3"/>
  <c r="R157" i="3"/>
  <c r="R210" i="3" s="1"/>
  <c r="R190" i="3"/>
  <c r="S7" i="3"/>
  <c r="R8" i="3"/>
  <c r="R3" i="3"/>
  <c r="S2" i="3"/>
  <c r="S5" i="3" l="1"/>
  <c r="I2" i="13" s="1"/>
  <c r="R158" i="3"/>
  <c r="R211" i="3" s="1"/>
  <c r="R191" i="3"/>
  <c r="S157" i="3"/>
  <c r="S210" i="3" s="1"/>
  <c r="S190" i="3"/>
  <c r="S3" i="3"/>
  <c r="T2" i="3"/>
  <c r="T7" i="3"/>
  <c r="S8" i="3"/>
  <c r="T5" i="3" l="1"/>
  <c r="J2" i="13" s="1"/>
  <c r="K160" i="3"/>
  <c r="K156" i="3"/>
  <c r="K159" i="3"/>
  <c r="S158" i="3"/>
  <c r="S211" i="3" s="1"/>
  <c r="S191" i="3"/>
  <c r="T190" i="3"/>
  <c r="T157" i="3"/>
  <c r="T210" i="3" s="1"/>
  <c r="U2" i="3"/>
  <c r="T3" i="3"/>
  <c r="U7" i="3"/>
  <c r="T8" i="3"/>
  <c r="U5" i="3" l="1"/>
  <c r="K2" i="13" s="1"/>
  <c r="D3" i="12"/>
  <c r="C4" i="5"/>
  <c r="E4" i="5"/>
  <c r="G3" i="12"/>
  <c r="T158" i="3"/>
  <c r="T211" i="3" s="1"/>
  <c r="T191" i="3"/>
  <c r="U190" i="3"/>
  <c r="U157" i="3"/>
  <c r="U210" i="3" s="1"/>
  <c r="V7" i="3"/>
  <c r="U8" i="3"/>
  <c r="V2" i="3"/>
  <c r="U3" i="3"/>
  <c r="V5" i="3" l="1"/>
  <c r="L2" i="13" s="1"/>
  <c r="V157" i="3"/>
  <c r="V210" i="3" s="1"/>
  <c r="V190" i="3"/>
  <c r="U158" i="3"/>
  <c r="U211" i="3" s="1"/>
  <c r="U191" i="3"/>
  <c r="W2" i="3"/>
  <c r="V3" i="3"/>
  <c r="W7" i="3"/>
  <c r="V8" i="3"/>
  <c r="W5" i="3" l="1"/>
  <c r="M2" i="13" s="1"/>
  <c r="K6" i="3"/>
  <c r="V158" i="3"/>
  <c r="V211" i="3" s="1"/>
  <c r="V191" i="3"/>
  <c r="W157" i="3"/>
  <c r="W210" i="3" s="1"/>
  <c r="W190" i="3"/>
  <c r="X7" i="3"/>
  <c r="W8" i="3"/>
  <c r="W3" i="3"/>
  <c r="X2" i="3"/>
  <c r="X5" i="3" l="1"/>
  <c r="N2" i="13" s="1"/>
  <c r="E7" i="12"/>
  <c r="B8" i="5"/>
  <c r="K65" i="3"/>
  <c r="B65" i="3" s="1"/>
  <c r="K178" i="3"/>
  <c r="B178" i="3" s="1"/>
  <c r="K188" i="3"/>
  <c r="B188" i="3" s="1"/>
  <c r="K39" i="3"/>
  <c r="B39" i="3" s="1"/>
  <c r="K152" i="3"/>
  <c r="B152" i="3" s="1"/>
  <c r="K59" i="3"/>
  <c r="B59" i="3" s="1"/>
  <c r="K131" i="3"/>
  <c r="B131" i="3" s="1"/>
  <c r="K154" i="3"/>
  <c r="B154" i="3" s="1"/>
  <c r="K50" i="3"/>
  <c r="B50" i="3" s="1"/>
  <c r="K79" i="3"/>
  <c r="B79" i="3" s="1"/>
  <c r="K43" i="3"/>
  <c r="B43" i="3" s="1"/>
  <c r="K173" i="3"/>
  <c r="K121" i="3"/>
  <c r="B121" i="3" s="1"/>
  <c r="K126" i="3"/>
  <c r="B126" i="3" s="1"/>
  <c r="K46" i="3"/>
  <c r="B46" i="3" s="1"/>
  <c r="K139" i="3"/>
  <c r="B139" i="3" s="1"/>
  <c r="K51" i="3"/>
  <c r="B51" i="3" s="1"/>
  <c r="K155" i="3"/>
  <c r="B155" i="3" s="1"/>
  <c r="K12" i="3"/>
  <c r="K129" i="3"/>
  <c r="B129" i="3" s="1"/>
  <c r="K138" i="3"/>
  <c r="B138" i="3" s="1"/>
  <c r="K98" i="3"/>
  <c r="B98" i="3" s="1"/>
  <c r="K149" i="3"/>
  <c r="B149" i="3" s="1"/>
  <c r="K25" i="3"/>
  <c r="B25" i="3" s="1"/>
  <c r="B13" i="3"/>
  <c r="K89" i="3"/>
  <c r="B89" i="3" s="1"/>
  <c r="K144" i="3"/>
  <c r="B144" i="3" s="1"/>
  <c r="K117" i="3"/>
  <c r="B117" i="3" s="1"/>
  <c r="K120" i="3"/>
  <c r="B120" i="3" s="1"/>
  <c r="K112" i="3"/>
  <c r="B112" i="3" s="1"/>
  <c r="K54" i="3"/>
  <c r="B54" i="3" s="1"/>
  <c r="K64" i="3"/>
  <c r="B64" i="3" s="1"/>
  <c r="K34" i="3"/>
  <c r="B34" i="3" s="1"/>
  <c r="K48" i="3"/>
  <c r="B48" i="3" s="1"/>
  <c r="K193" i="3"/>
  <c r="K168" i="3"/>
  <c r="B168" i="3" s="1"/>
  <c r="K33" i="3"/>
  <c r="B33" i="3" s="1"/>
  <c r="K97" i="3"/>
  <c r="B97" i="3" s="1"/>
  <c r="K199" i="3"/>
  <c r="B199" i="3" s="1"/>
  <c r="K21" i="3"/>
  <c r="B21" i="3" s="1"/>
  <c r="K102" i="3"/>
  <c r="B102" i="3" s="1"/>
  <c r="K195" i="3"/>
  <c r="B195" i="3" s="1"/>
  <c r="K80" i="3"/>
  <c r="B80" i="3" s="1"/>
  <c r="K143" i="3"/>
  <c r="B143" i="3" s="1"/>
  <c r="K87" i="3"/>
  <c r="B87" i="3" s="1"/>
  <c r="K142" i="3"/>
  <c r="B142" i="3" s="1"/>
  <c r="K177" i="3"/>
  <c r="B177" i="3" s="1"/>
  <c r="K106" i="3"/>
  <c r="B106" i="3" s="1"/>
  <c r="K75" i="3"/>
  <c r="B75" i="3" s="1"/>
  <c r="K110" i="3"/>
  <c r="B110" i="3" s="1"/>
  <c r="K95" i="3"/>
  <c r="B95" i="3" s="1"/>
  <c r="K185" i="3"/>
  <c r="B185" i="3" s="1"/>
  <c r="K187" i="3"/>
  <c r="B187" i="3" s="1"/>
  <c r="K134" i="3"/>
  <c r="B134" i="3" s="1"/>
  <c r="K71" i="3"/>
  <c r="B71" i="3" s="1"/>
  <c r="K153" i="3"/>
  <c r="B153" i="3" s="1"/>
  <c r="K61" i="3"/>
  <c r="B61" i="3" s="1"/>
  <c r="K132" i="3"/>
  <c r="B132" i="3" s="1"/>
  <c r="K175" i="3"/>
  <c r="B175" i="3" s="1"/>
  <c r="K52" i="3"/>
  <c r="B52" i="3" s="1"/>
  <c r="K115" i="3"/>
  <c r="B115" i="3" s="1"/>
  <c r="K70" i="3"/>
  <c r="B70" i="3" s="1"/>
  <c r="K215" i="3"/>
  <c r="K30" i="3"/>
  <c r="B30" i="3" s="1"/>
  <c r="K207" i="3"/>
  <c r="K67" i="3"/>
  <c r="B67" i="3" s="1"/>
  <c r="K165" i="3"/>
  <c r="K180" i="3"/>
  <c r="B180" i="3" s="1"/>
  <c r="K36" i="3"/>
  <c r="B36" i="3" s="1"/>
  <c r="K15" i="3"/>
  <c r="B15" i="3" s="1"/>
  <c r="K101" i="3"/>
  <c r="B101" i="3" s="1"/>
  <c r="K29" i="3"/>
  <c r="B29" i="3" s="1"/>
  <c r="K105" i="3"/>
  <c r="B105" i="3" s="1"/>
  <c r="K57" i="3"/>
  <c r="B57" i="3" s="1"/>
  <c r="K181" i="3"/>
  <c r="B181" i="3" s="1"/>
  <c r="K94" i="3"/>
  <c r="B94" i="3" s="1"/>
  <c r="K27" i="3"/>
  <c r="B27" i="3" s="1"/>
  <c r="K209" i="3"/>
  <c r="K72" i="3"/>
  <c r="B72" i="3" s="1"/>
  <c r="K23" i="3"/>
  <c r="B23" i="3" s="1"/>
  <c r="K150" i="3"/>
  <c r="B150" i="3" s="1"/>
  <c r="K56" i="3"/>
  <c r="B56" i="3" s="1"/>
  <c r="K99" i="3"/>
  <c r="B99" i="3" s="1"/>
  <c r="K63" i="3"/>
  <c r="B63" i="3" s="1"/>
  <c r="K35" i="3"/>
  <c r="B35" i="3" s="1"/>
  <c r="K22" i="3"/>
  <c r="B22" i="3" s="1"/>
  <c r="K16" i="3"/>
  <c r="B16" i="3" s="1"/>
  <c r="K18" i="3"/>
  <c r="B18" i="3" s="1"/>
  <c r="K122" i="3"/>
  <c r="B122" i="3" s="1"/>
  <c r="K85" i="3"/>
  <c r="B85" i="3" s="1"/>
  <c r="K214" i="3"/>
  <c r="K41" i="3"/>
  <c r="B41" i="3" s="1"/>
  <c r="K111" i="3"/>
  <c r="B111" i="3" s="1"/>
  <c r="K151" i="3"/>
  <c r="B151" i="3" s="1"/>
  <c r="K186" i="3"/>
  <c r="B186" i="3" s="1"/>
  <c r="K66" i="3"/>
  <c r="B66" i="3" s="1"/>
  <c r="K60" i="3"/>
  <c r="B60" i="3" s="1"/>
  <c r="K176" i="3"/>
  <c r="B176" i="3" s="1"/>
  <c r="K198" i="3"/>
  <c r="B198" i="3" s="1"/>
  <c r="K145" i="3"/>
  <c r="B145" i="3" s="1"/>
  <c r="K104" i="3"/>
  <c r="B104" i="3" s="1"/>
  <c r="K148" i="3"/>
  <c r="B148" i="3" s="1"/>
  <c r="K184" i="3"/>
  <c r="B184" i="3" s="1"/>
  <c r="K28" i="3"/>
  <c r="B28" i="3" s="1"/>
  <c r="K109" i="3"/>
  <c r="B109" i="3" s="1"/>
  <c r="K62" i="3"/>
  <c r="B62" i="3" s="1"/>
  <c r="K200" i="3"/>
  <c r="B200" i="3" s="1"/>
  <c r="K108" i="3"/>
  <c r="B108" i="3" s="1"/>
  <c r="K26" i="3"/>
  <c r="B26" i="3" s="1"/>
  <c r="K40" i="3"/>
  <c r="B40" i="3" s="1"/>
  <c r="K20" i="3"/>
  <c r="B20" i="3" s="1"/>
  <c r="K24" i="3"/>
  <c r="B24" i="3" s="1"/>
  <c r="K38" i="3"/>
  <c r="B38" i="3" s="1"/>
  <c r="K103" i="3"/>
  <c r="B103" i="3" s="1"/>
  <c r="K100" i="3"/>
  <c r="B100" i="3" s="1"/>
  <c r="K137" i="3"/>
  <c r="B137" i="3" s="1"/>
  <c r="K183" i="3"/>
  <c r="B183" i="3" s="1"/>
  <c r="K68" i="3"/>
  <c r="B68" i="3" s="1"/>
  <c r="K118" i="3"/>
  <c r="B118" i="3" s="1"/>
  <c r="K212" i="3"/>
  <c r="K128" i="3"/>
  <c r="B128" i="3" s="1"/>
  <c r="K119" i="3"/>
  <c r="B119" i="3" s="1"/>
  <c r="K116" i="3"/>
  <c r="B116" i="3" s="1"/>
  <c r="K124" i="3"/>
  <c r="B124" i="3" s="1"/>
  <c r="K78" i="3"/>
  <c r="B78" i="3" s="1"/>
  <c r="K196" i="3"/>
  <c r="B196" i="3" s="1"/>
  <c r="K86" i="3"/>
  <c r="B86" i="3" s="1"/>
  <c r="K179" i="3"/>
  <c r="B179" i="3" s="1"/>
  <c r="K136" i="3"/>
  <c r="B136" i="3" s="1"/>
  <c r="K107" i="3"/>
  <c r="B107" i="3" s="1"/>
  <c r="K42" i="3"/>
  <c r="B42" i="3" s="1"/>
  <c r="K133" i="3"/>
  <c r="B133" i="3" s="1"/>
  <c r="K167" i="3"/>
  <c r="B167" i="3" s="1"/>
  <c r="K83" i="3"/>
  <c r="B83" i="3" s="1"/>
  <c r="K166" i="3"/>
  <c r="B166" i="3" s="1"/>
  <c r="K76" i="3"/>
  <c r="B76" i="3" s="1"/>
  <c r="K114" i="3"/>
  <c r="B114" i="3" s="1"/>
  <c r="K146" i="3"/>
  <c r="B146" i="3" s="1"/>
  <c r="K32" i="3"/>
  <c r="B32" i="3" s="1"/>
  <c r="K44" i="3"/>
  <c r="B44" i="3" s="1"/>
  <c r="K141" i="3"/>
  <c r="B141" i="3" s="1"/>
  <c r="K45" i="3"/>
  <c r="B45" i="3" s="1"/>
  <c r="K201" i="3"/>
  <c r="B201" i="3" s="1"/>
  <c r="K197" i="3"/>
  <c r="B197" i="3" s="1"/>
  <c r="K194" i="3"/>
  <c r="B194" i="3" s="1"/>
  <c r="K130" i="3"/>
  <c r="B130" i="3" s="1"/>
  <c r="K84" i="3"/>
  <c r="B84" i="3" s="1"/>
  <c r="K82" i="3"/>
  <c r="B82" i="3" s="1"/>
  <c r="K17" i="3"/>
  <c r="B17" i="3" s="1"/>
  <c r="K55" i="3"/>
  <c r="B55" i="3" s="1"/>
  <c r="K37" i="3"/>
  <c r="B37" i="3" s="1"/>
  <c r="K147" i="3"/>
  <c r="B147" i="3" s="1"/>
  <c r="K123" i="3"/>
  <c r="B123" i="3" s="1"/>
  <c r="K74" i="3"/>
  <c r="B74" i="3" s="1"/>
  <c r="K14" i="3"/>
  <c r="B14" i="3" s="1"/>
  <c r="K47" i="3"/>
  <c r="B47" i="3" s="1"/>
  <c r="K58" i="3"/>
  <c r="B58" i="3" s="1"/>
  <c r="K91" i="3"/>
  <c r="B91" i="3" s="1"/>
  <c r="K140" i="3"/>
  <c r="B140" i="3" s="1"/>
  <c r="K31" i="3"/>
  <c r="B31" i="3" s="1"/>
  <c r="K49" i="3"/>
  <c r="B49" i="3" s="1"/>
  <c r="K73" i="3"/>
  <c r="B73" i="3" s="1"/>
  <c r="K77" i="3"/>
  <c r="B77" i="3" s="1"/>
  <c r="K208" i="3"/>
  <c r="K69" i="3"/>
  <c r="B69" i="3" s="1"/>
  <c r="K174" i="3"/>
  <c r="B174" i="3" s="1"/>
  <c r="K53" i="3"/>
  <c r="B53" i="3" s="1"/>
  <c r="K88" i="3"/>
  <c r="B88" i="3" s="1"/>
  <c r="K125" i="3"/>
  <c r="B125" i="3" s="1"/>
  <c r="K182" i="3"/>
  <c r="B182" i="3" s="1"/>
  <c r="K90" i="3"/>
  <c r="B90" i="3" s="1"/>
  <c r="K81" i="3"/>
  <c r="B81" i="3" s="1"/>
  <c r="K19" i="3"/>
  <c r="B19" i="3" s="1"/>
  <c r="K206" i="3"/>
  <c r="K96" i="3"/>
  <c r="B96" i="3" s="1"/>
  <c r="K113" i="3"/>
  <c r="B113" i="3" s="1"/>
  <c r="K92" i="3"/>
  <c r="B92" i="3" s="1"/>
  <c r="K127" i="3"/>
  <c r="B127" i="3" s="1"/>
  <c r="K93" i="3"/>
  <c r="B93" i="3" s="1"/>
  <c r="K135" i="3"/>
  <c r="B135" i="3" s="1"/>
  <c r="K213" i="3"/>
  <c r="W158" i="3"/>
  <c r="W211" i="3" s="1"/>
  <c r="W191" i="3"/>
  <c r="X190" i="3"/>
  <c r="X157" i="3"/>
  <c r="X210" i="3" s="1"/>
  <c r="Y2" i="3"/>
  <c r="X3" i="3"/>
  <c r="Y7" i="3"/>
  <c r="X8" i="3"/>
  <c r="Y5" i="3" l="1"/>
  <c r="O2" i="13" s="1"/>
  <c r="A31" i="5"/>
  <c r="A24" i="5"/>
  <c r="B193" i="3"/>
  <c r="K190" i="3"/>
  <c r="A29" i="5"/>
  <c r="B173" i="3"/>
  <c r="K170" i="3"/>
  <c r="A37" i="12"/>
  <c r="B165" i="3"/>
  <c r="K162" i="3"/>
  <c r="A26" i="5"/>
  <c r="A34" i="12"/>
  <c r="B12" i="3"/>
  <c r="K8" i="3"/>
  <c r="Y157" i="3"/>
  <c r="Y210" i="3" s="1"/>
  <c r="Y190" i="3"/>
  <c r="X158" i="3"/>
  <c r="X211" i="3" s="1"/>
  <c r="X191" i="3"/>
  <c r="Y8" i="3"/>
  <c r="Z7" i="3"/>
  <c r="Z2" i="3"/>
  <c r="Y3" i="3"/>
  <c r="Z5" i="3" l="1"/>
  <c r="P2" i="13" s="1"/>
  <c r="S27" i="12"/>
  <c r="S22" i="12"/>
  <c r="V27" i="12"/>
  <c r="M11" i="5"/>
  <c r="S10" i="12"/>
  <c r="Y158" i="3"/>
  <c r="Y211" i="3" s="1"/>
  <c r="Y191" i="3"/>
  <c r="Z157" i="3"/>
  <c r="Z210" i="3" s="1"/>
  <c r="Z190" i="3"/>
  <c r="AA2" i="3"/>
  <c r="Z3" i="3"/>
  <c r="Z8" i="3"/>
  <c r="AA7" i="3"/>
  <c r="AA5" i="3" l="1"/>
  <c r="Q2" i="13" s="1"/>
  <c r="T10" i="12"/>
  <c r="K10" i="12" s="1"/>
  <c r="S11" i="12"/>
  <c r="M12" i="5"/>
  <c r="N11" i="5"/>
  <c r="G11" i="5" s="1"/>
  <c r="V28" i="12"/>
  <c r="W27" i="12"/>
  <c r="P27" i="12" s="1"/>
  <c r="S23" i="12"/>
  <c r="T22" i="12"/>
  <c r="A22" i="12" s="1"/>
  <c r="H22" i="12"/>
  <c r="K22" i="12"/>
  <c r="N22" i="12"/>
  <c r="I22" i="12"/>
  <c r="S28" i="12"/>
  <c r="T27" i="12"/>
  <c r="H27" i="12" s="1"/>
  <c r="Z158" i="3"/>
  <c r="Z211" i="3" s="1"/>
  <c r="Z191" i="3"/>
  <c r="AA157" i="3"/>
  <c r="AA210" i="3" s="1"/>
  <c r="AA190" i="3"/>
  <c r="AA8" i="3"/>
  <c r="AB7" i="3"/>
  <c r="AB2" i="3"/>
  <c r="AA3" i="3"/>
  <c r="AB5" i="3" l="1"/>
  <c r="R2" i="13" s="1"/>
  <c r="M27" i="12"/>
  <c r="J27" i="12"/>
  <c r="A11" i="5"/>
  <c r="F27" i="12"/>
  <c r="I11" i="5"/>
  <c r="F11" i="5"/>
  <c r="I10" i="12"/>
  <c r="H10" i="12"/>
  <c r="A10" i="12"/>
  <c r="A27" i="12"/>
  <c r="S29" i="12"/>
  <c r="T28" i="12"/>
  <c r="F28" i="12" s="1"/>
  <c r="N12" i="5"/>
  <c r="F12" i="5" s="1"/>
  <c r="M13" i="5"/>
  <c r="V29" i="12"/>
  <c r="W28" i="12"/>
  <c r="J28" i="12" s="1"/>
  <c r="P28" i="12"/>
  <c r="M28" i="12"/>
  <c r="T11" i="12"/>
  <c r="I11" i="12" s="1"/>
  <c r="S12" i="12"/>
  <c r="T23" i="12"/>
  <c r="A23" i="12"/>
  <c r="N23" i="12"/>
  <c r="H23" i="12"/>
  <c r="K23" i="12"/>
  <c r="I23" i="12"/>
  <c r="S24" i="12"/>
  <c r="AB157" i="3"/>
  <c r="AB210" i="3" s="1"/>
  <c r="AB190" i="3"/>
  <c r="AA191" i="3"/>
  <c r="AA158" i="3"/>
  <c r="AA211" i="3" s="1"/>
  <c r="AC2" i="3"/>
  <c r="AB3" i="3"/>
  <c r="AC7" i="3"/>
  <c r="AB8" i="3"/>
  <c r="AC5" i="3" l="1"/>
  <c r="S2" i="13" s="1"/>
  <c r="H28" i="12"/>
  <c r="A12" i="5"/>
  <c r="A11" i="12"/>
  <c r="I12" i="5"/>
  <c r="H11" i="12"/>
  <c r="K11" i="12"/>
  <c r="G12" i="5"/>
  <c r="A28" i="12"/>
  <c r="P29" i="12"/>
  <c r="W29" i="12"/>
  <c r="M29" i="12"/>
  <c r="J29" i="12"/>
  <c r="M14" i="5"/>
  <c r="N13" i="5"/>
  <c r="A13" i="5" s="1"/>
  <c r="T29" i="12"/>
  <c r="A29" i="12" s="1"/>
  <c r="S13" i="12"/>
  <c r="T12" i="12"/>
  <c r="K12" i="12" s="1"/>
  <c r="T24" i="12"/>
  <c r="A24" i="12"/>
  <c r="AB191" i="3"/>
  <c r="AB158" i="3"/>
  <c r="AB211" i="3" s="1"/>
  <c r="AC157" i="3"/>
  <c r="AC210" i="3" s="1"/>
  <c r="AC190" i="3"/>
  <c r="AD7" i="3"/>
  <c r="AC8" i="3"/>
  <c r="AD2" i="3"/>
  <c r="AC3" i="3"/>
  <c r="F29" i="12" l="1"/>
  <c r="H29" i="12"/>
  <c r="AD5" i="3"/>
  <c r="T2" i="13" s="1"/>
  <c r="H12" i="12"/>
  <c r="I12" i="12"/>
  <c r="A12" i="12"/>
  <c r="F13" i="5"/>
  <c r="G13" i="5"/>
  <c r="I13" i="5"/>
  <c r="M15" i="5"/>
  <c r="N14" i="5"/>
  <c r="G14" i="5" s="1"/>
  <c r="T13" i="12"/>
  <c r="I13" i="12" s="1"/>
  <c r="S14" i="12"/>
  <c r="AC191" i="3"/>
  <c r="AC158" i="3"/>
  <c r="AC211" i="3" s="1"/>
  <c r="AD157" i="3"/>
  <c r="AD210" i="3" s="1"/>
  <c r="AD190" i="3"/>
  <c r="AE7" i="3"/>
  <c r="AD8" i="3"/>
  <c r="AE2" i="3"/>
  <c r="AD3" i="3"/>
  <c r="AE5" i="3" l="1"/>
  <c r="U2" i="13" s="1"/>
  <c r="H13" i="12"/>
  <c r="K13" i="12"/>
  <c r="A13" i="12"/>
  <c r="I14" i="5"/>
  <c r="A14" i="5"/>
  <c r="F14" i="5"/>
  <c r="T14" i="12"/>
  <c r="K14" i="12" s="1"/>
  <c r="S15" i="12"/>
  <c r="N15" i="5"/>
  <c r="I15" i="5" s="1"/>
  <c r="M16" i="5"/>
  <c r="AD191" i="3"/>
  <c r="AD158" i="3"/>
  <c r="AD211" i="3" s="1"/>
  <c r="AE157" i="3"/>
  <c r="AE210" i="3" s="1"/>
  <c r="AE190" i="3"/>
  <c r="AF2" i="3"/>
  <c r="AE3" i="3"/>
  <c r="AF7" i="3"/>
  <c r="AE8" i="3"/>
  <c r="AF5" i="3" l="1"/>
  <c r="V2" i="13" s="1"/>
  <c r="F15" i="5"/>
  <c r="H14" i="12"/>
  <c r="A14" i="12"/>
  <c r="A15" i="5"/>
  <c r="G15" i="5"/>
  <c r="I14" i="12"/>
  <c r="T15" i="12"/>
  <c r="K15" i="12" s="1"/>
  <c r="S16" i="12"/>
  <c r="M17" i="5"/>
  <c r="N16" i="5"/>
  <c r="I16" i="5" s="1"/>
  <c r="AF157" i="3"/>
  <c r="AF210" i="3" s="1"/>
  <c r="AF190" i="3"/>
  <c r="AE191" i="3"/>
  <c r="AE158" i="3"/>
  <c r="AE211" i="3" s="1"/>
  <c r="AG7" i="3"/>
  <c r="AF8" i="3"/>
  <c r="AG2" i="3"/>
  <c r="AF3" i="3"/>
  <c r="AG5" i="3" l="1"/>
  <c r="W2" i="13" s="1"/>
  <c r="H15" i="12"/>
  <c r="I15" i="12"/>
  <c r="A15" i="12"/>
  <c r="A16" i="5"/>
  <c r="G16" i="5"/>
  <c r="F16" i="5"/>
  <c r="M18" i="5"/>
  <c r="N17" i="5"/>
  <c r="F17" i="5" s="1"/>
  <c r="T16" i="12"/>
  <c r="K16" i="12" s="1"/>
  <c r="AF158" i="3"/>
  <c r="AF211" i="3" s="1"/>
  <c r="AF191" i="3"/>
  <c r="AG157" i="3"/>
  <c r="AG210" i="3" s="1"/>
  <c r="AG190" i="3"/>
  <c r="AG3" i="3"/>
  <c r="AH2" i="3"/>
  <c r="AH7" i="3"/>
  <c r="AG8" i="3"/>
  <c r="AH5" i="3" l="1"/>
  <c r="X2" i="13" s="1"/>
  <c r="I16" i="12"/>
  <c r="A16" i="12"/>
  <c r="H16" i="12"/>
  <c r="G17" i="5"/>
  <c r="A17" i="5"/>
  <c r="I17" i="5"/>
  <c r="M19" i="5"/>
  <c r="N18" i="5"/>
  <c r="A18" i="5" s="1"/>
  <c r="AH157" i="3"/>
  <c r="AH210" i="3" s="1"/>
  <c r="AH190" i="3"/>
  <c r="AG158" i="3"/>
  <c r="AG211" i="3" s="1"/>
  <c r="AG191" i="3"/>
  <c r="AH3" i="3"/>
  <c r="AI2" i="3"/>
  <c r="AI7" i="3"/>
  <c r="AH8" i="3"/>
  <c r="AI5" i="3" l="1"/>
  <c r="Y2" i="13" s="1"/>
  <c r="G18" i="5"/>
  <c r="F18" i="5"/>
  <c r="I18" i="5"/>
  <c r="M20" i="5"/>
  <c r="N19" i="5"/>
  <c r="F19" i="5" s="1"/>
  <c r="AH158" i="3"/>
  <c r="AH211" i="3" s="1"/>
  <c r="AH191" i="3"/>
  <c r="AI157" i="3"/>
  <c r="AI210" i="3" s="1"/>
  <c r="AI190" i="3"/>
  <c r="AI3" i="3"/>
  <c r="AJ2" i="3"/>
  <c r="AJ7" i="3"/>
  <c r="AI8" i="3"/>
  <c r="AJ5" i="3" l="1"/>
  <c r="Z2" i="13" s="1"/>
  <c r="G19" i="5"/>
  <c r="A19" i="5"/>
  <c r="I19" i="5"/>
  <c r="N20" i="5"/>
  <c r="G20" i="5" s="1"/>
  <c r="M21" i="5"/>
  <c r="AI158" i="3"/>
  <c r="AI211" i="3" s="1"/>
  <c r="AI191" i="3"/>
  <c r="AJ157" i="3"/>
  <c r="AJ210" i="3" s="1"/>
  <c r="AJ190" i="3"/>
  <c r="AK2" i="3"/>
  <c r="AJ3" i="3"/>
  <c r="AK7" i="3"/>
  <c r="AJ8" i="3"/>
  <c r="AK5" i="3" l="1"/>
  <c r="AA2" i="13" s="1"/>
  <c r="A20" i="5"/>
  <c r="J20" i="5"/>
  <c r="I20" i="5"/>
  <c r="F20" i="5"/>
  <c r="N21" i="5"/>
  <c r="F21" i="5" s="1"/>
  <c r="M22" i="5"/>
  <c r="AK190" i="3"/>
  <c r="AK157" i="3"/>
  <c r="AK210" i="3" s="1"/>
  <c r="AJ158" i="3"/>
  <c r="AJ211" i="3" s="1"/>
  <c r="AJ191" i="3"/>
  <c r="AL7" i="3"/>
  <c r="AK8" i="3"/>
  <c r="AL2" i="3"/>
  <c r="AK3" i="3"/>
  <c r="AL5" i="3" l="1"/>
  <c r="AB2" i="13" s="1"/>
  <c r="G21" i="5"/>
  <c r="J21" i="5"/>
  <c r="I21" i="5"/>
  <c r="A21" i="5"/>
  <c r="N22" i="5"/>
  <c r="G22" i="5" s="1"/>
  <c r="AK158" i="3"/>
  <c r="AK211" i="3" s="1"/>
  <c r="AK191" i="3"/>
  <c r="AL190" i="3"/>
  <c r="AL157" i="3"/>
  <c r="AL210" i="3" s="1"/>
  <c r="AM2" i="3"/>
  <c r="AL3" i="3"/>
  <c r="AM7" i="3"/>
  <c r="AL8" i="3"/>
  <c r="AM5" i="3" l="1"/>
  <c r="AC2" i="13" s="1"/>
  <c r="F22" i="5"/>
  <c r="I22" i="5"/>
  <c r="A22" i="5"/>
  <c r="J22" i="5"/>
  <c r="AL158" i="3"/>
  <c r="AL211" i="3" s="1"/>
  <c r="AL191" i="3"/>
  <c r="AM190" i="3"/>
  <c r="AM157" i="3"/>
  <c r="AM210" i="3" s="1"/>
  <c r="AN7" i="3"/>
  <c r="AM8" i="3"/>
  <c r="AM3" i="3"/>
  <c r="AN2" i="3"/>
  <c r="AN5" i="3" l="1"/>
  <c r="AD2" i="13" s="1"/>
  <c r="AM158" i="3"/>
  <c r="AM211" i="3" s="1"/>
  <c r="AM191" i="3"/>
  <c r="AN190" i="3"/>
  <c r="AN157" i="3"/>
  <c r="AN210" i="3" s="1"/>
  <c r="AO2" i="3"/>
  <c r="AN3" i="3"/>
  <c r="AO7" i="3"/>
  <c r="AN8" i="3"/>
  <c r="AO5" i="3" l="1"/>
  <c r="AE2" i="13" s="1"/>
  <c r="AO157" i="3"/>
  <c r="AO210" i="3" s="1"/>
  <c r="AO190" i="3"/>
  <c r="AN158" i="3"/>
  <c r="AN211" i="3" s="1"/>
  <c r="AN191" i="3"/>
  <c r="AO8" i="3"/>
  <c r="AP7" i="3"/>
  <c r="AP2" i="3"/>
  <c r="AO3" i="3"/>
  <c r="AP5" i="3" l="1"/>
  <c r="AF2" i="13" s="1"/>
  <c r="AP157" i="3"/>
  <c r="AP210" i="3" s="1"/>
  <c r="AP190" i="3"/>
  <c r="AO158" i="3"/>
  <c r="AO211" i="3" s="1"/>
  <c r="AO191" i="3"/>
  <c r="AQ2" i="3"/>
  <c r="AP3" i="3"/>
  <c r="AP8" i="3"/>
  <c r="AQ7" i="3"/>
  <c r="AQ5" i="3" l="1"/>
  <c r="AG2" i="13" s="1"/>
  <c r="AQ157" i="3"/>
  <c r="AQ210" i="3" s="1"/>
  <c r="AQ190" i="3"/>
  <c r="AP158" i="3"/>
  <c r="AP211" i="3" s="1"/>
  <c r="AP191" i="3"/>
  <c r="AQ8" i="3"/>
  <c r="AR7" i="3"/>
  <c r="AR2" i="3"/>
  <c r="AQ3" i="3"/>
  <c r="AR5" i="3" l="1"/>
  <c r="AH2" i="13" s="1"/>
  <c r="AQ158" i="3"/>
  <c r="AQ211" i="3" s="1"/>
  <c r="AQ191" i="3"/>
  <c r="AR157" i="3"/>
  <c r="AR210" i="3" s="1"/>
  <c r="AR190" i="3"/>
  <c r="AS7" i="3"/>
  <c r="AR8" i="3"/>
  <c r="AS2" i="3"/>
  <c r="AR3" i="3"/>
  <c r="AS5" i="3" l="1"/>
  <c r="AI2" i="13" s="1"/>
  <c r="AS157" i="3"/>
  <c r="AS210" i="3" s="1"/>
  <c r="AS190" i="3"/>
  <c r="AR191" i="3"/>
  <c r="AR158" i="3"/>
  <c r="AR211" i="3" s="1"/>
  <c r="AT2" i="3"/>
  <c r="AS3" i="3"/>
  <c r="AT7" i="3"/>
  <c r="AS8" i="3"/>
  <c r="AT5" i="3" l="1"/>
  <c r="AJ2" i="13" s="1"/>
  <c r="AS191" i="3"/>
  <c r="AS158" i="3"/>
  <c r="AS211" i="3" s="1"/>
  <c r="AT157" i="3"/>
  <c r="AT210" i="3" s="1"/>
  <c r="AT190" i="3"/>
  <c r="AU7" i="3"/>
  <c r="K7" i="3" s="1"/>
  <c r="AT8" i="3"/>
  <c r="AU2" i="3"/>
  <c r="K2" i="3" s="1"/>
  <c r="AT3" i="3"/>
  <c r="AU5" i="3" l="1"/>
  <c r="AK2" i="13" s="1"/>
  <c r="AU157" i="3"/>
  <c r="AU210" i="3" s="1"/>
  <c r="AU190" i="3"/>
  <c r="AT158" i="3"/>
  <c r="AT211" i="3" s="1"/>
  <c r="AT191" i="3"/>
  <c r="AV2" i="3"/>
  <c r="AU3" i="3"/>
  <c r="AV7" i="3"/>
  <c r="AU8" i="3"/>
  <c r="AV5" i="3" l="1"/>
  <c r="AL2" i="13" s="1"/>
  <c r="AU191" i="3"/>
  <c r="AU158" i="3"/>
  <c r="AU211" i="3" s="1"/>
  <c r="AV157" i="3"/>
  <c r="AV210" i="3" s="1"/>
  <c r="AV190" i="3"/>
  <c r="AW7" i="3"/>
  <c r="AV8" i="3"/>
  <c r="AW2" i="3"/>
  <c r="AV3" i="3"/>
  <c r="AW5" i="3" l="1"/>
  <c r="AM2" i="13" s="1"/>
  <c r="AV158" i="3"/>
  <c r="AV211" i="3" s="1"/>
  <c r="AV191" i="3"/>
  <c r="AW157" i="3"/>
  <c r="AW210" i="3" s="1"/>
  <c r="AW190" i="3"/>
  <c r="AW3" i="3"/>
  <c r="AX2" i="3"/>
  <c r="AX7" i="3"/>
  <c r="AW8" i="3"/>
  <c r="AX5" i="3" l="1"/>
  <c r="AN2" i="13" s="1"/>
  <c r="AW158" i="3"/>
  <c r="AW211" i="3" s="1"/>
  <c r="AW191" i="3"/>
  <c r="AX157" i="3"/>
  <c r="AX210" i="3" s="1"/>
  <c r="AX190" i="3"/>
  <c r="AX3" i="3"/>
  <c r="AY2" i="3"/>
  <c r="AY7" i="3"/>
  <c r="AX8" i="3"/>
  <c r="AY5" i="3" l="1"/>
  <c r="AO2" i="13" s="1"/>
  <c r="AX158" i="3"/>
  <c r="AX211" i="3" s="1"/>
  <c r="AX191" i="3"/>
  <c r="AY157" i="3"/>
  <c r="AY210" i="3" s="1"/>
  <c r="AY190" i="3"/>
  <c r="AY3" i="3"/>
  <c r="AZ2" i="3"/>
  <c r="AZ7" i="3"/>
  <c r="AY8" i="3"/>
  <c r="AZ5" i="3" l="1"/>
  <c r="AP2" i="13" s="1"/>
  <c r="AY158" i="3"/>
  <c r="AY211" i="3" s="1"/>
  <c r="AY191" i="3"/>
  <c r="AZ190" i="3"/>
  <c r="AZ157" i="3"/>
  <c r="AZ210" i="3" s="1"/>
  <c r="BA2" i="3"/>
  <c r="AZ3" i="3"/>
  <c r="BA7" i="3"/>
  <c r="AZ8" i="3"/>
  <c r="BA5" i="3" l="1"/>
  <c r="AQ2" i="13" s="1"/>
  <c r="AZ158" i="3"/>
  <c r="AZ211" i="3" s="1"/>
  <c r="AZ191" i="3"/>
  <c r="BA190" i="3"/>
  <c r="BA157" i="3"/>
  <c r="BA210" i="3" s="1"/>
  <c r="BB7" i="3"/>
  <c r="BA8" i="3"/>
  <c r="BB2" i="3"/>
  <c r="BA3" i="3"/>
  <c r="BB5" i="3" l="1"/>
  <c r="AR2" i="13" s="1"/>
  <c r="BB190" i="3"/>
  <c r="BB157" i="3"/>
  <c r="BB210" i="3" s="1"/>
  <c r="BA158" i="3"/>
  <c r="BA211" i="3" s="1"/>
  <c r="BA191" i="3"/>
  <c r="BC2" i="3"/>
  <c r="BB3" i="3"/>
  <c r="BC7" i="3"/>
  <c r="BB8" i="3"/>
  <c r="BC5" i="3" l="1"/>
  <c r="AS2" i="13" s="1"/>
  <c r="BB158" i="3"/>
  <c r="BB211" i="3" s="1"/>
  <c r="BB191" i="3"/>
  <c r="BC190" i="3"/>
  <c r="BC157" i="3"/>
  <c r="BC210" i="3" s="1"/>
  <c r="BD7" i="3"/>
  <c r="BC8" i="3"/>
  <c r="BC3" i="3"/>
  <c r="BD2" i="3"/>
  <c r="BD5" i="3" l="1"/>
  <c r="AT2" i="13" s="1"/>
  <c r="BC158" i="3"/>
  <c r="BC191" i="3"/>
  <c r="BD190" i="3"/>
  <c r="BD157" i="3"/>
  <c r="BD210" i="3" s="1"/>
  <c r="BC211" i="3"/>
  <c r="BE2" i="3"/>
  <c r="BD3" i="3"/>
  <c r="BE7" i="3"/>
  <c r="BD8" i="3"/>
  <c r="BE5" i="3" l="1"/>
  <c r="AU2" i="13" s="1"/>
  <c r="BD158" i="3"/>
  <c r="BD211" i="3" s="1"/>
  <c r="BD191" i="3"/>
  <c r="BE157" i="3"/>
  <c r="BE210" i="3" s="1"/>
  <c r="BE190" i="3"/>
  <c r="BE8" i="3"/>
  <c r="BF7" i="3"/>
  <c r="BF2" i="3"/>
  <c r="BE3" i="3"/>
  <c r="BF5" i="3" l="1"/>
  <c r="AV2" i="13" s="1"/>
  <c r="BE158" i="3"/>
  <c r="BE211" i="3" s="1"/>
  <c r="BE191" i="3"/>
  <c r="BF157" i="3"/>
  <c r="BF210" i="3" s="1"/>
  <c r="BF190" i="3"/>
  <c r="BF8" i="3"/>
  <c r="BG7" i="3"/>
  <c r="BG2" i="3"/>
  <c r="BF3" i="3"/>
  <c r="BG5" i="3" l="1"/>
  <c r="AW2" i="13" s="1"/>
  <c r="BG157" i="3"/>
  <c r="BG210" i="3" s="1"/>
  <c r="BG190" i="3"/>
  <c r="BF158" i="3"/>
  <c r="BF211" i="3" s="1"/>
  <c r="BF191" i="3"/>
  <c r="BG8" i="3"/>
  <c r="BH7" i="3"/>
  <c r="BH2" i="3"/>
  <c r="BG3" i="3"/>
  <c r="BH5" i="3" l="1"/>
  <c r="AX2" i="13" s="1"/>
  <c r="BH157" i="3"/>
  <c r="BH210" i="3" s="1"/>
  <c r="BH190" i="3"/>
  <c r="BG191" i="3"/>
  <c r="BG158" i="3"/>
  <c r="BG211" i="3" s="1"/>
  <c r="BI2" i="3"/>
  <c r="BH3" i="3"/>
  <c r="BI7" i="3"/>
  <c r="BH8" i="3"/>
  <c r="BI5" i="3" l="1"/>
  <c r="AY2" i="13" s="1"/>
  <c r="BH191" i="3"/>
  <c r="BH158" i="3"/>
  <c r="BH211" i="3" s="1"/>
  <c r="BI157" i="3"/>
  <c r="BI210" i="3" s="1"/>
  <c r="BI190" i="3"/>
  <c r="BJ7" i="3"/>
  <c r="BI8" i="3"/>
  <c r="BJ2" i="3"/>
  <c r="BI3" i="3"/>
  <c r="BJ5" i="3" l="1"/>
  <c r="AZ2" i="13" s="1"/>
  <c r="BI191" i="3"/>
  <c r="BI158" i="3"/>
  <c r="BI211" i="3" s="1"/>
  <c r="BJ157" i="3"/>
  <c r="BJ210" i="3" s="1"/>
  <c r="BJ190" i="3"/>
  <c r="BK2" i="3"/>
  <c r="BJ3" i="3"/>
  <c r="BK7" i="3"/>
  <c r="BJ8" i="3"/>
  <c r="BK5" i="3" l="1"/>
  <c r="BA2" i="13" s="1"/>
  <c r="BK157" i="3"/>
  <c r="BK210" i="3" s="1"/>
  <c r="BK190" i="3"/>
  <c r="BJ191" i="3"/>
  <c r="BJ158" i="3"/>
  <c r="BJ211" i="3" s="1"/>
  <c r="BL7" i="3"/>
  <c r="BK8" i="3"/>
  <c r="BL2" i="3"/>
  <c r="BK3" i="3"/>
  <c r="BL5" i="3" l="1"/>
  <c r="BB2" i="13" s="1"/>
  <c r="BK191" i="3"/>
  <c r="BK158" i="3"/>
  <c r="BK211" i="3" s="1"/>
  <c r="BL157" i="3"/>
  <c r="BL210" i="3" s="1"/>
  <c r="BL190" i="3"/>
  <c r="BM2" i="3"/>
  <c r="BL3" i="3"/>
  <c r="BM7" i="3"/>
  <c r="BL8" i="3"/>
  <c r="BM5" i="3" l="1"/>
  <c r="BC2" i="13" s="1"/>
  <c r="BL191" i="3"/>
  <c r="BL158" i="3"/>
  <c r="BL211" i="3" s="1"/>
  <c r="BM157" i="3"/>
  <c r="BM210" i="3" s="1"/>
  <c r="BM190" i="3"/>
  <c r="BN7" i="3"/>
  <c r="BM8" i="3"/>
  <c r="BM3" i="3"/>
  <c r="BN2" i="3"/>
  <c r="BN5" i="3" l="1"/>
  <c r="BD2" i="13" s="1"/>
  <c r="BM158" i="3"/>
  <c r="BM211" i="3" s="1"/>
  <c r="BM191" i="3"/>
  <c r="BN157" i="3"/>
  <c r="BN210" i="3" s="1"/>
  <c r="BN190" i="3"/>
  <c r="BN3" i="3"/>
  <c r="BO2" i="3"/>
  <c r="BO7" i="3"/>
  <c r="BN8" i="3"/>
  <c r="BO5" i="3" l="1"/>
  <c r="BE2" i="13" s="1"/>
  <c r="BN158" i="3"/>
  <c r="BN211" i="3" s="1"/>
  <c r="BN191" i="3"/>
  <c r="BO157" i="3"/>
  <c r="BO210" i="3" s="1"/>
  <c r="BO190" i="3"/>
  <c r="BP7" i="3"/>
  <c r="BO8" i="3"/>
  <c r="BO3" i="3"/>
  <c r="BP2" i="3"/>
  <c r="BP5" i="3" l="1"/>
  <c r="BF2" i="13" s="1"/>
  <c r="BO158" i="3"/>
  <c r="BO191" i="3"/>
  <c r="BP190" i="3"/>
  <c r="BP157" i="3"/>
  <c r="BO211" i="3"/>
  <c r="BQ2" i="3"/>
  <c r="BP3" i="3"/>
  <c r="BP210" i="3"/>
  <c r="BQ7" i="3"/>
  <c r="BP8" i="3"/>
  <c r="BQ5" i="3" l="1"/>
  <c r="BG2" i="13" s="1"/>
  <c r="BP158" i="3"/>
  <c r="BP211" i="3" s="1"/>
  <c r="BP191" i="3"/>
  <c r="BQ190" i="3"/>
  <c r="BQ157" i="3"/>
  <c r="BQ210" i="3" s="1"/>
  <c r="BR7" i="3"/>
  <c r="BQ8" i="3"/>
  <c r="BR2" i="3"/>
  <c r="BQ3" i="3"/>
  <c r="BR5" i="3" l="1"/>
  <c r="BH2" i="13" s="1"/>
  <c r="BQ158" i="3"/>
  <c r="BQ191" i="3"/>
  <c r="BR157" i="3"/>
  <c r="BR190" i="3"/>
  <c r="BQ211" i="3"/>
  <c r="BS2" i="3"/>
  <c r="BR3" i="3"/>
  <c r="BR210" i="3"/>
  <c r="BS7" i="3"/>
  <c r="BR8" i="3"/>
  <c r="BS5" i="3" l="1"/>
  <c r="BI2" i="13" s="1"/>
  <c r="BR158" i="3"/>
  <c r="BR211" i="3" s="1"/>
  <c r="BR191" i="3"/>
  <c r="BS190" i="3"/>
  <c r="BS157" i="3"/>
  <c r="BT7" i="3"/>
  <c r="BS8" i="3"/>
  <c r="BS210" i="3"/>
  <c r="BT2" i="3"/>
  <c r="BS3" i="3"/>
  <c r="BT5" i="3" l="1"/>
  <c r="BJ2" i="13" s="1"/>
  <c r="BS158" i="3"/>
  <c r="BS211" i="3" s="1"/>
  <c r="BS191" i="3"/>
  <c r="BT157" i="3"/>
  <c r="BT190" i="3"/>
  <c r="BU2" i="3"/>
  <c r="BT3" i="3"/>
  <c r="BU7" i="3"/>
  <c r="BT8" i="3"/>
  <c r="BT210" i="3"/>
  <c r="BU5" i="3" l="1"/>
  <c r="BK2" i="13" s="1"/>
  <c r="BT158" i="3"/>
  <c r="BT191" i="3"/>
  <c r="BU157" i="3"/>
  <c r="BU190" i="3"/>
  <c r="BT211" i="3"/>
  <c r="BU8" i="3"/>
  <c r="BU210" i="3"/>
  <c r="BV7" i="3"/>
  <c r="BV2" i="3"/>
  <c r="BU3" i="3"/>
  <c r="BV5" i="3" l="1"/>
  <c r="BL2" i="13" s="1"/>
  <c r="BV157" i="3"/>
  <c r="BV190" i="3"/>
  <c r="BU158" i="3"/>
  <c r="BU211" i="3" s="1"/>
  <c r="BU191" i="3"/>
  <c r="BV8" i="3"/>
  <c r="BV210" i="3"/>
  <c r="BW7" i="3"/>
  <c r="BW2" i="3"/>
  <c r="BV3" i="3"/>
  <c r="BW5" i="3" l="1"/>
  <c r="BM2" i="13" s="1"/>
  <c r="BW157" i="3"/>
  <c r="BW210" i="3" s="1"/>
  <c r="BW190" i="3"/>
  <c r="BV158" i="3"/>
  <c r="BV211" i="3" s="1"/>
  <c r="BV191" i="3"/>
  <c r="BX2" i="3"/>
  <c r="BW3" i="3"/>
  <c r="BW8" i="3"/>
  <c r="BX7" i="3"/>
  <c r="BX5" i="3" l="1"/>
  <c r="BN2" i="13" s="1"/>
  <c r="BX157" i="3"/>
  <c r="BX210" i="3" s="1"/>
  <c r="BX190" i="3"/>
  <c r="BW191" i="3"/>
  <c r="BW158" i="3"/>
  <c r="BW211" i="3" s="1"/>
  <c r="BY7" i="3"/>
  <c r="BX8" i="3"/>
  <c r="BY2" i="3"/>
  <c r="BX3" i="3"/>
  <c r="BY5" i="3" l="1"/>
  <c r="BO2" i="13" s="1"/>
  <c r="BX191" i="3"/>
  <c r="BX158" i="3"/>
  <c r="BX211" i="3" s="1"/>
  <c r="BY157" i="3"/>
  <c r="BY190" i="3"/>
  <c r="BZ2" i="3"/>
  <c r="BY3" i="3"/>
  <c r="BY210" i="3"/>
  <c r="BZ7" i="3"/>
  <c r="BY8" i="3"/>
  <c r="BZ5" i="3" l="1"/>
  <c r="BP2" i="13" s="1"/>
  <c r="BY191" i="3"/>
  <c r="BY158" i="3"/>
  <c r="BZ157" i="3"/>
  <c r="BZ190" i="3"/>
  <c r="BY211" i="3"/>
  <c r="BZ210" i="3"/>
  <c r="CA7" i="3"/>
  <c r="BZ8" i="3"/>
  <c r="CA2" i="3"/>
  <c r="BZ3" i="3"/>
  <c r="CA5" i="3" l="1"/>
  <c r="BQ2" i="13" s="1"/>
  <c r="CA157" i="3"/>
  <c r="CA190" i="3"/>
  <c r="BZ158" i="3"/>
  <c r="BZ211" i="3" s="1"/>
  <c r="BZ191" i="3"/>
  <c r="CB2" i="3"/>
  <c r="CA3" i="3"/>
  <c r="CA210" i="3"/>
  <c r="CB7" i="3"/>
  <c r="CA8" i="3"/>
  <c r="CB5" i="3" l="1"/>
  <c r="BR2" i="13" s="1"/>
  <c r="CA191" i="3"/>
  <c r="CA158" i="3"/>
  <c r="CA211" i="3" s="1"/>
  <c r="CB157" i="3"/>
  <c r="CB210" i="3" s="1"/>
  <c r="CB190" i="3"/>
  <c r="CC7" i="3"/>
  <c r="CB8" i="3"/>
  <c r="CC2" i="3"/>
  <c r="CB3" i="3"/>
  <c r="CC5" i="3" l="1"/>
  <c r="BS2" i="13" s="1"/>
  <c r="CB191" i="3"/>
  <c r="CB158" i="3"/>
  <c r="CB211" i="3" s="1"/>
  <c r="CC157" i="3"/>
  <c r="CC190" i="3"/>
  <c r="CC3" i="3"/>
  <c r="CD2" i="3"/>
  <c r="CC210" i="3"/>
  <c r="CD7" i="3"/>
  <c r="CC8" i="3"/>
  <c r="CD5" i="3" l="1"/>
  <c r="BT2" i="13" s="1"/>
  <c r="CD157" i="3"/>
  <c r="CD210" i="3" s="1"/>
  <c r="CD190" i="3"/>
  <c r="CC158" i="3"/>
  <c r="CC211" i="3" s="1"/>
  <c r="CC191" i="3"/>
  <c r="CE7" i="3"/>
  <c r="CD8" i="3"/>
  <c r="CD3" i="3"/>
  <c r="CE2" i="3"/>
  <c r="CE5" i="3" l="1"/>
  <c r="BU2" i="13" s="1"/>
  <c r="CD158" i="3"/>
  <c r="CD191" i="3"/>
  <c r="CE157" i="3"/>
  <c r="CE190" i="3"/>
  <c r="CD211" i="3"/>
  <c r="CE3" i="3"/>
  <c r="CF2" i="3"/>
  <c r="CE210" i="3"/>
  <c r="CF7" i="3"/>
  <c r="CE8" i="3"/>
  <c r="CF5" i="3" l="1"/>
  <c r="BV2" i="13" s="1"/>
  <c r="CE158" i="3"/>
  <c r="CE211" i="3" s="1"/>
  <c r="CE191" i="3"/>
  <c r="CF190" i="3"/>
  <c r="CF157" i="3"/>
  <c r="CF210" i="3" s="1"/>
  <c r="CG7" i="3"/>
  <c r="CF8" i="3"/>
  <c r="CG2" i="3"/>
  <c r="CF3" i="3"/>
  <c r="CG5" i="3" l="1"/>
  <c r="BW2" i="13" s="1"/>
  <c r="CF158" i="3"/>
  <c r="CF211" i="3" s="1"/>
  <c r="CF191" i="3"/>
  <c r="CG157" i="3"/>
  <c r="CG190" i="3"/>
  <c r="CH2" i="3"/>
  <c r="CG3" i="3"/>
  <c r="CG210" i="3"/>
  <c r="CH7" i="3"/>
  <c r="CG8" i="3"/>
  <c r="CH5" i="3" l="1"/>
  <c r="BX2" i="13" s="1"/>
  <c r="CG158" i="3"/>
  <c r="CG211" i="3" s="1"/>
  <c r="CG191" i="3"/>
  <c r="CH157" i="3"/>
  <c r="CH210" i="3" s="1"/>
  <c r="CH190" i="3"/>
  <c r="CI7" i="3"/>
  <c r="CH8" i="3"/>
  <c r="CI2" i="3"/>
  <c r="CH3" i="3"/>
  <c r="CI5" i="3" l="1"/>
  <c r="BY2" i="13" s="1"/>
  <c r="CH158" i="3"/>
  <c r="CH191" i="3"/>
  <c r="CI157" i="3"/>
  <c r="CI190" i="3"/>
  <c r="CH211" i="3"/>
  <c r="CJ2" i="3"/>
  <c r="CI3" i="3"/>
  <c r="CJ7" i="3"/>
  <c r="CI8" i="3"/>
  <c r="CI210" i="3"/>
  <c r="CJ5" i="3" l="1"/>
  <c r="BZ2" i="13" s="1"/>
  <c r="CI158" i="3"/>
  <c r="CI211" i="3" s="1"/>
  <c r="CI191" i="3"/>
  <c r="CJ157" i="3"/>
  <c r="CJ190" i="3"/>
  <c r="CK7" i="3"/>
  <c r="CJ8" i="3"/>
  <c r="CJ210" i="3"/>
  <c r="CK2" i="3"/>
  <c r="CJ3" i="3"/>
  <c r="CK5" i="3" l="1"/>
  <c r="CA2" i="13" s="1"/>
  <c r="CJ158" i="3"/>
  <c r="CJ211" i="3" s="1"/>
  <c r="CJ191" i="3"/>
  <c r="CK157" i="3"/>
  <c r="CK190" i="3"/>
  <c r="CL2" i="3"/>
  <c r="CK3" i="3"/>
  <c r="CK8" i="3"/>
  <c r="CK210" i="3"/>
  <c r="CL7" i="3"/>
  <c r="CL5" i="3" l="1"/>
  <c r="CB2" i="13" s="1"/>
  <c r="CL157" i="3"/>
  <c r="CL190" i="3"/>
  <c r="CK158" i="3"/>
  <c r="CK211" i="3" s="1"/>
  <c r="CK191" i="3"/>
  <c r="CL8" i="3"/>
  <c r="CL210" i="3"/>
  <c r="CM7" i="3"/>
  <c r="CM2" i="3"/>
  <c r="CL3" i="3"/>
  <c r="CM5" i="3" l="1"/>
  <c r="CC2" i="13" s="1"/>
  <c r="CM157" i="3"/>
  <c r="CM210" i="3" s="1"/>
  <c r="CM190" i="3"/>
  <c r="CL158" i="3"/>
  <c r="CL211" i="3" s="1"/>
  <c r="CL191" i="3"/>
  <c r="CN2" i="3"/>
  <c r="CM3" i="3"/>
  <c r="CM8" i="3"/>
  <c r="CN7" i="3"/>
  <c r="CN5" i="3" l="1"/>
  <c r="CD2" i="13" s="1"/>
  <c r="CM191" i="3"/>
  <c r="CM158" i="3"/>
  <c r="CN157" i="3"/>
  <c r="CN210" i="3" s="1"/>
  <c r="CN190" i="3"/>
  <c r="CM211" i="3"/>
  <c r="CO7" i="3"/>
  <c r="CN8" i="3"/>
  <c r="CO2" i="3"/>
  <c r="CN3" i="3"/>
  <c r="CO5" i="3" l="1"/>
  <c r="CE2" i="13" s="1"/>
  <c r="CN158" i="3"/>
  <c r="CN211" i="3" s="1"/>
  <c r="CN191" i="3"/>
  <c r="CO157" i="3"/>
  <c r="CO190" i="3"/>
  <c r="CP2" i="3"/>
  <c r="CQ2" i="3" s="1"/>
  <c r="CR2" i="3" s="1"/>
  <c r="CS2" i="3" s="1"/>
  <c r="CT2" i="3" s="1"/>
  <c r="CU2" i="3" s="1"/>
  <c r="CV2" i="3" s="1"/>
  <c r="CW2" i="3" s="1"/>
  <c r="CX2" i="3" s="1"/>
  <c r="CY2" i="3" s="1"/>
  <c r="CZ2" i="3" s="1"/>
  <c r="DA2" i="3" s="1"/>
  <c r="DB2" i="3" s="1"/>
  <c r="DC2" i="3" s="1"/>
  <c r="DD2" i="3" s="1"/>
  <c r="DE2" i="3" s="1"/>
  <c r="DF2" i="3" s="1"/>
  <c r="DG2" i="3" s="1"/>
  <c r="DH2" i="3" s="1"/>
  <c r="CO3" i="3"/>
  <c r="CO210" i="3"/>
  <c r="CP7" i="3"/>
  <c r="CO8" i="3"/>
  <c r="DH3" i="3" l="1"/>
  <c r="DI2" i="3"/>
  <c r="DI3" i="3" s="1"/>
  <c r="CO191" i="3"/>
  <c r="CO158" i="3"/>
  <c r="CP157" i="3"/>
  <c r="CP190" i="3"/>
  <c r="CO211" i="3"/>
  <c r="CP210" i="3"/>
  <c r="CQ7" i="3"/>
  <c r="CP8" i="3"/>
  <c r="CP3" i="3"/>
  <c r="CP158" i="3" l="1"/>
  <c r="CP211" i="3" s="1"/>
  <c r="CP191" i="3"/>
  <c r="CQ157" i="3"/>
  <c r="CQ190" i="3"/>
  <c r="CQ3" i="3"/>
  <c r="CQ210" i="3"/>
  <c r="CR7" i="3"/>
  <c r="CQ8" i="3"/>
  <c r="CQ158" i="3" l="1"/>
  <c r="CQ211" i="3" s="1"/>
  <c r="CQ191" i="3"/>
  <c r="CR157" i="3"/>
  <c r="CR190" i="3"/>
  <c r="CR210" i="3"/>
  <c r="CS7" i="3"/>
  <c r="CR8" i="3"/>
  <c r="CR3" i="3"/>
  <c r="CR158" i="3" l="1"/>
  <c r="CR211" i="3" s="1"/>
  <c r="CR191" i="3"/>
  <c r="CS157" i="3"/>
  <c r="CS190" i="3"/>
  <c r="CS3" i="3"/>
  <c r="CS210" i="3"/>
  <c r="CT7" i="3"/>
  <c r="CS8" i="3"/>
  <c r="CS158" i="3" l="1"/>
  <c r="CS191" i="3"/>
  <c r="CT157" i="3"/>
  <c r="CT190" i="3"/>
  <c r="CS211" i="3"/>
  <c r="CT210" i="3"/>
  <c r="CU7" i="3"/>
  <c r="CT8" i="3"/>
  <c r="CT3" i="3"/>
  <c r="CT158" i="3" l="1"/>
  <c r="CT211" i="3" s="1"/>
  <c r="CT191" i="3"/>
  <c r="CU157" i="3"/>
  <c r="CU210" i="3" s="1"/>
  <c r="CU190" i="3"/>
  <c r="CU3" i="3"/>
  <c r="CV7" i="3"/>
  <c r="CU8" i="3"/>
  <c r="CU158" i="3" l="1"/>
  <c r="CU191" i="3"/>
  <c r="CV190" i="3"/>
  <c r="CV157" i="3"/>
  <c r="CU211" i="3"/>
  <c r="CV210" i="3"/>
  <c r="CW7" i="3"/>
  <c r="CV8" i="3"/>
  <c r="CV3" i="3"/>
  <c r="CV158" i="3" l="1"/>
  <c r="CV211" i="3" s="1"/>
  <c r="CV191" i="3"/>
  <c r="CW190" i="3"/>
  <c r="CW157" i="3"/>
  <c r="CW3" i="3"/>
  <c r="CW210" i="3"/>
  <c r="CX7" i="3"/>
  <c r="CW8" i="3"/>
  <c r="CW158" i="3" l="1"/>
  <c r="CW191" i="3"/>
  <c r="CX190" i="3"/>
  <c r="CX157" i="3"/>
  <c r="CX210" i="3" s="1"/>
  <c r="CW211" i="3"/>
  <c r="CY7" i="3"/>
  <c r="CX8" i="3"/>
  <c r="CX3" i="3"/>
  <c r="CX158" i="3" l="1"/>
  <c r="CX191" i="3"/>
  <c r="CY190" i="3"/>
  <c r="CY157" i="3"/>
  <c r="CX211" i="3"/>
  <c r="CY3" i="3"/>
  <c r="CZ7" i="3"/>
  <c r="CY8" i="3"/>
  <c r="CY210" i="3"/>
  <c r="CY158" i="3" l="1"/>
  <c r="CY211" i="3" s="1"/>
  <c r="CY191" i="3"/>
  <c r="CZ190" i="3"/>
  <c r="CZ157" i="3"/>
  <c r="CZ210" i="3" s="1"/>
  <c r="DA7" i="3"/>
  <c r="CZ3" i="3"/>
  <c r="CZ8" i="3"/>
  <c r="CZ158" i="3" l="1"/>
  <c r="CZ211" i="3" s="1"/>
  <c r="CZ191" i="3"/>
  <c r="DA157" i="3"/>
  <c r="DA210" i="3" s="1"/>
  <c r="DA190" i="3"/>
  <c r="DA8" i="3"/>
  <c r="DB7" i="3"/>
  <c r="DA3" i="3"/>
  <c r="DB157" i="3" l="1"/>
  <c r="DB190" i="3"/>
  <c r="DA158" i="3"/>
  <c r="DA211" i="3" s="1"/>
  <c r="DA191" i="3"/>
  <c r="DB210" i="3"/>
  <c r="DB8" i="3"/>
  <c r="DC7" i="3"/>
  <c r="DB3" i="3"/>
  <c r="DC157" i="3" l="1"/>
  <c r="DC210" i="3" s="1"/>
  <c r="DC190" i="3"/>
  <c r="DB158" i="3"/>
  <c r="DB211" i="3" s="1"/>
  <c r="DB191" i="3"/>
  <c r="DD7" i="3"/>
  <c r="DC8" i="3"/>
  <c r="DC3" i="3"/>
  <c r="DC158" i="3" l="1"/>
  <c r="DC211" i="3" s="1"/>
  <c r="DC191" i="3"/>
  <c r="DD157" i="3"/>
  <c r="DD190" i="3"/>
  <c r="DE7" i="3"/>
  <c r="DD8" i="3"/>
  <c r="DD210" i="3"/>
  <c r="DD3" i="3"/>
  <c r="DD191" i="3" l="1"/>
  <c r="DD158" i="3"/>
  <c r="DD211" i="3" s="1"/>
  <c r="DE157" i="3"/>
  <c r="DE210" i="3" s="1"/>
  <c r="DE190" i="3"/>
  <c r="DE8" i="3"/>
  <c r="DF7" i="3"/>
  <c r="DG7" i="3" s="1"/>
  <c r="DH7" i="3" s="1"/>
  <c r="DE3" i="3"/>
  <c r="DH8" i="3" l="1"/>
  <c r="DH190" i="3"/>
  <c r="DH157" i="3"/>
  <c r="DH210" i="3" s="1"/>
  <c r="DI7" i="3"/>
  <c r="DF8" i="3"/>
  <c r="DF191" i="3" s="1"/>
  <c r="DE191" i="3"/>
  <c r="DE158" i="3"/>
  <c r="DE211" i="3" s="1"/>
  <c r="DG157" i="3"/>
  <c r="DG210" i="3" s="1"/>
  <c r="DG190" i="3"/>
  <c r="DF157" i="3"/>
  <c r="DF210" i="3" s="1"/>
  <c r="DF190" i="3"/>
  <c r="DG8" i="3"/>
  <c r="DF3" i="3"/>
  <c r="DI8" i="3" l="1"/>
  <c r="DI190" i="3"/>
  <c r="DI157" i="3"/>
  <c r="DI210" i="3" s="1"/>
  <c r="DH191" i="3"/>
  <c r="DH158" i="3"/>
  <c r="DH211" i="3" s="1"/>
  <c r="DF158" i="3"/>
  <c r="DF211" i="3" s="1"/>
  <c r="DG191" i="3"/>
  <c r="DG158" i="3"/>
  <c r="DG211" i="3" s="1"/>
  <c r="DG3" i="3"/>
  <c r="DI191" i="3" l="1"/>
  <c r="DI158" i="3"/>
  <c r="DI211" i="3" s="1"/>
  <c r="E8" i="6"/>
  <c r="K157" i="3" l="1"/>
  <c r="K158" i="3"/>
  <c r="N3" i="12" l="1"/>
  <c r="Q3" i="12" s="1"/>
  <c r="H4" i="5"/>
  <c r="L4" i="5" s="1"/>
  <c r="K3" i="3" l="1"/>
  <c r="CP4" i="3"/>
  <c r="H5" i="12" l="1"/>
  <c r="L5" i="12" s="1"/>
  <c r="CP5" i="3"/>
  <c r="CF2" i="13" s="1"/>
  <c r="CQ5" i="3" l="1"/>
  <c r="CG2" i="13" s="1"/>
  <c r="I28" i="3"/>
  <c r="H28" i="3"/>
  <c r="A28" i="3" s="1"/>
  <c r="H12" i="3"/>
  <c r="A12" i="3" s="1"/>
  <c r="I12" i="3"/>
  <c r="J12" i="3" s="1"/>
  <c r="I32" i="3"/>
  <c r="H32" i="3"/>
  <c r="A32" i="3" s="1"/>
  <c r="I26" i="3"/>
  <c r="H26" i="3"/>
  <c r="A26" i="3" s="1"/>
  <c r="I33" i="3"/>
  <c r="H33" i="3"/>
  <c r="A33" i="3" s="1"/>
  <c r="I39" i="3"/>
  <c r="J39" i="3" s="1"/>
  <c r="H39" i="3"/>
  <c r="A39" i="3" s="1"/>
  <c r="I45" i="3"/>
  <c r="J45" i="3" s="1"/>
  <c r="H45" i="3"/>
  <c r="A45" i="3" s="1"/>
  <c r="I51" i="3"/>
  <c r="J51" i="3" s="1"/>
  <c r="H51" i="3"/>
  <c r="A51" i="3" s="1"/>
  <c r="I57" i="3"/>
  <c r="J57" i="3" s="1"/>
  <c r="H57" i="3"/>
  <c r="A57" i="3" s="1"/>
  <c r="I63" i="3"/>
  <c r="J63" i="3" s="1"/>
  <c r="H63" i="3"/>
  <c r="A63" i="3" s="1"/>
  <c r="I69" i="3"/>
  <c r="J69" i="3" s="1"/>
  <c r="H69" i="3"/>
  <c r="A69" i="3" s="1"/>
  <c r="I50" i="3"/>
  <c r="J50" i="3" s="1"/>
  <c r="H50" i="3"/>
  <c r="A50" i="3" s="1"/>
  <c r="I62" i="3"/>
  <c r="J62" i="3" s="1"/>
  <c r="H62" i="3"/>
  <c r="A62" i="3" s="1"/>
  <c r="I40" i="3"/>
  <c r="J40" i="3" s="1"/>
  <c r="H40" i="3"/>
  <c r="A40" i="3" s="1"/>
  <c r="I46" i="3"/>
  <c r="J46" i="3" s="1"/>
  <c r="H46" i="3"/>
  <c r="A46" i="3" s="1"/>
  <c r="I52" i="3"/>
  <c r="J52" i="3" s="1"/>
  <c r="H52" i="3"/>
  <c r="A52" i="3" s="1"/>
  <c r="I58" i="3"/>
  <c r="J58" i="3" s="1"/>
  <c r="H58" i="3"/>
  <c r="A58" i="3" s="1"/>
  <c r="I64" i="3"/>
  <c r="J64" i="3" s="1"/>
  <c r="H64" i="3"/>
  <c r="A64" i="3" s="1"/>
  <c r="I70" i="3"/>
  <c r="J70" i="3" s="1"/>
  <c r="H70" i="3"/>
  <c r="A70" i="3" s="1"/>
  <c r="I13" i="3"/>
  <c r="H13" i="3"/>
  <c r="A13" i="3" s="1"/>
  <c r="I38" i="3"/>
  <c r="J38" i="3" s="1"/>
  <c r="H38" i="3"/>
  <c r="A38" i="3" s="1"/>
  <c r="I14" i="3"/>
  <c r="H14" i="3"/>
  <c r="A14" i="3" s="1"/>
  <c r="I34" i="3"/>
  <c r="J34" i="3" s="1"/>
  <c r="H34" i="3"/>
  <c r="A34" i="3" s="1"/>
  <c r="I15" i="3"/>
  <c r="H15" i="3"/>
  <c r="A15" i="3" s="1"/>
  <c r="I19" i="3"/>
  <c r="J19" i="3" s="1"/>
  <c r="H19" i="3"/>
  <c r="A19" i="3" s="1"/>
  <c r="I29" i="3"/>
  <c r="J29" i="3" s="1"/>
  <c r="H29" i="3"/>
  <c r="A29" i="3" s="1"/>
  <c r="I35" i="3"/>
  <c r="J35" i="3" s="1"/>
  <c r="H35" i="3"/>
  <c r="A35" i="3" s="1"/>
  <c r="I41" i="3"/>
  <c r="J41" i="3" s="1"/>
  <c r="H41" i="3"/>
  <c r="A41" i="3" s="1"/>
  <c r="I47" i="3"/>
  <c r="J47" i="3" s="1"/>
  <c r="H47" i="3"/>
  <c r="A47" i="3" s="1"/>
  <c r="I53" i="3"/>
  <c r="J53" i="3" s="1"/>
  <c r="H53" i="3"/>
  <c r="A53" i="3" s="1"/>
  <c r="I59" i="3"/>
  <c r="J59" i="3" s="1"/>
  <c r="H59" i="3"/>
  <c r="A59" i="3" s="1"/>
  <c r="I65" i="3"/>
  <c r="J65" i="3" s="1"/>
  <c r="H65" i="3"/>
  <c r="A65" i="3" s="1"/>
  <c r="I71" i="3"/>
  <c r="J71" i="3" s="1"/>
  <c r="H71" i="3"/>
  <c r="A71" i="3" s="1"/>
  <c r="I68" i="3"/>
  <c r="J68" i="3" s="1"/>
  <c r="H68" i="3"/>
  <c r="A68" i="3" s="1"/>
  <c r="I44" i="3"/>
  <c r="J44" i="3" s="1"/>
  <c r="H44" i="3"/>
  <c r="A44" i="3" s="1"/>
  <c r="I20" i="3"/>
  <c r="J20" i="3" s="1"/>
  <c r="H20" i="3"/>
  <c r="A20" i="3" s="1"/>
  <c r="I27" i="3"/>
  <c r="H27" i="3"/>
  <c r="A27" i="3" s="1"/>
  <c r="I22" i="3"/>
  <c r="J22" i="3" s="1"/>
  <c r="H22" i="3"/>
  <c r="A22" i="3" s="1"/>
  <c r="I25" i="3"/>
  <c r="J25" i="3" s="1"/>
  <c r="H25" i="3"/>
  <c r="A25" i="3" s="1"/>
  <c r="I56" i="3"/>
  <c r="J56" i="3" s="1"/>
  <c r="H56" i="3"/>
  <c r="A56" i="3" s="1"/>
  <c r="I21" i="3"/>
  <c r="H21" i="3"/>
  <c r="A21" i="3" s="1"/>
  <c r="I17" i="3"/>
  <c r="J17" i="3" s="1"/>
  <c r="H17" i="3"/>
  <c r="A17" i="3" s="1"/>
  <c r="I23" i="3"/>
  <c r="J23" i="3" s="1"/>
  <c r="H23" i="3"/>
  <c r="A23" i="3" s="1"/>
  <c r="I30" i="3"/>
  <c r="H30" i="3"/>
  <c r="A30" i="3" s="1"/>
  <c r="I36" i="3"/>
  <c r="H36" i="3"/>
  <c r="A36" i="3" s="1"/>
  <c r="I42" i="3"/>
  <c r="J42" i="3" s="1"/>
  <c r="H42" i="3"/>
  <c r="A42" i="3" s="1"/>
  <c r="I48" i="3"/>
  <c r="J48" i="3" s="1"/>
  <c r="H48" i="3"/>
  <c r="A48" i="3" s="1"/>
  <c r="I54" i="3"/>
  <c r="J54" i="3" s="1"/>
  <c r="H54" i="3"/>
  <c r="A54" i="3" s="1"/>
  <c r="I60" i="3"/>
  <c r="J60" i="3" s="1"/>
  <c r="H60" i="3"/>
  <c r="A60" i="3" s="1"/>
  <c r="I66" i="3"/>
  <c r="J66" i="3" s="1"/>
  <c r="H66" i="3"/>
  <c r="A66" i="3" s="1"/>
  <c r="I72" i="3"/>
  <c r="J72" i="3" s="1"/>
  <c r="H72" i="3"/>
  <c r="A72" i="3" s="1"/>
  <c r="I18" i="3"/>
  <c r="H18" i="3"/>
  <c r="A18" i="3" s="1"/>
  <c r="I24" i="3"/>
  <c r="J24" i="3" s="1"/>
  <c r="H24" i="3"/>
  <c r="A24" i="3" s="1"/>
  <c r="I31" i="3"/>
  <c r="H31" i="3"/>
  <c r="A31" i="3" s="1"/>
  <c r="I37" i="3"/>
  <c r="J37" i="3" s="1"/>
  <c r="H37" i="3"/>
  <c r="A37" i="3" s="1"/>
  <c r="I43" i="3"/>
  <c r="J43" i="3" s="1"/>
  <c r="H43" i="3"/>
  <c r="A43" i="3" s="1"/>
  <c r="I49" i="3"/>
  <c r="J49" i="3" s="1"/>
  <c r="H49" i="3"/>
  <c r="A49" i="3" s="1"/>
  <c r="I55" i="3"/>
  <c r="J55" i="3" s="1"/>
  <c r="H55" i="3"/>
  <c r="A55" i="3" s="1"/>
  <c r="I61" i="3"/>
  <c r="J61" i="3" s="1"/>
  <c r="H61" i="3"/>
  <c r="A61" i="3" s="1"/>
  <c r="I67" i="3"/>
  <c r="J67" i="3" s="1"/>
  <c r="H67" i="3"/>
  <c r="A67" i="3" s="1"/>
  <c r="H165" i="3"/>
  <c r="A165" i="3" s="1"/>
  <c r="I165" i="3"/>
  <c r="J165" i="3" s="1"/>
  <c r="I167" i="3"/>
  <c r="J167" i="3" s="1"/>
  <c r="H167" i="3"/>
  <c r="A167" i="3" s="1"/>
  <c r="H168" i="3"/>
  <c r="A168" i="3" s="1"/>
  <c r="I168" i="3"/>
  <c r="J168" i="3" s="1"/>
  <c r="I166" i="3"/>
  <c r="J166" i="3" s="1"/>
  <c r="H166" i="3"/>
  <c r="A166" i="3" s="1"/>
  <c r="I74" i="3"/>
  <c r="J74" i="3" s="1"/>
  <c r="H74" i="3"/>
  <c r="A74" i="3" s="1"/>
  <c r="I92" i="3"/>
  <c r="J92" i="3" s="1"/>
  <c r="H92" i="3"/>
  <c r="A92" i="3" s="1"/>
  <c r="I110" i="3"/>
  <c r="J110" i="3" s="1"/>
  <c r="H110" i="3"/>
  <c r="A110" i="3" s="1"/>
  <c r="I152" i="3"/>
  <c r="J152" i="3" s="1"/>
  <c r="H152" i="3"/>
  <c r="A152" i="3" s="1"/>
  <c r="H105" i="3"/>
  <c r="A105" i="3" s="1"/>
  <c r="I105" i="3"/>
  <c r="J105" i="3" s="1"/>
  <c r="I86" i="3"/>
  <c r="J86" i="3" s="1"/>
  <c r="H86" i="3"/>
  <c r="A86" i="3" s="1"/>
  <c r="I122" i="3"/>
  <c r="J122" i="3" s="1"/>
  <c r="H122" i="3"/>
  <c r="A122" i="3" s="1"/>
  <c r="I140" i="3"/>
  <c r="J140" i="3" s="1"/>
  <c r="H140" i="3"/>
  <c r="A140" i="3" s="1"/>
  <c r="I111" i="3"/>
  <c r="J111" i="3" s="1"/>
  <c r="H111" i="3"/>
  <c r="A111" i="3" s="1"/>
  <c r="H82" i="3"/>
  <c r="A82" i="3" s="1"/>
  <c r="I82" i="3"/>
  <c r="J82" i="3" s="1"/>
  <c r="H118" i="3"/>
  <c r="A118" i="3" s="1"/>
  <c r="I118" i="3"/>
  <c r="J118" i="3" s="1"/>
  <c r="H154" i="3"/>
  <c r="A154" i="3" s="1"/>
  <c r="I154" i="3"/>
  <c r="J154" i="3" s="1"/>
  <c r="I135" i="3"/>
  <c r="J135" i="3" s="1"/>
  <c r="H135" i="3"/>
  <c r="A135" i="3" s="1"/>
  <c r="I94" i="3"/>
  <c r="J94" i="3" s="1"/>
  <c r="H94" i="3"/>
  <c r="A94" i="3" s="1"/>
  <c r="I130" i="3"/>
  <c r="J130" i="3" s="1"/>
  <c r="H130" i="3"/>
  <c r="A130" i="3" s="1"/>
  <c r="I81" i="3"/>
  <c r="J81" i="3" s="1"/>
  <c r="H81" i="3"/>
  <c r="A81" i="3" s="1"/>
  <c r="I129" i="3"/>
  <c r="J129" i="3" s="1"/>
  <c r="H129" i="3"/>
  <c r="A129" i="3" s="1"/>
  <c r="I106" i="3"/>
  <c r="J106" i="3" s="1"/>
  <c r="H106" i="3"/>
  <c r="A106" i="3" s="1"/>
  <c r="I148" i="3"/>
  <c r="J148" i="3" s="1"/>
  <c r="H148" i="3"/>
  <c r="A148" i="3" s="1"/>
  <c r="H77" i="3"/>
  <c r="A77" i="3" s="1"/>
  <c r="I77" i="3"/>
  <c r="J77" i="3" s="1"/>
  <c r="H83" i="3"/>
  <c r="A83" i="3" s="1"/>
  <c r="I83" i="3"/>
  <c r="J83" i="3" s="1"/>
  <c r="H89" i="3"/>
  <c r="A89" i="3" s="1"/>
  <c r="I89" i="3"/>
  <c r="J89" i="3" s="1"/>
  <c r="H95" i="3"/>
  <c r="A95" i="3" s="1"/>
  <c r="I95" i="3"/>
  <c r="J95" i="3" s="1"/>
  <c r="I101" i="3"/>
  <c r="J101" i="3" s="1"/>
  <c r="H101" i="3"/>
  <c r="A101" i="3" s="1"/>
  <c r="I107" i="3"/>
  <c r="J107" i="3" s="1"/>
  <c r="H107" i="3"/>
  <c r="A107" i="3" s="1"/>
  <c r="H113" i="3"/>
  <c r="A113" i="3" s="1"/>
  <c r="I113" i="3"/>
  <c r="J113" i="3" s="1"/>
  <c r="H119" i="3"/>
  <c r="A119" i="3" s="1"/>
  <c r="I119" i="3"/>
  <c r="J119" i="3" s="1"/>
  <c r="H125" i="3"/>
  <c r="A125" i="3" s="1"/>
  <c r="I125" i="3"/>
  <c r="J125" i="3" s="1"/>
  <c r="I131" i="3"/>
  <c r="J131" i="3" s="1"/>
  <c r="H131" i="3"/>
  <c r="A131" i="3" s="1"/>
  <c r="H137" i="3"/>
  <c r="A137" i="3" s="1"/>
  <c r="I137" i="3"/>
  <c r="J137" i="3" s="1"/>
  <c r="H143" i="3"/>
  <c r="A143" i="3" s="1"/>
  <c r="I143" i="3"/>
  <c r="J143" i="3" s="1"/>
  <c r="H149" i="3"/>
  <c r="A149" i="3" s="1"/>
  <c r="I149" i="3"/>
  <c r="J149" i="3" s="1"/>
  <c r="H155" i="3"/>
  <c r="A155" i="3" s="1"/>
  <c r="I155" i="3"/>
  <c r="J155" i="3" s="1"/>
  <c r="I93" i="3"/>
  <c r="J93" i="3" s="1"/>
  <c r="H93" i="3"/>
  <c r="A93" i="3" s="1"/>
  <c r="I141" i="3"/>
  <c r="J141" i="3" s="1"/>
  <c r="H141" i="3"/>
  <c r="A141" i="3" s="1"/>
  <c r="I76" i="3"/>
  <c r="J76" i="3" s="1"/>
  <c r="H76" i="3"/>
  <c r="A76" i="3" s="1"/>
  <c r="I112" i="3"/>
  <c r="J112" i="3" s="1"/>
  <c r="H112" i="3"/>
  <c r="A112" i="3" s="1"/>
  <c r="I136" i="3"/>
  <c r="J136" i="3" s="1"/>
  <c r="H136" i="3"/>
  <c r="A136" i="3" s="1"/>
  <c r="I98" i="3"/>
  <c r="J98" i="3" s="1"/>
  <c r="H98" i="3"/>
  <c r="A98" i="3" s="1"/>
  <c r="I128" i="3"/>
  <c r="J128" i="3" s="1"/>
  <c r="H128" i="3"/>
  <c r="A128" i="3" s="1"/>
  <c r="I134" i="3"/>
  <c r="J134" i="3" s="1"/>
  <c r="H134" i="3"/>
  <c r="A134" i="3" s="1"/>
  <c r="I75" i="3"/>
  <c r="J75" i="3" s="1"/>
  <c r="H75" i="3"/>
  <c r="A75" i="3" s="1"/>
  <c r="I117" i="3"/>
  <c r="J117" i="3" s="1"/>
  <c r="H117" i="3"/>
  <c r="A117" i="3" s="1"/>
  <c r="I88" i="3"/>
  <c r="J88" i="3" s="1"/>
  <c r="H88" i="3"/>
  <c r="A88" i="3" s="1"/>
  <c r="I142" i="3"/>
  <c r="J142" i="3" s="1"/>
  <c r="H142" i="3"/>
  <c r="A142" i="3" s="1"/>
  <c r="H78" i="3"/>
  <c r="A78" i="3" s="1"/>
  <c r="I78" i="3"/>
  <c r="J78" i="3" s="1"/>
  <c r="H84" i="3"/>
  <c r="A84" i="3" s="1"/>
  <c r="I84" i="3"/>
  <c r="J84" i="3" s="1"/>
  <c r="I90" i="3"/>
  <c r="J90" i="3" s="1"/>
  <c r="H90" i="3"/>
  <c r="A90" i="3" s="1"/>
  <c r="I96" i="3"/>
  <c r="J96" i="3" s="1"/>
  <c r="H96" i="3"/>
  <c r="A96" i="3" s="1"/>
  <c r="I102" i="3"/>
  <c r="J102" i="3" s="1"/>
  <c r="H102" i="3"/>
  <c r="A102" i="3" s="1"/>
  <c r="H108" i="3"/>
  <c r="A108" i="3" s="1"/>
  <c r="I108" i="3"/>
  <c r="J108" i="3" s="1"/>
  <c r="H114" i="3"/>
  <c r="A114" i="3" s="1"/>
  <c r="I114" i="3"/>
  <c r="J114" i="3" s="1"/>
  <c r="I120" i="3"/>
  <c r="J120" i="3" s="1"/>
  <c r="H120" i="3"/>
  <c r="A120" i="3" s="1"/>
  <c r="H126" i="3"/>
  <c r="A126" i="3" s="1"/>
  <c r="I126" i="3"/>
  <c r="J126" i="3" s="1"/>
  <c r="I132" i="3"/>
  <c r="J132" i="3" s="1"/>
  <c r="H132" i="3"/>
  <c r="A132" i="3" s="1"/>
  <c r="H138" i="3"/>
  <c r="A138" i="3" s="1"/>
  <c r="I138" i="3"/>
  <c r="J138" i="3" s="1"/>
  <c r="H144" i="3"/>
  <c r="A144" i="3" s="1"/>
  <c r="I144" i="3"/>
  <c r="J144" i="3" s="1"/>
  <c r="H150" i="3"/>
  <c r="A150" i="3" s="1"/>
  <c r="I150" i="3"/>
  <c r="J150" i="3" s="1"/>
  <c r="I80" i="3"/>
  <c r="J80" i="3" s="1"/>
  <c r="H80" i="3"/>
  <c r="A80" i="3" s="1"/>
  <c r="I104" i="3"/>
  <c r="J104" i="3" s="1"/>
  <c r="H104" i="3"/>
  <c r="A104" i="3" s="1"/>
  <c r="I116" i="3"/>
  <c r="J116" i="3" s="1"/>
  <c r="H116" i="3"/>
  <c r="A116" i="3" s="1"/>
  <c r="I146" i="3"/>
  <c r="J146" i="3" s="1"/>
  <c r="H146" i="3"/>
  <c r="A146" i="3" s="1"/>
  <c r="I99" i="3"/>
  <c r="J99" i="3" s="1"/>
  <c r="H99" i="3"/>
  <c r="A99" i="3" s="1"/>
  <c r="I100" i="3"/>
  <c r="J100" i="3" s="1"/>
  <c r="H100" i="3"/>
  <c r="A100" i="3" s="1"/>
  <c r="I124" i="3"/>
  <c r="J124" i="3" s="1"/>
  <c r="H124" i="3"/>
  <c r="A124" i="3" s="1"/>
  <c r="I87" i="3"/>
  <c r="J87" i="3" s="1"/>
  <c r="H87" i="3"/>
  <c r="A87" i="3" s="1"/>
  <c r="I123" i="3"/>
  <c r="J123" i="3" s="1"/>
  <c r="H123" i="3"/>
  <c r="A123" i="3" s="1"/>
  <c r="I147" i="3"/>
  <c r="J147" i="3" s="1"/>
  <c r="H147" i="3"/>
  <c r="A147" i="3" s="1"/>
  <c r="I153" i="3"/>
  <c r="J153" i="3" s="1"/>
  <c r="H153" i="3"/>
  <c r="A153" i="3" s="1"/>
  <c r="I16" i="3"/>
  <c r="H16" i="3"/>
  <c r="A16" i="3" s="1"/>
  <c r="H73" i="3"/>
  <c r="A73" i="3" s="1"/>
  <c r="I73" i="3"/>
  <c r="J73" i="3" s="1"/>
  <c r="H79" i="3"/>
  <c r="A79" i="3" s="1"/>
  <c r="I79" i="3"/>
  <c r="J79" i="3" s="1"/>
  <c r="H85" i="3"/>
  <c r="A85" i="3" s="1"/>
  <c r="I85" i="3"/>
  <c r="J85" i="3" s="1"/>
  <c r="I91" i="3"/>
  <c r="J91" i="3" s="1"/>
  <c r="H91" i="3"/>
  <c r="A91" i="3" s="1"/>
  <c r="I97" i="3"/>
  <c r="J97" i="3" s="1"/>
  <c r="H97" i="3"/>
  <c r="A97" i="3" s="1"/>
  <c r="I103" i="3"/>
  <c r="J103" i="3" s="1"/>
  <c r="H103" i="3"/>
  <c r="A103" i="3" s="1"/>
  <c r="H109" i="3"/>
  <c r="A109" i="3" s="1"/>
  <c r="I109" i="3"/>
  <c r="J109" i="3" s="1"/>
  <c r="H115" i="3"/>
  <c r="A115" i="3" s="1"/>
  <c r="I115" i="3"/>
  <c r="J115" i="3" s="1"/>
  <c r="I121" i="3"/>
  <c r="J121" i="3" s="1"/>
  <c r="H121" i="3"/>
  <c r="A121" i="3" s="1"/>
  <c r="H127" i="3"/>
  <c r="A127" i="3" s="1"/>
  <c r="I127" i="3"/>
  <c r="J127" i="3" s="1"/>
  <c r="H133" i="3"/>
  <c r="A133" i="3" s="1"/>
  <c r="I133" i="3"/>
  <c r="J133" i="3" s="1"/>
  <c r="H139" i="3"/>
  <c r="A139" i="3" s="1"/>
  <c r="I139" i="3"/>
  <c r="J139" i="3" s="1"/>
  <c r="H145" i="3"/>
  <c r="A145" i="3" s="1"/>
  <c r="I145" i="3"/>
  <c r="J145" i="3" s="1"/>
  <c r="H151" i="3"/>
  <c r="A151" i="3" s="1"/>
  <c r="I151" i="3"/>
  <c r="J151" i="3" s="1"/>
  <c r="J33" i="3" l="1"/>
  <c r="J28" i="3"/>
  <c r="J30" i="3"/>
  <c r="J32" i="3"/>
  <c r="J27" i="3"/>
  <c r="J31" i="3"/>
  <c r="J26" i="3"/>
  <c r="J18" i="3"/>
  <c r="J21" i="3"/>
  <c r="CR5" i="3"/>
  <c r="CH2" i="13" s="1"/>
  <c r="J18" i="5"/>
  <c r="J19" i="5"/>
  <c r="N16" i="12"/>
  <c r="J17" i="5"/>
  <c r="N15" i="12"/>
  <c r="J16" i="5"/>
  <c r="J36" i="3"/>
  <c r="N14" i="12"/>
  <c r="J15" i="5"/>
  <c r="J15" i="3"/>
  <c r="N13" i="12"/>
  <c r="J14" i="5"/>
  <c r="J14" i="3"/>
  <c r="N12" i="12"/>
  <c r="J13" i="5"/>
  <c r="J13" i="3"/>
  <c r="N11" i="12"/>
  <c r="J12" i="5"/>
  <c r="J16" i="3"/>
  <c r="J11" i="5"/>
  <c r="N10" i="12"/>
  <c r="K10" i="3"/>
  <c r="K164" i="3"/>
  <c r="CS5" i="3" l="1"/>
  <c r="CI2" i="13" s="1"/>
  <c r="CT5" i="3" l="1"/>
  <c r="CJ2" i="13" s="1"/>
  <c r="CU5" i="3" l="1"/>
  <c r="CK2" i="13" s="1"/>
  <c r="CV5" i="3" l="1"/>
  <c r="CL2" i="13" s="1"/>
  <c r="CW5" i="3" l="1"/>
  <c r="CM2" i="13" s="1"/>
  <c r="CX5" i="3" l="1"/>
  <c r="CN2" i="13" s="1"/>
  <c r="CY5" i="3" l="1"/>
  <c r="CO2" i="13" s="1"/>
  <c r="CZ5" i="3" l="1"/>
  <c r="CP2" i="13" s="1"/>
  <c r="DA5" i="3" l="1"/>
  <c r="CQ2" i="13" s="1"/>
  <c r="DB5" i="3" l="1"/>
  <c r="CR2" i="13" s="1"/>
  <c r="DC5" i="3" l="1"/>
  <c r="CS2" i="13" s="1"/>
  <c r="DD5" i="3" l="1"/>
  <c r="CT2" i="13" s="1"/>
  <c r="DE5" i="3" l="1"/>
  <c r="CU2" i="13" s="1"/>
  <c r="DF5" i="3" l="1"/>
  <c r="CV2" i="13" s="1"/>
  <c r="DG5" i="3" l="1"/>
  <c r="CW2" i="13" l="1"/>
  <c r="DH5" i="3"/>
  <c r="K5" i="3"/>
  <c r="DI5" i="3" l="1"/>
  <c r="CY2" i="13" s="1"/>
  <c r="CX2" i="13"/>
  <c r="I6" i="5"/>
  <c r="N6" i="12"/>
  <c r="N7" i="12"/>
  <c r="H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G9" authorId="0" shapeId="0" xr:uid="{00000000-0006-0000-0000-000001000000}">
      <text>
        <r>
          <rPr>
            <sz val="12"/>
            <color indexed="81"/>
            <rFont val="新細明體"/>
            <family val="1"/>
            <charset val="136"/>
          </rPr>
          <t>代表意義:</t>
        </r>
        <r>
          <rPr>
            <sz val="10"/>
            <color indexed="81"/>
            <rFont val="新細明體"/>
            <family val="1"/>
            <charset val="136"/>
          </rPr>
          <t xml:space="preserve">
</t>
        </r>
        <r>
          <rPr>
            <sz val="11"/>
            <color indexed="81"/>
            <rFont val="新細明體"/>
            <family val="1"/>
            <charset val="136"/>
          </rPr>
          <t>１：晴天計工期
０：雨天不計工期
１１：晴天強制計工期
１０：雨天強制計工期
２１：晴天強制不計工期
２０：雨天強制不計工期</t>
        </r>
      </text>
    </comment>
  </commentList>
</comments>
</file>

<file path=xl/sharedStrings.xml><?xml version="1.0" encoding="utf-8"?>
<sst xmlns="http://schemas.openxmlformats.org/spreadsheetml/2006/main" count="273" uniqueCount="212">
  <si>
    <t>工程名稱：</t>
  </si>
  <si>
    <t>起始日==&gt;</t>
    <phoneticPr fontId="3" type="noConversion"/>
  </si>
  <si>
    <t>工期：</t>
    <phoneticPr fontId="3" type="noConversion"/>
  </si>
  <si>
    <t>累計工期</t>
    <phoneticPr fontId="3" type="noConversion"/>
  </si>
  <si>
    <t>契約金額：</t>
    <phoneticPr fontId="3" type="noConversion"/>
  </si>
  <si>
    <t>-</t>
    <phoneticPr fontId="3" type="noConversion"/>
  </si>
  <si>
    <t>剩餘工期</t>
    <phoneticPr fontId="3" type="noConversion"/>
  </si>
  <si>
    <t>案號及契約號：</t>
  </si>
  <si>
    <t>進度調整因子=&gt;</t>
    <phoneticPr fontId="3" type="noConversion"/>
  </si>
  <si>
    <t>日期</t>
    <phoneticPr fontId="3" type="noConversion"/>
  </si>
  <si>
    <t>星期</t>
    <phoneticPr fontId="3" type="noConversion"/>
  </si>
  <si>
    <t>有施做=&gt;</t>
    <phoneticPr fontId="3" type="noConversion"/>
  </si>
  <si>
    <t>上午天氣</t>
    <phoneticPr fontId="3" type="noConversion"/>
  </si>
  <si>
    <t>全部=&gt;</t>
    <phoneticPr fontId="3" type="noConversion"/>
  </si>
  <si>
    <t>下午天氣</t>
    <phoneticPr fontId="3" type="noConversion"/>
  </si>
  <si>
    <t>區間=&gt;</t>
    <phoneticPr fontId="3" type="noConversion"/>
  </si>
  <si>
    <t>日</t>
    <phoneticPr fontId="3" type="noConversion"/>
  </si>
  <si>
    <t>全</t>
    <phoneticPr fontId="3" type="noConversion"/>
  </si>
  <si>
    <t>一、重要施工項目完成數量：</t>
  </si>
  <si>
    <t>單位</t>
    <phoneticPr fontId="3" type="noConversion"/>
  </si>
  <si>
    <t>契約數量</t>
    <phoneticPr fontId="3" type="noConversion"/>
  </si>
  <si>
    <t>契約單價</t>
    <phoneticPr fontId="3" type="noConversion"/>
  </si>
  <si>
    <t>累計完成</t>
    <phoneticPr fontId="3" type="noConversion"/>
  </si>
  <si>
    <t>剩餘數量</t>
    <phoneticPr fontId="3" type="noConversion"/>
  </si>
  <si>
    <t>本日完成</t>
    <phoneticPr fontId="3" type="noConversion"/>
  </si>
  <si>
    <t>完成數量==&gt;</t>
    <phoneticPr fontId="3" type="noConversion"/>
  </si>
  <si>
    <t>上午天氣</t>
  </si>
  <si>
    <t>下午天氣</t>
  </si>
  <si>
    <t>公共工程監造報表</t>
    <phoneticPr fontId="14" type="noConversion"/>
  </si>
  <si>
    <t>表報編號：</t>
    <phoneticPr fontId="14" type="noConversion"/>
  </si>
  <si>
    <t>本日天氣：</t>
    <phoneticPr fontId="14" type="noConversion"/>
  </si>
  <si>
    <t>上午：</t>
    <phoneticPr fontId="14" type="noConversion"/>
  </si>
  <si>
    <t>下午：</t>
    <phoneticPr fontId="14" type="noConversion"/>
  </si>
  <si>
    <t>工程名稱</t>
    <phoneticPr fontId="3" type="noConversion"/>
  </si>
  <si>
    <t>契約工期</t>
    <phoneticPr fontId="14" type="noConversion"/>
  </si>
  <si>
    <t>預定完工日期</t>
    <phoneticPr fontId="14" type="noConversion"/>
  </si>
  <si>
    <t>實際完工日期</t>
    <phoneticPr fontId="14" type="noConversion"/>
  </si>
  <si>
    <t>契約變更次數</t>
    <phoneticPr fontId="14" type="noConversion"/>
  </si>
  <si>
    <t>工期展延天數</t>
    <phoneticPr fontId="14" type="noConversion"/>
  </si>
  <si>
    <t>契約金額</t>
    <phoneticPr fontId="14" type="noConversion"/>
  </si>
  <si>
    <t>預定進度(%)</t>
    <phoneticPr fontId="14" type="noConversion"/>
  </si>
  <si>
    <t>實際完成(%)</t>
    <phoneticPr fontId="14" type="noConversion"/>
  </si>
  <si>
    <t>變更後契約：</t>
    <phoneticPr fontId="3" type="noConversion"/>
  </si>
  <si>
    <t>一、工程進行情況(含約定之重要施工項目及數量)：</t>
    <phoneticPr fontId="14" type="noConversion"/>
  </si>
  <si>
    <t>施　工　項　目</t>
    <phoneticPr fontId="3" type="noConversion"/>
  </si>
  <si>
    <t>三、查核材料規格及品質(含約定之檢驗停留點、材料設備管制及檢(試)驗等抽驗情形)：</t>
    <phoneticPr fontId="14" type="noConversion"/>
  </si>
  <si>
    <t>五、其他約定監造事項(含重要事項紀錄、主辦機關指示及通知廠商辦理事項等)：</t>
    <phoneticPr fontId="3" type="noConversion"/>
  </si>
  <si>
    <t>監造單位簽章：</t>
    <phoneticPr fontId="14" type="noConversion"/>
  </si>
  <si>
    <t xml:space="preserve">註：
1.監造報告表原則應包含上述欄位；惟若上述欄位之內容業詳載於廠商填報之施工日誌，並按時陳報監造單位核備者，則監造報表知該等欄位可載
  明參詳施工日誌。
2.本表原則應按日填寫，機關另有規定者，從其規定；若屬委外監造之工程，則一律按日填寫。未達查核金額或工期為九十日曆天以下之工程，得
  由機關統一訂定內部稽查程序及監造報告表之填報方式與週期。
3.本監造報告表格式僅供參考，各機關亦得依契約約定事項，自行增訂之。
4.契約工期如有修正，應填修正後之契約工期，含展延工期及不計工期天數；如有依契約變更設計，預定進度及實際進度應填變更設計後計算之進
  度。
5.公共工程屬建築物者，仍應依本表辦理。惟該工程之監造人(建築師)，應另依內政部九十六年六月六日台內營字第○九六○八○二九五○號令頒
  之「建築物(監督、查核)報告表」填報(頻率按該表註2辦理)。
</t>
    <phoneticPr fontId="14" type="noConversion"/>
  </si>
  <si>
    <t>開工日期</t>
    <phoneticPr fontId="2" type="noConversion"/>
  </si>
  <si>
    <t>單位</t>
    <phoneticPr fontId="2" type="noConversion"/>
  </si>
  <si>
    <t>契約數量</t>
    <phoneticPr fontId="2" type="noConversion"/>
  </si>
  <si>
    <t>本日完成數量</t>
    <phoneticPr fontId="2" type="noConversion"/>
  </si>
  <si>
    <t>累計完成數量</t>
    <phoneticPr fontId="2" type="noConversion"/>
  </si>
  <si>
    <t>備　　註</t>
    <phoneticPr fontId="2" type="noConversion"/>
  </si>
  <si>
    <t>~</t>
    <phoneticPr fontId="3" type="noConversion"/>
  </si>
  <si>
    <t>公共工程施工日誌</t>
    <phoneticPr fontId="3" type="noConversion"/>
  </si>
  <si>
    <t>簽章：【工地主任】：</t>
    <phoneticPr fontId="2" type="noConversion"/>
  </si>
  <si>
    <t>八、重要事項記錄：</t>
    <phoneticPr fontId="2" type="noConversion"/>
  </si>
  <si>
    <t>七、通知協力廠商辦理事項：</t>
    <phoneticPr fontId="2" type="noConversion"/>
  </si>
  <si>
    <t>六、施工取樣試驗紀錄：</t>
    <phoneticPr fontId="2" type="noConversion"/>
  </si>
  <si>
    <t>五、工地職業安全衛生事項之督導、公共環境與安全之維護及其他工地行政事務：
　(一)施工前檢查事項：
　　1.實施勤前教育(含工地預防災變及危害告知)：□有 □無
　　2.確認新進勞工是否提報勞工保險(或其他商業保險)資料及安全衛生教育訓練紀錄：
　　　□有 □無 □無新進勞工
　　3.檢查勞工個人防護具：□有 □無
　(二)其他事項：</t>
    <phoneticPr fontId="2" type="noConversion"/>
  </si>
  <si>
    <t>四、本日施工項目是否須依「營造業專業工程特定施工項目應置之技術士種類、比率或人
　　數標準表」規定應設置技術士之專業工程：□有 □無(此項如勾選"有"，則應填寫後
　　附「公共工程施工日誌之技術士簽章表」)</t>
    <phoneticPr fontId="2" type="noConversion"/>
  </si>
  <si>
    <t>累計使用數量</t>
    <phoneticPr fontId="2" type="noConversion"/>
  </si>
  <si>
    <t>本日使用數量</t>
    <phoneticPr fontId="2" type="noConversion"/>
  </si>
  <si>
    <t>機具名稱</t>
    <phoneticPr fontId="2" type="noConversion"/>
  </si>
  <si>
    <t>累計人數</t>
    <phoneticPr fontId="2" type="noConversion"/>
  </si>
  <si>
    <t>本日人數</t>
    <phoneticPr fontId="2" type="noConversion"/>
  </si>
  <si>
    <t>三、工地人員及機具管理(含約定之出工人數及機具使用情形及數量)：</t>
    <phoneticPr fontId="2" type="noConversion"/>
  </si>
  <si>
    <t>備註</t>
    <phoneticPr fontId="2" type="noConversion"/>
  </si>
  <si>
    <t>二、工地材料管理概況(含約定之重要材料使用狀況及數量)：</t>
    <phoneticPr fontId="2" type="noConversion"/>
  </si>
  <si>
    <t>B.</t>
    <phoneticPr fontId="2" type="noConversion"/>
  </si>
  <si>
    <t>A.</t>
    <phoneticPr fontId="2" type="noConversion"/>
  </si>
  <si>
    <t>營造業專業工程特定施工項目</t>
    <phoneticPr fontId="2" type="noConversion"/>
  </si>
  <si>
    <t>一、依施工計畫書執行按圖施工概況(含約定之重要施工項目及完成數量等)：</t>
    <phoneticPr fontId="2" type="noConversion"/>
  </si>
  <si>
    <t>實際進度(%)</t>
    <phoneticPr fontId="2" type="noConversion"/>
  </si>
  <si>
    <t>預定進度(%)</t>
    <phoneticPr fontId="2" type="noConversion"/>
  </si>
  <si>
    <t>完工日期</t>
    <phoneticPr fontId="2" type="noConversion"/>
  </si>
  <si>
    <t>天</t>
    <phoneticPr fontId="2" type="noConversion"/>
  </si>
  <si>
    <t>工期展延天數</t>
    <phoneticPr fontId="2" type="noConversion"/>
  </si>
  <si>
    <t>剩餘工期</t>
    <phoneticPr fontId="2" type="noConversion"/>
  </si>
  <si>
    <t>累計工期</t>
    <phoneticPr fontId="2" type="noConversion"/>
  </si>
  <si>
    <t>核定工期</t>
    <phoneticPr fontId="2" type="noConversion"/>
  </si>
  <si>
    <t>承攬廠商名稱</t>
    <phoneticPr fontId="2" type="noConversion"/>
  </si>
  <si>
    <t>工程名稱</t>
    <phoneticPr fontId="2" type="noConversion"/>
  </si>
  <si>
    <t>填表日期：</t>
    <phoneticPr fontId="2" type="noConversion"/>
  </si>
  <si>
    <t>下午：</t>
    <phoneticPr fontId="2" type="noConversion"/>
  </si>
  <si>
    <t>上午：</t>
    <phoneticPr fontId="2" type="noConversion"/>
  </si>
  <si>
    <t>本日天氣：</t>
    <phoneticPr fontId="2" type="noConversion"/>
  </si>
  <si>
    <t>報表編號：</t>
    <phoneticPr fontId="2" type="noConversion"/>
  </si>
  <si>
    <t>公共工程施工日誌</t>
    <phoneticPr fontId="2" type="noConversion"/>
  </si>
  <si>
    <t>五、工地職業安全衛生事項之督導、公共環境與安全之維護及其他工地行政事務：</t>
    <phoneticPr fontId="3" type="noConversion"/>
  </si>
  <si>
    <t>六、施工取樣試驗紀錄：</t>
  </si>
  <si>
    <t>七、通知協力廠商辦理事項：</t>
  </si>
  <si>
    <t>八、重要事項記錄：</t>
  </si>
  <si>
    <t>業主：</t>
    <phoneticPr fontId="3" type="noConversion"/>
  </si>
  <si>
    <t>區
間</t>
    <phoneticPr fontId="3" type="noConversion"/>
  </si>
  <si>
    <t>二、工地材料管理概況(含約定之重要材料使用狀況及數量)：</t>
    <phoneticPr fontId="3" type="noConversion"/>
  </si>
  <si>
    <t>三、工地人員及機具管理(含約定之出工人數及機具使用情形及數量)：</t>
    <phoneticPr fontId="3" type="noConversion"/>
  </si>
  <si>
    <t>噸</t>
    <phoneticPr fontId="3" type="noConversion"/>
  </si>
  <si>
    <t>280kgf/cm2預拌混凝土</t>
    <phoneticPr fontId="3" type="noConversion"/>
  </si>
  <si>
    <t>M3</t>
    <phoneticPr fontId="3" type="noConversion"/>
  </si>
  <si>
    <t>鋼筋工</t>
    <phoneticPr fontId="3" type="noConversion"/>
  </si>
  <si>
    <t>模板工</t>
    <phoneticPr fontId="3" type="noConversion"/>
  </si>
  <si>
    <t>水電工</t>
    <phoneticPr fontId="3" type="noConversion"/>
  </si>
  <si>
    <t>專任工程人員</t>
    <phoneticPr fontId="3" type="noConversion"/>
  </si>
  <si>
    <t>吊卡車</t>
    <phoneticPr fontId="3" type="noConversion"/>
  </si>
  <si>
    <t>卡車</t>
    <phoneticPr fontId="3" type="noConversion"/>
  </si>
  <si>
    <t>拖車</t>
    <phoneticPr fontId="3" type="noConversion"/>
  </si>
  <si>
    <t>灑水車</t>
    <phoneticPr fontId="3" type="noConversion"/>
  </si>
  <si>
    <t>混凝土泵送車</t>
    <phoneticPr fontId="3" type="noConversion"/>
  </si>
  <si>
    <t>施　工　項　目</t>
    <phoneticPr fontId="2" type="noConversion"/>
  </si>
  <si>
    <t>材　料　名　稱</t>
    <phoneticPr fontId="2" type="noConversion"/>
  </si>
  <si>
    <t>工　別</t>
    <phoneticPr fontId="2" type="noConversion"/>
  </si>
  <si>
    <r>
      <t>本日完成</t>
    </r>
    <r>
      <rPr>
        <sz val="12"/>
        <rFont val="新細明體"/>
        <family val="1"/>
        <charset val="136"/>
      </rPr>
      <t>%</t>
    </r>
    <phoneticPr fontId="3" type="noConversion"/>
  </si>
  <si>
    <r>
      <t>累計完成</t>
    </r>
    <r>
      <rPr>
        <sz val="12"/>
        <rFont val="新細明體"/>
        <family val="1"/>
        <charset val="136"/>
      </rPr>
      <t>%</t>
    </r>
    <phoneticPr fontId="3" type="noConversion"/>
  </si>
  <si>
    <r>
      <t>預定進度</t>
    </r>
    <r>
      <rPr>
        <sz val="12"/>
        <rFont val="新細明體"/>
        <family val="1"/>
        <charset val="136"/>
      </rPr>
      <t>%</t>
    </r>
    <phoneticPr fontId="3" type="noConversion"/>
  </si>
  <si>
    <t>施工%基準金額</t>
    <phoneticPr fontId="3" type="noConversion"/>
  </si>
  <si>
    <t>拆除工</t>
    <phoneticPr fontId="3" type="noConversion"/>
  </si>
  <si>
    <t>搗築工</t>
    <phoneticPr fontId="3" type="noConversion"/>
  </si>
  <si>
    <t>50型怪手</t>
  </si>
  <si>
    <t>200型怪手</t>
    <phoneticPr fontId="3" type="noConversion"/>
  </si>
  <si>
    <t>120型怪手</t>
    <phoneticPr fontId="3" type="noConversion"/>
  </si>
  <si>
    <t>山貓</t>
    <phoneticPr fontId="3" type="noConversion"/>
  </si>
  <si>
    <t>140kgf/cm2預拌混凝土</t>
    <phoneticPr fontId="3" type="noConversion"/>
  </si>
  <si>
    <t>二、監督依照設計圖說及核定施工圖說施工：</t>
    <phoneticPr fontId="3" type="noConversion"/>
  </si>
  <si>
    <t>三、查核材料規格及品質：</t>
    <phoneticPr fontId="3" type="noConversion"/>
  </si>
  <si>
    <t>五、其他約定監造事項：</t>
    <phoneticPr fontId="3" type="noConversion"/>
  </si>
  <si>
    <t>四、督導工地職業安全衛生事項：</t>
    <phoneticPr fontId="3" type="noConversion"/>
  </si>
  <si>
    <t>(一)施工廠商施工前檢查事項辦理情形：□完成 □未完成</t>
    <phoneticPr fontId="14" type="noConversion"/>
  </si>
  <si>
    <t>二、監督依照設計圖說及核定施工圖說施工(含約定之檢驗停留點及施工抽查等情形)：</t>
    <phoneticPr fontId="14" type="noConversion"/>
  </si>
  <si>
    <t xml:space="preserve">鷹架工 </t>
    <phoneticPr fontId="3" type="noConversion"/>
  </si>
  <si>
    <t>泥作工</t>
    <phoneticPr fontId="3" type="noConversion"/>
  </si>
  <si>
    <t>油漆工</t>
    <phoneticPr fontId="3" type="noConversion"/>
  </si>
  <si>
    <t>塗料工</t>
    <phoneticPr fontId="3" type="noConversion"/>
  </si>
  <si>
    <t>屋頂鋼板工</t>
    <phoneticPr fontId="3" type="noConversion"/>
  </si>
  <si>
    <t>金屬工</t>
    <phoneticPr fontId="3" type="noConversion"/>
  </si>
  <si>
    <t>鋼筋</t>
    <phoneticPr fontId="3" type="noConversion"/>
  </si>
  <si>
    <t>普通工</t>
    <phoneticPr fontId="40" type="noConversion"/>
  </si>
  <si>
    <t>監造日報填寫區域</t>
    <phoneticPr fontId="40" type="noConversion"/>
  </si>
  <si>
    <t>預定進度</t>
    <phoneticPr fontId="2" type="noConversion"/>
  </si>
  <si>
    <t>實際進度</t>
    <phoneticPr fontId="2" type="noConversion"/>
  </si>
  <si>
    <t>日期</t>
    <phoneticPr fontId="2" type="noConversion"/>
  </si>
  <si>
    <t>光明國中-行政大樓外牆與屋頂防水工程</t>
    <phoneticPr fontId="3" type="noConversion"/>
  </si>
  <si>
    <t>臺中市立光明國民中學</t>
    <phoneticPr fontId="3" type="noConversion"/>
  </si>
  <si>
    <t>工程告示牌(租用)</t>
    <phoneticPr fontId="3" type="noConversion"/>
  </si>
  <si>
    <t>面</t>
    <phoneticPr fontId="3" type="noConversion"/>
  </si>
  <si>
    <t>職安衛告示牌(租用)</t>
    <phoneticPr fontId="3" type="noConversion"/>
  </si>
  <si>
    <t>甲種施工圍籬(租用)</t>
    <phoneticPr fontId="3" type="noConversion"/>
  </si>
  <si>
    <t>M</t>
    <phoneticPr fontId="3" type="noConversion"/>
  </si>
  <si>
    <t>三角錐連桿</t>
    <phoneticPr fontId="3" type="noConversion"/>
  </si>
  <si>
    <t>施工動線開闢及損壞復原;樹木修剪與清運</t>
    <phoneticPr fontId="3" type="noConversion"/>
  </si>
  <si>
    <t>式</t>
    <phoneticPr fontId="3" type="noConversion"/>
  </si>
  <si>
    <t>測量與放樣</t>
    <phoneticPr fontId="3" type="noConversion"/>
  </si>
  <si>
    <t>施工架(CNS4750)</t>
    <phoneticPr fontId="3" type="noConversion"/>
  </si>
  <si>
    <t>M2</t>
    <phoneticPr fontId="3" type="noConversion"/>
  </si>
  <si>
    <t>吊車、吊裝與清運等輔助施工設備</t>
    <phoneticPr fontId="3" type="noConversion"/>
  </si>
  <si>
    <t>既有5F遮陽百葉窗下緣切窗台排水溝(以窗台不積水為原則)</t>
    <phoneticPr fontId="3" type="noConversion"/>
  </si>
  <si>
    <t>樘</t>
    <phoneticPr fontId="3" type="noConversion"/>
  </si>
  <si>
    <t>切割打除清運窗台面層與外牆磁磚見結構體(含清除寄生植物)</t>
    <phoneticPr fontId="3" type="noConversion"/>
  </si>
  <si>
    <t>拆除清運既有鋁窗，新做包框鋁窗W1，內外耐候防水填縫</t>
    <phoneticPr fontId="3" type="noConversion"/>
  </si>
  <si>
    <t>拆除清運既有鋁窗，新做包框鋁窗W2，內外耐候防水填縫</t>
    <phoneticPr fontId="3" type="noConversion"/>
  </si>
  <si>
    <t>以高壓水槍清潔既有窗W3，割除既有內外填縫，重新施做耐候防水填縫</t>
    <phoneticPr fontId="3" type="noConversion"/>
  </si>
  <si>
    <t>以高壓水槍清潔既有窗W4，割除既有內外填縫，重新施做耐候防水填縫</t>
    <phoneticPr fontId="3" type="noConversion"/>
  </si>
  <si>
    <t>窗台與外牆施做1:3水泥砂漿粉刷整平(含黏著劑打底)</t>
    <phoneticPr fontId="3" type="noConversion"/>
  </si>
  <si>
    <t>窗台與外牆刷防水彈性水泥(1底2度)</t>
    <phoneticPr fontId="3" type="noConversion"/>
  </si>
  <si>
    <t>外牆貼外牆磁磚</t>
    <phoneticPr fontId="3" type="noConversion"/>
  </si>
  <si>
    <t>窗台安裝鋁合金滴水條(含側封板)</t>
    <phoneticPr fontId="3" type="noConversion"/>
  </si>
  <si>
    <t>窗台安裝塑鋁板，耐候防水填縫</t>
    <phoneticPr fontId="3" type="noConversion"/>
  </si>
  <si>
    <t>外牆清潔，塗刷磁磚專用底漆，塗刷不變黃透明防水漆</t>
    <phoneticPr fontId="3" type="noConversion"/>
  </si>
  <si>
    <t>漏水構造處打針低壓灌注epoxy防水材</t>
    <phoneticPr fontId="3" type="noConversion"/>
  </si>
  <si>
    <t>針</t>
    <phoneticPr fontId="3" type="noConversion"/>
  </si>
  <si>
    <t>壁癌處理，壁面清潔，刷水泥漆(1底2度)</t>
    <phoneticPr fontId="3" type="noConversion"/>
  </si>
  <si>
    <t>拆除清運受潮天花板，重新安裝矽酸鈣板天花板</t>
    <phoneticPr fontId="3" type="noConversion"/>
  </si>
  <si>
    <t>片</t>
    <phoneticPr fontId="3" type="noConversion"/>
  </si>
  <si>
    <t>廢棄物合法清運作業費(含合法運棄證明)</t>
    <phoneticPr fontId="3" type="noConversion"/>
  </si>
  <si>
    <t>保險費</t>
    <phoneticPr fontId="3" type="noConversion"/>
  </si>
  <si>
    <t>承攬廠商：惠晟工程顧問股份有限公司</t>
    <phoneticPr fontId="3" type="noConversion"/>
  </si>
  <si>
    <t>惠晟工程顧問
股份有限公司</t>
    <phoneticPr fontId="2" type="noConversion"/>
  </si>
  <si>
    <t>本日辦理2月份例行防汛自主檢查</t>
    <phoneticPr fontId="14" type="noConversion"/>
  </si>
  <si>
    <t>1.工程開工日。
2.本日外牆施工架進場。
3.本日甲種圍籬與工程告示牌進場。
4.施工架工程自主檢查(施工前，材料)、施工架工程自主檢查(施工中)。</t>
    <phoneticPr fontId="40" type="noConversion"/>
  </si>
  <si>
    <t>1.本日專任工程人員督察(甲種圍籬、工程告示牌及施工架材料)。
2.本日外牆施工架施工。
3.本日外牆磁磚空鼓檢測。</t>
    <phoneticPr fontId="40" type="noConversion"/>
  </si>
  <si>
    <t>1.本日外牆施工架施工。
2.施工架工程自主檢查(施工完成)。</t>
    <phoneticPr fontId="40" type="noConversion"/>
  </si>
  <si>
    <t>本日協同機關與監造針對泥作拌合沙進行取驗送驗(TAF認證之機構進行氯離子試驗)</t>
    <phoneticPr fontId="40" type="noConversion"/>
  </si>
  <si>
    <t>本日無施工</t>
    <phoneticPr fontId="40" type="noConversion"/>
  </si>
  <si>
    <t>1.本日切割打除窗台面層與外牆磁磚。
2.本日拆除4F(816教室)受朝天花板。</t>
    <phoneticPr fontId="40" type="noConversion"/>
  </si>
  <si>
    <t>1.本日切割打除窗台面層與外牆磁磚。</t>
    <phoneticPr fontId="40" type="noConversion"/>
  </si>
  <si>
    <t>本日下雨無出工</t>
    <phoneticPr fontId="40" type="noConversion"/>
  </si>
  <si>
    <t>外牆清洗工</t>
    <phoneticPr fontId="3" type="noConversion"/>
  </si>
  <si>
    <t>本日外牆磁磚與打石處高壓水槍清洗</t>
    <phoneticPr fontId="40" type="noConversion"/>
  </si>
  <si>
    <t>1.本日磁磚材料進場與自主檢查(材料)。
2.本日鋁窗包框尺寸丈量。</t>
    <phoneticPr fontId="40" type="noConversion"/>
  </si>
  <si>
    <t>本日窗台與外牆泥作吊線黏條子。</t>
    <phoneticPr fontId="40" type="noConversion"/>
  </si>
  <si>
    <t>1.本日窗台與外牆泥作粉刷。
2.本日拌合沙-氯離子檢測報告進行判讀。</t>
    <phoneticPr fontId="40" type="noConversion"/>
  </si>
  <si>
    <r>
      <t>1.本日切割打除窗台面層與外牆磁磚完成。
2.本日圬工材料進場。
3.</t>
    </r>
    <r>
      <rPr>
        <sz val="12"/>
        <color rgb="FFFF0000"/>
        <rFont val="新細明體"/>
        <family val="1"/>
        <charset val="136"/>
      </rPr>
      <t xml:space="preserve">本日監造單位現場查驗外牆切割打石。
</t>
    </r>
    <r>
      <rPr>
        <sz val="12"/>
        <rFont val="新細明體"/>
        <family val="1"/>
        <charset val="136"/>
      </rPr>
      <t>4.補登115.02.25外牆施工架數量。</t>
    </r>
    <phoneticPr fontId="40" type="noConversion"/>
  </si>
  <si>
    <t>1.本日窗台與外牆泥作粉刷。</t>
    <phoneticPr fontId="40" type="noConversion"/>
  </si>
  <si>
    <t>1.本日窗台與外牆泥作粉刷。
2.本日外牆泥作粉刷自主檢查(施工中)。
3.本日機關、監造與廠商針對室內低壓灌注位置施工前確認。</t>
    <phoneticPr fontId="40" type="noConversion"/>
  </si>
  <si>
    <t>1.本日窗台與外牆泥作粉刷。
2.本日外牆泥作粉刷自主檢查(施工完成)。
3.本日專任工程人員督察(泥作工程)。</t>
    <phoneticPr fontId="40" type="noConversion"/>
  </si>
  <si>
    <t>防水工</t>
    <phoneticPr fontId="3" type="noConversion"/>
  </si>
  <si>
    <t>1.本日外牆清潔，塗刷磁磚專用底漆，塗刷不變黃透明防水漆。
2.本日不變黃透明防水漆材料自主檢查(施工前)。</t>
    <phoneticPr fontId="40" type="noConversion"/>
  </si>
  <si>
    <t>1.本日窗台與外牆刷防水彈性水泥(1底2度)。
2.本日外牆清潔，塗刷磁磚專用底漆，塗刷不變黃透明防水漆。</t>
    <phoneticPr fontId="40" type="noConversion"/>
  </si>
  <si>
    <t>1.本日窗台與外牆刷防水彈性水泥(1底2度)。
2.本日外牆清潔，塗刷磁磚專用底漆，塗刷不變黃透明防水漆。
3.本日外牆刷防水彈性水泥材料自主檢查(施工前)。</t>
    <phoneticPr fontId="40" type="noConversion"/>
  </si>
  <si>
    <t>本日辦理3月份例行防汛自主檢查</t>
    <phoneticPr fontId="14" type="noConversion"/>
  </si>
  <si>
    <t>1.本日窗台與外牆刷防水彈性水泥(1底2度)。
2.本日外牆清潔，塗刷磁磚專用底漆，塗刷不變黃透明防水漆。
3.本日監造查驗外牆防水(不變黃透明防水漆與彈性水泥)。
4.本日機關室內油漆選色(虹牌-4092百合白)。</t>
    <phoneticPr fontId="40" type="noConversion"/>
  </si>
  <si>
    <t>1.本日窗台與外牆泥作吊線黏條子。
2.光中總字第1150001384號，允許展延工期2日。</t>
    <phoneticPr fontId="40" type="noConversion"/>
  </si>
  <si>
    <t>1.本日窗台與外牆刷防水彈性水泥自主檢查(施工後)。
2.本日外牆塗刷不變黃透明防水漆自主檢查(施工後)。
3.本日室內低壓灌注防水施工。
4.本日專任工程人員督導。</t>
    <phoneticPr fontId="40" type="noConversion"/>
  </si>
  <si>
    <t>1.本日室內低壓灌注防水施工。
2.本日外牆塑鋁板安裝。
3.本日外牆磁磚貼做。
4.本日專任工程人員督導。
5.本日監造查驗低壓灌注防水施工。</t>
    <phoneticPr fontId="40" type="noConversion"/>
  </si>
  <si>
    <t>1.本日室內低壓灌注防水施工。
2.本日外牆塑鋁板安裝。
3.本日專任工程人員督導。
4.本日塑鋁板自主檢查(材料檢查)。</t>
    <phoneticPr fontId="40" type="noConversion"/>
  </si>
  <si>
    <t>估驗進度</t>
    <phoneticPr fontId="2" type="noConversion"/>
  </si>
  <si>
    <t>1.本日室內低壓灌注防水施工。
2.本日外牆塑鋁板安裝。
3.本日外牆磁磚貼做。
4.本日塑鋁板與外牆磁磚貼作查驗(施工完成)。</t>
    <phoneticPr fontId="40" type="noConversion"/>
  </si>
  <si>
    <t>鋁窗工</t>
    <phoneticPr fontId="3" type="noConversion"/>
  </si>
  <si>
    <t>1.本日油漆與鋁窗材料自主檢查(施工前)。
2.本日鋁窗包框施工。
3.本日外牆磁磚貼做。</t>
    <phoneticPr fontId="40" type="noConversion"/>
  </si>
  <si>
    <t>1.本日室內油漆壁癌處理刷漆。
2.本日油漆自主檢查(施工前)。</t>
    <phoneticPr fontId="4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</si>
</sst>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76" formatCode="0.00_ "/>
    <numFmt numFmtId="177" formatCode="aaa"/>
    <numFmt numFmtId="178" formatCode="[$-404]&quot;填&quot;&quot;報&quot;&quot;日&quot;&quot;期&quot;\:e&quot;年&quot;m&quot;月&quot;d&quot;日&quot;;@"/>
    <numFmt numFmtId="179" formatCode="[$-404]\(aaaa\);@"/>
    <numFmt numFmtId="180" formatCode="0_);[Red]\(0\)"/>
    <numFmt numFmtId="181" formatCode="0.00_);[Red]\(0.00\)"/>
    <numFmt numFmtId="182" formatCode="[$-404]e/m/d;@"/>
    <numFmt numFmtId="183" formatCode="[$-404]e&quot;年&quot;m&quot;月&quot;d&quot;日&quot;;@"/>
    <numFmt numFmtId="184" formatCode="000"/>
    <numFmt numFmtId="185" formatCode="#,##0_);[Red]\(#,##0\)"/>
    <numFmt numFmtId="186" formatCode="#,###"/>
    <numFmt numFmtId="187" formatCode="&quot;原&quot;&quot;契&quot;&quot;約：&quot;#,###"/>
    <numFmt numFmtId="188" formatCode="m&quot;月&quot;d&quot;日&quot;"/>
    <numFmt numFmtId="189" formatCode="m/d;@"/>
    <numFmt numFmtId="190" formatCode="0.000_ "/>
  </numFmts>
  <fonts count="45">
    <font>
      <sz val="11"/>
      <color theme="1"/>
      <name val="新細明體"/>
      <family val="2"/>
      <scheme val="minor"/>
    </font>
    <font>
      <sz val="12"/>
      <color indexed="10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81"/>
      <name val="新細明體"/>
      <family val="1"/>
      <charset val="136"/>
    </font>
    <font>
      <sz val="10"/>
      <color indexed="81"/>
      <name val="新細明體"/>
      <family val="1"/>
      <charset val="136"/>
    </font>
    <font>
      <sz val="11"/>
      <color indexed="81"/>
      <name val="新細明體"/>
      <family val="1"/>
      <charset val="136"/>
    </font>
    <font>
      <sz val="8"/>
      <color indexed="10"/>
      <name val="標楷體"/>
      <family val="4"/>
      <charset val="136"/>
    </font>
    <font>
      <sz val="12"/>
      <name val="標楷體"/>
      <family val="4"/>
      <charset val="136"/>
    </font>
    <font>
      <sz val="14"/>
      <name val="標楷體"/>
      <family val="4"/>
      <charset val="136"/>
    </font>
    <font>
      <sz val="12"/>
      <name val="華康儷中宋"/>
      <family val="3"/>
      <charset val="136"/>
    </font>
    <font>
      <b/>
      <sz val="14"/>
      <name val="標楷體"/>
      <family val="4"/>
      <charset val="136"/>
    </font>
    <font>
      <sz val="9"/>
      <name val="細明體"/>
      <family val="3"/>
      <charset val="136"/>
    </font>
    <font>
      <sz val="10"/>
      <name val="標楷體"/>
      <family val="4"/>
      <charset val="136"/>
    </font>
    <font>
      <sz val="8"/>
      <name val="標楷體"/>
      <family val="4"/>
      <charset val="136"/>
    </font>
    <font>
      <sz val="9"/>
      <name val="標楷體"/>
      <family val="4"/>
      <charset val="136"/>
    </font>
    <font>
      <sz val="7.8"/>
      <name val="華康儷中宋"/>
      <family val="3"/>
      <charset val="136"/>
    </font>
    <font>
      <sz val="7.8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12"/>
      <color rgb="FF7030A0"/>
      <name val="新細明體"/>
      <family val="1"/>
      <charset val="136"/>
    </font>
    <font>
      <sz val="12"/>
      <color rgb="FFFF0000"/>
      <name val="新細明體"/>
      <family val="1"/>
      <charset val="136"/>
    </font>
    <font>
      <sz val="12"/>
      <color theme="5" tint="-0.499984740745262"/>
      <name val="新細明體"/>
      <family val="1"/>
      <charset val="136"/>
    </font>
    <font>
      <sz val="36"/>
      <name val="標楷體"/>
      <family val="4"/>
      <charset val="136"/>
    </font>
    <font>
      <sz val="16"/>
      <name val="標楷體"/>
      <family val="4"/>
      <charset val="136"/>
    </font>
    <font>
      <sz val="24"/>
      <name val="標楷體"/>
      <family val="4"/>
      <charset val="136"/>
    </font>
    <font>
      <sz val="26"/>
      <name val="標楷體"/>
      <family val="4"/>
      <charset val="136"/>
    </font>
    <font>
      <sz val="11"/>
      <color theme="1"/>
      <name val="標楷體"/>
      <family val="4"/>
      <charset val="136"/>
    </font>
    <font>
      <sz val="10"/>
      <color theme="1"/>
      <name val="標楷體"/>
      <family val="4"/>
      <charset val="136"/>
    </font>
    <font>
      <b/>
      <sz val="16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2"/>
      <color theme="8" tint="-0.499984740745262"/>
      <name val="新細明體"/>
      <family val="1"/>
      <charset val="136"/>
    </font>
    <font>
      <sz val="9"/>
      <color theme="1"/>
      <name val="標楷體"/>
      <family val="4"/>
      <charset val="136"/>
    </font>
    <font>
      <sz val="12"/>
      <color theme="1"/>
      <name val="新細明體"/>
      <family val="1"/>
      <charset val="136"/>
    </font>
    <font>
      <sz val="11"/>
      <color theme="1"/>
      <name val="新細明體"/>
      <family val="1"/>
      <charset val="136"/>
    </font>
    <font>
      <sz val="11"/>
      <color theme="5" tint="-0.499984740745262"/>
      <name val="新細明體"/>
      <family val="1"/>
      <charset val="136"/>
    </font>
    <font>
      <sz val="11"/>
      <color rgb="FFFF0000"/>
      <name val="新細明體"/>
      <family val="1"/>
      <charset val="136"/>
    </font>
    <font>
      <sz val="11"/>
      <color rgb="FF7030A0"/>
      <name val="新細明體"/>
      <family val="1"/>
      <charset val="136"/>
    </font>
    <font>
      <sz val="11"/>
      <color rgb="FF000000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</font>
    <font>
      <b/>
      <sz val="50"/>
      <color rgb="FFFF0000"/>
      <name val="新細明體"/>
      <family val="1"/>
      <charset val="136"/>
    </font>
    <font>
      <b/>
      <sz val="11"/>
      <color rgb="FFFF0000"/>
      <name val="新細明體"/>
      <family val="1"/>
      <charset val="136"/>
    </font>
    <font>
      <sz val="11"/>
      <color theme="1"/>
      <name val="Microsoft JhengHei"/>
      <family val="2"/>
      <charset val="136"/>
    </font>
  </fonts>
  <fills count="1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20" fillId="0" borderId="0" applyFont="0" applyFill="0" applyBorder="0" applyAlignment="0" applyProtection="0">
      <alignment vertical="center"/>
    </xf>
    <xf numFmtId="0" fontId="41" fillId="0" borderId="0">
      <alignment vertical="center"/>
    </xf>
  </cellStyleXfs>
  <cellXfs count="340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/>
    <xf numFmtId="43" fontId="1" fillId="0" borderId="0" xfId="1" applyFont="1" applyFill="1" applyBorder="1" applyAlignment="1">
      <alignment vertical="center"/>
    </xf>
    <xf numFmtId="0" fontId="1" fillId="5" borderId="0" xfId="0" applyFont="1" applyFill="1" applyAlignment="1">
      <alignment vertical="center"/>
    </xf>
    <xf numFmtId="0" fontId="4" fillId="6" borderId="0" xfId="0" applyFont="1" applyFill="1"/>
    <xf numFmtId="43" fontId="4" fillId="6" borderId="0" xfId="1" applyFont="1" applyFill="1" applyBorder="1" applyAlignment="1">
      <alignment vertical="center"/>
    </xf>
    <xf numFmtId="0" fontId="1" fillId="6" borderId="0" xfId="0" applyFont="1" applyFill="1"/>
    <xf numFmtId="0" fontId="4" fillId="6" borderId="0" xfId="0" applyFont="1" applyFill="1" applyAlignment="1">
      <alignment vertical="center"/>
    </xf>
    <xf numFmtId="0" fontId="4" fillId="7" borderId="1" xfId="0" applyFont="1" applyFill="1" applyBorder="1" applyAlignment="1">
      <alignment wrapText="1"/>
    </xf>
    <xf numFmtId="0" fontId="4" fillId="7" borderId="1" xfId="0" applyFont="1" applyFill="1" applyBorder="1" applyAlignment="1">
      <alignment horizontal="center" vertical="center"/>
    </xf>
    <xf numFmtId="43" fontId="4" fillId="7" borderId="1" xfId="1" applyFont="1" applyFill="1" applyBorder="1" applyAlignment="1">
      <alignment vertical="center"/>
    </xf>
    <xf numFmtId="0" fontId="4" fillId="7" borderId="1" xfId="0" applyFont="1" applyFill="1" applyBorder="1" applyAlignment="1">
      <alignment vertical="center" wrapText="1"/>
    </xf>
    <xf numFmtId="0" fontId="4" fillId="7" borderId="0" xfId="0" applyFont="1" applyFill="1" applyAlignment="1">
      <alignment horizontal="center" vertical="center"/>
    </xf>
    <xf numFmtId="43" fontId="4" fillId="7" borderId="0" xfId="1" applyFont="1" applyFill="1" applyBorder="1" applyAlignment="1">
      <alignment vertical="center"/>
    </xf>
    <xf numFmtId="0" fontId="4" fillId="7" borderId="0" xfId="0" applyFont="1" applyFill="1"/>
    <xf numFmtId="0" fontId="9" fillId="0" borderId="0" xfId="0" applyFont="1" applyAlignment="1">
      <alignment horizontal="left"/>
    </xf>
    <xf numFmtId="0" fontId="10" fillId="0" borderId="0" xfId="0" applyFont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12" fillId="0" borderId="0" xfId="0" applyFont="1"/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58" fontId="15" fillId="0" borderId="0" xfId="0" applyNumberFormat="1" applyFont="1" applyAlignment="1">
      <alignment horizontal="left" shrinkToFit="1"/>
    </xf>
    <xf numFmtId="14" fontId="12" fillId="0" borderId="0" xfId="0" applyNumberFormat="1" applyFont="1"/>
    <xf numFmtId="0" fontId="15" fillId="0" borderId="2" xfId="0" applyFont="1" applyBorder="1" applyAlignment="1">
      <alignment horizontal="right"/>
    </xf>
    <xf numFmtId="179" fontId="15" fillId="0" borderId="0" xfId="0" applyNumberFormat="1" applyFont="1" applyAlignment="1">
      <alignment horizontal="left" shrinkToFit="1"/>
    </xf>
    <xf numFmtId="0" fontId="15" fillId="0" borderId="3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5" fillId="0" borderId="7" xfId="0" applyFont="1" applyBorder="1" applyAlignment="1">
      <alignment horizontal="center" vertical="center"/>
    </xf>
    <xf numFmtId="58" fontId="16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0" fillId="0" borderId="12" xfId="0" applyFont="1" applyBorder="1"/>
    <xf numFmtId="0" fontId="10" fillId="0" borderId="10" xfId="0" applyFont="1" applyBorder="1"/>
    <xf numFmtId="0" fontId="12" fillId="6" borderId="0" xfId="0" applyFont="1" applyFill="1"/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21" fillId="0" borderId="0" xfId="0" applyFont="1"/>
    <xf numFmtId="0" fontId="15" fillId="0" borderId="1" xfId="0" applyFont="1" applyBorder="1" applyAlignment="1">
      <alignment horizontal="center" vertical="center" shrinkToFit="1"/>
    </xf>
    <xf numFmtId="0" fontId="15" fillId="0" borderId="9" xfId="0" applyFont="1" applyBorder="1" applyAlignment="1">
      <alignment horizontal="center" vertical="center"/>
    </xf>
    <xf numFmtId="0" fontId="10" fillId="0" borderId="9" xfId="0" applyFont="1" applyBorder="1" applyAlignment="1">
      <alignment horizontal="right" vertical="center"/>
    </xf>
    <xf numFmtId="0" fontId="22" fillId="0" borderId="0" xfId="0" applyFont="1"/>
    <xf numFmtId="0" fontId="15" fillId="0" borderId="1" xfId="0" applyFont="1" applyBorder="1" applyAlignment="1">
      <alignment vertical="center" shrinkToFit="1"/>
    </xf>
    <xf numFmtId="0" fontId="15" fillId="0" borderId="21" xfId="0" applyFont="1" applyBorder="1" applyAlignment="1">
      <alignment horizontal="center" vertical="center" justifyLastLine="1"/>
    </xf>
    <xf numFmtId="0" fontId="15" fillId="0" borderId="21" xfId="0" applyFont="1" applyBorder="1" applyAlignment="1">
      <alignment vertical="center" justifyLastLine="1"/>
    </xf>
    <xf numFmtId="0" fontId="5" fillId="3" borderId="0" xfId="0" applyFont="1" applyFill="1" applyAlignment="1">
      <alignment vertical="center"/>
    </xf>
    <xf numFmtId="0" fontId="23" fillId="0" borderId="0" xfId="0" applyFont="1"/>
    <xf numFmtId="0" fontId="23" fillId="6" borderId="0" xfId="0" applyFont="1" applyFill="1"/>
    <xf numFmtId="49" fontId="1" fillId="0" borderId="0" xfId="0" applyNumberFormat="1" applyFont="1" applyAlignment="1">
      <alignment vertical="center"/>
    </xf>
    <xf numFmtId="0" fontId="24" fillId="0" borderId="0" xfId="0" applyFont="1"/>
    <xf numFmtId="182" fontId="26" fillId="0" borderId="0" xfId="0" applyNumberFormat="1" applyFont="1" applyAlignment="1">
      <alignment horizontal="left"/>
    </xf>
    <xf numFmtId="0" fontId="26" fillId="0" borderId="0" xfId="0" applyFont="1" applyAlignment="1">
      <alignment horizontal="center"/>
    </xf>
    <xf numFmtId="182" fontId="26" fillId="0" borderId="0" xfId="0" applyNumberFormat="1" applyFont="1" applyAlignment="1">
      <alignment horizontal="right"/>
    </xf>
    <xf numFmtId="0" fontId="24" fillId="0" borderId="0" xfId="0" applyFont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29" fillId="0" borderId="0" xfId="0" applyFont="1"/>
    <xf numFmtId="0" fontId="29" fillId="0" borderId="0" xfId="0" applyFont="1" applyAlignment="1">
      <alignment horizontal="left"/>
    </xf>
    <xf numFmtId="0" fontId="29" fillId="0" borderId="0" xfId="0" applyFont="1" applyAlignment="1">
      <alignment horizontal="right"/>
    </xf>
    <xf numFmtId="0" fontId="28" fillId="0" borderId="0" xfId="0" applyFont="1" applyAlignment="1">
      <alignment vertical="center"/>
    </xf>
    <xf numFmtId="0" fontId="29" fillId="0" borderId="9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183" fontId="29" fillId="0" borderId="1" xfId="0" applyNumberFormat="1" applyFont="1" applyBorder="1"/>
    <xf numFmtId="183" fontId="29" fillId="0" borderId="42" xfId="0" applyNumberFormat="1" applyFont="1" applyBorder="1"/>
    <xf numFmtId="183" fontId="29" fillId="0" borderId="37" xfId="0" applyNumberFormat="1" applyFont="1" applyBorder="1"/>
    <xf numFmtId="183" fontId="29" fillId="0" borderId="1" xfId="0" applyNumberFormat="1" applyFont="1" applyBorder="1" applyAlignment="1">
      <alignment horizontal="center" vertical="center"/>
    </xf>
    <xf numFmtId="0" fontId="32" fillId="0" borderId="25" xfId="0" applyFont="1" applyBorder="1" applyAlignment="1">
      <alignment vertical="center"/>
    </xf>
    <xf numFmtId="0" fontId="28" fillId="0" borderId="0" xfId="0" applyFont="1" applyAlignment="1">
      <alignment horizontal="right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183" fontId="33" fillId="0" borderId="1" xfId="0" applyNumberFormat="1" applyFont="1" applyBorder="1" applyAlignment="1">
      <alignment horizontal="center" vertical="center"/>
    </xf>
    <xf numFmtId="0" fontId="34" fillId="0" borderId="0" xfId="0" applyFont="1"/>
    <xf numFmtId="0" fontId="34" fillId="0" borderId="0" xfId="0" applyFont="1" applyAlignment="1">
      <alignment vertical="center"/>
    </xf>
    <xf numFmtId="43" fontId="34" fillId="0" borderId="0" xfId="1" applyFont="1" applyBorder="1" applyAlignment="1">
      <alignment vertical="center"/>
    </xf>
    <xf numFmtId="176" fontId="34" fillId="4" borderId="0" xfId="0" applyNumberFormat="1" applyFont="1" applyFill="1" applyAlignment="1">
      <alignment vertical="center"/>
    </xf>
    <xf numFmtId="2" fontId="4" fillId="0" borderId="0" xfId="0" applyNumberFormat="1" applyFont="1"/>
    <xf numFmtId="0" fontId="4" fillId="0" borderId="0" xfId="0" applyFont="1"/>
    <xf numFmtId="2" fontId="34" fillId="0" borderId="0" xfId="0" applyNumberFormat="1" applyFont="1"/>
    <xf numFmtId="57" fontId="34" fillId="6" borderId="0" xfId="0" applyNumberFormat="1" applyFont="1" applyFill="1" applyAlignment="1">
      <alignment vertical="center"/>
    </xf>
    <xf numFmtId="57" fontId="34" fillId="0" borderId="0" xfId="0" applyNumberFormat="1" applyFont="1"/>
    <xf numFmtId="57" fontId="34" fillId="0" borderId="0" xfId="0" applyNumberFormat="1" applyFont="1" applyAlignment="1">
      <alignment vertical="center"/>
    </xf>
    <xf numFmtId="43" fontId="34" fillId="0" borderId="0" xfId="1" applyFont="1" applyFill="1" applyBorder="1" applyAlignment="1">
      <alignment vertical="center"/>
    </xf>
    <xf numFmtId="43" fontId="34" fillId="6" borderId="0" xfId="1" applyFont="1" applyFill="1" applyBorder="1" applyAlignment="1">
      <alignment vertical="center"/>
    </xf>
    <xf numFmtId="57" fontId="34" fillId="6" borderId="0" xfId="0" applyNumberFormat="1" applyFont="1" applyFill="1"/>
    <xf numFmtId="57" fontId="23" fillId="6" borderId="0" xfId="0" applyNumberFormat="1" applyFont="1" applyFill="1"/>
    <xf numFmtId="57" fontId="34" fillId="4" borderId="0" xfId="0" applyNumberFormat="1" applyFont="1" applyFill="1" applyAlignment="1">
      <alignment vertical="center"/>
    </xf>
    <xf numFmtId="177" fontId="35" fillId="6" borderId="0" xfId="0" applyNumberFormat="1" applyFont="1" applyFill="1" applyAlignment="1">
      <alignment vertical="center"/>
    </xf>
    <xf numFmtId="177" fontId="35" fillId="0" borderId="0" xfId="0" applyNumberFormat="1" applyFont="1"/>
    <xf numFmtId="177" fontId="35" fillId="0" borderId="0" xfId="0" applyNumberFormat="1" applyFont="1" applyAlignment="1">
      <alignment vertical="center"/>
    </xf>
    <xf numFmtId="177" fontId="35" fillId="6" borderId="0" xfId="0" applyNumberFormat="1" applyFont="1" applyFill="1"/>
    <xf numFmtId="177" fontId="36" fillId="6" borderId="0" xfId="0" applyNumberFormat="1" applyFont="1" applyFill="1"/>
    <xf numFmtId="177" fontId="34" fillId="6" borderId="0" xfId="0" applyNumberFormat="1" applyFont="1" applyFill="1"/>
    <xf numFmtId="177" fontId="4" fillId="6" borderId="0" xfId="0" applyNumberFormat="1" applyFont="1" applyFill="1"/>
    <xf numFmtId="0" fontId="35" fillId="0" borderId="0" xfId="0" applyFont="1"/>
    <xf numFmtId="0" fontId="34" fillId="0" borderId="25" xfId="0" applyFont="1" applyBorder="1" applyAlignment="1">
      <alignment vertical="center"/>
    </xf>
    <xf numFmtId="0" fontId="34" fillId="0" borderId="25" xfId="0" applyFont="1" applyBorder="1" applyAlignment="1">
      <alignment horizontal="center" vertical="center"/>
    </xf>
    <xf numFmtId="43" fontId="34" fillId="0" borderId="25" xfId="1" applyFont="1" applyBorder="1" applyAlignment="1">
      <alignment horizontal="center" vertical="center"/>
    </xf>
    <xf numFmtId="0" fontId="34" fillId="0" borderId="25" xfId="0" applyFont="1" applyBorder="1" applyAlignment="1">
      <alignment horizontal="center" vertical="center" wrapText="1"/>
    </xf>
    <xf numFmtId="0" fontId="23" fillId="0" borderId="25" xfId="0" applyFont="1" applyBorder="1" applyAlignment="1">
      <alignment horizontal="center" vertical="center"/>
    </xf>
    <xf numFmtId="0" fontId="35" fillId="0" borderId="25" xfId="0" applyFont="1" applyBorder="1"/>
    <xf numFmtId="0" fontId="37" fillId="0" borderId="25" xfId="0" applyFont="1" applyBorder="1"/>
    <xf numFmtId="0" fontId="38" fillId="0" borderId="25" xfId="0" applyFont="1" applyBorder="1"/>
    <xf numFmtId="176" fontId="34" fillId="0" borderId="0" xfId="0" applyNumberFormat="1" applyFont="1" applyAlignment="1">
      <alignment vertical="center"/>
    </xf>
    <xf numFmtId="176" fontId="23" fillId="0" borderId="0" xfId="0" applyNumberFormat="1" applyFont="1" applyAlignment="1">
      <alignment vertical="center"/>
    </xf>
    <xf numFmtId="0" fontId="34" fillId="8" borderId="0" xfId="0" applyFont="1" applyFill="1" applyAlignment="1">
      <alignment vertical="center"/>
    </xf>
    <xf numFmtId="0" fontId="37" fillId="0" borderId="0" xfId="0" applyFont="1"/>
    <xf numFmtId="176" fontId="34" fillId="0" borderId="25" xfId="0" applyNumberFormat="1" applyFont="1" applyBorder="1" applyAlignment="1">
      <alignment vertical="center"/>
    </xf>
    <xf numFmtId="176" fontId="23" fillId="0" borderId="25" xfId="0" applyNumberFormat="1" applyFont="1" applyBorder="1" applyAlignment="1">
      <alignment vertical="center"/>
    </xf>
    <xf numFmtId="176" fontId="35" fillId="0" borderId="0" xfId="0" applyNumberFormat="1" applyFont="1"/>
    <xf numFmtId="0" fontId="36" fillId="0" borderId="0" xfId="0" applyFont="1"/>
    <xf numFmtId="0" fontId="34" fillId="6" borderId="0" xfId="0" applyFont="1" applyFill="1" applyAlignment="1">
      <alignment vertical="center"/>
    </xf>
    <xf numFmtId="0" fontId="34" fillId="6" borderId="0" xfId="0" applyFont="1" applyFill="1"/>
    <xf numFmtId="0" fontId="34" fillId="4" borderId="0" xfId="0" applyFont="1" applyFill="1" applyAlignment="1">
      <alignment vertical="center"/>
    </xf>
    <xf numFmtId="0" fontId="32" fillId="0" borderId="0" xfId="0" applyFont="1" applyAlignment="1">
      <alignment wrapText="1"/>
    </xf>
    <xf numFmtId="0" fontId="34" fillId="0" borderId="0" xfId="0" applyFont="1" applyAlignment="1">
      <alignment horizontal="center" vertical="center"/>
    </xf>
    <xf numFmtId="43" fontId="34" fillId="0" borderId="0" xfId="1" applyFont="1" applyBorder="1" applyAlignment="1">
      <alignment horizontal="center" vertical="center"/>
    </xf>
    <xf numFmtId="43" fontId="34" fillId="0" borderId="0" xfId="1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34" fillId="9" borderId="0" xfId="0" applyFont="1" applyFill="1" applyAlignment="1">
      <alignment horizontal="left"/>
    </xf>
    <xf numFmtId="0" fontId="34" fillId="9" borderId="0" xfId="0" applyFont="1" applyFill="1" applyAlignment="1">
      <alignment horizontal="center" vertical="center"/>
    </xf>
    <xf numFmtId="43" fontId="34" fillId="9" borderId="0" xfId="1" applyFont="1" applyFill="1" applyBorder="1" applyAlignment="1">
      <alignment vertical="center"/>
    </xf>
    <xf numFmtId="0" fontId="34" fillId="9" borderId="0" xfId="0" applyFont="1" applyFill="1"/>
    <xf numFmtId="0" fontId="34" fillId="9" borderId="25" xfId="0" applyFont="1" applyFill="1" applyBorder="1"/>
    <xf numFmtId="0" fontId="34" fillId="9" borderId="25" xfId="0" applyFont="1" applyFill="1" applyBorder="1" applyAlignment="1">
      <alignment horizontal="center" vertical="center"/>
    </xf>
    <xf numFmtId="43" fontId="34" fillId="9" borderId="25" xfId="1" applyFont="1" applyFill="1" applyBorder="1" applyAlignment="1">
      <alignment vertical="center"/>
    </xf>
    <xf numFmtId="43" fontId="34" fillId="0" borderId="25" xfId="1" applyFont="1" applyFill="1" applyBorder="1" applyAlignment="1">
      <alignment vertical="center"/>
    </xf>
    <xf numFmtId="0" fontId="34" fillId="0" borderId="25" xfId="0" applyFont="1" applyBorder="1"/>
    <xf numFmtId="0" fontId="32" fillId="0" borderId="25" xfId="0" applyFont="1" applyBorder="1" applyAlignment="1">
      <alignment wrapText="1"/>
    </xf>
    <xf numFmtId="0" fontId="34" fillId="10" borderId="16" xfId="0" applyFont="1" applyFill="1" applyBorder="1"/>
    <xf numFmtId="0" fontId="34" fillId="10" borderId="1" xfId="0" applyFont="1" applyFill="1" applyBorder="1"/>
    <xf numFmtId="0" fontId="34" fillId="11" borderId="1" xfId="0" applyFont="1" applyFill="1" applyBorder="1"/>
    <xf numFmtId="0" fontId="34" fillId="0" borderId="0" xfId="0" applyFont="1" applyAlignment="1">
      <alignment wrapText="1"/>
    </xf>
    <xf numFmtId="0" fontId="4" fillId="0" borderId="0" xfId="0" applyFont="1" applyAlignment="1">
      <alignment wrapText="1"/>
    </xf>
    <xf numFmtId="43" fontId="34" fillId="0" borderId="0" xfId="1" applyFont="1" applyBorder="1" applyAlignment="1">
      <alignment vertical="center" wrapText="1"/>
    </xf>
    <xf numFmtId="0" fontId="23" fillId="0" borderId="0" xfId="0" applyFont="1" applyAlignment="1">
      <alignment wrapText="1"/>
    </xf>
    <xf numFmtId="0" fontId="34" fillId="0" borderId="0" xfId="0" applyFont="1" applyAlignment="1">
      <alignment vertical="center" wrapText="1"/>
    </xf>
    <xf numFmtId="43" fontId="4" fillId="0" borderId="0" xfId="1" applyFont="1" applyFill="1" applyBorder="1" applyAlignment="1">
      <alignment vertical="center" wrapText="1"/>
    </xf>
    <xf numFmtId="57" fontId="34" fillId="12" borderId="0" xfId="0" applyNumberFormat="1" applyFont="1" applyFill="1"/>
    <xf numFmtId="0" fontId="34" fillId="12" borderId="0" xfId="0" applyFont="1" applyFill="1"/>
    <xf numFmtId="177" fontId="34" fillId="12" borderId="0" xfId="0" applyNumberFormat="1" applyFont="1" applyFill="1"/>
    <xf numFmtId="0" fontId="34" fillId="13" borderId="0" xfId="0" applyFont="1" applyFill="1"/>
    <xf numFmtId="0" fontId="34" fillId="13" borderId="25" xfId="0" applyFont="1" applyFill="1" applyBorder="1"/>
    <xf numFmtId="0" fontId="34" fillId="14" borderId="0" xfId="0" applyFont="1" applyFill="1"/>
    <xf numFmtId="0" fontId="34" fillId="14" borderId="25" xfId="0" applyFont="1" applyFill="1" applyBorder="1"/>
    <xf numFmtId="0" fontId="22" fillId="13" borderId="0" xfId="0" applyFont="1" applyFill="1"/>
    <xf numFmtId="0" fontId="32" fillId="0" borderId="0" xfId="0" applyFont="1" applyAlignment="1">
      <alignment vertical="center" wrapText="1"/>
    </xf>
    <xf numFmtId="43" fontId="34" fillId="0" borderId="25" xfId="1" applyFont="1" applyFill="1" applyBorder="1" applyAlignment="1">
      <alignment horizontal="center" vertical="center"/>
    </xf>
    <xf numFmtId="177" fontId="34" fillId="6" borderId="25" xfId="0" applyNumberFormat="1" applyFont="1" applyFill="1" applyBorder="1"/>
    <xf numFmtId="176" fontId="34" fillId="4" borderId="25" xfId="0" applyNumberFormat="1" applyFont="1" applyFill="1" applyBorder="1" applyAlignment="1">
      <alignment vertical="center"/>
    </xf>
    <xf numFmtId="185" fontId="1" fillId="0" borderId="0" xfId="0" applyNumberFormat="1" applyFont="1" applyAlignment="1">
      <alignment vertical="center"/>
    </xf>
    <xf numFmtId="186" fontId="0" fillId="0" borderId="0" xfId="0" applyNumberFormat="1"/>
    <xf numFmtId="0" fontId="34" fillId="0" borderId="0" xfId="0" applyFont="1" applyAlignment="1">
      <alignment horizontal="right"/>
    </xf>
    <xf numFmtId="0" fontId="34" fillId="2" borderId="0" xfId="0" applyFont="1" applyFill="1"/>
    <xf numFmtId="0" fontId="34" fillId="0" borderId="25" xfId="0" applyFont="1" applyBorder="1" applyAlignment="1">
      <alignment vertical="center" wrapText="1"/>
    </xf>
    <xf numFmtId="0" fontId="34" fillId="0" borderId="0" xfId="0" applyFont="1" applyAlignment="1">
      <alignment vertical="center" shrinkToFit="1"/>
    </xf>
    <xf numFmtId="0" fontId="34" fillId="0" borderId="25" xfId="0" applyFont="1" applyBorder="1" applyAlignment="1">
      <alignment vertical="center" shrinkToFit="1"/>
    </xf>
    <xf numFmtId="0" fontId="34" fillId="0" borderId="25" xfId="0" applyFont="1" applyBorder="1" applyAlignment="1">
      <alignment wrapText="1"/>
    </xf>
    <xf numFmtId="0" fontId="4" fillId="0" borderId="25" xfId="0" applyFont="1" applyBorder="1" applyAlignment="1">
      <alignment wrapText="1"/>
    </xf>
    <xf numFmtId="0" fontId="23" fillId="0" borderId="25" xfId="0" applyFont="1" applyBorder="1" applyAlignment="1">
      <alignment wrapText="1"/>
    </xf>
    <xf numFmtId="0" fontId="29" fillId="0" borderId="8" xfId="0" applyFont="1" applyBorder="1" applyAlignment="1">
      <alignment vertical="center"/>
    </xf>
    <xf numFmtId="0" fontId="29" fillId="0" borderId="8" xfId="0" applyFont="1" applyBorder="1" applyAlignment="1">
      <alignment horizontal="right" vertical="center"/>
    </xf>
    <xf numFmtId="0" fontId="4" fillId="7" borderId="13" xfId="0" applyFont="1" applyFill="1" applyBorder="1" applyAlignment="1">
      <alignment vertical="center" wrapText="1"/>
    </xf>
    <xf numFmtId="0" fontId="4" fillId="7" borderId="13" xfId="0" applyFont="1" applyFill="1" applyBorder="1" applyAlignment="1">
      <alignment horizontal="center" vertical="center"/>
    </xf>
    <xf numFmtId="43" fontId="4" fillId="7" borderId="13" xfId="1" applyFont="1" applyFill="1" applyBorder="1" applyAlignment="1">
      <alignment vertical="center"/>
    </xf>
    <xf numFmtId="43" fontId="17" fillId="0" borderId="8" xfId="3" applyFont="1" applyBorder="1" applyAlignment="1">
      <alignment horizontal="center" vertical="center" shrinkToFit="1"/>
    </xf>
    <xf numFmtId="43" fontId="17" fillId="0" borderId="1" xfId="3" applyFont="1" applyBorder="1" applyAlignment="1">
      <alignment vertical="center" shrinkToFit="1"/>
    </xf>
    <xf numFmtId="0" fontId="44" fillId="0" borderId="0" xfId="0" applyFont="1"/>
    <xf numFmtId="188" fontId="0" fillId="0" borderId="0" xfId="0" applyNumberFormat="1"/>
    <xf numFmtId="189" fontId="0" fillId="0" borderId="0" xfId="0" applyNumberFormat="1"/>
    <xf numFmtId="190" fontId="0" fillId="0" borderId="0" xfId="0" applyNumberFormat="1"/>
    <xf numFmtId="0" fontId="4" fillId="15" borderId="0" xfId="0" applyFont="1" applyFill="1" applyAlignment="1">
      <alignment wrapText="1"/>
    </xf>
    <xf numFmtId="0" fontId="4" fillId="16" borderId="25" xfId="0" applyFont="1" applyFill="1" applyBorder="1" applyAlignment="1">
      <alignment wrapText="1"/>
    </xf>
    <xf numFmtId="0" fontId="42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25" fillId="0" borderId="0" xfId="0" applyFont="1" applyAlignment="1">
      <alignment horizontal="center" vertical="center"/>
    </xf>
    <xf numFmtId="49" fontId="27" fillId="0" borderId="0" xfId="0" applyNumberFormat="1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9" fillId="0" borderId="45" xfId="0" applyFont="1" applyBorder="1" applyAlignment="1">
      <alignment horizontal="center" vertical="center"/>
    </xf>
    <xf numFmtId="0" fontId="29" fillId="0" borderId="46" xfId="0" applyFont="1" applyBorder="1" applyAlignment="1">
      <alignment horizontal="center" vertical="center"/>
    </xf>
    <xf numFmtId="49" fontId="29" fillId="0" borderId="4" xfId="0" applyNumberFormat="1" applyFont="1" applyBorder="1" applyAlignment="1">
      <alignment horizontal="left" vertical="center" wrapText="1"/>
    </xf>
    <xf numFmtId="0" fontId="29" fillId="0" borderId="5" xfId="0" applyFont="1" applyBorder="1" applyAlignment="1">
      <alignment horizontal="left" vertical="center" wrapText="1"/>
    </xf>
    <xf numFmtId="0" fontId="29" fillId="0" borderId="46" xfId="0" applyFont="1" applyBorder="1" applyAlignment="1">
      <alignment horizontal="left" vertical="center" wrapText="1"/>
    </xf>
    <xf numFmtId="0" fontId="29" fillId="0" borderId="44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0" fontId="29" fillId="0" borderId="6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/>
    </xf>
    <xf numFmtId="184" fontId="29" fillId="0" borderId="0" xfId="0" applyNumberFormat="1" applyFont="1" applyAlignment="1">
      <alignment horizontal="left"/>
    </xf>
    <xf numFmtId="0" fontId="29" fillId="0" borderId="0" xfId="0" applyFont="1" applyAlignment="1">
      <alignment horizontal="right"/>
    </xf>
    <xf numFmtId="0" fontId="29" fillId="0" borderId="0" xfId="0" applyFont="1" applyAlignment="1">
      <alignment horizontal="center"/>
    </xf>
    <xf numFmtId="0" fontId="29" fillId="0" borderId="2" xfId="0" applyFont="1" applyBorder="1" applyAlignment="1">
      <alignment horizontal="right"/>
    </xf>
    <xf numFmtId="183" fontId="29" fillId="0" borderId="2" xfId="0" applyNumberFormat="1" applyFont="1" applyBorder="1" applyAlignment="1">
      <alignment horizontal="center"/>
    </xf>
    <xf numFmtId="179" fontId="15" fillId="0" borderId="0" xfId="0" applyNumberFormat="1" applyFont="1" applyAlignment="1">
      <alignment horizontal="center"/>
    </xf>
    <xf numFmtId="0" fontId="29" fillId="0" borderId="7" xfId="0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0" fontId="29" fillId="0" borderId="21" xfId="0" applyFont="1" applyBorder="1" applyAlignment="1">
      <alignment horizontal="left" vertical="center"/>
    </xf>
    <xf numFmtId="183" fontId="29" fillId="0" borderId="8" xfId="0" applyNumberFormat="1" applyFont="1" applyBorder="1" applyAlignment="1">
      <alignment horizontal="center" vertical="center" wrapText="1"/>
    </xf>
    <xf numFmtId="183" fontId="29" fillId="0" borderId="9" xfId="0" applyNumberFormat="1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9" xfId="0" applyFont="1" applyBorder="1" applyAlignment="1">
      <alignment horizontal="center" vertical="center" wrapText="1"/>
    </xf>
    <xf numFmtId="0" fontId="29" fillId="0" borderId="21" xfId="0" applyFont="1" applyBorder="1" applyAlignment="1">
      <alignment horizontal="center" vertical="center"/>
    </xf>
    <xf numFmtId="183" fontId="29" fillId="0" borderId="1" xfId="0" applyNumberFormat="1" applyFont="1" applyBorder="1" applyAlignment="1">
      <alignment horizontal="center" vertical="center"/>
    </xf>
    <xf numFmtId="2" fontId="29" fillId="0" borderId="1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0" fontId="33" fillId="0" borderId="11" xfId="0" applyFont="1" applyBorder="1" applyAlignment="1">
      <alignment horizontal="left" vertical="center" wrapText="1"/>
    </xf>
    <xf numFmtId="0" fontId="33" fillId="0" borderId="12" xfId="0" applyFont="1" applyBorder="1" applyAlignment="1">
      <alignment horizontal="left" vertical="center" wrapText="1"/>
    </xf>
    <xf numFmtId="0" fontId="33" fillId="0" borderId="9" xfId="0" applyFont="1" applyBorder="1" applyAlignment="1">
      <alignment horizontal="left" vertical="center" wrapText="1"/>
    </xf>
    <xf numFmtId="181" fontId="33" fillId="0" borderId="8" xfId="0" applyNumberFormat="1" applyFont="1" applyBorder="1" applyAlignment="1">
      <alignment horizontal="right" vertical="center"/>
    </xf>
    <xf numFmtId="181" fontId="33" fillId="0" borderId="9" xfId="0" applyNumberFormat="1" applyFont="1" applyBorder="1" applyAlignment="1">
      <alignment horizontal="right" vertical="center"/>
    </xf>
    <xf numFmtId="181" fontId="33" fillId="0" borderId="12" xfId="0" applyNumberFormat="1" applyFont="1" applyBorder="1" applyAlignment="1">
      <alignment horizontal="right" vertical="center"/>
    </xf>
    <xf numFmtId="0" fontId="29" fillId="0" borderId="1" xfId="0" applyFont="1" applyBorder="1" applyAlignment="1">
      <alignment horizontal="center"/>
    </xf>
    <xf numFmtId="0" fontId="29" fillId="0" borderId="21" xfId="0" applyFont="1" applyBorder="1" applyAlignment="1">
      <alignment horizontal="center"/>
    </xf>
    <xf numFmtId="0" fontId="29" fillId="0" borderId="43" xfId="0" applyFont="1" applyBorder="1" applyAlignment="1">
      <alignment horizontal="left" vertical="center"/>
    </xf>
    <xf numFmtId="0" fontId="29" fillId="0" borderId="42" xfId="0" applyFont="1" applyBorder="1" applyAlignment="1">
      <alignment horizontal="left" vertical="center"/>
    </xf>
    <xf numFmtId="183" fontId="29" fillId="0" borderId="42" xfId="0" applyNumberFormat="1" applyFont="1" applyBorder="1" applyAlignment="1">
      <alignment horizontal="center"/>
    </xf>
    <xf numFmtId="0" fontId="29" fillId="0" borderId="42" xfId="0" applyFont="1" applyBorder="1" applyAlignment="1">
      <alignment horizontal="center"/>
    </xf>
    <xf numFmtId="0" fontId="29" fillId="0" borderId="41" xfId="0" applyFont="1" applyBorder="1" applyAlignment="1">
      <alignment horizontal="center"/>
    </xf>
    <xf numFmtId="0" fontId="29" fillId="0" borderId="33" xfId="0" applyFont="1" applyBorder="1" applyAlignment="1">
      <alignment horizontal="left" vertical="center"/>
    </xf>
    <xf numFmtId="0" fontId="29" fillId="0" borderId="16" xfId="0" applyFont="1" applyBorder="1" applyAlignment="1">
      <alignment horizontal="left" vertical="center"/>
    </xf>
    <xf numFmtId="0" fontId="29" fillId="0" borderId="32" xfId="0" applyFont="1" applyBorder="1" applyAlignment="1">
      <alignment horizontal="left" vertical="center"/>
    </xf>
    <xf numFmtId="0" fontId="31" fillId="0" borderId="40" xfId="0" applyFont="1" applyBorder="1" applyAlignment="1">
      <alignment horizontal="left"/>
    </xf>
    <xf numFmtId="0" fontId="31" fillId="0" borderId="1" xfId="0" applyFont="1" applyBorder="1" applyAlignment="1">
      <alignment horizontal="left"/>
    </xf>
    <xf numFmtId="183" fontId="29" fillId="0" borderId="1" xfId="0" applyNumberFormat="1" applyFont="1" applyBorder="1" applyAlignment="1">
      <alignment horizontal="center"/>
    </xf>
    <xf numFmtId="0" fontId="29" fillId="0" borderId="39" xfId="0" applyFont="1" applyBorder="1" applyAlignment="1">
      <alignment horizontal="center"/>
    </xf>
    <xf numFmtId="0" fontId="31" fillId="0" borderId="38" xfId="0" applyFont="1" applyBorder="1" applyAlignment="1">
      <alignment horizontal="left"/>
    </xf>
    <xf numFmtId="0" fontId="31" fillId="0" borderId="37" xfId="0" applyFont="1" applyBorder="1" applyAlignment="1">
      <alignment horizontal="left"/>
    </xf>
    <xf numFmtId="183" fontId="29" fillId="0" borderId="37" xfId="0" applyNumberFormat="1" applyFont="1" applyBorder="1" applyAlignment="1">
      <alignment horizontal="center"/>
    </xf>
    <xf numFmtId="0" fontId="29" fillId="0" borderId="37" xfId="0" applyFont="1" applyBorder="1" applyAlignment="1">
      <alignment horizontal="center"/>
    </xf>
    <xf numFmtId="0" fontId="29" fillId="0" borderId="36" xfId="0" applyFont="1" applyBorder="1" applyAlignment="1">
      <alignment horizontal="center"/>
    </xf>
    <xf numFmtId="0" fontId="29" fillId="0" borderId="7" xfId="0" applyFont="1" applyBorder="1" applyAlignment="1">
      <alignment horizontal="left"/>
    </xf>
    <xf numFmtId="0" fontId="29" fillId="0" borderId="1" xfId="0" applyFont="1" applyBorder="1" applyAlignment="1">
      <alignment horizontal="left"/>
    </xf>
    <xf numFmtId="2" fontId="29" fillId="0" borderId="1" xfId="0" applyNumberFormat="1" applyFont="1" applyBorder="1" applyAlignment="1">
      <alignment horizontal="right" vertical="center" indent="1"/>
    </xf>
    <xf numFmtId="2" fontId="29" fillId="0" borderId="8" xfId="0" applyNumberFormat="1" applyFont="1" applyBorder="1" applyAlignment="1">
      <alignment horizontal="right" vertical="center" indent="1"/>
    </xf>
    <xf numFmtId="2" fontId="29" fillId="0" borderId="12" xfId="0" applyNumberFormat="1" applyFont="1" applyBorder="1" applyAlignment="1">
      <alignment horizontal="right" vertical="center" indent="1"/>
    </xf>
    <xf numFmtId="2" fontId="29" fillId="0" borderId="9" xfId="0" applyNumberFormat="1" applyFont="1" applyBorder="1" applyAlignment="1">
      <alignment horizontal="right" vertical="center" indent="1"/>
    </xf>
    <xf numFmtId="0" fontId="29" fillId="0" borderId="7" xfId="0" applyFont="1" applyBorder="1" applyAlignment="1">
      <alignment horizontal="center"/>
    </xf>
    <xf numFmtId="0" fontId="29" fillId="0" borderId="8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29" fillId="0" borderId="35" xfId="0" applyFont="1" applyBorder="1" applyAlignment="1">
      <alignment horizontal="left" vertical="center"/>
    </xf>
    <xf numFmtId="0" fontId="29" fillId="0" borderId="13" xfId="0" applyFont="1" applyBorder="1" applyAlignment="1">
      <alignment horizontal="left" vertical="center"/>
    </xf>
    <xf numFmtId="0" fontId="29" fillId="0" borderId="34" xfId="0" applyFont="1" applyBorder="1" applyAlignment="1">
      <alignment horizontal="left" vertical="center"/>
    </xf>
    <xf numFmtId="0" fontId="29" fillId="0" borderId="33" xfId="0" applyFont="1" applyBorder="1" applyAlignment="1">
      <alignment horizontal="left" vertical="top" wrapText="1"/>
    </xf>
    <xf numFmtId="0" fontId="29" fillId="0" borderId="16" xfId="0" applyFont="1" applyBorder="1" applyAlignment="1">
      <alignment horizontal="left" vertical="top" wrapText="1"/>
    </xf>
    <xf numFmtId="0" fontId="29" fillId="0" borderId="32" xfId="0" applyFont="1" applyBorder="1" applyAlignment="1">
      <alignment horizontal="left" vertical="top" wrapText="1"/>
    </xf>
    <xf numFmtId="0" fontId="29" fillId="0" borderId="31" xfId="0" applyFont="1" applyBorder="1" applyAlignment="1">
      <alignment horizontal="left" vertical="top"/>
    </xf>
    <xf numFmtId="0" fontId="29" fillId="0" borderId="30" xfId="0" applyFont="1" applyBorder="1" applyAlignment="1">
      <alignment horizontal="left" vertical="top"/>
    </xf>
    <xf numFmtId="0" fontId="29" fillId="0" borderId="29" xfId="0" applyFont="1" applyBorder="1" applyAlignment="1">
      <alignment horizontal="left" vertical="top"/>
    </xf>
    <xf numFmtId="0" fontId="29" fillId="0" borderId="7" xfId="0" applyFont="1" applyBorder="1" applyAlignment="1">
      <alignment horizontal="left" vertical="top" wrapText="1"/>
    </xf>
    <xf numFmtId="0" fontId="29" fillId="0" borderId="1" xfId="0" applyFont="1" applyBorder="1" applyAlignment="1">
      <alignment horizontal="left" vertical="top" wrapText="1"/>
    </xf>
    <xf numFmtId="0" fontId="29" fillId="0" borderId="21" xfId="0" applyFont="1" applyBorder="1" applyAlignment="1">
      <alignment horizontal="left" vertical="top" wrapText="1"/>
    </xf>
    <xf numFmtId="0" fontId="29" fillId="0" borderId="35" xfId="0" applyFont="1" applyBorder="1" applyAlignment="1">
      <alignment horizontal="left" vertical="top" wrapText="1"/>
    </xf>
    <xf numFmtId="0" fontId="29" fillId="0" borderId="13" xfId="0" applyFont="1" applyBorder="1" applyAlignment="1">
      <alignment horizontal="left" vertical="top"/>
    </xf>
    <xf numFmtId="0" fontId="29" fillId="0" borderId="34" xfId="0" applyFont="1" applyBorder="1" applyAlignment="1">
      <alignment horizontal="left" vertical="top"/>
    </xf>
    <xf numFmtId="0" fontId="29" fillId="0" borderId="33" xfId="0" applyFont="1" applyBorder="1" applyAlignment="1">
      <alignment horizontal="center" wrapText="1"/>
    </xf>
    <xf numFmtId="0" fontId="29" fillId="0" borderId="16" xfId="0" applyFont="1" applyBorder="1" applyAlignment="1">
      <alignment horizontal="center" wrapText="1"/>
    </xf>
    <xf numFmtId="0" fontId="29" fillId="0" borderId="32" xfId="0" applyFont="1" applyBorder="1" applyAlignment="1">
      <alignment horizontal="center" wrapText="1"/>
    </xf>
    <xf numFmtId="0" fontId="18" fillId="0" borderId="28" xfId="0" applyFont="1" applyBorder="1" applyAlignment="1">
      <alignment horizontal="left" vertical="top" wrapText="1"/>
    </xf>
    <xf numFmtId="0" fontId="19" fillId="0" borderId="28" xfId="0" applyFont="1" applyBorder="1" applyAlignment="1">
      <alignment vertical="top" wrapText="1"/>
    </xf>
    <xf numFmtId="0" fontId="19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17" fillId="0" borderId="11" xfId="0" applyFont="1" applyBorder="1" applyAlignment="1">
      <alignment horizontal="left" vertical="center" wrapText="1" justifyLastLine="1"/>
    </xf>
    <xf numFmtId="0" fontId="17" fillId="0" borderId="12" xfId="0" applyFont="1" applyBorder="1" applyAlignment="1">
      <alignment horizontal="left" vertical="center" wrapText="1" justifyLastLine="1"/>
    </xf>
    <xf numFmtId="0" fontId="17" fillId="0" borderId="9" xfId="0" applyFont="1" applyBorder="1" applyAlignment="1">
      <alignment horizontal="left" vertical="center" wrapText="1" justifyLastLine="1"/>
    </xf>
    <xf numFmtId="43" fontId="17" fillId="0" borderId="8" xfId="3" applyFont="1" applyBorder="1" applyAlignment="1">
      <alignment horizontal="center" vertical="center" shrinkToFit="1"/>
    </xf>
    <xf numFmtId="43" fontId="17" fillId="0" borderId="9" xfId="3" applyFont="1" applyBorder="1" applyAlignment="1">
      <alignment horizontal="center" vertical="center" shrinkToFit="1"/>
    </xf>
    <xf numFmtId="0" fontId="10" fillId="0" borderId="11" xfId="0" applyFont="1" applyBorder="1"/>
    <xf numFmtId="0" fontId="10" fillId="0" borderId="12" xfId="0" applyFont="1" applyBorder="1"/>
    <xf numFmtId="0" fontId="10" fillId="0" borderId="10" xfId="0" applyFont="1" applyBorder="1"/>
    <xf numFmtId="0" fontId="15" fillId="0" borderId="19" xfId="0" applyFont="1" applyBorder="1" applyAlignment="1">
      <alignment horizontal="left" vertical="top" wrapText="1"/>
    </xf>
    <xf numFmtId="0" fontId="15" fillId="0" borderId="20" xfId="0" applyFont="1" applyBorder="1" applyAlignment="1">
      <alignment horizontal="left" vertical="top" wrapText="1"/>
    </xf>
    <xf numFmtId="0" fontId="15" fillId="0" borderId="15" xfId="0" applyFont="1" applyBorder="1" applyAlignment="1">
      <alignment horizontal="left" vertical="top" wrapText="1"/>
    </xf>
    <xf numFmtId="0" fontId="10" fillId="0" borderId="11" xfId="0" applyFont="1" applyBorder="1" applyAlignment="1">
      <alignment wrapText="1"/>
    </xf>
    <xf numFmtId="0" fontId="10" fillId="0" borderId="12" xfId="0" applyFont="1" applyBorder="1" applyAlignment="1">
      <alignment wrapText="1"/>
    </xf>
    <xf numFmtId="0" fontId="10" fillId="0" borderId="10" xfId="0" applyFont="1" applyBorder="1" applyAlignment="1">
      <alignment wrapText="1"/>
    </xf>
    <xf numFmtId="0" fontId="15" fillId="0" borderId="7" xfId="0" applyFont="1" applyBorder="1" applyAlignment="1">
      <alignment horizontal="left" vertical="top" wrapText="1"/>
    </xf>
    <xf numFmtId="0" fontId="15" fillId="0" borderId="1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23" xfId="0" applyFont="1" applyBorder="1" applyAlignment="1">
      <alignment horizontal="left" vertical="center"/>
    </xf>
    <xf numFmtId="0" fontId="15" fillId="0" borderId="24" xfId="0" applyFont="1" applyBorder="1" applyAlignment="1">
      <alignment horizontal="left" vertical="center"/>
    </xf>
    <xf numFmtId="0" fontId="15" fillId="0" borderId="25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5" fillId="0" borderId="24" xfId="0" applyFont="1" applyBorder="1" applyAlignment="1">
      <alignment horizontal="left" vertical="top" wrapText="1"/>
    </xf>
    <xf numFmtId="0" fontId="15" fillId="0" borderId="25" xfId="0" applyFont="1" applyBorder="1" applyAlignment="1">
      <alignment horizontal="left" vertical="top" wrapText="1"/>
    </xf>
    <xf numFmtId="0" fontId="15" fillId="0" borderId="18" xfId="0" applyFont="1" applyBorder="1" applyAlignment="1">
      <alignment horizontal="left" vertical="top" wrapText="1"/>
    </xf>
    <xf numFmtId="0" fontId="10" fillId="0" borderId="19" xfId="0" applyFont="1" applyBorder="1" applyAlignment="1">
      <alignment horizontal="left" vertical="top" wrapText="1"/>
    </xf>
    <xf numFmtId="0" fontId="10" fillId="0" borderId="20" xfId="0" applyFont="1" applyBorder="1" applyAlignment="1">
      <alignment horizontal="left" vertical="top" wrapText="1"/>
    </xf>
    <xf numFmtId="0" fontId="10" fillId="0" borderId="15" xfId="0" applyFont="1" applyBorder="1" applyAlignment="1">
      <alignment horizontal="left" vertical="top" wrapText="1"/>
    </xf>
    <xf numFmtId="0" fontId="10" fillId="0" borderId="26" xfId="0" applyFont="1" applyBorder="1" applyAlignment="1">
      <alignment horizontal="left" vertical="top" wrapText="1"/>
    </xf>
    <xf numFmtId="0" fontId="10" fillId="0" borderId="2" xfId="0" applyFont="1" applyBorder="1" applyAlignment="1">
      <alignment horizontal="left" vertical="top" wrapText="1"/>
    </xf>
    <xf numFmtId="0" fontId="10" fillId="0" borderId="27" xfId="0" applyFont="1" applyBorder="1" applyAlignment="1">
      <alignment horizontal="left" vertical="top" wrapText="1"/>
    </xf>
    <xf numFmtId="0" fontId="10" fillId="0" borderId="19" xfId="0" applyFont="1" applyBorder="1" applyAlignment="1">
      <alignment horizontal="left" vertical="center"/>
    </xf>
    <xf numFmtId="0" fontId="10" fillId="0" borderId="20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0" fontId="15" fillId="0" borderId="11" xfId="0" applyFont="1" applyBorder="1" applyAlignment="1">
      <alignment horizontal="center" vertical="center" justifyLastLine="1"/>
    </xf>
    <xf numFmtId="0" fontId="15" fillId="0" borderId="12" xfId="0" applyFont="1" applyBorder="1" applyAlignment="1">
      <alignment horizontal="center" vertical="center" justifyLastLine="1"/>
    </xf>
    <xf numFmtId="0" fontId="15" fillId="0" borderId="9" xfId="0" applyFont="1" applyBorder="1" applyAlignment="1">
      <alignment horizontal="center" vertical="center" justifyLastLine="1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43" fontId="17" fillId="0" borderId="1" xfId="3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187" fontId="17" fillId="0" borderId="14" xfId="0" applyNumberFormat="1" applyFont="1" applyBorder="1" applyAlignment="1">
      <alignment horizontal="left" vertical="center" shrinkToFit="1"/>
    </xf>
    <xf numFmtId="187" fontId="17" fillId="0" borderId="15" xfId="0" applyNumberFormat="1" applyFont="1" applyBorder="1" applyAlignment="1">
      <alignment horizontal="left" vertical="center" shrinkToFit="1"/>
    </xf>
    <xf numFmtId="0" fontId="15" fillId="0" borderId="1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76" fontId="15" fillId="0" borderId="8" xfId="0" applyNumberFormat="1" applyFont="1" applyBorder="1" applyAlignment="1">
      <alignment horizontal="center" vertical="center"/>
    </xf>
    <xf numFmtId="176" fontId="15" fillId="0" borderId="12" xfId="0" applyNumberFormat="1" applyFont="1" applyBorder="1" applyAlignment="1">
      <alignment horizontal="center" vertical="center"/>
    </xf>
    <xf numFmtId="176" fontId="15" fillId="0" borderId="9" xfId="0" applyNumberFormat="1" applyFont="1" applyBorder="1" applyAlignment="1">
      <alignment horizontal="center" vertical="center"/>
    </xf>
    <xf numFmtId="181" fontId="15" fillId="0" borderId="8" xfId="0" applyNumberFormat="1" applyFont="1" applyBorder="1" applyAlignment="1">
      <alignment horizontal="center" vertical="center"/>
    </xf>
    <xf numFmtId="181" fontId="15" fillId="0" borderId="9" xfId="0" applyNumberFormat="1" applyFont="1" applyBorder="1" applyAlignment="1">
      <alignment horizontal="center" vertical="center"/>
    </xf>
    <xf numFmtId="176" fontId="17" fillId="0" borderId="17" xfId="0" applyNumberFormat="1" applyFont="1" applyBorder="1" applyAlignment="1">
      <alignment horizontal="left" vertical="center"/>
    </xf>
    <xf numFmtId="176" fontId="17" fillId="0" borderId="18" xfId="0" applyNumberFormat="1" applyFont="1" applyBorder="1" applyAlignment="1">
      <alignment horizontal="left" vertical="center"/>
    </xf>
    <xf numFmtId="0" fontId="13" fillId="0" borderId="0" xfId="0" applyFont="1" applyAlignment="1">
      <alignment horizontal="center"/>
    </xf>
    <xf numFmtId="184" fontId="15" fillId="0" borderId="0" xfId="0" applyNumberFormat="1" applyFont="1" applyAlignment="1">
      <alignment horizontal="left" vertical="center"/>
    </xf>
    <xf numFmtId="178" fontId="15" fillId="0" borderId="2" xfId="0" applyNumberFormat="1" applyFont="1" applyBorder="1" applyAlignment="1">
      <alignment horizontal="right"/>
    </xf>
    <xf numFmtId="181" fontId="15" fillId="0" borderId="4" xfId="0" applyNumberFormat="1" applyFont="1" applyBorder="1" applyAlignment="1">
      <alignment horizontal="left" vertical="center"/>
    </xf>
    <xf numFmtId="181" fontId="15" fillId="0" borderId="5" xfId="0" applyNumberFormat="1" applyFont="1" applyBorder="1" applyAlignment="1">
      <alignment horizontal="left" vertical="center"/>
    </xf>
    <xf numFmtId="181" fontId="15" fillId="0" borderId="6" xfId="0" applyNumberFormat="1" applyFont="1" applyBorder="1" applyAlignment="1">
      <alignment horizontal="left" vertical="center"/>
    </xf>
    <xf numFmtId="58" fontId="16" fillId="0" borderId="8" xfId="0" applyNumberFormat="1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58" fontId="16" fillId="0" borderId="9" xfId="0" applyNumberFormat="1" applyFont="1" applyBorder="1" applyAlignment="1">
      <alignment horizontal="center" vertical="center"/>
    </xf>
    <xf numFmtId="180" fontId="16" fillId="0" borderId="8" xfId="0" applyNumberFormat="1" applyFont="1" applyBorder="1" applyAlignment="1">
      <alignment horizontal="center" vertical="center" shrinkToFit="1"/>
    </xf>
    <xf numFmtId="180" fontId="16" fillId="0" borderId="9" xfId="0" applyNumberFormat="1" applyFont="1" applyBorder="1" applyAlignment="1">
      <alignment horizontal="center" vertical="center" shrinkToFit="1"/>
    </xf>
    <xf numFmtId="0" fontId="15" fillId="0" borderId="2" xfId="0" applyFont="1" applyBorder="1" applyAlignment="1">
      <alignment horizontal="left" vertical="center"/>
    </xf>
  </cellXfs>
  <cellStyles count="5">
    <cellStyle name="一般" xfId="0" builtinId="0"/>
    <cellStyle name="一般 44" xfId="4" xr:uid="{FA9A58F6-51B9-4CB6-9EE3-B8399E841DAA}"/>
    <cellStyle name="千分位" xfId="3" builtinId="3"/>
    <cellStyle name="千分位 2" xfId="1" xr:uid="{00000000-0005-0000-0000-000002000000}"/>
    <cellStyle name="百分比 2" xfId="2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179971810924018E-2"/>
          <c:y val="7.391221930592011E-2"/>
          <c:w val="0.89998954115555285"/>
          <c:h val="0.78685914260717416"/>
        </c:manualLayout>
      </c:layout>
      <c:lineChart>
        <c:grouping val="standard"/>
        <c:varyColors val="0"/>
        <c:ser>
          <c:idx val="0"/>
          <c:order val="0"/>
          <c:tx>
            <c:strRef>
              <c:f>'進度曲線(查核可用)'!$A$2</c:f>
              <c:strCache>
                <c:ptCount val="1"/>
                <c:pt idx="0">
                  <c:v>實際進度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'進度曲線(查核可用)'!$B$1:$CY$1</c:f>
              <c:numCache>
                <c:formatCode>m"月"d"日"</c:formatCode>
                <c:ptCount val="102"/>
                <c:pt idx="0" formatCode="m/d;@">
                  <c:v>46076</c:v>
                </c:pt>
                <c:pt idx="1">
                  <c:v>46077</c:v>
                </c:pt>
                <c:pt idx="2">
                  <c:v>46078</c:v>
                </c:pt>
                <c:pt idx="3">
                  <c:v>46079</c:v>
                </c:pt>
                <c:pt idx="4">
                  <c:v>46080</c:v>
                </c:pt>
                <c:pt idx="5">
                  <c:v>46081</c:v>
                </c:pt>
                <c:pt idx="6">
                  <c:v>46082</c:v>
                </c:pt>
                <c:pt idx="7">
                  <c:v>46083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46088</c:v>
                </c:pt>
                <c:pt idx="13">
                  <c:v>46089</c:v>
                </c:pt>
                <c:pt idx="14">
                  <c:v>46090</c:v>
                </c:pt>
                <c:pt idx="15">
                  <c:v>46091</c:v>
                </c:pt>
                <c:pt idx="16">
                  <c:v>46092</c:v>
                </c:pt>
                <c:pt idx="17">
                  <c:v>46093</c:v>
                </c:pt>
                <c:pt idx="18">
                  <c:v>46094</c:v>
                </c:pt>
                <c:pt idx="19">
                  <c:v>46095</c:v>
                </c:pt>
                <c:pt idx="20">
                  <c:v>46096</c:v>
                </c:pt>
                <c:pt idx="21">
                  <c:v>46097</c:v>
                </c:pt>
                <c:pt idx="22">
                  <c:v>46098</c:v>
                </c:pt>
                <c:pt idx="23">
                  <c:v>46099</c:v>
                </c:pt>
                <c:pt idx="24">
                  <c:v>46100</c:v>
                </c:pt>
                <c:pt idx="25">
                  <c:v>46101</c:v>
                </c:pt>
                <c:pt idx="26">
                  <c:v>46102</c:v>
                </c:pt>
                <c:pt idx="27">
                  <c:v>46103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46109</c:v>
                </c:pt>
                <c:pt idx="34">
                  <c:v>46110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46116</c:v>
                </c:pt>
                <c:pt idx="41">
                  <c:v>46117</c:v>
                </c:pt>
                <c:pt idx="42">
                  <c:v>46118</c:v>
                </c:pt>
                <c:pt idx="43">
                  <c:v>46119</c:v>
                </c:pt>
                <c:pt idx="44">
                  <c:v>46120</c:v>
                </c:pt>
                <c:pt idx="45">
                  <c:v>46121</c:v>
                </c:pt>
                <c:pt idx="46">
                  <c:v>46122</c:v>
                </c:pt>
                <c:pt idx="47">
                  <c:v>46123</c:v>
                </c:pt>
                <c:pt idx="48">
                  <c:v>46124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46130</c:v>
                </c:pt>
                <c:pt idx="55">
                  <c:v>46131</c:v>
                </c:pt>
                <c:pt idx="56">
                  <c:v>46132</c:v>
                </c:pt>
                <c:pt idx="57">
                  <c:v>46133</c:v>
                </c:pt>
                <c:pt idx="58">
                  <c:v>46134</c:v>
                </c:pt>
                <c:pt idx="59">
                  <c:v>46135</c:v>
                </c:pt>
                <c:pt idx="60">
                  <c:v>46136</c:v>
                </c:pt>
                <c:pt idx="61">
                  <c:v>46137</c:v>
                </c:pt>
                <c:pt idx="62">
                  <c:v>46138</c:v>
                </c:pt>
                <c:pt idx="63">
                  <c:v>46139</c:v>
                </c:pt>
                <c:pt idx="64">
                  <c:v>46140</c:v>
                </c:pt>
                <c:pt idx="65">
                  <c:v>46141</c:v>
                </c:pt>
                <c:pt idx="66">
                  <c:v>46142</c:v>
                </c:pt>
                <c:pt idx="67">
                  <c:v>46143</c:v>
                </c:pt>
                <c:pt idx="68">
                  <c:v>46144</c:v>
                </c:pt>
                <c:pt idx="69">
                  <c:v>46145</c:v>
                </c:pt>
                <c:pt idx="70">
                  <c:v>46146</c:v>
                </c:pt>
                <c:pt idx="71">
                  <c:v>46147</c:v>
                </c:pt>
                <c:pt idx="72">
                  <c:v>46148</c:v>
                </c:pt>
                <c:pt idx="73">
                  <c:v>46149</c:v>
                </c:pt>
                <c:pt idx="74">
                  <c:v>46150</c:v>
                </c:pt>
                <c:pt idx="75">
                  <c:v>46151</c:v>
                </c:pt>
                <c:pt idx="76">
                  <c:v>46152</c:v>
                </c:pt>
                <c:pt idx="77">
                  <c:v>46153</c:v>
                </c:pt>
                <c:pt idx="78">
                  <c:v>46154</c:v>
                </c:pt>
                <c:pt idx="79">
                  <c:v>46155</c:v>
                </c:pt>
                <c:pt idx="80">
                  <c:v>46156</c:v>
                </c:pt>
                <c:pt idx="81">
                  <c:v>46157</c:v>
                </c:pt>
                <c:pt idx="82">
                  <c:v>46158</c:v>
                </c:pt>
                <c:pt idx="83">
                  <c:v>46159</c:v>
                </c:pt>
                <c:pt idx="84">
                  <c:v>46160</c:v>
                </c:pt>
                <c:pt idx="85">
                  <c:v>46161</c:v>
                </c:pt>
                <c:pt idx="86">
                  <c:v>46162</c:v>
                </c:pt>
                <c:pt idx="87">
                  <c:v>46163</c:v>
                </c:pt>
                <c:pt idx="88">
                  <c:v>46164</c:v>
                </c:pt>
                <c:pt idx="89">
                  <c:v>46165</c:v>
                </c:pt>
                <c:pt idx="90">
                  <c:v>46166</c:v>
                </c:pt>
                <c:pt idx="91">
                  <c:v>46167</c:v>
                </c:pt>
                <c:pt idx="92">
                  <c:v>46168</c:v>
                </c:pt>
                <c:pt idx="93">
                  <c:v>46169</c:v>
                </c:pt>
                <c:pt idx="94">
                  <c:v>46170</c:v>
                </c:pt>
                <c:pt idx="95">
                  <c:v>46171</c:v>
                </c:pt>
                <c:pt idx="96">
                  <c:v>46172</c:v>
                </c:pt>
                <c:pt idx="97">
                  <c:v>46173</c:v>
                </c:pt>
                <c:pt idx="98">
                  <c:v>46174</c:v>
                </c:pt>
                <c:pt idx="99">
                  <c:v>46175</c:v>
                </c:pt>
                <c:pt idx="100">
                  <c:v>46176</c:v>
                </c:pt>
                <c:pt idx="101">
                  <c:v>46177</c:v>
                </c:pt>
              </c:numCache>
            </c:numRef>
          </c:cat>
          <c:val>
            <c:numRef>
              <c:f>'進度曲線(查核可用)'!$B$2:$CY$2</c:f>
              <c:numCache>
                <c:formatCode>General</c:formatCode>
                <c:ptCount val="102"/>
                <c:pt idx="0">
                  <c:v>10.35</c:v>
                </c:pt>
                <c:pt idx="1">
                  <c:v>12.39</c:v>
                </c:pt>
                <c:pt idx="2">
                  <c:v>14.43</c:v>
                </c:pt>
                <c:pt idx="3">
                  <c:v>15.379999999999999</c:v>
                </c:pt>
                <c:pt idx="4">
                  <c:v>16.72</c:v>
                </c:pt>
                <c:pt idx="5">
                  <c:v>16.72</c:v>
                </c:pt>
                <c:pt idx="6">
                  <c:v>16.72</c:v>
                </c:pt>
                <c:pt idx="7">
                  <c:v>24.57</c:v>
                </c:pt>
                <c:pt idx="8">
                  <c:v>24.57</c:v>
                </c:pt>
                <c:pt idx="9">
                  <c:v>24.57</c:v>
                </c:pt>
                <c:pt idx="10">
                  <c:v>24.57</c:v>
                </c:pt>
                <c:pt idx="11">
                  <c:v>24.57</c:v>
                </c:pt>
                <c:pt idx="12">
                  <c:v>24.57</c:v>
                </c:pt>
                <c:pt idx="13">
                  <c:v>24.57</c:v>
                </c:pt>
                <c:pt idx="14">
                  <c:v>24.72</c:v>
                </c:pt>
                <c:pt idx="15">
                  <c:v>24.72</c:v>
                </c:pt>
                <c:pt idx="16">
                  <c:v>24.869999999999997</c:v>
                </c:pt>
                <c:pt idx="17">
                  <c:v>25.229999999999997</c:v>
                </c:pt>
                <c:pt idx="18">
                  <c:v>25.229999999999997</c:v>
                </c:pt>
                <c:pt idx="19">
                  <c:v>25.589999999999996</c:v>
                </c:pt>
                <c:pt idx="20">
                  <c:v>25.589999999999996</c:v>
                </c:pt>
                <c:pt idx="21">
                  <c:v>25.949999999999996</c:v>
                </c:pt>
                <c:pt idx="22">
                  <c:v>26.279999999999994</c:v>
                </c:pt>
                <c:pt idx="23">
                  <c:v>26.279999999999994</c:v>
                </c:pt>
                <c:pt idx="24">
                  <c:v>28.219999999999995</c:v>
                </c:pt>
                <c:pt idx="25">
                  <c:v>31.619999999999994</c:v>
                </c:pt>
                <c:pt idx="26">
                  <c:v>35.019999999999996</c:v>
                </c:pt>
                <c:pt idx="27">
                  <c:v>35.019999999999996</c:v>
                </c:pt>
                <c:pt idx="28">
                  <c:v>37.349999999999994</c:v>
                </c:pt>
                <c:pt idx="29">
                  <c:v>38.639999999999993</c:v>
                </c:pt>
                <c:pt idx="30">
                  <c:v>43.55</c:v>
                </c:pt>
                <c:pt idx="31">
                  <c:v>49.64</c:v>
                </c:pt>
                <c:pt idx="32">
                  <c:v>54.74</c:v>
                </c:pt>
                <c:pt idx="33">
                  <c:v>54.9</c:v>
                </c:pt>
                <c:pt idx="34">
                  <c:v>54.9</c:v>
                </c:pt>
                <c:pt idx="35">
                  <c:v>55.44</c:v>
                </c:pt>
                <c:pt idx="36">
                  <c:v>55.44</c:v>
                </c:pt>
                <c:pt idx="37">
                  <c:v>55.44</c:v>
                </c:pt>
                <c:pt idx="38">
                  <c:v>55.44</c:v>
                </c:pt>
                <c:pt idx="39">
                  <c:v>55.44</c:v>
                </c:pt>
                <c:pt idx="40">
                  <c:v>55.44</c:v>
                </c:pt>
                <c:pt idx="41">
                  <c:v>55.44</c:v>
                </c:pt>
                <c:pt idx="42">
                  <c:v>55.44</c:v>
                </c:pt>
                <c:pt idx="43">
                  <c:v>55.44</c:v>
                </c:pt>
                <c:pt idx="44">
                  <c:v>55.44</c:v>
                </c:pt>
                <c:pt idx="45">
                  <c:v>55.44</c:v>
                </c:pt>
                <c:pt idx="46">
                  <c:v>55.44</c:v>
                </c:pt>
                <c:pt idx="47">
                  <c:v>55.44</c:v>
                </c:pt>
                <c:pt idx="48">
                  <c:v>55.44</c:v>
                </c:pt>
                <c:pt idx="49">
                  <c:v>55.44</c:v>
                </c:pt>
                <c:pt idx="50">
                  <c:v>55.44</c:v>
                </c:pt>
                <c:pt idx="51">
                  <c:v>55.44</c:v>
                </c:pt>
                <c:pt idx="52">
                  <c:v>55.44</c:v>
                </c:pt>
                <c:pt idx="53">
                  <c:v>55.44</c:v>
                </c:pt>
                <c:pt idx="54">
                  <c:v>55.44</c:v>
                </c:pt>
                <c:pt idx="55">
                  <c:v>55.44</c:v>
                </c:pt>
                <c:pt idx="56">
                  <c:v>55.44</c:v>
                </c:pt>
                <c:pt idx="57">
                  <c:v>55.44</c:v>
                </c:pt>
                <c:pt idx="58">
                  <c:v>55.44</c:v>
                </c:pt>
                <c:pt idx="59">
                  <c:v>55.44</c:v>
                </c:pt>
                <c:pt idx="60">
                  <c:v>55.44</c:v>
                </c:pt>
                <c:pt idx="61">
                  <c:v>55.44</c:v>
                </c:pt>
                <c:pt idx="62">
                  <c:v>55.44</c:v>
                </c:pt>
                <c:pt idx="63">
                  <c:v>55.44</c:v>
                </c:pt>
                <c:pt idx="64">
                  <c:v>55.44</c:v>
                </c:pt>
                <c:pt idx="65">
                  <c:v>55.44</c:v>
                </c:pt>
                <c:pt idx="66">
                  <c:v>55.44</c:v>
                </c:pt>
                <c:pt idx="67">
                  <c:v>55.44</c:v>
                </c:pt>
                <c:pt idx="68">
                  <c:v>55.44</c:v>
                </c:pt>
                <c:pt idx="69">
                  <c:v>55.44</c:v>
                </c:pt>
                <c:pt idx="70">
                  <c:v>55.44</c:v>
                </c:pt>
                <c:pt idx="71">
                  <c:v>55.44</c:v>
                </c:pt>
                <c:pt idx="72">
                  <c:v>55.44</c:v>
                </c:pt>
                <c:pt idx="73">
                  <c:v>55.44</c:v>
                </c:pt>
                <c:pt idx="74">
                  <c:v>55.44</c:v>
                </c:pt>
                <c:pt idx="75">
                  <c:v>55.44</c:v>
                </c:pt>
                <c:pt idx="76">
                  <c:v>55.44</c:v>
                </c:pt>
                <c:pt idx="77">
                  <c:v>55.44</c:v>
                </c:pt>
                <c:pt idx="78">
                  <c:v>55.44</c:v>
                </c:pt>
                <c:pt idx="79">
                  <c:v>55.44</c:v>
                </c:pt>
                <c:pt idx="80">
                  <c:v>55.44</c:v>
                </c:pt>
                <c:pt idx="81">
                  <c:v>55.44</c:v>
                </c:pt>
                <c:pt idx="82">
                  <c:v>55.44</c:v>
                </c:pt>
                <c:pt idx="83">
                  <c:v>55.44</c:v>
                </c:pt>
                <c:pt idx="84">
                  <c:v>55.44</c:v>
                </c:pt>
                <c:pt idx="85">
                  <c:v>55.44</c:v>
                </c:pt>
                <c:pt idx="86">
                  <c:v>55.44</c:v>
                </c:pt>
                <c:pt idx="87">
                  <c:v>55.44</c:v>
                </c:pt>
                <c:pt idx="88">
                  <c:v>55.44</c:v>
                </c:pt>
                <c:pt idx="89">
                  <c:v>55.44</c:v>
                </c:pt>
                <c:pt idx="90">
                  <c:v>55.44</c:v>
                </c:pt>
                <c:pt idx="91">
                  <c:v>55.44</c:v>
                </c:pt>
                <c:pt idx="92">
                  <c:v>55.44</c:v>
                </c:pt>
                <c:pt idx="93">
                  <c:v>55.44</c:v>
                </c:pt>
                <c:pt idx="94">
                  <c:v>55.44</c:v>
                </c:pt>
                <c:pt idx="95">
                  <c:v>55.44</c:v>
                </c:pt>
                <c:pt idx="96">
                  <c:v>55.44</c:v>
                </c:pt>
                <c:pt idx="97">
                  <c:v>55.44</c:v>
                </c:pt>
                <c:pt idx="98">
                  <c:v>55.44</c:v>
                </c:pt>
                <c:pt idx="99">
                  <c:v>55.44</c:v>
                </c:pt>
                <c:pt idx="100">
                  <c:v>55.44</c:v>
                </c:pt>
                <c:pt idx="101">
                  <c:v>55.44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9-4363-B9DA-7494FB6076E5}"/>
            </c:ext>
          </c:extLst>
        </c:ser>
        <c:ser>
          <c:idx val="1"/>
          <c:order val="1"/>
          <c:tx>
            <c:strRef>
              <c:f>'進度曲線(查核可用)'!$A$3</c:f>
              <c:strCache>
                <c:ptCount val="1"/>
                <c:pt idx="0">
                  <c:v>預定進度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'進度曲線(查核可用)'!$B$1:$CY$1</c:f>
              <c:numCache>
                <c:formatCode>m"月"d"日"</c:formatCode>
                <c:ptCount val="102"/>
                <c:pt idx="0" formatCode="m/d;@">
                  <c:v>46076</c:v>
                </c:pt>
                <c:pt idx="1">
                  <c:v>46077</c:v>
                </c:pt>
                <c:pt idx="2">
                  <c:v>46078</c:v>
                </c:pt>
                <c:pt idx="3">
                  <c:v>46079</c:v>
                </c:pt>
                <c:pt idx="4">
                  <c:v>46080</c:v>
                </c:pt>
                <c:pt idx="5">
                  <c:v>46081</c:v>
                </c:pt>
                <c:pt idx="6">
                  <c:v>46082</c:v>
                </c:pt>
                <c:pt idx="7">
                  <c:v>46083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46088</c:v>
                </c:pt>
                <c:pt idx="13">
                  <c:v>46089</c:v>
                </c:pt>
                <c:pt idx="14">
                  <c:v>46090</c:v>
                </c:pt>
                <c:pt idx="15">
                  <c:v>46091</c:v>
                </c:pt>
                <c:pt idx="16">
                  <c:v>46092</c:v>
                </c:pt>
                <c:pt idx="17">
                  <c:v>46093</c:v>
                </c:pt>
                <c:pt idx="18">
                  <c:v>46094</c:v>
                </c:pt>
                <c:pt idx="19">
                  <c:v>46095</c:v>
                </c:pt>
                <c:pt idx="20">
                  <c:v>46096</c:v>
                </c:pt>
                <c:pt idx="21">
                  <c:v>46097</c:v>
                </c:pt>
                <c:pt idx="22">
                  <c:v>46098</c:v>
                </c:pt>
                <c:pt idx="23">
                  <c:v>46099</c:v>
                </c:pt>
                <c:pt idx="24">
                  <c:v>46100</c:v>
                </c:pt>
                <c:pt idx="25">
                  <c:v>46101</c:v>
                </c:pt>
                <c:pt idx="26">
                  <c:v>46102</c:v>
                </c:pt>
                <c:pt idx="27">
                  <c:v>46103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46109</c:v>
                </c:pt>
                <c:pt idx="34">
                  <c:v>46110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46116</c:v>
                </c:pt>
                <c:pt idx="41">
                  <c:v>46117</c:v>
                </c:pt>
                <c:pt idx="42">
                  <c:v>46118</c:v>
                </c:pt>
                <c:pt idx="43">
                  <c:v>46119</c:v>
                </c:pt>
                <c:pt idx="44">
                  <c:v>46120</c:v>
                </c:pt>
                <c:pt idx="45">
                  <c:v>46121</c:v>
                </c:pt>
                <c:pt idx="46">
                  <c:v>46122</c:v>
                </c:pt>
                <c:pt idx="47">
                  <c:v>46123</c:v>
                </c:pt>
                <c:pt idx="48">
                  <c:v>46124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46130</c:v>
                </c:pt>
                <c:pt idx="55">
                  <c:v>46131</c:v>
                </c:pt>
                <c:pt idx="56">
                  <c:v>46132</c:v>
                </c:pt>
                <c:pt idx="57">
                  <c:v>46133</c:v>
                </c:pt>
                <c:pt idx="58">
                  <c:v>46134</c:v>
                </c:pt>
                <c:pt idx="59">
                  <c:v>46135</c:v>
                </c:pt>
                <c:pt idx="60">
                  <c:v>46136</c:v>
                </c:pt>
                <c:pt idx="61">
                  <c:v>46137</c:v>
                </c:pt>
                <c:pt idx="62">
                  <c:v>46138</c:v>
                </c:pt>
                <c:pt idx="63">
                  <c:v>46139</c:v>
                </c:pt>
                <c:pt idx="64">
                  <c:v>46140</c:v>
                </c:pt>
                <c:pt idx="65">
                  <c:v>46141</c:v>
                </c:pt>
                <c:pt idx="66">
                  <c:v>46142</c:v>
                </c:pt>
                <c:pt idx="67">
                  <c:v>46143</c:v>
                </c:pt>
                <c:pt idx="68">
                  <c:v>46144</c:v>
                </c:pt>
                <c:pt idx="69">
                  <c:v>46145</c:v>
                </c:pt>
                <c:pt idx="70">
                  <c:v>46146</c:v>
                </c:pt>
                <c:pt idx="71">
                  <c:v>46147</c:v>
                </c:pt>
                <c:pt idx="72">
                  <c:v>46148</c:v>
                </c:pt>
                <c:pt idx="73">
                  <c:v>46149</c:v>
                </c:pt>
                <c:pt idx="74">
                  <c:v>46150</c:v>
                </c:pt>
                <c:pt idx="75">
                  <c:v>46151</c:v>
                </c:pt>
                <c:pt idx="76">
                  <c:v>46152</c:v>
                </c:pt>
                <c:pt idx="77">
                  <c:v>46153</c:v>
                </c:pt>
                <c:pt idx="78">
                  <c:v>46154</c:v>
                </c:pt>
                <c:pt idx="79">
                  <c:v>46155</c:v>
                </c:pt>
                <c:pt idx="80">
                  <c:v>46156</c:v>
                </c:pt>
                <c:pt idx="81">
                  <c:v>46157</c:v>
                </c:pt>
                <c:pt idx="82">
                  <c:v>46158</c:v>
                </c:pt>
                <c:pt idx="83">
                  <c:v>46159</c:v>
                </c:pt>
                <c:pt idx="84">
                  <c:v>46160</c:v>
                </c:pt>
                <c:pt idx="85">
                  <c:v>46161</c:v>
                </c:pt>
                <c:pt idx="86">
                  <c:v>46162</c:v>
                </c:pt>
                <c:pt idx="87">
                  <c:v>46163</c:v>
                </c:pt>
                <c:pt idx="88">
                  <c:v>46164</c:v>
                </c:pt>
                <c:pt idx="89">
                  <c:v>46165</c:v>
                </c:pt>
                <c:pt idx="90">
                  <c:v>46166</c:v>
                </c:pt>
                <c:pt idx="91">
                  <c:v>46167</c:v>
                </c:pt>
                <c:pt idx="92">
                  <c:v>46168</c:v>
                </c:pt>
                <c:pt idx="93">
                  <c:v>46169</c:v>
                </c:pt>
                <c:pt idx="94">
                  <c:v>46170</c:v>
                </c:pt>
                <c:pt idx="95">
                  <c:v>46171</c:v>
                </c:pt>
                <c:pt idx="96">
                  <c:v>46172</c:v>
                </c:pt>
                <c:pt idx="97">
                  <c:v>46173</c:v>
                </c:pt>
                <c:pt idx="98">
                  <c:v>46174</c:v>
                </c:pt>
                <c:pt idx="99">
                  <c:v>46175</c:v>
                </c:pt>
                <c:pt idx="100">
                  <c:v>46176</c:v>
                </c:pt>
                <c:pt idx="101">
                  <c:v>46177</c:v>
                </c:pt>
              </c:numCache>
            </c:numRef>
          </c:cat>
          <c:val>
            <c:numRef>
              <c:f>'進度曲線(查核可用)'!$B$3:$CY$3</c:f>
              <c:numCache>
                <c:formatCode>0.00</c:formatCode>
                <c:ptCount val="102"/>
                <c:pt idx="0">
                  <c:v>0.13999999999999999</c:v>
                </c:pt>
                <c:pt idx="1">
                  <c:v>0.27999999999999997</c:v>
                </c:pt>
                <c:pt idx="2">
                  <c:v>0.41999999999999993</c:v>
                </c:pt>
                <c:pt idx="3">
                  <c:v>0.55999999999999994</c:v>
                </c:pt>
                <c:pt idx="4">
                  <c:v>0.7</c:v>
                </c:pt>
                <c:pt idx="5">
                  <c:v>0.84</c:v>
                </c:pt>
                <c:pt idx="6">
                  <c:v>0.98</c:v>
                </c:pt>
                <c:pt idx="7">
                  <c:v>1.1199999999999999</c:v>
                </c:pt>
                <c:pt idx="8">
                  <c:v>1.1199999999999999</c:v>
                </c:pt>
                <c:pt idx="9">
                  <c:v>1.2599999999999998</c:v>
                </c:pt>
                <c:pt idx="10">
                  <c:v>1.2599999999999998</c:v>
                </c:pt>
                <c:pt idx="11">
                  <c:v>1.3999999999999997</c:v>
                </c:pt>
                <c:pt idx="12">
                  <c:v>1.5399999999999996</c:v>
                </c:pt>
                <c:pt idx="13">
                  <c:v>1.6799999999999995</c:v>
                </c:pt>
                <c:pt idx="14">
                  <c:v>1.8199999999999994</c:v>
                </c:pt>
                <c:pt idx="15">
                  <c:v>1.9599999999999993</c:v>
                </c:pt>
                <c:pt idx="16">
                  <c:v>2.0999999999999992</c:v>
                </c:pt>
                <c:pt idx="17">
                  <c:v>4.0999999999999996</c:v>
                </c:pt>
                <c:pt idx="18">
                  <c:v>6.1</c:v>
                </c:pt>
                <c:pt idx="19">
                  <c:v>8.1</c:v>
                </c:pt>
                <c:pt idx="20">
                  <c:v>10.1</c:v>
                </c:pt>
                <c:pt idx="21">
                  <c:v>12.1</c:v>
                </c:pt>
                <c:pt idx="22">
                  <c:v>14.1</c:v>
                </c:pt>
                <c:pt idx="23">
                  <c:v>16.100000000000001</c:v>
                </c:pt>
                <c:pt idx="24">
                  <c:v>18.100000000000001</c:v>
                </c:pt>
                <c:pt idx="25">
                  <c:v>20.100000000000001</c:v>
                </c:pt>
                <c:pt idx="26">
                  <c:v>22.1</c:v>
                </c:pt>
                <c:pt idx="27">
                  <c:v>23.386000000000003</c:v>
                </c:pt>
                <c:pt idx="28">
                  <c:v>24.672000000000004</c:v>
                </c:pt>
                <c:pt idx="29">
                  <c:v>25.958000000000006</c:v>
                </c:pt>
                <c:pt idx="30">
                  <c:v>27.244000000000007</c:v>
                </c:pt>
                <c:pt idx="31">
                  <c:v>28.530000000000008</c:v>
                </c:pt>
                <c:pt idx="32">
                  <c:v>29.81600000000001</c:v>
                </c:pt>
                <c:pt idx="33">
                  <c:v>31.102000000000011</c:v>
                </c:pt>
                <c:pt idx="34">
                  <c:v>32.388000000000012</c:v>
                </c:pt>
                <c:pt idx="35">
                  <c:v>33.674000000000014</c:v>
                </c:pt>
                <c:pt idx="36">
                  <c:v>34.960000000000015</c:v>
                </c:pt>
                <c:pt idx="37">
                  <c:v>36.246000000000016</c:v>
                </c:pt>
                <c:pt idx="38">
                  <c:v>37.532000000000018</c:v>
                </c:pt>
                <c:pt idx="39">
                  <c:v>38.818000000000019</c:v>
                </c:pt>
                <c:pt idx="40">
                  <c:v>40.104000000000021</c:v>
                </c:pt>
                <c:pt idx="41">
                  <c:v>41.390000000000022</c:v>
                </c:pt>
                <c:pt idx="42">
                  <c:v>42.110000000000021</c:v>
                </c:pt>
                <c:pt idx="43">
                  <c:v>42.83000000000002</c:v>
                </c:pt>
                <c:pt idx="44">
                  <c:v>43.550000000000018</c:v>
                </c:pt>
                <c:pt idx="45">
                  <c:v>44.270000000000017</c:v>
                </c:pt>
                <c:pt idx="46">
                  <c:v>44.990000000000016</c:v>
                </c:pt>
                <c:pt idx="47">
                  <c:v>45.710000000000015</c:v>
                </c:pt>
                <c:pt idx="48">
                  <c:v>46.430000000000014</c:v>
                </c:pt>
                <c:pt idx="49">
                  <c:v>47.150000000000013</c:v>
                </c:pt>
                <c:pt idx="50">
                  <c:v>47.870000000000012</c:v>
                </c:pt>
                <c:pt idx="51">
                  <c:v>48.590000000000011</c:v>
                </c:pt>
                <c:pt idx="52">
                  <c:v>49.474000000000011</c:v>
                </c:pt>
                <c:pt idx="53">
                  <c:v>50.358000000000011</c:v>
                </c:pt>
                <c:pt idx="54">
                  <c:v>51.242000000000012</c:v>
                </c:pt>
                <c:pt idx="55">
                  <c:v>52.126000000000012</c:v>
                </c:pt>
                <c:pt idx="56">
                  <c:v>53.010000000000012</c:v>
                </c:pt>
                <c:pt idx="57">
                  <c:v>53.894000000000013</c:v>
                </c:pt>
                <c:pt idx="58">
                  <c:v>54.778000000000013</c:v>
                </c:pt>
                <c:pt idx="59">
                  <c:v>55.662000000000013</c:v>
                </c:pt>
                <c:pt idx="60">
                  <c:v>56.546000000000014</c:v>
                </c:pt>
                <c:pt idx="61">
                  <c:v>57.430000000000014</c:v>
                </c:pt>
                <c:pt idx="62">
                  <c:v>58.724000000000011</c:v>
                </c:pt>
                <c:pt idx="63">
                  <c:v>60.018000000000008</c:v>
                </c:pt>
                <c:pt idx="64">
                  <c:v>61.312000000000005</c:v>
                </c:pt>
                <c:pt idx="65">
                  <c:v>62.606000000000002</c:v>
                </c:pt>
                <c:pt idx="66">
                  <c:v>63.9</c:v>
                </c:pt>
                <c:pt idx="67">
                  <c:v>64.783999999999992</c:v>
                </c:pt>
                <c:pt idx="68">
                  <c:v>65.667999999999992</c:v>
                </c:pt>
                <c:pt idx="69">
                  <c:v>66.551999999999992</c:v>
                </c:pt>
                <c:pt idx="70">
                  <c:v>67.435999999999993</c:v>
                </c:pt>
                <c:pt idx="71">
                  <c:v>68.319999999999993</c:v>
                </c:pt>
                <c:pt idx="72">
                  <c:v>69.203999999999994</c:v>
                </c:pt>
                <c:pt idx="73">
                  <c:v>70.087999999999994</c:v>
                </c:pt>
                <c:pt idx="74">
                  <c:v>70.971999999999994</c:v>
                </c:pt>
                <c:pt idx="75">
                  <c:v>71.855999999999995</c:v>
                </c:pt>
                <c:pt idx="76">
                  <c:v>72.739999999999995</c:v>
                </c:pt>
                <c:pt idx="77">
                  <c:v>74.24799999999999</c:v>
                </c:pt>
                <c:pt idx="78">
                  <c:v>75.755999999999986</c:v>
                </c:pt>
                <c:pt idx="79">
                  <c:v>77.263999999999982</c:v>
                </c:pt>
                <c:pt idx="80">
                  <c:v>78.771999999999977</c:v>
                </c:pt>
                <c:pt idx="81">
                  <c:v>80.279999999999973</c:v>
                </c:pt>
                <c:pt idx="82">
                  <c:v>81.787999999999968</c:v>
                </c:pt>
                <c:pt idx="83">
                  <c:v>83.295999999999964</c:v>
                </c:pt>
                <c:pt idx="84">
                  <c:v>84.803999999999959</c:v>
                </c:pt>
                <c:pt idx="85">
                  <c:v>86.311999999999955</c:v>
                </c:pt>
                <c:pt idx="86">
                  <c:v>87.819999999999951</c:v>
                </c:pt>
                <c:pt idx="87">
                  <c:v>88.915999999999954</c:v>
                </c:pt>
                <c:pt idx="88">
                  <c:v>90.011999999999958</c:v>
                </c:pt>
                <c:pt idx="89">
                  <c:v>91.107999999999961</c:v>
                </c:pt>
                <c:pt idx="90">
                  <c:v>92.203999999999965</c:v>
                </c:pt>
                <c:pt idx="91">
                  <c:v>93.299999999999969</c:v>
                </c:pt>
                <c:pt idx="92">
                  <c:v>93.96999999999997</c:v>
                </c:pt>
                <c:pt idx="93">
                  <c:v>94.639999999999972</c:v>
                </c:pt>
                <c:pt idx="94">
                  <c:v>95.309999999999974</c:v>
                </c:pt>
                <c:pt idx="95">
                  <c:v>95.979999999999976</c:v>
                </c:pt>
                <c:pt idx="96">
                  <c:v>96.649999999999977</c:v>
                </c:pt>
                <c:pt idx="97">
                  <c:v>97.319999999999979</c:v>
                </c:pt>
                <c:pt idx="98">
                  <c:v>97.989999999999981</c:v>
                </c:pt>
                <c:pt idx="99">
                  <c:v>98.659999999999982</c:v>
                </c:pt>
                <c:pt idx="100">
                  <c:v>99.329999999999984</c:v>
                </c:pt>
                <c:pt idx="101">
                  <c:v>99.999999999999986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C9-4363-B9DA-7494FB6076E5}"/>
            </c:ext>
          </c:extLst>
        </c:ser>
        <c:ser>
          <c:idx val="2"/>
          <c:order val="2"/>
          <c:tx>
            <c:strRef>
              <c:f>'進度曲線(查核可用)'!$A$4</c:f>
              <c:strCache>
                <c:ptCount val="1"/>
                <c:pt idx="0">
                  <c:v>估驗進度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'進度曲線(查核可用)'!$B$1:$CY$1</c:f>
              <c:numCache>
                <c:formatCode>m"月"d"日"</c:formatCode>
                <c:ptCount val="102"/>
                <c:pt idx="0" formatCode="m/d;@">
                  <c:v>46076</c:v>
                </c:pt>
                <c:pt idx="1">
                  <c:v>46077</c:v>
                </c:pt>
                <c:pt idx="2">
                  <c:v>46078</c:v>
                </c:pt>
                <c:pt idx="3">
                  <c:v>46079</c:v>
                </c:pt>
                <c:pt idx="4">
                  <c:v>46080</c:v>
                </c:pt>
                <c:pt idx="5">
                  <c:v>46081</c:v>
                </c:pt>
                <c:pt idx="6">
                  <c:v>46082</c:v>
                </c:pt>
                <c:pt idx="7">
                  <c:v>46083</c:v>
                </c:pt>
                <c:pt idx="8">
                  <c:v>46084</c:v>
                </c:pt>
                <c:pt idx="9">
                  <c:v>46085</c:v>
                </c:pt>
                <c:pt idx="10">
                  <c:v>46086</c:v>
                </c:pt>
                <c:pt idx="11">
                  <c:v>46087</c:v>
                </c:pt>
                <c:pt idx="12">
                  <c:v>46088</c:v>
                </c:pt>
                <c:pt idx="13">
                  <c:v>46089</c:v>
                </c:pt>
                <c:pt idx="14">
                  <c:v>46090</c:v>
                </c:pt>
                <c:pt idx="15">
                  <c:v>46091</c:v>
                </c:pt>
                <c:pt idx="16">
                  <c:v>46092</c:v>
                </c:pt>
                <c:pt idx="17">
                  <c:v>46093</c:v>
                </c:pt>
                <c:pt idx="18">
                  <c:v>46094</c:v>
                </c:pt>
                <c:pt idx="19">
                  <c:v>46095</c:v>
                </c:pt>
                <c:pt idx="20">
                  <c:v>46096</c:v>
                </c:pt>
                <c:pt idx="21">
                  <c:v>46097</c:v>
                </c:pt>
                <c:pt idx="22">
                  <c:v>46098</c:v>
                </c:pt>
                <c:pt idx="23">
                  <c:v>46099</c:v>
                </c:pt>
                <c:pt idx="24">
                  <c:v>46100</c:v>
                </c:pt>
                <c:pt idx="25">
                  <c:v>46101</c:v>
                </c:pt>
                <c:pt idx="26">
                  <c:v>46102</c:v>
                </c:pt>
                <c:pt idx="27">
                  <c:v>46103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46109</c:v>
                </c:pt>
                <c:pt idx="34">
                  <c:v>46110</c:v>
                </c:pt>
                <c:pt idx="35">
                  <c:v>46111</c:v>
                </c:pt>
                <c:pt idx="36">
                  <c:v>46112</c:v>
                </c:pt>
                <c:pt idx="37">
                  <c:v>46113</c:v>
                </c:pt>
                <c:pt idx="38">
                  <c:v>46114</c:v>
                </c:pt>
                <c:pt idx="39">
                  <c:v>46115</c:v>
                </c:pt>
                <c:pt idx="40">
                  <c:v>46116</c:v>
                </c:pt>
                <c:pt idx="41">
                  <c:v>46117</c:v>
                </c:pt>
                <c:pt idx="42">
                  <c:v>46118</c:v>
                </c:pt>
                <c:pt idx="43">
                  <c:v>46119</c:v>
                </c:pt>
                <c:pt idx="44">
                  <c:v>46120</c:v>
                </c:pt>
                <c:pt idx="45">
                  <c:v>46121</c:v>
                </c:pt>
                <c:pt idx="46">
                  <c:v>46122</c:v>
                </c:pt>
                <c:pt idx="47">
                  <c:v>46123</c:v>
                </c:pt>
                <c:pt idx="48">
                  <c:v>46124</c:v>
                </c:pt>
                <c:pt idx="49">
                  <c:v>46125</c:v>
                </c:pt>
                <c:pt idx="50">
                  <c:v>46126</c:v>
                </c:pt>
                <c:pt idx="51">
                  <c:v>46127</c:v>
                </c:pt>
                <c:pt idx="52">
                  <c:v>46128</c:v>
                </c:pt>
                <c:pt idx="53">
                  <c:v>46129</c:v>
                </c:pt>
                <c:pt idx="54">
                  <c:v>46130</c:v>
                </c:pt>
                <c:pt idx="55">
                  <c:v>46131</c:v>
                </c:pt>
                <c:pt idx="56">
                  <c:v>46132</c:v>
                </c:pt>
                <c:pt idx="57">
                  <c:v>46133</c:v>
                </c:pt>
                <c:pt idx="58">
                  <c:v>46134</c:v>
                </c:pt>
                <c:pt idx="59">
                  <c:v>46135</c:v>
                </c:pt>
                <c:pt idx="60">
                  <c:v>46136</c:v>
                </c:pt>
                <c:pt idx="61">
                  <c:v>46137</c:v>
                </c:pt>
                <c:pt idx="62">
                  <c:v>46138</c:v>
                </c:pt>
                <c:pt idx="63">
                  <c:v>46139</c:v>
                </c:pt>
                <c:pt idx="64">
                  <c:v>46140</c:v>
                </c:pt>
                <c:pt idx="65">
                  <c:v>46141</c:v>
                </c:pt>
                <c:pt idx="66">
                  <c:v>46142</c:v>
                </c:pt>
                <c:pt idx="67">
                  <c:v>46143</c:v>
                </c:pt>
                <c:pt idx="68">
                  <c:v>46144</c:v>
                </c:pt>
                <c:pt idx="69">
                  <c:v>46145</c:v>
                </c:pt>
                <c:pt idx="70">
                  <c:v>46146</c:v>
                </c:pt>
                <c:pt idx="71">
                  <c:v>46147</c:v>
                </c:pt>
                <c:pt idx="72">
                  <c:v>46148</c:v>
                </c:pt>
                <c:pt idx="73">
                  <c:v>46149</c:v>
                </c:pt>
                <c:pt idx="74">
                  <c:v>46150</c:v>
                </c:pt>
                <c:pt idx="75">
                  <c:v>46151</c:v>
                </c:pt>
                <c:pt idx="76">
                  <c:v>46152</c:v>
                </c:pt>
                <c:pt idx="77">
                  <c:v>46153</c:v>
                </c:pt>
                <c:pt idx="78">
                  <c:v>46154</c:v>
                </c:pt>
                <c:pt idx="79">
                  <c:v>46155</c:v>
                </c:pt>
                <c:pt idx="80">
                  <c:v>46156</c:v>
                </c:pt>
                <c:pt idx="81">
                  <c:v>46157</c:v>
                </c:pt>
                <c:pt idx="82">
                  <c:v>46158</c:v>
                </c:pt>
                <c:pt idx="83">
                  <c:v>46159</c:v>
                </c:pt>
                <c:pt idx="84">
                  <c:v>46160</c:v>
                </c:pt>
                <c:pt idx="85">
                  <c:v>46161</c:v>
                </c:pt>
                <c:pt idx="86">
                  <c:v>46162</c:v>
                </c:pt>
                <c:pt idx="87">
                  <c:v>46163</c:v>
                </c:pt>
                <c:pt idx="88">
                  <c:v>46164</c:v>
                </c:pt>
                <c:pt idx="89">
                  <c:v>46165</c:v>
                </c:pt>
                <c:pt idx="90">
                  <c:v>46166</c:v>
                </c:pt>
                <c:pt idx="91">
                  <c:v>46167</c:v>
                </c:pt>
                <c:pt idx="92">
                  <c:v>46168</c:v>
                </c:pt>
                <c:pt idx="93">
                  <c:v>46169</c:v>
                </c:pt>
                <c:pt idx="94">
                  <c:v>46170</c:v>
                </c:pt>
                <c:pt idx="95">
                  <c:v>46171</c:v>
                </c:pt>
                <c:pt idx="96">
                  <c:v>46172</c:v>
                </c:pt>
                <c:pt idx="97">
                  <c:v>46173</c:v>
                </c:pt>
                <c:pt idx="98">
                  <c:v>46174</c:v>
                </c:pt>
                <c:pt idx="99">
                  <c:v>46175</c:v>
                </c:pt>
                <c:pt idx="100">
                  <c:v>46176</c:v>
                </c:pt>
                <c:pt idx="101">
                  <c:v>46177</c:v>
                </c:pt>
              </c:numCache>
            </c:numRef>
          </c:cat>
          <c:val>
            <c:numRef>
              <c:f>'進度曲線(查核可用)'!$B$4:$CY$4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C9-4363-B9DA-7494FB607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3761407"/>
        <c:axId val="813759967"/>
      </c:lineChart>
      <c:dateAx>
        <c:axId val="813761407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3759967"/>
        <c:crosses val="autoZero"/>
        <c:auto val="1"/>
        <c:lblOffset val="100"/>
        <c:baseTimeUnit val="days"/>
        <c:majorUnit val="10"/>
        <c:majorTimeUnit val="days"/>
      </c:dateAx>
      <c:valAx>
        <c:axId val="813759967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13761407"/>
        <c:crossesAt val="45889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9062299850089892"/>
          <c:y val="0.6116892680081657"/>
          <c:w val="0.26889629308670382"/>
          <c:h val="0.230903324584426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247650</xdr:colOff>
          <xdr:row>3</xdr:row>
          <xdr:rowOff>19050</xdr:rowOff>
        </xdr:from>
        <xdr:to>
          <xdr:col>20</xdr:col>
          <xdr:colOff>57150</xdr:colOff>
          <xdr:row>3</xdr:row>
          <xdr:rowOff>314325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列印施工日誌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247650</xdr:colOff>
          <xdr:row>4</xdr:row>
          <xdr:rowOff>123825</xdr:rowOff>
        </xdr:from>
        <xdr:to>
          <xdr:col>20</xdr:col>
          <xdr:colOff>57150</xdr:colOff>
          <xdr:row>6</xdr:row>
          <xdr:rowOff>19050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輸出為PDF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3</xdr:row>
          <xdr:rowOff>152400</xdr:rowOff>
        </xdr:from>
        <xdr:to>
          <xdr:col>14</xdr:col>
          <xdr:colOff>476250</xdr:colOff>
          <xdr:row>4</xdr:row>
          <xdr:rowOff>228600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列印監造報表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5</xdr:row>
          <xdr:rowOff>238125</xdr:rowOff>
        </xdr:from>
        <xdr:to>
          <xdr:col>14</xdr:col>
          <xdr:colOff>476250</xdr:colOff>
          <xdr:row>6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輸出為PDF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7</xdr:row>
      <xdr:rowOff>190500</xdr:rowOff>
    </xdr:from>
    <xdr:to>
      <xdr:col>11</xdr:col>
      <xdr:colOff>485775</xdr:colOff>
      <xdr:row>21</xdr:row>
      <xdr:rowOff>133350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230AF59F-4C23-4912-B9B7-AA3BD68854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EECD0-84B0-4B14-9491-C39C11FAE00E}">
  <sheetPr codeName="工作表1"/>
  <dimension ref="A1:G14"/>
  <sheetViews>
    <sheetView view="pageBreakPreview" zoomScale="60" zoomScaleNormal="100" workbookViewId="0">
      <selection activeCell="J12" sqref="J12"/>
    </sheetView>
  </sheetViews>
  <sheetFormatPr defaultColWidth="10.28515625" defaultRowHeight="50.25"/>
  <cols>
    <col min="1" max="2" width="10.28515625" style="52"/>
    <col min="3" max="3" width="25" style="52" bestFit="1" customWidth="1"/>
    <col min="4" max="4" width="2.85546875" style="52" bestFit="1" customWidth="1"/>
    <col min="5" max="5" width="28.85546875" style="52" bestFit="1" customWidth="1"/>
    <col min="6" max="16384" width="10.28515625" style="52"/>
  </cols>
  <sheetData>
    <row r="1" spans="1:7">
      <c r="A1" s="180" t="str">
        <f>內容!E6</f>
        <v>臺中市立光明國民中學</v>
      </c>
      <c r="B1" s="180"/>
      <c r="C1" s="180"/>
      <c r="D1" s="180"/>
      <c r="E1" s="180"/>
      <c r="F1" s="180"/>
      <c r="G1" s="180"/>
    </row>
    <row r="2" spans="1:7">
      <c r="A2" s="56"/>
      <c r="B2" s="56"/>
      <c r="C2" s="56"/>
      <c r="D2" s="56"/>
      <c r="E2" s="56"/>
      <c r="F2" s="56"/>
      <c r="G2" s="56"/>
    </row>
    <row r="3" spans="1:7" ht="50.25" customHeight="1">
      <c r="A3" s="183" t="str">
        <f>內容!E1</f>
        <v>光明國中-行政大樓外牆與屋頂防水工程</v>
      </c>
      <c r="B3" s="184"/>
      <c r="C3" s="184"/>
      <c r="D3" s="184"/>
      <c r="E3" s="184"/>
      <c r="F3" s="184"/>
      <c r="G3" s="184"/>
    </row>
    <row r="4" spans="1:7">
      <c r="A4" s="184"/>
      <c r="B4" s="184"/>
      <c r="C4" s="184"/>
      <c r="D4" s="184"/>
      <c r="E4" s="184"/>
      <c r="F4" s="184"/>
      <c r="G4" s="184"/>
    </row>
    <row r="7" spans="1:7">
      <c r="A7" s="181" t="s">
        <v>56</v>
      </c>
      <c r="B7" s="181"/>
      <c r="C7" s="181"/>
      <c r="D7" s="181"/>
      <c r="E7" s="181"/>
      <c r="F7" s="181"/>
      <c r="G7" s="181"/>
    </row>
    <row r="8" spans="1:7">
      <c r="C8" s="55">
        <f>內容!L7</f>
        <v>46076</v>
      </c>
      <c r="D8" s="54" t="s">
        <v>55</v>
      </c>
      <c r="E8" s="53" t="e">
        <f>內容!#REF!</f>
        <v>#REF!</v>
      </c>
    </row>
    <row r="14" spans="1:7">
      <c r="A14" s="182" t="s">
        <v>177</v>
      </c>
      <c r="B14" s="182"/>
      <c r="C14" s="182"/>
      <c r="D14" s="182"/>
      <c r="E14" s="182"/>
      <c r="F14" s="182"/>
      <c r="G14" s="182"/>
    </row>
  </sheetData>
  <mergeCells count="4">
    <mergeCell ref="A1:G1"/>
    <mergeCell ref="A7:G7"/>
    <mergeCell ref="A14:G14"/>
    <mergeCell ref="A3:G4"/>
  </mergeCells>
  <phoneticPr fontId="2" type="noConversion"/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DI226"/>
  <sheetViews>
    <sheetView tabSelected="1" topLeftCell="A7" zoomScale="70" zoomScaleNormal="70" workbookViewId="0">
      <pane xSplit="11" topLeftCell="AF1" activePane="topRight" state="frozen"/>
      <selection pane="topRight" activeCell="AR33" sqref="AR33"/>
    </sheetView>
  </sheetViews>
  <sheetFormatPr defaultColWidth="9.140625" defaultRowHeight="16.5"/>
  <cols>
    <col min="1" max="2" width="4.28515625" style="97" customWidth="1"/>
    <col min="3" max="3" width="5.85546875" style="97" bestFit="1" customWidth="1"/>
    <col min="4" max="4" width="36.140625" style="97" customWidth="1"/>
    <col min="5" max="5" width="15" style="97" customWidth="1"/>
    <col min="6" max="6" width="12.85546875" style="75" customWidth="1"/>
    <col min="7" max="8" width="15" style="97" customWidth="1"/>
    <col min="9" max="9" width="12" style="113" customWidth="1"/>
    <col min="10" max="10" width="11" style="97" customWidth="1"/>
    <col min="11" max="11" width="13.42578125" style="76" customWidth="1"/>
    <col min="12" max="111" width="10.7109375" style="97" customWidth="1"/>
    <col min="112" max="16384" width="9.140625" style="97"/>
  </cols>
  <sheetData>
    <row r="1" spans="1:113" s="75" customFormat="1">
      <c r="A1" s="76"/>
      <c r="B1" s="76"/>
      <c r="C1" s="76"/>
      <c r="D1" s="75" t="s">
        <v>0</v>
      </c>
      <c r="E1" s="51" t="s">
        <v>143</v>
      </c>
      <c r="F1" s="3"/>
      <c r="G1" s="3"/>
      <c r="H1" s="2"/>
      <c r="I1" s="49" t="s">
        <v>1</v>
      </c>
      <c r="J1" s="157">
        <v>1</v>
      </c>
      <c r="K1" s="48">
        <v>36</v>
      </c>
      <c r="L1" s="2">
        <v>1</v>
      </c>
      <c r="M1" s="2">
        <f>L1+1</f>
        <v>2</v>
      </c>
      <c r="N1" s="2">
        <f t="shared" ref="N1:BY1" si="0">M1+1</f>
        <v>3</v>
      </c>
      <c r="O1" s="2">
        <f t="shared" si="0"/>
        <v>4</v>
      </c>
      <c r="P1" s="2">
        <f t="shared" si="0"/>
        <v>5</v>
      </c>
      <c r="Q1" s="2">
        <f t="shared" si="0"/>
        <v>6</v>
      </c>
      <c r="R1" s="2">
        <f t="shared" si="0"/>
        <v>7</v>
      </c>
      <c r="S1" s="2">
        <f t="shared" si="0"/>
        <v>8</v>
      </c>
      <c r="T1" s="2">
        <f t="shared" si="0"/>
        <v>9</v>
      </c>
      <c r="U1" s="2">
        <f t="shared" si="0"/>
        <v>10</v>
      </c>
      <c r="V1" s="2">
        <f t="shared" si="0"/>
        <v>11</v>
      </c>
      <c r="W1" s="2">
        <f t="shared" si="0"/>
        <v>12</v>
      </c>
      <c r="X1" s="2">
        <f t="shared" si="0"/>
        <v>13</v>
      </c>
      <c r="Y1" s="2">
        <f t="shared" si="0"/>
        <v>14</v>
      </c>
      <c r="Z1" s="2">
        <f t="shared" si="0"/>
        <v>15</v>
      </c>
      <c r="AA1" s="2">
        <f t="shared" si="0"/>
        <v>16</v>
      </c>
      <c r="AB1" s="2">
        <f t="shared" si="0"/>
        <v>17</v>
      </c>
      <c r="AC1" s="2">
        <f t="shared" si="0"/>
        <v>18</v>
      </c>
      <c r="AD1" s="2">
        <f t="shared" si="0"/>
        <v>19</v>
      </c>
      <c r="AE1" s="2">
        <f t="shared" si="0"/>
        <v>20</v>
      </c>
      <c r="AF1" s="2">
        <f t="shared" si="0"/>
        <v>21</v>
      </c>
      <c r="AG1" s="2">
        <f t="shared" si="0"/>
        <v>22</v>
      </c>
      <c r="AH1" s="2">
        <f t="shared" si="0"/>
        <v>23</v>
      </c>
      <c r="AI1" s="2">
        <f t="shared" si="0"/>
        <v>24</v>
      </c>
      <c r="AJ1" s="2">
        <f t="shared" si="0"/>
        <v>25</v>
      </c>
      <c r="AK1" s="2">
        <f t="shared" si="0"/>
        <v>26</v>
      </c>
      <c r="AL1" s="2">
        <f t="shared" si="0"/>
        <v>27</v>
      </c>
      <c r="AM1" s="2">
        <f t="shared" si="0"/>
        <v>28</v>
      </c>
      <c r="AN1" s="2">
        <f t="shared" si="0"/>
        <v>29</v>
      </c>
      <c r="AO1" s="2">
        <f t="shared" si="0"/>
        <v>30</v>
      </c>
      <c r="AP1" s="2">
        <f t="shared" si="0"/>
        <v>31</v>
      </c>
      <c r="AQ1" s="2">
        <f t="shared" si="0"/>
        <v>32</v>
      </c>
      <c r="AR1" s="2">
        <f t="shared" si="0"/>
        <v>33</v>
      </c>
      <c r="AS1" s="2">
        <f t="shared" si="0"/>
        <v>34</v>
      </c>
      <c r="AT1" s="2">
        <f t="shared" si="0"/>
        <v>35</v>
      </c>
      <c r="AU1" s="2">
        <f t="shared" si="0"/>
        <v>36</v>
      </c>
      <c r="AV1" s="2">
        <f t="shared" si="0"/>
        <v>37</v>
      </c>
      <c r="AW1" s="2">
        <f t="shared" si="0"/>
        <v>38</v>
      </c>
      <c r="AX1" s="2">
        <f t="shared" si="0"/>
        <v>39</v>
      </c>
      <c r="AY1" s="2">
        <f t="shared" si="0"/>
        <v>40</v>
      </c>
      <c r="AZ1" s="2">
        <f t="shared" si="0"/>
        <v>41</v>
      </c>
      <c r="BA1" s="2">
        <f t="shared" si="0"/>
        <v>42</v>
      </c>
      <c r="BB1" s="2">
        <f t="shared" si="0"/>
        <v>43</v>
      </c>
      <c r="BC1" s="2">
        <f t="shared" si="0"/>
        <v>44</v>
      </c>
      <c r="BD1" s="2">
        <f t="shared" si="0"/>
        <v>45</v>
      </c>
      <c r="BE1" s="2">
        <f t="shared" si="0"/>
        <v>46</v>
      </c>
      <c r="BF1" s="2">
        <f t="shared" si="0"/>
        <v>47</v>
      </c>
      <c r="BG1" s="2">
        <f t="shared" si="0"/>
        <v>48</v>
      </c>
      <c r="BH1" s="2">
        <f t="shared" si="0"/>
        <v>49</v>
      </c>
      <c r="BI1" s="2">
        <f t="shared" si="0"/>
        <v>50</v>
      </c>
      <c r="BJ1" s="2">
        <f t="shared" si="0"/>
        <v>51</v>
      </c>
      <c r="BK1" s="2">
        <f t="shared" si="0"/>
        <v>52</v>
      </c>
      <c r="BL1" s="2">
        <f t="shared" si="0"/>
        <v>53</v>
      </c>
      <c r="BM1" s="2">
        <f t="shared" si="0"/>
        <v>54</v>
      </c>
      <c r="BN1" s="2">
        <f t="shared" si="0"/>
        <v>55</v>
      </c>
      <c r="BO1" s="2">
        <f t="shared" si="0"/>
        <v>56</v>
      </c>
      <c r="BP1" s="2">
        <f t="shared" si="0"/>
        <v>57</v>
      </c>
      <c r="BQ1" s="2">
        <f t="shared" si="0"/>
        <v>58</v>
      </c>
      <c r="BR1" s="2">
        <f t="shared" si="0"/>
        <v>59</v>
      </c>
      <c r="BS1" s="2">
        <f t="shared" si="0"/>
        <v>60</v>
      </c>
      <c r="BT1" s="2">
        <f t="shared" si="0"/>
        <v>61</v>
      </c>
      <c r="BU1" s="2">
        <f t="shared" si="0"/>
        <v>62</v>
      </c>
      <c r="BV1" s="2">
        <f t="shared" si="0"/>
        <v>63</v>
      </c>
      <c r="BW1" s="2">
        <f t="shared" si="0"/>
        <v>64</v>
      </c>
      <c r="BX1" s="2">
        <f t="shared" si="0"/>
        <v>65</v>
      </c>
      <c r="BY1" s="2">
        <f t="shared" si="0"/>
        <v>66</v>
      </c>
      <c r="BZ1" s="2">
        <f t="shared" ref="BZ1:CZ1" si="1">BY1+1</f>
        <v>67</v>
      </c>
      <c r="CA1" s="2">
        <f t="shared" si="1"/>
        <v>68</v>
      </c>
      <c r="CB1" s="2">
        <f t="shared" si="1"/>
        <v>69</v>
      </c>
      <c r="CC1" s="2">
        <f t="shared" si="1"/>
        <v>70</v>
      </c>
      <c r="CD1" s="2">
        <f t="shared" si="1"/>
        <v>71</v>
      </c>
      <c r="CE1" s="2">
        <f t="shared" si="1"/>
        <v>72</v>
      </c>
      <c r="CF1" s="2">
        <f t="shared" si="1"/>
        <v>73</v>
      </c>
      <c r="CG1" s="2">
        <f t="shared" si="1"/>
        <v>74</v>
      </c>
      <c r="CH1" s="2">
        <f t="shared" si="1"/>
        <v>75</v>
      </c>
      <c r="CI1" s="2">
        <f t="shared" si="1"/>
        <v>76</v>
      </c>
      <c r="CJ1" s="2">
        <f t="shared" si="1"/>
        <v>77</v>
      </c>
      <c r="CK1" s="2">
        <f t="shared" si="1"/>
        <v>78</v>
      </c>
      <c r="CL1" s="2">
        <f t="shared" si="1"/>
        <v>79</v>
      </c>
      <c r="CM1" s="2">
        <f t="shared" si="1"/>
        <v>80</v>
      </c>
      <c r="CN1" s="2">
        <f t="shared" si="1"/>
        <v>81</v>
      </c>
      <c r="CO1" s="2">
        <f t="shared" si="1"/>
        <v>82</v>
      </c>
      <c r="CP1" s="2">
        <f t="shared" si="1"/>
        <v>83</v>
      </c>
      <c r="CQ1" s="2">
        <f t="shared" si="1"/>
        <v>84</v>
      </c>
      <c r="CR1" s="2">
        <f t="shared" si="1"/>
        <v>85</v>
      </c>
      <c r="CS1" s="2">
        <f t="shared" si="1"/>
        <v>86</v>
      </c>
      <c r="CT1" s="2">
        <f t="shared" si="1"/>
        <v>87</v>
      </c>
      <c r="CU1" s="2">
        <f t="shared" si="1"/>
        <v>88</v>
      </c>
      <c r="CV1" s="2">
        <f t="shared" si="1"/>
        <v>89</v>
      </c>
      <c r="CW1" s="2">
        <f t="shared" si="1"/>
        <v>90</v>
      </c>
      <c r="CX1" s="2">
        <f t="shared" si="1"/>
        <v>91</v>
      </c>
      <c r="CY1" s="2">
        <f t="shared" si="1"/>
        <v>92</v>
      </c>
      <c r="CZ1" s="2">
        <f t="shared" si="1"/>
        <v>93</v>
      </c>
      <c r="DA1" s="2">
        <f t="shared" ref="DA1:DG1" si="2">CZ1+1</f>
        <v>94</v>
      </c>
      <c r="DB1" s="2">
        <f t="shared" si="2"/>
        <v>95</v>
      </c>
      <c r="DC1" s="2">
        <f t="shared" si="2"/>
        <v>96</v>
      </c>
      <c r="DD1" s="2">
        <f t="shared" si="2"/>
        <v>97</v>
      </c>
      <c r="DE1" s="2">
        <f t="shared" si="2"/>
        <v>98</v>
      </c>
      <c r="DF1" s="2">
        <f t="shared" si="2"/>
        <v>99</v>
      </c>
      <c r="DG1" s="2">
        <f t="shared" si="2"/>
        <v>100</v>
      </c>
      <c r="DH1" s="2">
        <f t="shared" ref="DH1" si="3">DG1+1</f>
        <v>101</v>
      </c>
      <c r="DI1" s="2">
        <f t="shared" ref="DI1" si="4">DH1+1</f>
        <v>102</v>
      </c>
    </row>
    <row r="2" spans="1:113" s="75" customFormat="1">
      <c r="A2" s="76"/>
      <c r="B2" s="76"/>
      <c r="C2" s="76"/>
      <c r="D2" s="75" t="s">
        <v>2</v>
      </c>
      <c r="E2" s="1">
        <v>100</v>
      </c>
      <c r="F2" s="77"/>
      <c r="G2" s="77" t="s">
        <v>3</v>
      </c>
      <c r="I2" s="49"/>
      <c r="K2" s="78">
        <f>IF(LOOKUP(K$1,L$1:DG$1,L2:DG2)=0,"",LOOKUP(K$1,L$1:DG$1,L2:DG2))</f>
        <v>34</v>
      </c>
      <c r="L2" s="75">
        <f>IF(AND(OR(L9=1,L9=0,L9=11,L9=10,L9=21,L9=20),OR(L10=1,L10=0,L10=11,L10=10,L10=21,L10=20)),(IF(OR(L9=1,L9=10,L9=11),1,0)+IF(OR(L10=1,L10=10,L10=11),1,0))*0.5,"錯")</f>
        <v>1</v>
      </c>
      <c r="M2" s="75">
        <f t="shared" ref="M2:Y2" si="5">IF(AND(OR(M9=1,M9=0,M9=11,M9=10,M9=21,M9=20),OR(M10=1,M10=0,M10=11,M10=10,M10=21,M10=20)),(IF(OR(M9=1,M9=10,M9=11),1,0)+IF(OR(M10=1,M10=10,M10=11),1,0))*0.5+L2,"錯")</f>
        <v>2</v>
      </c>
      <c r="N2" s="75">
        <f t="shared" si="5"/>
        <v>3</v>
      </c>
      <c r="O2" s="75">
        <f t="shared" si="5"/>
        <v>4</v>
      </c>
      <c r="P2" s="75">
        <f t="shared" si="5"/>
        <v>5</v>
      </c>
      <c r="Q2" s="75">
        <f t="shared" si="5"/>
        <v>6</v>
      </c>
      <c r="R2" s="75">
        <f t="shared" si="5"/>
        <v>7</v>
      </c>
      <c r="S2" s="75">
        <f t="shared" si="5"/>
        <v>8</v>
      </c>
      <c r="T2" s="75">
        <f t="shared" si="5"/>
        <v>8</v>
      </c>
      <c r="U2" s="75">
        <f>IF(AND(OR(U9=1,U9=0,U9=11,U9=10,U9=21,U9=20),OR(U10=1,U10=0,U10=11,U10=10,U10=21,U10=20)),(IF(OR(U9=1,U9=10,U9=11),1,0)+IF(OR(U10=1,U10=10,U10=11),1,0))*0.5+T2,"錯")</f>
        <v>9</v>
      </c>
      <c r="V2" s="75">
        <f t="shared" si="5"/>
        <v>9</v>
      </c>
      <c r="W2" s="75">
        <f t="shared" si="5"/>
        <v>10</v>
      </c>
      <c r="X2" s="75">
        <f t="shared" si="5"/>
        <v>11</v>
      </c>
      <c r="Y2" s="75">
        <f t="shared" si="5"/>
        <v>12</v>
      </c>
      <c r="Z2" s="75">
        <f>IF(AND(OR(Z9=1,Z9=0,Z9=11,Z9=10,Z9=21,Z9=20),OR(Z10=1,Z10=0,Z10=11,Z10=10,Z10=21,Z10=20)),(IF(OR(Z9=1,Z9=10,Z9=11),1,0)+IF(OR(Z10=1,Z10=10,Z10=11),1,0))*0.5+Y2,"錯")</f>
        <v>13</v>
      </c>
      <c r="AA2" s="75">
        <f>IF(AND(OR(AA9=1,AA9=0,AA9=11,AA9=10,AA9=21,AA9=20),OR(AA10=1,AA10=0,AA10=11,AA10=10,AA10=21,AA10=20)),(IF(OR(AA9=1,AA9=10,AA9=11),1,0)+IF(OR(AA10=1,AA10=10,AA10=11),1,0))*0.5+Z2,"錯")</f>
        <v>14</v>
      </c>
      <c r="AB2" s="75">
        <f>IF(AND(OR(AB9=1,AB9=0,AB9=11,AB9=10,AB9=21,AB9=20),OR(AB10=1,AB10=0,AB10=11,AB10=10,AB10=21,AB10=20)),(IF(OR(AB9=1,AB9=10,AB9=11),1,0)+IF(OR(AB10=1,AB10=10,AB10=11),1,0))*0.5+AA2,"錯")</f>
        <v>15</v>
      </c>
      <c r="AC2" s="75">
        <f>IF(AND(OR(AC9=1,AC9=0,AC9=11,AC9=10,AC9=21,AC9=20),OR(AC10=1,AC10=0,AC10=11,AC10=10,AC10=21,AC10=20)),(IF(OR(AC9=1,AC9=10,AC9=11),1,0)+IF(OR(AC10=1,AC10=10,AC10=11),1,0))*0.5+AB2,"錯")</f>
        <v>16</v>
      </c>
      <c r="AD2" s="75">
        <f>IF(AND(OR(AD9=1,AD9=0,AD9=11,AD9=10,AD9=21,AD9=20),OR(AD10=1,AD10=0,AD10=11,AD10=10,AD10=21,AD10=20)),(IF(OR(AD9=1,AD9=10,AD9=11),1,0)+IF(OR(AD10=1,AD10=10,AD10=11),1,0))*0.5+AC2,"錯")</f>
        <v>17</v>
      </c>
      <c r="AE2" s="75">
        <f t="shared" ref="AE2:CP2" si="6">IF(AND(OR(AE9=1,AE9=0,AE9=11,AE9=10,AE9=21,AE9=20),OR(AE10=1,AE10=0,AE10=11,AE10=10,AE10=21,AE10=20)),(IF(OR(AE9=1,AE9=10,AE9=11),1,0)+IF(OR(AE10=1,AE10=10,AE10=11),1,0))*0.5+AD2,"錯")</f>
        <v>18</v>
      </c>
      <c r="AF2" s="75">
        <f t="shared" si="6"/>
        <v>19</v>
      </c>
      <c r="AG2" s="75">
        <f t="shared" si="6"/>
        <v>20</v>
      </c>
      <c r="AH2" s="75">
        <f t="shared" si="6"/>
        <v>21</v>
      </c>
      <c r="AI2" s="75">
        <f t="shared" si="6"/>
        <v>22</v>
      </c>
      <c r="AJ2" s="75">
        <f t="shared" si="6"/>
        <v>23</v>
      </c>
      <c r="AK2" s="75">
        <f t="shared" si="6"/>
        <v>24</v>
      </c>
      <c r="AL2" s="75">
        <f t="shared" si="6"/>
        <v>25</v>
      </c>
      <c r="AM2" s="75">
        <f t="shared" si="6"/>
        <v>26</v>
      </c>
      <c r="AN2" s="75">
        <f t="shared" si="6"/>
        <v>27</v>
      </c>
      <c r="AO2" s="75">
        <f t="shared" si="6"/>
        <v>28</v>
      </c>
      <c r="AP2" s="75">
        <f t="shared" si="6"/>
        <v>29</v>
      </c>
      <c r="AQ2" s="75">
        <f t="shared" si="6"/>
        <v>30</v>
      </c>
      <c r="AR2" s="75">
        <f t="shared" si="6"/>
        <v>31</v>
      </c>
      <c r="AS2" s="75">
        <f t="shared" si="6"/>
        <v>32</v>
      </c>
      <c r="AT2" s="75">
        <f t="shared" si="6"/>
        <v>33</v>
      </c>
      <c r="AU2" s="75">
        <f t="shared" si="6"/>
        <v>34</v>
      </c>
      <c r="AV2" s="75">
        <f t="shared" si="6"/>
        <v>35</v>
      </c>
      <c r="AW2" s="75">
        <f t="shared" si="6"/>
        <v>36</v>
      </c>
      <c r="AX2" s="75">
        <f t="shared" si="6"/>
        <v>37</v>
      </c>
      <c r="AY2" s="75">
        <f t="shared" si="6"/>
        <v>38</v>
      </c>
      <c r="AZ2" s="75">
        <f t="shared" si="6"/>
        <v>39</v>
      </c>
      <c r="BA2" s="75">
        <f t="shared" si="6"/>
        <v>40</v>
      </c>
      <c r="BB2" s="75">
        <f t="shared" si="6"/>
        <v>41</v>
      </c>
      <c r="BC2" s="75">
        <f t="shared" si="6"/>
        <v>42</v>
      </c>
      <c r="BD2" s="75">
        <f t="shared" si="6"/>
        <v>43</v>
      </c>
      <c r="BE2" s="75">
        <f t="shared" si="6"/>
        <v>44</v>
      </c>
      <c r="BF2" s="75">
        <f t="shared" si="6"/>
        <v>45</v>
      </c>
      <c r="BG2" s="75">
        <f>IF(AND(OR(BG9=1,BG9=0,BG9=11,BG9=10,BG9=21,BG9=20),OR(BG10=1,BG10=0,BG10=11,BG10=10,BG10=21,BG10=20)),(IF(OR(BG9=1,BG9=10,BG9=11),1,0)+IF(OR(BG10=1,BG10=10,BG10=11),1,0))*0.5+BF2,"錯")</f>
        <v>46</v>
      </c>
      <c r="BH2" s="75">
        <f t="shared" si="6"/>
        <v>47</v>
      </c>
      <c r="BI2" s="75">
        <f t="shared" si="6"/>
        <v>48</v>
      </c>
      <c r="BJ2" s="75">
        <f t="shared" si="6"/>
        <v>49</v>
      </c>
      <c r="BK2" s="75">
        <f t="shared" si="6"/>
        <v>50</v>
      </c>
      <c r="BL2" s="75">
        <f t="shared" si="6"/>
        <v>51</v>
      </c>
      <c r="BM2" s="75">
        <f t="shared" si="6"/>
        <v>52</v>
      </c>
      <c r="BN2" s="75">
        <f t="shared" si="6"/>
        <v>53</v>
      </c>
      <c r="BO2" s="75">
        <f t="shared" si="6"/>
        <v>54</v>
      </c>
      <c r="BP2" s="75">
        <f t="shared" si="6"/>
        <v>55</v>
      </c>
      <c r="BQ2" s="75">
        <f t="shared" si="6"/>
        <v>56</v>
      </c>
      <c r="BR2" s="75">
        <f t="shared" si="6"/>
        <v>57</v>
      </c>
      <c r="BS2" s="75">
        <f t="shared" si="6"/>
        <v>58</v>
      </c>
      <c r="BT2" s="75">
        <f t="shared" si="6"/>
        <v>59</v>
      </c>
      <c r="BU2" s="75">
        <f t="shared" si="6"/>
        <v>60</v>
      </c>
      <c r="BV2" s="75">
        <f t="shared" si="6"/>
        <v>61</v>
      </c>
      <c r="BW2" s="75">
        <f t="shared" si="6"/>
        <v>62</v>
      </c>
      <c r="BX2" s="75">
        <f t="shared" si="6"/>
        <v>63</v>
      </c>
      <c r="BY2" s="75">
        <f t="shared" si="6"/>
        <v>64</v>
      </c>
      <c r="BZ2" s="75">
        <f t="shared" si="6"/>
        <v>65</v>
      </c>
      <c r="CA2" s="75">
        <f t="shared" si="6"/>
        <v>66</v>
      </c>
      <c r="CB2" s="75">
        <f t="shared" si="6"/>
        <v>67</v>
      </c>
      <c r="CC2" s="75">
        <f t="shared" si="6"/>
        <v>68</v>
      </c>
      <c r="CD2" s="75">
        <f t="shared" si="6"/>
        <v>69</v>
      </c>
      <c r="CE2" s="75">
        <f t="shared" si="6"/>
        <v>70</v>
      </c>
      <c r="CF2" s="75">
        <f t="shared" si="6"/>
        <v>71</v>
      </c>
      <c r="CG2" s="75">
        <f t="shared" si="6"/>
        <v>72</v>
      </c>
      <c r="CH2" s="75">
        <f t="shared" si="6"/>
        <v>73</v>
      </c>
      <c r="CI2" s="75">
        <f t="shared" si="6"/>
        <v>74</v>
      </c>
      <c r="CJ2" s="75">
        <f t="shared" si="6"/>
        <v>75</v>
      </c>
      <c r="CK2" s="75">
        <f t="shared" si="6"/>
        <v>76</v>
      </c>
      <c r="CL2" s="75">
        <f t="shared" si="6"/>
        <v>77</v>
      </c>
      <c r="CM2" s="75">
        <f t="shared" si="6"/>
        <v>78</v>
      </c>
      <c r="CN2" s="75">
        <f t="shared" si="6"/>
        <v>79</v>
      </c>
      <c r="CO2" s="75">
        <f t="shared" si="6"/>
        <v>80</v>
      </c>
      <c r="CP2" s="75">
        <f t="shared" si="6"/>
        <v>81</v>
      </c>
      <c r="CQ2" s="75">
        <f t="shared" ref="CQ2" si="7">IF(AND(OR(CQ9=1,CQ9=0,CQ9=11,CQ9=10,CQ9=21,CQ9=20),OR(CQ10=1,CQ10=0,CQ10=11,CQ10=10,CQ10=21,CQ10=20)),(IF(OR(CQ9=1,CQ9=10,CQ9=11),1,0)+IF(OR(CQ10=1,CQ10=10,CQ10=11),1,0))*0.5+CP2,"錯")</f>
        <v>82</v>
      </c>
      <c r="CR2" s="75">
        <f t="shared" ref="CR2" si="8">IF(AND(OR(CR9=1,CR9=0,CR9=11,CR9=10,CR9=21,CR9=20),OR(CR10=1,CR10=0,CR10=11,CR10=10,CR10=21,CR10=20)),(IF(OR(CR9=1,CR9=10,CR9=11),1,0)+IF(OR(CR10=1,CR10=10,CR10=11),1,0))*0.5+CQ2,"錯")</f>
        <v>83</v>
      </c>
      <c r="CS2" s="75">
        <f t="shared" ref="CS2" si="9">IF(AND(OR(CS9=1,CS9=0,CS9=11,CS9=10,CS9=21,CS9=20),OR(CS10=1,CS10=0,CS10=11,CS10=10,CS10=21,CS10=20)),(IF(OR(CS9=1,CS9=10,CS9=11),1,0)+IF(OR(CS10=1,CS10=10,CS10=11),1,0))*0.5+CR2,"錯")</f>
        <v>84</v>
      </c>
      <c r="CT2" s="75">
        <f t="shared" ref="CT2" si="10">IF(AND(OR(CT9=1,CT9=0,CT9=11,CT9=10,CT9=21,CT9=20),OR(CT10=1,CT10=0,CT10=11,CT10=10,CT10=21,CT10=20)),(IF(OR(CT9=1,CT9=10,CT9=11),1,0)+IF(OR(CT10=1,CT10=10,CT10=11),1,0))*0.5+CS2,"錯")</f>
        <v>85</v>
      </c>
      <c r="CU2" s="75">
        <f t="shared" ref="CU2" si="11">IF(AND(OR(CU9=1,CU9=0,CU9=11,CU9=10,CU9=21,CU9=20),OR(CU10=1,CU10=0,CU10=11,CU10=10,CU10=21,CU10=20)),(IF(OR(CU9=1,CU9=10,CU9=11),1,0)+IF(OR(CU10=1,CU10=10,CU10=11),1,0))*0.5+CT2,"錯")</f>
        <v>86</v>
      </c>
      <c r="CV2" s="75">
        <f t="shared" ref="CV2" si="12">IF(AND(OR(CV9=1,CV9=0,CV9=11,CV9=10,CV9=21,CV9=20),OR(CV10=1,CV10=0,CV10=11,CV10=10,CV10=21,CV10=20)),(IF(OR(CV9=1,CV9=10,CV9=11),1,0)+IF(OR(CV10=1,CV10=10,CV10=11),1,0))*0.5+CU2,"錯")</f>
        <v>87</v>
      </c>
      <c r="CW2" s="75">
        <f t="shared" ref="CW2" si="13">IF(AND(OR(CW9=1,CW9=0,CW9=11,CW9=10,CW9=21,CW9=20),OR(CW10=1,CW10=0,CW10=11,CW10=10,CW10=21,CW10=20)),(IF(OR(CW9=1,CW9=10,CW9=11),1,0)+IF(OR(CW10=1,CW10=10,CW10=11),1,0))*0.5+CV2,"錯")</f>
        <v>88</v>
      </c>
      <c r="CX2" s="75">
        <f t="shared" ref="CX2" si="14">IF(AND(OR(CX9=1,CX9=0,CX9=11,CX9=10,CX9=21,CX9=20),OR(CX10=1,CX10=0,CX10=11,CX10=10,CX10=21,CX10=20)),(IF(OR(CX9=1,CX9=10,CX9=11),1,0)+IF(OR(CX10=1,CX10=10,CX10=11),1,0))*0.5+CW2,"錯")</f>
        <v>89</v>
      </c>
      <c r="CY2" s="75">
        <f t="shared" ref="CY2" si="15">IF(AND(OR(CY9=1,CY9=0,CY9=11,CY9=10,CY9=21,CY9=20),OR(CY10=1,CY10=0,CY10=11,CY10=10,CY10=21,CY10=20)),(IF(OR(CY9=1,CY9=10,CY9=11),1,0)+IF(OR(CY10=1,CY10=10,CY10=11),1,0))*0.5+CX2,"錯")</f>
        <v>90</v>
      </c>
      <c r="CZ2" s="75">
        <f t="shared" ref="CZ2" si="16">IF(AND(OR(CZ9=1,CZ9=0,CZ9=11,CZ9=10,CZ9=21,CZ9=20),OR(CZ10=1,CZ10=0,CZ10=11,CZ10=10,CZ10=21,CZ10=20)),(IF(OR(CZ9=1,CZ9=10,CZ9=11),1,0)+IF(OR(CZ10=1,CZ10=10,CZ10=11),1,0))*0.5+CY2,"錯")</f>
        <v>91</v>
      </c>
      <c r="DA2" s="75">
        <f t="shared" ref="DA2" si="17">IF(AND(OR(DA9=1,DA9=0,DA9=11,DA9=10,DA9=21,DA9=20),OR(DA10=1,DA10=0,DA10=11,DA10=10,DA10=21,DA10=20)),(IF(OR(DA9=1,DA9=10,DA9=11),1,0)+IF(OR(DA10=1,DA10=10,DA10=11),1,0))*0.5+CZ2,"錯")</f>
        <v>92</v>
      </c>
      <c r="DB2" s="75">
        <f t="shared" ref="DB2" si="18">IF(AND(OR(DB9=1,DB9=0,DB9=11,DB9=10,DB9=21,DB9=20),OR(DB10=1,DB10=0,DB10=11,DB10=10,DB10=21,DB10=20)),(IF(OR(DB9=1,DB9=10,DB9=11),1,0)+IF(OR(DB10=1,DB10=10,DB10=11),1,0))*0.5+DA2,"錯")</f>
        <v>93</v>
      </c>
      <c r="DC2" s="75">
        <f t="shared" ref="DC2" si="19">IF(AND(OR(DC9=1,DC9=0,DC9=11,DC9=10,DC9=21,DC9=20),OR(DC10=1,DC10=0,DC10=11,DC10=10,DC10=21,DC10=20)),(IF(OR(DC9=1,DC9=10,DC9=11),1,0)+IF(OR(DC10=1,DC10=10,DC10=11),1,0))*0.5+DB2,"錯")</f>
        <v>94</v>
      </c>
      <c r="DD2" s="75">
        <f t="shared" ref="DD2" si="20">IF(AND(OR(DD9=1,DD9=0,DD9=11,DD9=10,DD9=21,DD9=20),OR(DD10=1,DD10=0,DD10=11,DD10=10,DD10=21,DD10=20)),(IF(OR(DD9=1,DD9=10,DD9=11),1,0)+IF(OR(DD10=1,DD10=10,DD10=11),1,0))*0.5+DC2,"錯")</f>
        <v>95</v>
      </c>
      <c r="DE2" s="75">
        <f t="shared" ref="DE2" si="21">IF(AND(OR(DE9=1,DE9=0,DE9=11,DE9=10,DE9=21,DE9=20),OR(DE10=1,DE10=0,DE10=11,DE10=10,DE10=21,DE10=20)),(IF(OR(DE9=1,DE9=10,DE9=11),1,0)+IF(OR(DE10=1,DE10=10,DE10=11),1,0))*0.5+DD2,"錯")</f>
        <v>96</v>
      </c>
      <c r="DF2" s="75">
        <f t="shared" ref="DF2" si="22">IF(AND(OR(DF9=1,DF9=0,DF9=11,DF9=10,DF9=21,DF9=20),OR(DF10=1,DF10=0,DF10=11,DF10=10,DF10=21,DF10=20)),(IF(OR(DF9=1,DF9=10,DF9=11),1,0)+IF(OR(DF10=1,DF10=10,DF10=11),1,0))*0.5+DE2,"錯")</f>
        <v>97</v>
      </c>
      <c r="DG2" s="75">
        <f t="shared" ref="DG2" si="23">IF(AND(OR(DG9=1,DG9=0,DG9=11,DG9=10,DG9=21,DG9=20),OR(DG10=1,DG10=0,DG10=11,DG10=10,DG10=21,DG10=20)),(IF(OR(DG9=1,DG9=10,DG9=11),1,0)+IF(OR(DG10=1,DG10=10,DG10=11),1,0))*0.5+DF2,"錯")</f>
        <v>98</v>
      </c>
      <c r="DH2" s="75">
        <f t="shared" ref="DH2" si="24">IF(AND(OR(DH9=1,DH9=0,DH9=11,DH9=10,DH9=21,DH9=20),OR(DH10=1,DH10=0,DH10=11,DH10=10,DH10=21,DH10=20)),(IF(OR(DH9=1,DH9=10,DH9=11),1,0)+IF(OR(DH10=1,DH10=10,DH10=11),1,0))*0.5+DG2,"錯")</f>
        <v>99</v>
      </c>
      <c r="DI2" s="75">
        <f t="shared" ref="DI2" si="25">IF(AND(OR(DI9=1,DI9=0,DI9=11,DI9=10,DI9=21,DI9=20),OR(DI10=1,DI10=0,DI10=11,DI10=10,DI10=21,DI10=20)),(IF(OR(DI9=1,DI9=10,DI9=11),1,0)+IF(OR(DI10=1,DI10=10,DI10=11),1,0))*0.5+DH2,"錯")</f>
        <v>100</v>
      </c>
    </row>
    <row r="3" spans="1:113" s="75" customFormat="1">
      <c r="A3" s="76"/>
      <c r="B3" s="76"/>
      <c r="C3" s="76"/>
      <c r="D3" s="75" t="s">
        <v>4</v>
      </c>
      <c r="E3" s="154">
        <v>2560000</v>
      </c>
      <c r="F3" s="77" t="s">
        <v>5</v>
      </c>
      <c r="G3" s="77" t="s">
        <v>6</v>
      </c>
      <c r="I3" s="49"/>
      <c r="J3" s="83"/>
      <c r="K3" s="78">
        <f>IF(LOOKUP(K$1,L$1:DG$1,L3:DG3)=0,"",LOOKUP(K$1,L$1:DG$1,L3:DG3))</f>
        <v>66</v>
      </c>
      <c r="L3" s="75">
        <f t="shared" ref="L3:BW3" si="26">$E$2-L2</f>
        <v>99</v>
      </c>
      <c r="M3" s="75">
        <f t="shared" si="26"/>
        <v>98</v>
      </c>
      <c r="N3" s="75">
        <f t="shared" si="26"/>
        <v>97</v>
      </c>
      <c r="O3" s="75">
        <f t="shared" si="26"/>
        <v>96</v>
      </c>
      <c r="P3" s="75">
        <f t="shared" si="26"/>
        <v>95</v>
      </c>
      <c r="Q3" s="75">
        <f t="shared" si="26"/>
        <v>94</v>
      </c>
      <c r="R3" s="75">
        <f t="shared" si="26"/>
        <v>93</v>
      </c>
      <c r="S3" s="75">
        <f t="shared" si="26"/>
        <v>92</v>
      </c>
      <c r="T3" s="75">
        <f t="shared" si="26"/>
        <v>92</v>
      </c>
      <c r="U3" s="75">
        <f t="shared" si="26"/>
        <v>91</v>
      </c>
      <c r="V3" s="75">
        <f t="shared" si="26"/>
        <v>91</v>
      </c>
      <c r="W3" s="75">
        <f t="shared" si="26"/>
        <v>90</v>
      </c>
      <c r="X3" s="75">
        <f t="shared" si="26"/>
        <v>89</v>
      </c>
      <c r="Y3" s="75">
        <f t="shared" si="26"/>
        <v>88</v>
      </c>
      <c r="Z3" s="75">
        <f t="shared" si="26"/>
        <v>87</v>
      </c>
      <c r="AA3" s="75">
        <f t="shared" si="26"/>
        <v>86</v>
      </c>
      <c r="AB3" s="75">
        <f t="shared" si="26"/>
        <v>85</v>
      </c>
      <c r="AC3" s="75">
        <f t="shared" si="26"/>
        <v>84</v>
      </c>
      <c r="AD3" s="75">
        <f>$E$2-AD2</f>
        <v>83</v>
      </c>
      <c r="AE3" s="75">
        <f t="shared" si="26"/>
        <v>82</v>
      </c>
      <c r="AF3" s="75">
        <f t="shared" si="26"/>
        <v>81</v>
      </c>
      <c r="AG3" s="75">
        <f t="shared" si="26"/>
        <v>80</v>
      </c>
      <c r="AH3" s="75">
        <f t="shared" si="26"/>
        <v>79</v>
      </c>
      <c r="AI3" s="75">
        <f t="shared" si="26"/>
        <v>78</v>
      </c>
      <c r="AJ3" s="75">
        <f t="shared" si="26"/>
        <v>77</v>
      </c>
      <c r="AK3" s="75">
        <f t="shared" si="26"/>
        <v>76</v>
      </c>
      <c r="AL3" s="75">
        <f t="shared" si="26"/>
        <v>75</v>
      </c>
      <c r="AM3" s="75">
        <f t="shared" si="26"/>
        <v>74</v>
      </c>
      <c r="AN3" s="75">
        <f t="shared" si="26"/>
        <v>73</v>
      </c>
      <c r="AO3" s="75">
        <f t="shared" si="26"/>
        <v>72</v>
      </c>
      <c r="AP3" s="75">
        <f t="shared" si="26"/>
        <v>71</v>
      </c>
      <c r="AQ3" s="75">
        <f t="shared" si="26"/>
        <v>70</v>
      </c>
      <c r="AR3" s="75">
        <f t="shared" si="26"/>
        <v>69</v>
      </c>
      <c r="AS3" s="75">
        <f t="shared" si="26"/>
        <v>68</v>
      </c>
      <c r="AT3" s="75">
        <f t="shared" si="26"/>
        <v>67</v>
      </c>
      <c r="AU3" s="75">
        <f t="shared" si="26"/>
        <v>66</v>
      </c>
      <c r="AV3" s="75">
        <f t="shared" si="26"/>
        <v>65</v>
      </c>
      <c r="AW3" s="75">
        <f t="shared" si="26"/>
        <v>64</v>
      </c>
      <c r="AX3" s="75">
        <f t="shared" si="26"/>
        <v>63</v>
      </c>
      <c r="AY3" s="75">
        <f t="shared" si="26"/>
        <v>62</v>
      </c>
      <c r="AZ3" s="75">
        <f t="shared" si="26"/>
        <v>61</v>
      </c>
      <c r="BA3" s="75">
        <f t="shared" si="26"/>
        <v>60</v>
      </c>
      <c r="BB3" s="75">
        <f t="shared" si="26"/>
        <v>59</v>
      </c>
      <c r="BC3" s="75">
        <f t="shared" si="26"/>
        <v>58</v>
      </c>
      <c r="BD3" s="75">
        <f t="shared" si="26"/>
        <v>57</v>
      </c>
      <c r="BE3" s="75">
        <f t="shared" si="26"/>
        <v>56</v>
      </c>
      <c r="BF3" s="75">
        <f t="shared" si="26"/>
        <v>55</v>
      </c>
      <c r="BG3" s="75">
        <f t="shared" si="26"/>
        <v>54</v>
      </c>
      <c r="BH3" s="75">
        <f t="shared" si="26"/>
        <v>53</v>
      </c>
      <c r="BI3" s="75">
        <f t="shared" si="26"/>
        <v>52</v>
      </c>
      <c r="BJ3" s="75">
        <f t="shared" si="26"/>
        <v>51</v>
      </c>
      <c r="BK3" s="75">
        <f t="shared" si="26"/>
        <v>50</v>
      </c>
      <c r="BL3" s="75">
        <f t="shared" si="26"/>
        <v>49</v>
      </c>
      <c r="BM3" s="75">
        <f t="shared" si="26"/>
        <v>48</v>
      </c>
      <c r="BN3" s="75">
        <f t="shared" si="26"/>
        <v>47</v>
      </c>
      <c r="BO3" s="75">
        <f t="shared" si="26"/>
        <v>46</v>
      </c>
      <c r="BP3" s="75">
        <f t="shared" si="26"/>
        <v>45</v>
      </c>
      <c r="BQ3" s="75">
        <f t="shared" si="26"/>
        <v>44</v>
      </c>
      <c r="BR3" s="75">
        <f t="shared" si="26"/>
        <v>43</v>
      </c>
      <c r="BS3" s="75">
        <f t="shared" si="26"/>
        <v>42</v>
      </c>
      <c r="BT3" s="75">
        <f t="shared" si="26"/>
        <v>41</v>
      </c>
      <c r="BU3" s="75">
        <f t="shared" si="26"/>
        <v>40</v>
      </c>
      <c r="BV3" s="75">
        <f t="shared" si="26"/>
        <v>39</v>
      </c>
      <c r="BW3" s="75">
        <f t="shared" si="26"/>
        <v>38</v>
      </c>
      <c r="BX3" s="75">
        <f t="shared" ref="BX3:CZ3" si="27">$E$2-BX2</f>
        <v>37</v>
      </c>
      <c r="BY3" s="75">
        <f t="shared" si="27"/>
        <v>36</v>
      </c>
      <c r="BZ3" s="75">
        <f t="shared" si="27"/>
        <v>35</v>
      </c>
      <c r="CA3" s="75">
        <f t="shared" si="27"/>
        <v>34</v>
      </c>
      <c r="CB3" s="75">
        <f t="shared" si="27"/>
        <v>33</v>
      </c>
      <c r="CC3" s="75">
        <f t="shared" si="27"/>
        <v>32</v>
      </c>
      <c r="CD3" s="75">
        <f t="shared" si="27"/>
        <v>31</v>
      </c>
      <c r="CE3" s="75">
        <f t="shared" si="27"/>
        <v>30</v>
      </c>
      <c r="CF3" s="75">
        <f t="shared" si="27"/>
        <v>29</v>
      </c>
      <c r="CG3" s="75">
        <f t="shared" si="27"/>
        <v>28</v>
      </c>
      <c r="CH3" s="75">
        <f t="shared" si="27"/>
        <v>27</v>
      </c>
      <c r="CI3" s="75">
        <f t="shared" si="27"/>
        <v>26</v>
      </c>
      <c r="CJ3" s="75">
        <f t="shared" si="27"/>
        <v>25</v>
      </c>
      <c r="CK3" s="75">
        <f t="shared" si="27"/>
        <v>24</v>
      </c>
      <c r="CL3" s="75">
        <f t="shared" si="27"/>
        <v>23</v>
      </c>
      <c r="CM3" s="75">
        <f t="shared" si="27"/>
        <v>22</v>
      </c>
      <c r="CN3" s="75">
        <f t="shared" si="27"/>
        <v>21</v>
      </c>
      <c r="CO3" s="75">
        <f t="shared" si="27"/>
        <v>20</v>
      </c>
      <c r="CP3" s="75">
        <f t="shared" si="27"/>
        <v>19</v>
      </c>
      <c r="CQ3" s="75">
        <f t="shared" si="27"/>
        <v>18</v>
      </c>
      <c r="CR3" s="75">
        <f t="shared" si="27"/>
        <v>17</v>
      </c>
      <c r="CS3" s="75">
        <f t="shared" si="27"/>
        <v>16</v>
      </c>
      <c r="CT3" s="75">
        <f t="shared" si="27"/>
        <v>15</v>
      </c>
      <c r="CU3" s="75">
        <f t="shared" si="27"/>
        <v>14</v>
      </c>
      <c r="CV3" s="75">
        <f t="shared" si="27"/>
        <v>13</v>
      </c>
      <c r="CW3" s="75">
        <f t="shared" si="27"/>
        <v>12</v>
      </c>
      <c r="CX3" s="75">
        <f t="shared" si="27"/>
        <v>11</v>
      </c>
      <c r="CY3" s="75">
        <f t="shared" si="27"/>
        <v>10</v>
      </c>
      <c r="CZ3" s="75">
        <f t="shared" si="27"/>
        <v>9</v>
      </c>
      <c r="DA3" s="75">
        <f t="shared" ref="DA3:DG3" si="28">$E$2-DA2</f>
        <v>8</v>
      </c>
      <c r="DB3" s="75">
        <f t="shared" si="28"/>
        <v>7</v>
      </c>
      <c r="DC3" s="75">
        <f t="shared" si="28"/>
        <v>6</v>
      </c>
      <c r="DD3" s="75">
        <f t="shared" si="28"/>
        <v>5</v>
      </c>
      <c r="DE3" s="75">
        <f t="shared" si="28"/>
        <v>4</v>
      </c>
      <c r="DF3" s="75">
        <f t="shared" si="28"/>
        <v>3</v>
      </c>
      <c r="DG3" s="75">
        <f t="shared" si="28"/>
        <v>2</v>
      </c>
      <c r="DH3" s="75">
        <f t="shared" ref="DH3:DI3" si="29">$E$2-DH2</f>
        <v>1</v>
      </c>
      <c r="DI3" s="75">
        <f t="shared" si="29"/>
        <v>0</v>
      </c>
    </row>
    <row r="4" spans="1:113" s="75" customFormat="1">
      <c r="A4" s="76"/>
      <c r="B4" s="76"/>
      <c r="C4" s="76"/>
      <c r="D4" s="75" t="s">
        <v>7</v>
      </c>
      <c r="E4" s="1"/>
      <c r="F4" s="77"/>
      <c r="G4" s="77" t="s">
        <v>114</v>
      </c>
      <c r="I4" s="49"/>
      <c r="J4" s="83"/>
      <c r="K4" s="78">
        <f>IF(LOOKUP(K$1,L$1:DG$1,L4:DG4)=0,"",LOOKUP(K$1,L$1:DG$1,L4:DG4))</f>
        <v>0.54</v>
      </c>
      <c r="L4" s="79">
        <f>ROUND(SUMPRODUCT($G$12:$G154,L12:L154)/$E$9*100*$E$5,2)</f>
        <v>10.35</v>
      </c>
      <c r="M4" s="79">
        <f>ROUND(SUMPRODUCT($G$12:$G154,M12:M154)/$E$9*100*$E$5,2)</f>
        <v>2.04</v>
      </c>
      <c r="N4" s="79">
        <f>ROUND(SUMPRODUCT($G$12:$G154,N12:N154)/$E$9*100*$E$5,2)</f>
        <v>2.04</v>
      </c>
      <c r="O4" s="79">
        <f>ROUND(SUMPRODUCT($G$12:$G154,O12:O154)/$E$9*100*$E$5,2)</f>
        <v>0.95</v>
      </c>
      <c r="P4" s="79">
        <f>ROUND(SUMPRODUCT($G$12:$G154,P12:P154)/$E$9*100*$E$5,2)</f>
        <v>1.34</v>
      </c>
      <c r="Q4" s="79">
        <f>ROUND(SUMPRODUCT($G$12:$G154,Q12:Q154)/$E$9*100*$E$5,2)</f>
        <v>0</v>
      </c>
      <c r="R4" s="79">
        <f>ROUND(SUMPRODUCT($G$12:$G154,R12:R154)/$E$9*100*$E$5,2)</f>
        <v>0</v>
      </c>
      <c r="S4" s="79">
        <f>ROUND(SUMPRODUCT($G$12:$G154,S12:S154)/$E$9*100*$E$5,2)</f>
        <v>7.85</v>
      </c>
      <c r="T4" s="79">
        <f>ROUND(SUMPRODUCT($G$12:$G154,T12:T154)/$E$9*100*$E$5,2)</f>
        <v>0</v>
      </c>
      <c r="U4" s="79">
        <f>ROUND(SUMPRODUCT($G$12:$G154,U12:U154)/$E$9*100*$E$5,2)</f>
        <v>0</v>
      </c>
      <c r="V4" s="79">
        <f>ROUND(SUMPRODUCT($G$12:$G154,V12:V154)/$E$9*100*$E$5,2)</f>
        <v>0</v>
      </c>
      <c r="W4" s="79">
        <f>ROUND(SUMPRODUCT($G$12:$G154,W12:W154)/$E$9*100*$E$5,2)</f>
        <v>0</v>
      </c>
      <c r="X4" s="79">
        <f>ROUND(SUMPRODUCT($G$12:$G154,X12:X154)/$E$9*100*$E$5,2)</f>
        <v>0</v>
      </c>
      <c r="Y4" s="79">
        <f>ROUND(SUMPRODUCT($G$12:$G154,Y12:Y154)/$E$9*100*$E$5,2)</f>
        <v>0</v>
      </c>
      <c r="Z4" s="79">
        <f>ROUND(SUMPRODUCT($G$12:$G154,Z12:Z154)/$E$9*100*$E$5,2)</f>
        <v>0.15</v>
      </c>
      <c r="AA4" s="79">
        <f>ROUND(SUMPRODUCT($G$12:$G154,AA12:AA154)/$E$9*100*$E$5,2)</f>
        <v>0</v>
      </c>
      <c r="AB4" s="79">
        <f>ROUND(SUMPRODUCT($G$12:$G154,AB12:AB154)/$E$9*100*$E$5,2)</f>
        <v>0.15</v>
      </c>
      <c r="AC4" s="79">
        <f>ROUND(SUMPRODUCT($G$12:$G154,AC12:AC154)/$E$9*100*$E$5,2)</f>
        <v>0.36</v>
      </c>
      <c r="AD4" s="79">
        <f>ROUND(SUMPRODUCT($G$12:$G154,AD12:AD154)/$E$9*100*$E$5,2)</f>
        <v>0</v>
      </c>
      <c r="AE4" s="79">
        <f>ROUND(SUMPRODUCT($G$12:$G154,AE12:AE154)/$E$9*100*$E$5,2)</f>
        <v>0.36</v>
      </c>
      <c r="AF4" s="79">
        <f>ROUND(SUMPRODUCT($G$12:$G154,AF12:AF154)/$E$9*100*$E$5,2)</f>
        <v>0</v>
      </c>
      <c r="AG4" s="79">
        <f>ROUND(SUMPRODUCT($G$12:$G154,AG12:AG154)/$E$9*100*$E$5,2)</f>
        <v>0.36</v>
      </c>
      <c r="AH4" s="79">
        <f>ROUND(SUMPRODUCT($G$12:$G154,AH12:AH154)/$E$9*100*$E$5,2)</f>
        <v>0.33</v>
      </c>
      <c r="AI4" s="79">
        <f>ROUND(SUMPRODUCT($G$12:$G154,AI12:AI154)/$E$9*100*$E$5,2)</f>
        <v>0</v>
      </c>
      <c r="AJ4" s="79">
        <f>ROUND(SUMPRODUCT($G$12:$G154,AJ12:AJ154)/$E$9*100*$E$5,2)</f>
        <v>1.94</v>
      </c>
      <c r="AK4" s="79">
        <f>ROUND(SUMPRODUCT($G$12:$G154,AK12:AK154)/$E$9*100*$E$5,2)</f>
        <v>3.4</v>
      </c>
      <c r="AL4" s="79">
        <f>ROUND(SUMPRODUCT($G$12:$G154,AL12:AL154)/$E$9*100*$E$5,2)</f>
        <v>3.4</v>
      </c>
      <c r="AM4" s="79">
        <f>ROUND(SUMPRODUCT($G$12:$G154,AM12:AM154)/$E$9*100*$E$5,2)</f>
        <v>0</v>
      </c>
      <c r="AN4" s="79">
        <f>ROUND(SUMPRODUCT($G$12:$G154,AN12:AN154)/$E$9*100*$E$5,2)</f>
        <v>2.33</v>
      </c>
      <c r="AO4" s="79">
        <f>ROUND(SUMPRODUCT($G$12:$G154,AO12:AO154)/$E$9*100*$E$5,2)</f>
        <v>1.29</v>
      </c>
      <c r="AP4" s="79">
        <f>ROUND(SUMPRODUCT($G$12:$G154,AP12:AP154)/$E$9*100*$E$5,2)</f>
        <v>4.91</v>
      </c>
      <c r="AQ4" s="79">
        <f>ROUND(SUMPRODUCT($G$12:$G154,AQ12:AQ154)/$E$9*100*$E$5,2)</f>
        <v>6.09</v>
      </c>
      <c r="AR4" s="79">
        <f>ROUND(SUMPRODUCT($G$12:$G154,AR12:AR154)/$E$9*100*$E$5,2)</f>
        <v>5.0999999999999996</v>
      </c>
      <c r="AS4" s="79">
        <f>ROUND(SUMPRODUCT($G$12:$G154,AS12:AS154)/$E$9*100*$E$5,2)</f>
        <v>0.16</v>
      </c>
      <c r="AT4" s="79">
        <f>ROUND(SUMPRODUCT($G$12:$G154,AT12:AT154)/$E$9*100*$E$5,2)</f>
        <v>0</v>
      </c>
      <c r="AU4" s="79">
        <f>ROUND(SUMPRODUCT($G$12:$G154,AU12:AU154)/$E$9*100*$E$5,2)</f>
        <v>0.54</v>
      </c>
      <c r="AV4" s="79">
        <f>ROUND(SUMPRODUCT($G$12:$G154,AV12:AV154)/$E$9*100*$E$5,2)</f>
        <v>0</v>
      </c>
      <c r="AW4" s="79">
        <f>ROUND(SUMPRODUCT($G$12:$G154,AW12:AW154)/$E$9*100*$E$5,2)</f>
        <v>0</v>
      </c>
      <c r="AX4" s="79">
        <f>ROUND(SUMPRODUCT($G$12:$G154,AX12:AX154)/$E$9*100*$E$5,2)</f>
        <v>0</v>
      </c>
      <c r="AY4" s="79">
        <f>ROUND(SUMPRODUCT($G$12:$G154,AY12:AY154)/$E$9*100*$E$5,2)</f>
        <v>0</v>
      </c>
      <c r="AZ4" s="79">
        <f>ROUND(SUMPRODUCT($G$12:$G154,AZ12:AZ154)/$E$9*100*$E$5,2)</f>
        <v>0</v>
      </c>
      <c r="BA4" s="79">
        <f>ROUND(SUMPRODUCT($G$12:$G154,BA12:BA154)/$E$9*100*$E$5,2)</f>
        <v>0</v>
      </c>
      <c r="BB4" s="79">
        <f>ROUND(SUMPRODUCT($G$12:$G154,BB12:BB154)/$E$9*100*$E$5,2)</f>
        <v>0</v>
      </c>
      <c r="BC4" s="79">
        <f>ROUND(SUMPRODUCT($G$12:$G154,BC12:BC154)/$E$9*100*$E$5,2)</f>
        <v>0</v>
      </c>
      <c r="BD4" s="79">
        <f>ROUND(SUMPRODUCT($G$12:$G154,BD12:BD154)/$E$9*100*$E$5,2)</f>
        <v>0</v>
      </c>
      <c r="BE4" s="79">
        <f>ROUND(SUMPRODUCT($G$12:$G154,BE12:BE154)/$E$9*100*$E$5,2)</f>
        <v>0</v>
      </c>
      <c r="BF4" s="79">
        <f>ROUND(SUMPRODUCT($G$12:$G154,BF12:BF154)/$E$9*100*$E$5,2)</f>
        <v>0</v>
      </c>
      <c r="BG4" s="79">
        <f>ROUND(SUMPRODUCT($G$12:$G154,BG12:BG154)/$E$9*100*$E$5,2)</f>
        <v>0</v>
      </c>
      <c r="BH4" s="79">
        <f>ROUND(SUMPRODUCT($G$12:$G154,BH12:BH154)/$E$9*100*$E$5,2)</f>
        <v>0</v>
      </c>
      <c r="BI4" s="79">
        <f>ROUND(SUMPRODUCT($G$12:$G154,BI12:BI154)/$E$9*100*$E$5,2)</f>
        <v>0</v>
      </c>
      <c r="BJ4" s="79">
        <f>ROUND(SUMPRODUCT($G$12:$G154,BJ12:BJ154)/$E$9*100*$E$5,2)</f>
        <v>0</v>
      </c>
      <c r="BK4" s="79">
        <f>ROUND(SUMPRODUCT($G$12:$G154,BK12:BK154)/$E$9*100*$E$5,2)</f>
        <v>0</v>
      </c>
      <c r="BL4" s="79">
        <f>ROUND(SUMPRODUCT($G$12:$G154,BL12:BL154)/$E$9*100*$E$5,2)</f>
        <v>0</v>
      </c>
      <c r="BM4" s="79">
        <f>ROUND(SUMPRODUCT($G$12:$G154,BM12:BM154)/$E$9*100*$E$5,2)</f>
        <v>0</v>
      </c>
      <c r="BN4" s="79">
        <f>ROUND(SUMPRODUCT($G$12:$G154,BN12:BN154)/$E$9*100*$E$5,2)</f>
        <v>0</v>
      </c>
      <c r="BO4" s="79">
        <f>ROUND(SUMPRODUCT($G$12:$G154,BO12:BO154)/$E$9*100*$E$5,2)</f>
        <v>0</v>
      </c>
      <c r="BP4" s="79">
        <f>ROUND(SUMPRODUCT($G$12:$G154,BP12:BP154)/$E$9*100*$E$5,2)</f>
        <v>0</v>
      </c>
      <c r="BQ4" s="79">
        <f>ROUND(SUMPRODUCT($G$12:$G154,BQ12:BQ154)/$E$9*100*$E$5,2)</f>
        <v>0</v>
      </c>
      <c r="BR4" s="79">
        <f>ROUND(SUMPRODUCT($G$12:$G154,BR12:BR154)/$E$9*100*$E$5,2)</f>
        <v>0</v>
      </c>
      <c r="BS4" s="79">
        <f>ROUND(SUMPRODUCT($G$12:$G154,BS12:BS154)/$E$9*100*$E$5,2)</f>
        <v>0</v>
      </c>
      <c r="BT4" s="79">
        <f>ROUND(SUMPRODUCT($G$12:$G154,BT12:BT154)/$E$9*100*$E$5,2)</f>
        <v>0</v>
      </c>
      <c r="BU4" s="79">
        <f>ROUND(SUMPRODUCT($G$12:$G154,BU12:BU154)/$E$9*100*$E$5,2)</f>
        <v>0</v>
      </c>
      <c r="BV4" s="79">
        <f>ROUND(SUMPRODUCT($G$12:$G154,BV12:BV154)/$E$9*100*$E$5,2)</f>
        <v>0</v>
      </c>
      <c r="BW4" s="79">
        <f>ROUND(SUMPRODUCT($G$12:$G154,BW12:BW154)/$E$9*100*$E$5,2)</f>
        <v>0</v>
      </c>
      <c r="BX4" s="79">
        <f>ROUND(SUMPRODUCT($G$12:$G154,BX12:BX154)/$E$9*100*$E$5,2)</f>
        <v>0</v>
      </c>
      <c r="BY4" s="79">
        <f>ROUND(SUMPRODUCT($G$12:$G154,BY12:BY154)/$E$9*100*$E$5,2)</f>
        <v>0</v>
      </c>
      <c r="BZ4" s="79">
        <f>ROUND(SUMPRODUCT($G$12:$G154,BZ12:BZ154)/$E$9*100*$E$5,2)</f>
        <v>0</v>
      </c>
      <c r="CA4" s="79">
        <f>ROUND(SUMPRODUCT($G$12:$G154,CA12:CA154)/$E$9*100*$E$5,2)</f>
        <v>0</v>
      </c>
      <c r="CB4" s="79">
        <f>ROUND(SUMPRODUCT($G$12:$G154,CB12:CB154)/$E$9*100*$E$5,2)</f>
        <v>0</v>
      </c>
      <c r="CC4" s="79">
        <f>ROUND(SUMPRODUCT($G$12:$G154,CC12:CC154)/$E$9*100*$E$5,2)</f>
        <v>0</v>
      </c>
      <c r="CD4" s="79">
        <f>ROUND(SUMPRODUCT($G$12:$G154,CD12:CD154)/$E$9*100*$E$5,2)</f>
        <v>0</v>
      </c>
      <c r="CE4" s="79">
        <f>ROUND(SUMPRODUCT($G$12:$G154,CE12:CE154)/$E$9*100*$E$5,2)</f>
        <v>0</v>
      </c>
      <c r="CF4" s="79">
        <f>ROUND(SUMPRODUCT($G$12:$G154,CF12:CF154)/$E$9*100*$E$5,2)</f>
        <v>0</v>
      </c>
      <c r="CG4" s="79">
        <f>ROUND(SUMPRODUCT($G$12:$G154,CG12:CG154)/$E$9*100*$E$5,2)</f>
        <v>0</v>
      </c>
      <c r="CH4" s="79">
        <f>ROUND(SUMPRODUCT($G$12:$G154,CH12:CH154)/$E$9*100*$E$5,2)</f>
        <v>0</v>
      </c>
      <c r="CI4" s="79">
        <f>ROUND(SUMPRODUCT($G$12:$G154,CI12:CI154)/$E$9*100*$E$5,2)</f>
        <v>0</v>
      </c>
      <c r="CJ4" s="79">
        <f>ROUND(SUMPRODUCT($G$12:$G154,CJ12:CJ154)/$E$9*100*$E$5,2)</f>
        <v>0</v>
      </c>
      <c r="CK4" s="79">
        <f>ROUND(SUMPRODUCT($G$12:$G154,CK12:CK154)/$E$9*100*$E$5,2)</f>
        <v>0</v>
      </c>
      <c r="CL4" s="79">
        <f>ROUND(SUMPRODUCT($G$12:$G154,CL12:CL154)/$E$9*100*$E$5,2)</f>
        <v>0</v>
      </c>
      <c r="CM4" s="79">
        <f>ROUND(SUMPRODUCT($G$12:$G154,CM12:CM154)/$E$9*100*$E$5,2)</f>
        <v>0</v>
      </c>
      <c r="CN4" s="79">
        <f>ROUND(SUMPRODUCT($G$12:$G154,CN12:CN154)/$E$9*100*$E$5,2)</f>
        <v>0</v>
      </c>
      <c r="CO4" s="79">
        <f>ROUND(SUMPRODUCT($G$12:$G154,CO12:CO154)/$E$9*100*$E$5,2)</f>
        <v>0</v>
      </c>
      <c r="CP4" s="79">
        <f>ROUND(SUMPRODUCT($G$12:$G154,CP12:CP154)/$E$9*100*$E$5,2)</f>
        <v>0</v>
      </c>
      <c r="CQ4" s="79">
        <f>ROUND(SUMPRODUCT($G$12:$G154,CQ12:CQ154)/$E$9*100*$E$5,2)</f>
        <v>0</v>
      </c>
      <c r="CR4" s="79">
        <f>ROUND(SUMPRODUCT($G$12:$G154,CR12:CR154)/$E$9*100*$E$5,2)</f>
        <v>0</v>
      </c>
      <c r="CS4" s="79">
        <f>ROUND(SUMPRODUCT($G$12:$G154,CS12:CS154)/$E$9*100*$E$5,2)</f>
        <v>0</v>
      </c>
      <c r="CT4" s="79">
        <f>ROUND(SUMPRODUCT($G$12:$G154,CT12:CT154)/$E$9*100*$E$5,2)</f>
        <v>0</v>
      </c>
      <c r="CU4" s="79">
        <f>ROUND(SUMPRODUCT($G$12:$G154,CU12:CU154)/$E$9*100*$E$5,2)</f>
        <v>0</v>
      </c>
      <c r="CV4" s="79">
        <f>ROUND(SUMPRODUCT($G$12:$G154,CV12:CV154)/$E$9*100*$E$5,2)</f>
        <v>0</v>
      </c>
      <c r="CW4" s="79">
        <f>ROUND(SUMPRODUCT($G$12:$G154,CW12:CW154)/$E$9*100*$E$5,2)</f>
        <v>0</v>
      </c>
      <c r="CX4" s="79">
        <f>ROUND(SUMPRODUCT($G$12:$G154,CX12:CX154)/$E$9*100*$E$5,2)</f>
        <v>0</v>
      </c>
      <c r="CY4" s="79">
        <f>ROUND(SUMPRODUCT($G$12:$G154,CY12:CY154)/$E$9*100*$E$5,2)</f>
        <v>0</v>
      </c>
      <c r="CZ4" s="79">
        <f>ROUND(SUMPRODUCT($G$12:$G154,CZ12:CZ154)/$E$9*100*$E$5,2)</f>
        <v>0</v>
      </c>
      <c r="DA4" s="79">
        <f>ROUND(SUMPRODUCT($G$12:$G154,DA12:DA154)/$E$9*100*$E$5,2)</f>
        <v>0</v>
      </c>
      <c r="DB4" s="79">
        <f>ROUND(SUMPRODUCT($G$12:$G154,DB12:DB154)/$E$9*100*$E$5,2)</f>
        <v>0</v>
      </c>
      <c r="DC4" s="79">
        <f>ROUND(SUMPRODUCT($G$12:$G154,DC12:DC154)/$E$9*100*$E$5,2)</f>
        <v>0</v>
      </c>
      <c r="DD4" s="79">
        <f>ROUND(SUMPRODUCT($G$12:$G154,DD12:DD154)/$E$9*100*$E$5,2)</f>
        <v>0</v>
      </c>
      <c r="DE4" s="79">
        <f>ROUND(SUMPRODUCT($G$12:$G154,DE12:DE154)/$E$9*100*$E$5,2)</f>
        <v>0</v>
      </c>
      <c r="DF4" s="79">
        <f>ROUND(SUMPRODUCT($G$12:$G154,DF12:DF154)/$E$9*100*$E$5,2)</f>
        <v>0</v>
      </c>
      <c r="DG4" s="79">
        <f>ROUND(SUMPRODUCT($G$12:$G154,DG12:DG154)/$E$9*100*$E$5,2)</f>
        <v>0</v>
      </c>
      <c r="DH4" s="79">
        <f>ROUND(SUMPRODUCT($G$12:$G154,DH12:DH154)/$E$9*100*$E$5,2)</f>
        <v>0</v>
      </c>
      <c r="DI4" s="79">
        <f>ROUND(SUMPRODUCT($G$12:$G154,DI12:DI154)/$E$9*100*$E$5,2)</f>
        <v>0</v>
      </c>
    </row>
    <row r="5" spans="1:113" s="75" customFormat="1">
      <c r="A5" s="76"/>
      <c r="B5" s="76"/>
      <c r="C5" s="76"/>
      <c r="D5" s="156" t="s">
        <v>8</v>
      </c>
      <c r="E5" s="4">
        <v>1</v>
      </c>
      <c r="F5" s="77"/>
      <c r="G5" s="77" t="s">
        <v>115</v>
      </c>
      <c r="I5" s="49"/>
      <c r="K5" s="78">
        <f>IF(LOOKUP(K$1,L$1:DG$1,L5:DG5)=0,"",LOOKUP(K$1,L$1:DG$1,L5:DG5))</f>
        <v>55.44</v>
      </c>
      <c r="L5" s="80">
        <f>L4</f>
        <v>10.35</v>
      </c>
      <c r="M5" s="75">
        <f t="shared" ref="M5:BX5" si="30">L5+M4</f>
        <v>12.39</v>
      </c>
      <c r="N5" s="75">
        <f t="shared" si="30"/>
        <v>14.43</v>
      </c>
      <c r="O5" s="75">
        <f t="shared" si="30"/>
        <v>15.379999999999999</v>
      </c>
      <c r="P5" s="75">
        <f t="shared" si="30"/>
        <v>16.72</v>
      </c>
      <c r="Q5" s="75">
        <f t="shared" si="30"/>
        <v>16.72</v>
      </c>
      <c r="R5" s="75">
        <f t="shared" si="30"/>
        <v>16.72</v>
      </c>
      <c r="S5" s="75">
        <f t="shared" si="30"/>
        <v>24.57</v>
      </c>
      <c r="T5" s="75">
        <f t="shared" si="30"/>
        <v>24.57</v>
      </c>
      <c r="U5" s="75">
        <f t="shared" si="30"/>
        <v>24.57</v>
      </c>
      <c r="V5" s="75">
        <f t="shared" si="30"/>
        <v>24.57</v>
      </c>
      <c r="W5" s="75">
        <f t="shared" si="30"/>
        <v>24.57</v>
      </c>
      <c r="X5" s="75">
        <f>W5+X4</f>
        <v>24.57</v>
      </c>
      <c r="Y5" s="75">
        <f t="shared" si="30"/>
        <v>24.57</v>
      </c>
      <c r="Z5" s="75">
        <f t="shared" si="30"/>
        <v>24.72</v>
      </c>
      <c r="AA5" s="75">
        <f t="shared" si="30"/>
        <v>24.72</v>
      </c>
      <c r="AB5" s="75">
        <f t="shared" si="30"/>
        <v>24.869999999999997</v>
      </c>
      <c r="AC5" s="75">
        <f t="shared" si="30"/>
        <v>25.229999999999997</v>
      </c>
      <c r="AD5" s="75">
        <f t="shared" si="30"/>
        <v>25.229999999999997</v>
      </c>
      <c r="AE5" s="75">
        <f t="shared" si="30"/>
        <v>25.589999999999996</v>
      </c>
      <c r="AF5" s="75">
        <f t="shared" si="30"/>
        <v>25.589999999999996</v>
      </c>
      <c r="AG5" s="75">
        <f t="shared" si="30"/>
        <v>25.949999999999996</v>
      </c>
      <c r="AH5" s="75">
        <f t="shared" si="30"/>
        <v>26.279999999999994</v>
      </c>
      <c r="AI5" s="75">
        <f t="shared" si="30"/>
        <v>26.279999999999994</v>
      </c>
      <c r="AJ5" s="75">
        <f>AI5+AJ4</f>
        <v>28.219999999999995</v>
      </c>
      <c r="AK5" s="75">
        <f t="shared" si="30"/>
        <v>31.619999999999994</v>
      </c>
      <c r="AL5" s="75">
        <f>AK5+AL4</f>
        <v>35.019999999999996</v>
      </c>
      <c r="AM5" s="75">
        <f t="shared" si="30"/>
        <v>35.019999999999996</v>
      </c>
      <c r="AN5" s="75">
        <f t="shared" si="30"/>
        <v>37.349999999999994</v>
      </c>
      <c r="AO5" s="75">
        <f t="shared" si="30"/>
        <v>38.639999999999993</v>
      </c>
      <c r="AP5" s="75">
        <f t="shared" si="30"/>
        <v>43.55</v>
      </c>
      <c r="AQ5" s="75">
        <f t="shared" si="30"/>
        <v>49.64</v>
      </c>
      <c r="AR5" s="75">
        <f t="shared" si="30"/>
        <v>54.74</v>
      </c>
      <c r="AS5" s="75">
        <f t="shared" si="30"/>
        <v>54.9</v>
      </c>
      <c r="AT5" s="75">
        <f t="shared" si="30"/>
        <v>54.9</v>
      </c>
      <c r="AU5" s="75">
        <f t="shared" si="30"/>
        <v>55.44</v>
      </c>
      <c r="AV5" s="75">
        <f t="shared" si="30"/>
        <v>55.44</v>
      </c>
      <c r="AW5" s="75">
        <f t="shared" si="30"/>
        <v>55.44</v>
      </c>
      <c r="AX5" s="75">
        <f>AW5+AX4</f>
        <v>55.44</v>
      </c>
      <c r="AY5" s="75">
        <f t="shared" si="30"/>
        <v>55.44</v>
      </c>
      <c r="AZ5" s="75">
        <f t="shared" si="30"/>
        <v>55.44</v>
      </c>
      <c r="BA5" s="75">
        <f t="shared" si="30"/>
        <v>55.44</v>
      </c>
      <c r="BB5" s="75">
        <f>BA5+BB4</f>
        <v>55.44</v>
      </c>
      <c r="BC5" s="75">
        <f t="shared" si="30"/>
        <v>55.44</v>
      </c>
      <c r="BD5" s="75">
        <f t="shared" si="30"/>
        <v>55.44</v>
      </c>
      <c r="BE5" s="75">
        <f t="shared" si="30"/>
        <v>55.44</v>
      </c>
      <c r="BF5" s="75">
        <f t="shared" si="30"/>
        <v>55.44</v>
      </c>
      <c r="BG5" s="75">
        <f t="shared" si="30"/>
        <v>55.44</v>
      </c>
      <c r="BH5" s="75">
        <f t="shared" si="30"/>
        <v>55.44</v>
      </c>
      <c r="BI5" s="75">
        <f t="shared" si="30"/>
        <v>55.44</v>
      </c>
      <c r="BJ5" s="75">
        <f t="shared" si="30"/>
        <v>55.44</v>
      </c>
      <c r="BK5" s="75">
        <f t="shared" si="30"/>
        <v>55.44</v>
      </c>
      <c r="BL5" s="75">
        <f t="shared" si="30"/>
        <v>55.44</v>
      </c>
      <c r="BM5" s="75">
        <f t="shared" si="30"/>
        <v>55.44</v>
      </c>
      <c r="BN5" s="75">
        <f t="shared" si="30"/>
        <v>55.44</v>
      </c>
      <c r="BO5" s="75">
        <f t="shared" si="30"/>
        <v>55.44</v>
      </c>
      <c r="BP5" s="75">
        <f t="shared" si="30"/>
        <v>55.44</v>
      </c>
      <c r="BQ5" s="75">
        <f t="shared" si="30"/>
        <v>55.44</v>
      </c>
      <c r="BR5" s="75">
        <f t="shared" si="30"/>
        <v>55.44</v>
      </c>
      <c r="BS5" s="75">
        <f t="shared" si="30"/>
        <v>55.44</v>
      </c>
      <c r="BT5" s="75">
        <f t="shared" si="30"/>
        <v>55.44</v>
      </c>
      <c r="BU5" s="75">
        <f t="shared" si="30"/>
        <v>55.44</v>
      </c>
      <c r="BV5" s="75">
        <f t="shared" si="30"/>
        <v>55.44</v>
      </c>
      <c r="BW5" s="75">
        <f t="shared" si="30"/>
        <v>55.44</v>
      </c>
      <c r="BX5" s="75">
        <f t="shared" si="30"/>
        <v>55.44</v>
      </c>
      <c r="BY5" s="75">
        <f t="shared" ref="BY5:CZ5" si="31">BX5+BY4</f>
        <v>55.44</v>
      </c>
      <c r="BZ5" s="75">
        <f t="shared" si="31"/>
        <v>55.44</v>
      </c>
      <c r="CA5" s="75">
        <f t="shared" si="31"/>
        <v>55.44</v>
      </c>
      <c r="CB5" s="75">
        <f t="shared" si="31"/>
        <v>55.44</v>
      </c>
      <c r="CC5" s="75">
        <f t="shared" si="31"/>
        <v>55.44</v>
      </c>
      <c r="CD5" s="75">
        <f t="shared" si="31"/>
        <v>55.44</v>
      </c>
      <c r="CE5" s="75">
        <f t="shared" si="31"/>
        <v>55.44</v>
      </c>
      <c r="CF5" s="75">
        <f t="shared" si="31"/>
        <v>55.44</v>
      </c>
      <c r="CG5" s="75">
        <f t="shared" si="31"/>
        <v>55.44</v>
      </c>
      <c r="CH5" s="75">
        <f t="shared" si="31"/>
        <v>55.44</v>
      </c>
      <c r="CI5" s="75">
        <f t="shared" si="31"/>
        <v>55.44</v>
      </c>
      <c r="CJ5" s="75">
        <f t="shared" si="31"/>
        <v>55.44</v>
      </c>
      <c r="CK5" s="75">
        <f t="shared" si="31"/>
        <v>55.44</v>
      </c>
      <c r="CL5" s="75">
        <f t="shared" si="31"/>
        <v>55.44</v>
      </c>
      <c r="CM5" s="75">
        <f t="shared" si="31"/>
        <v>55.44</v>
      </c>
      <c r="CN5" s="75">
        <f t="shared" si="31"/>
        <v>55.44</v>
      </c>
      <c r="CO5" s="75">
        <f t="shared" si="31"/>
        <v>55.44</v>
      </c>
      <c r="CP5" s="75">
        <f t="shared" si="31"/>
        <v>55.44</v>
      </c>
      <c r="CQ5" s="75">
        <f t="shared" si="31"/>
        <v>55.44</v>
      </c>
      <c r="CR5" s="75">
        <f t="shared" si="31"/>
        <v>55.44</v>
      </c>
      <c r="CS5" s="75">
        <f t="shared" si="31"/>
        <v>55.44</v>
      </c>
      <c r="CT5" s="75">
        <f t="shared" si="31"/>
        <v>55.44</v>
      </c>
      <c r="CU5" s="75">
        <f t="shared" si="31"/>
        <v>55.44</v>
      </c>
      <c r="CV5" s="75">
        <f t="shared" si="31"/>
        <v>55.44</v>
      </c>
      <c r="CW5" s="75">
        <f t="shared" si="31"/>
        <v>55.44</v>
      </c>
      <c r="CX5" s="75">
        <f t="shared" si="31"/>
        <v>55.44</v>
      </c>
      <c r="CY5" s="75">
        <f t="shared" si="31"/>
        <v>55.44</v>
      </c>
      <c r="CZ5" s="75">
        <f t="shared" si="31"/>
        <v>55.44</v>
      </c>
      <c r="DA5" s="75">
        <f t="shared" ref="DA5:DG5" si="32">CZ5+DA4</f>
        <v>55.44</v>
      </c>
      <c r="DB5" s="75">
        <f t="shared" si="32"/>
        <v>55.44</v>
      </c>
      <c r="DC5" s="75">
        <f t="shared" si="32"/>
        <v>55.44</v>
      </c>
      <c r="DD5" s="75">
        <f t="shared" si="32"/>
        <v>55.44</v>
      </c>
      <c r="DE5" s="75">
        <f t="shared" si="32"/>
        <v>55.44</v>
      </c>
      <c r="DF5" s="75">
        <f t="shared" si="32"/>
        <v>55.44</v>
      </c>
      <c r="DG5" s="75">
        <f t="shared" si="32"/>
        <v>55.44</v>
      </c>
      <c r="DH5" s="75">
        <f t="shared" ref="DH5" si="33">DG5+DH4</f>
        <v>55.44</v>
      </c>
      <c r="DI5" s="75">
        <f t="shared" ref="DI5" si="34">DH5+DI4</f>
        <v>55.44</v>
      </c>
    </row>
    <row r="6" spans="1:113" s="75" customFormat="1">
      <c r="A6" s="76"/>
      <c r="B6" s="76"/>
      <c r="C6" s="76"/>
      <c r="D6" s="75" t="s">
        <v>95</v>
      </c>
      <c r="E6" s="179" t="s">
        <v>144</v>
      </c>
      <c r="F6" s="179"/>
      <c r="G6" s="77" t="s">
        <v>116</v>
      </c>
      <c r="I6" s="49"/>
      <c r="K6" s="78">
        <f ca="1">IF(LOOKUP(K$1,L$1:DG$1,L6:DI6)=0,"",LOOKUP(K$1,L$1:DG$1,L6:DI6))</f>
        <v>33.674000000000014</v>
      </c>
      <c r="L6" s="81">
        <v>0.13999999999999999</v>
      </c>
      <c r="M6" s="81">
        <v>0.27999999999999997</v>
      </c>
      <c r="N6" s="81">
        <v>0.41999999999999993</v>
      </c>
      <c r="O6" s="81">
        <v>0.55999999999999994</v>
      </c>
      <c r="P6" s="81">
        <v>0.7</v>
      </c>
      <c r="Q6" s="81">
        <v>0.84</v>
      </c>
      <c r="R6" s="81">
        <v>0.98</v>
      </c>
      <c r="S6" s="81">
        <v>1.1199999999999999</v>
      </c>
      <c r="T6" s="81">
        <f>S6</f>
        <v>1.1199999999999999</v>
      </c>
      <c r="U6" s="81">
        <v>1.2599999999999998</v>
      </c>
      <c r="V6" s="81">
        <f>U6</f>
        <v>1.2599999999999998</v>
      </c>
      <c r="W6" s="81">
        <v>1.3999999999999997</v>
      </c>
      <c r="X6" s="81">
        <v>1.5399999999999996</v>
      </c>
      <c r="Y6" s="81">
        <v>1.6799999999999995</v>
      </c>
      <c r="Z6" s="81">
        <v>1.8199999999999994</v>
      </c>
      <c r="AA6" s="81">
        <v>1.9599999999999993</v>
      </c>
      <c r="AB6" s="81">
        <v>2.0999999999999992</v>
      </c>
      <c r="AC6" s="81">
        <v>4.0999999999999996</v>
      </c>
      <c r="AD6" s="81">
        <v>6.1</v>
      </c>
      <c r="AE6" s="81">
        <v>8.1</v>
      </c>
      <c r="AF6" s="81">
        <v>10.1</v>
      </c>
      <c r="AG6" s="81">
        <v>12.1</v>
      </c>
      <c r="AH6" s="81">
        <v>14.1</v>
      </c>
      <c r="AI6" s="81">
        <v>16.100000000000001</v>
      </c>
      <c r="AJ6" s="81">
        <v>18.100000000000001</v>
      </c>
      <c r="AK6" s="81">
        <v>20.100000000000001</v>
      </c>
      <c r="AL6" s="81">
        <v>22.1</v>
      </c>
      <c r="AM6" s="81">
        <v>23.386000000000003</v>
      </c>
      <c r="AN6" s="81">
        <v>24.672000000000004</v>
      </c>
      <c r="AO6" s="81">
        <v>25.958000000000006</v>
      </c>
      <c r="AP6" s="81">
        <v>27.244000000000007</v>
      </c>
      <c r="AQ6" s="81">
        <v>28.530000000000008</v>
      </c>
      <c r="AR6" s="81">
        <v>29.81600000000001</v>
      </c>
      <c r="AS6" s="81">
        <v>31.102000000000011</v>
      </c>
      <c r="AT6" s="81">
        <v>32.388000000000012</v>
      </c>
      <c r="AU6" s="81">
        <v>33.674000000000014</v>
      </c>
      <c r="AV6" s="81">
        <v>34.960000000000015</v>
      </c>
      <c r="AW6" s="81">
        <v>36.246000000000016</v>
      </c>
      <c r="AX6" s="81">
        <v>37.532000000000018</v>
      </c>
      <c r="AY6" s="81">
        <v>38.818000000000019</v>
      </c>
      <c r="AZ6" s="81">
        <v>40.104000000000021</v>
      </c>
      <c r="BA6" s="81">
        <v>41.390000000000022</v>
      </c>
      <c r="BB6" s="81">
        <v>42.110000000000021</v>
      </c>
      <c r="BC6" s="81">
        <v>42.83000000000002</v>
      </c>
      <c r="BD6" s="81">
        <v>43.550000000000018</v>
      </c>
      <c r="BE6" s="81">
        <v>44.270000000000017</v>
      </c>
      <c r="BF6" s="81">
        <v>44.990000000000016</v>
      </c>
      <c r="BG6" s="81">
        <v>45.710000000000015</v>
      </c>
      <c r="BH6" s="81">
        <v>46.430000000000014</v>
      </c>
      <c r="BI6" s="81">
        <v>47.150000000000013</v>
      </c>
      <c r="BJ6" s="81">
        <v>47.870000000000012</v>
      </c>
      <c r="BK6" s="81">
        <v>48.590000000000011</v>
      </c>
      <c r="BL6" s="81">
        <v>49.474000000000011</v>
      </c>
      <c r="BM6" s="81">
        <v>50.358000000000011</v>
      </c>
      <c r="BN6" s="81">
        <v>51.242000000000012</v>
      </c>
      <c r="BO6" s="81">
        <v>52.126000000000012</v>
      </c>
      <c r="BP6" s="81">
        <v>53.010000000000012</v>
      </c>
      <c r="BQ6" s="81">
        <v>53.894000000000013</v>
      </c>
      <c r="BR6" s="81">
        <v>54.778000000000013</v>
      </c>
      <c r="BS6" s="81">
        <v>55.662000000000013</v>
      </c>
      <c r="BT6" s="81">
        <v>56.546000000000014</v>
      </c>
      <c r="BU6" s="81">
        <v>57.430000000000014</v>
      </c>
      <c r="BV6" s="81">
        <v>58.724000000000011</v>
      </c>
      <c r="BW6" s="81">
        <v>60.018000000000008</v>
      </c>
      <c r="BX6" s="81">
        <v>61.312000000000005</v>
      </c>
      <c r="BY6" s="81">
        <v>62.606000000000002</v>
      </c>
      <c r="BZ6" s="81">
        <v>63.9</v>
      </c>
      <c r="CA6" s="81">
        <v>64.783999999999992</v>
      </c>
      <c r="CB6" s="81">
        <v>65.667999999999992</v>
      </c>
      <c r="CC6" s="81">
        <v>66.551999999999992</v>
      </c>
      <c r="CD6" s="81">
        <v>67.435999999999993</v>
      </c>
      <c r="CE6" s="81">
        <v>68.319999999999993</v>
      </c>
      <c r="CF6" s="81">
        <v>69.203999999999994</v>
      </c>
      <c r="CG6" s="81">
        <v>70.087999999999994</v>
      </c>
      <c r="CH6" s="81">
        <v>70.971999999999994</v>
      </c>
      <c r="CI6" s="81">
        <v>71.855999999999995</v>
      </c>
      <c r="CJ6" s="81">
        <v>72.739999999999995</v>
      </c>
      <c r="CK6" s="81">
        <v>74.24799999999999</v>
      </c>
      <c r="CL6" s="81">
        <v>75.755999999999986</v>
      </c>
      <c r="CM6" s="81">
        <v>77.263999999999982</v>
      </c>
      <c r="CN6" s="81">
        <v>78.771999999999977</v>
      </c>
      <c r="CO6" s="81">
        <v>80.279999999999973</v>
      </c>
      <c r="CP6" s="81">
        <v>81.787999999999968</v>
      </c>
      <c r="CQ6" s="81">
        <v>83.295999999999964</v>
      </c>
      <c r="CR6" s="81">
        <v>84.803999999999959</v>
      </c>
      <c r="CS6" s="81">
        <v>86.311999999999955</v>
      </c>
      <c r="CT6" s="81">
        <v>87.819999999999951</v>
      </c>
      <c r="CU6" s="81">
        <v>88.915999999999954</v>
      </c>
      <c r="CV6" s="81">
        <v>90.011999999999958</v>
      </c>
      <c r="CW6" s="81">
        <v>91.107999999999961</v>
      </c>
      <c r="CX6" s="81">
        <v>92.203999999999965</v>
      </c>
      <c r="CY6" s="81">
        <v>93.299999999999969</v>
      </c>
      <c r="CZ6" s="81">
        <v>93.96999999999997</v>
      </c>
      <c r="DA6" s="81">
        <v>94.639999999999972</v>
      </c>
      <c r="DB6" s="81">
        <v>95.309999999999974</v>
      </c>
      <c r="DC6" s="81">
        <v>95.979999999999976</v>
      </c>
      <c r="DD6" s="81">
        <v>96.649999999999977</v>
      </c>
      <c r="DE6" s="81">
        <v>97.319999999999979</v>
      </c>
      <c r="DF6" s="81">
        <v>97.989999999999981</v>
      </c>
      <c r="DG6" s="81">
        <v>98.659999999999982</v>
      </c>
      <c r="DH6" s="81">
        <v>99.329999999999984</v>
      </c>
      <c r="DI6" s="81">
        <v>99.999999999999986</v>
      </c>
    </row>
    <row r="7" spans="1:113" s="75" customFormat="1">
      <c r="A7" s="82"/>
      <c r="B7" s="82"/>
      <c r="C7" s="82"/>
      <c r="D7" s="83"/>
      <c r="E7" s="84"/>
      <c r="F7" s="85"/>
      <c r="G7" s="86" t="s">
        <v>9</v>
      </c>
      <c r="H7" s="87"/>
      <c r="I7" s="88"/>
      <c r="J7" s="87"/>
      <c r="K7" s="89">
        <f>LOOKUP(K$1,L$1:DG$1,L$7:DG$7)</f>
        <v>46111</v>
      </c>
      <c r="L7" s="87">
        <v>46076</v>
      </c>
      <c r="M7" s="87">
        <f t="shared" ref="M7:BX7" si="35">L7+1</f>
        <v>46077</v>
      </c>
      <c r="N7" s="87">
        <f t="shared" si="35"/>
        <v>46078</v>
      </c>
      <c r="O7" s="87">
        <f t="shared" si="35"/>
        <v>46079</v>
      </c>
      <c r="P7" s="87">
        <f t="shared" si="35"/>
        <v>46080</v>
      </c>
      <c r="Q7" s="87">
        <f t="shared" si="35"/>
        <v>46081</v>
      </c>
      <c r="R7" s="87">
        <f t="shared" si="35"/>
        <v>46082</v>
      </c>
      <c r="S7" s="87">
        <f t="shared" si="35"/>
        <v>46083</v>
      </c>
      <c r="T7" s="87">
        <f t="shared" si="35"/>
        <v>46084</v>
      </c>
      <c r="U7" s="87">
        <f>T7+1</f>
        <v>46085</v>
      </c>
      <c r="V7" s="87">
        <f>U7+1</f>
        <v>46086</v>
      </c>
      <c r="W7" s="87">
        <f>V7+1</f>
        <v>46087</v>
      </c>
      <c r="X7" s="87">
        <f t="shared" si="35"/>
        <v>46088</v>
      </c>
      <c r="Y7" s="87">
        <f t="shared" si="35"/>
        <v>46089</v>
      </c>
      <c r="Z7" s="87">
        <f t="shared" si="35"/>
        <v>46090</v>
      </c>
      <c r="AA7" s="87">
        <f t="shared" si="35"/>
        <v>46091</v>
      </c>
      <c r="AB7" s="87">
        <f t="shared" si="35"/>
        <v>46092</v>
      </c>
      <c r="AC7" s="87">
        <f t="shared" si="35"/>
        <v>46093</v>
      </c>
      <c r="AD7" s="87">
        <f t="shared" si="35"/>
        <v>46094</v>
      </c>
      <c r="AE7" s="87">
        <f t="shared" si="35"/>
        <v>46095</v>
      </c>
      <c r="AF7" s="87">
        <f t="shared" si="35"/>
        <v>46096</v>
      </c>
      <c r="AG7" s="87">
        <f t="shared" si="35"/>
        <v>46097</v>
      </c>
      <c r="AH7" s="87">
        <f t="shared" si="35"/>
        <v>46098</v>
      </c>
      <c r="AI7" s="87">
        <f t="shared" si="35"/>
        <v>46099</v>
      </c>
      <c r="AJ7" s="87">
        <f t="shared" si="35"/>
        <v>46100</v>
      </c>
      <c r="AK7" s="87">
        <f t="shared" si="35"/>
        <v>46101</v>
      </c>
      <c r="AL7" s="87">
        <f t="shared" si="35"/>
        <v>46102</v>
      </c>
      <c r="AM7" s="87">
        <f t="shared" si="35"/>
        <v>46103</v>
      </c>
      <c r="AN7" s="87">
        <f t="shared" si="35"/>
        <v>46104</v>
      </c>
      <c r="AO7" s="87">
        <f t="shared" si="35"/>
        <v>46105</v>
      </c>
      <c r="AP7" s="87">
        <f t="shared" si="35"/>
        <v>46106</v>
      </c>
      <c r="AQ7" s="87">
        <f t="shared" si="35"/>
        <v>46107</v>
      </c>
      <c r="AR7" s="87">
        <f t="shared" si="35"/>
        <v>46108</v>
      </c>
      <c r="AS7" s="87">
        <f t="shared" si="35"/>
        <v>46109</v>
      </c>
      <c r="AT7" s="87">
        <f t="shared" si="35"/>
        <v>46110</v>
      </c>
      <c r="AU7" s="87">
        <f t="shared" si="35"/>
        <v>46111</v>
      </c>
      <c r="AV7" s="87">
        <f t="shared" si="35"/>
        <v>46112</v>
      </c>
      <c r="AW7" s="87">
        <f t="shared" si="35"/>
        <v>46113</v>
      </c>
      <c r="AX7" s="87">
        <f t="shared" si="35"/>
        <v>46114</v>
      </c>
      <c r="AY7" s="87">
        <f t="shared" si="35"/>
        <v>46115</v>
      </c>
      <c r="AZ7" s="87">
        <f t="shared" si="35"/>
        <v>46116</v>
      </c>
      <c r="BA7" s="87">
        <f t="shared" si="35"/>
        <v>46117</v>
      </c>
      <c r="BB7" s="87">
        <f t="shared" si="35"/>
        <v>46118</v>
      </c>
      <c r="BC7" s="87">
        <f t="shared" si="35"/>
        <v>46119</v>
      </c>
      <c r="BD7" s="87">
        <f t="shared" si="35"/>
        <v>46120</v>
      </c>
      <c r="BE7" s="87">
        <f t="shared" si="35"/>
        <v>46121</v>
      </c>
      <c r="BF7" s="87">
        <f t="shared" si="35"/>
        <v>46122</v>
      </c>
      <c r="BG7" s="87">
        <f>BF7+1</f>
        <v>46123</v>
      </c>
      <c r="BH7" s="87">
        <f>BG7+1</f>
        <v>46124</v>
      </c>
      <c r="BI7" s="87">
        <f t="shared" si="35"/>
        <v>46125</v>
      </c>
      <c r="BJ7" s="87">
        <f t="shared" si="35"/>
        <v>46126</v>
      </c>
      <c r="BK7" s="87">
        <f t="shared" si="35"/>
        <v>46127</v>
      </c>
      <c r="BL7" s="87">
        <f t="shared" si="35"/>
        <v>46128</v>
      </c>
      <c r="BM7" s="87">
        <f t="shared" si="35"/>
        <v>46129</v>
      </c>
      <c r="BN7" s="87">
        <f t="shared" si="35"/>
        <v>46130</v>
      </c>
      <c r="BO7" s="87">
        <f t="shared" si="35"/>
        <v>46131</v>
      </c>
      <c r="BP7" s="87">
        <f t="shared" si="35"/>
        <v>46132</v>
      </c>
      <c r="BQ7" s="87">
        <f t="shared" si="35"/>
        <v>46133</v>
      </c>
      <c r="BR7" s="87">
        <f t="shared" si="35"/>
        <v>46134</v>
      </c>
      <c r="BS7" s="87">
        <f t="shared" si="35"/>
        <v>46135</v>
      </c>
      <c r="BT7" s="87">
        <f t="shared" si="35"/>
        <v>46136</v>
      </c>
      <c r="BU7" s="87">
        <f t="shared" si="35"/>
        <v>46137</v>
      </c>
      <c r="BV7" s="87">
        <f t="shared" si="35"/>
        <v>46138</v>
      </c>
      <c r="BW7" s="87">
        <f t="shared" si="35"/>
        <v>46139</v>
      </c>
      <c r="BX7" s="87">
        <f t="shared" si="35"/>
        <v>46140</v>
      </c>
      <c r="BY7" s="87">
        <f t="shared" ref="BY7:CZ7" si="36">BX7+1</f>
        <v>46141</v>
      </c>
      <c r="BZ7" s="87">
        <f t="shared" si="36"/>
        <v>46142</v>
      </c>
      <c r="CA7" s="87">
        <f t="shared" si="36"/>
        <v>46143</v>
      </c>
      <c r="CB7" s="87">
        <f t="shared" si="36"/>
        <v>46144</v>
      </c>
      <c r="CC7" s="87">
        <f t="shared" si="36"/>
        <v>46145</v>
      </c>
      <c r="CD7" s="87">
        <f t="shared" si="36"/>
        <v>46146</v>
      </c>
      <c r="CE7" s="87">
        <f t="shared" si="36"/>
        <v>46147</v>
      </c>
      <c r="CF7" s="87">
        <f t="shared" si="36"/>
        <v>46148</v>
      </c>
      <c r="CG7" s="87">
        <f t="shared" si="36"/>
        <v>46149</v>
      </c>
      <c r="CH7" s="87">
        <f t="shared" si="36"/>
        <v>46150</v>
      </c>
      <c r="CI7" s="87">
        <f t="shared" si="36"/>
        <v>46151</v>
      </c>
      <c r="CJ7" s="87">
        <f t="shared" si="36"/>
        <v>46152</v>
      </c>
      <c r="CK7" s="87">
        <f t="shared" si="36"/>
        <v>46153</v>
      </c>
      <c r="CL7" s="87">
        <f t="shared" si="36"/>
        <v>46154</v>
      </c>
      <c r="CM7" s="87">
        <f t="shared" si="36"/>
        <v>46155</v>
      </c>
      <c r="CN7" s="87">
        <f t="shared" si="36"/>
        <v>46156</v>
      </c>
      <c r="CO7" s="87">
        <f t="shared" si="36"/>
        <v>46157</v>
      </c>
      <c r="CP7" s="87">
        <f t="shared" si="36"/>
        <v>46158</v>
      </c>
      <c r="CQ7" s="87">
        <f t="shared" si="36"/>
        <v>46159</v>
      </c>
      <c r="CR7" s="87">
        <f t="shared" si="36"/>
        <v>46160</v>
      </c>
      <c r="CS7" s="87">
        <f t="shared" si="36"/>
        <v>46161</v>
      </c>
      <c r="CT7" s="87">
        <f t="shared" si="36"/>
        <v>46162</v>
      </c>
      <c r="CU7" s="87">
        <f t="shared" si="36"/>
        <v>46163</v>
      </c>
      <c r="CV7" s="87">
        <f t="shared" si="36"/>
        <v>46164</v>
      </c>
      <c r="CW7" s="87">
        <f t="shared" si="36"/>
        <v>46165</v>
      </c>
      <c r="CX7" s="87">
        <f t="shared" si="36"/>
        <v>46166</v>
      </c>
      <c r="CY7" s="87">
        <f t="shared" si="36"/>
        <v>46167</v>
      </c>
      <c r="CZ7" s="87">
        <f t="shared" si="36"/>
        <v>46168</v>
      </c>
      <c r="DA7" s="87">
        <f t="shared" ref="DA7:DG7" si="37">CZ7+1</f>
        <v>46169</v>
      </c>
      <c r="DB7" s="87">
        <f t="shared" si="37"/>
        <v>46170</v>
      </c>
      <c r="DC7" s="87">
        <f t="shared" si="37"/>
        <v>46171</v>
      </c>
      <c r="DD7" s="87">
        <f t="shared" si="37"/>
        <v>46172</v>
      </c>
      <c r="DE7" s="87">
        <f t="shared" si="37"/>
        <v>46173</v>
      </c>
      <c r="DF7" s="87">
        <f t="shared" si="37"/>
        <v>46174</v>
      </c>
      <c r="DG7" s="87">
        <f t="shared" si="37"/>
        <v>46175</v>
      </c>
      <c r="DH7" s="87">
        <f t="shared" ref="DH7" si="38">DG7+1</f>
        <v>46176</v>
      </c>
      <c r="DI7" s="87">
        <f t="shared" ref="DI7" si="39">DH7+1</f>
        <v>46177</v>
      </c>
    </row>
    <row r="8" spans="1:113">
      <c r="A8" s="90"/>
      <c r="B8" s="90"/>
      <c r="C8" s="90"/>
      <c r="D8" s="91"/>
      <c r="E8" s="92"/>
      <c r="F8" s="85"/>
      <c r="G8" s="86" t="s">
        <v>10</v>
      </c>
      <c r="H8" s="93"/>
      <c r="I8" s="94"/>
      <c r="J8" s="95" t="s">
        <v>11</v>
      </c>
      <c r="K8" s="78">
        <f>COUNT(K12:K156)</f>
        <v>1</v>
      </c>
      <c r="L8" s="96">
        <f t="shared" ref="L8:BW8" si="40">WEEKDAY(L7)</f>
        <v>2</v>
      </c>
      <c r="M8" s="96">
        <f t="shared" si="40"/>
        <v>3</v>
      </c>
      <c r="N8" s="96">
        <f t="shared" si="40"/>
        <v>4</v>
      </c>
      <c r="O8" s="96">
        <f t="shared" si="40"/>
        <v>5</v>
      </c>
      <c r="P8" s="96">
        <f t="shared" si="40"/>
        <v>6</v>
      </c>
      <c r="Q8" s="96">
        <f t="shared" si="40"/>
        <v>7</v>
      </c>
      <c r="R8" s="96">
        <f t="shared" si="40"/>
        <v>1</v>
      </c>
      <c r="S8" s="96">
        <f t="shared" si="40"/>
        <v>2</v>
      </c>
      <c r="T8" s="96">
        <f t="shared" si="40"/>
        <v>3</v>
      </c>
      <c r="U8" s="96">
        <f t="shared" si="40"/>
        <v>4</v>
      </c>
      <c r="V8" s="96">
        <f t="shared" si="40"/>
        <v>5</v>
      </c>
      <c r="W8" s="96">
        <f t="shared" si="40"/>
        <v>6</v>
      </c>
      <c r="X8" s="96">
        <f t="shared" si="40"/>
        <v>7</v>
      </c>
      <c r="Y8" s="96">
        <f t="shared" si="40"/>
        <v>1</v>
      </c>
      <c r="Z8" s="96">
        <f t="shared" si="40"/>
        <v>2</v>
      </c>
      <c r="AA8" s="96">
        <f t="shared" si="40"/>
        <v>3</v>
      </c>
      <c r="AB8" s="96">
        <f t="shared" si="40"/>
        <v>4</v>
      </c>
      <c r="AC8" s="96">
        <f t="shared" si="40"/>
        <v>5</v>
      </c>
      <c r="AD8" s="96">
        <f t="shared" si="40"/>
        <v>6</v>
      </c>
      <c r="AE8" s="96">
        <f t="shared" si="40"/>
        <v>7</v>
      </c>
      <c r="AF8" s="96">
        <f t="shared" si="40"/>
        <v>1</v>
      </c>
      <c r="AG8" s="96">
        <f t="shared" si="40"/>
        <v>2</v>
      </c>
      <c r="AH8" s="96">
        <f t="shared" si="40"/>
        <v>3</v>
      </c>
      <c r="AI8" s="96">
        <f t="shared" si="40"/>
        <v>4</v>
      </c>
      <c r="AJ8" s="96">
        <f t="shared" si="40"/>
        <v>5</v>
      </c>
      <c r="AK8" s="96">
        <f t="shared" si="40"/>
        <v>6</v>
      </c>
      <c r="AL8" s="96">
        <f t="shared" si="40"/>
        <v>7</v>
      </c>
      <c r="AM8" s="96">
        <f t="shared" si="40"/>
        <v>1</v>
      </c>
      <c r="AN8" s="96">
        <f t="shared" si="40"/>
        <v>2</v>
      </c>
      <c r="AO8" s="96">
        <f t="shared" si="40"/>
        <v>3</v>
      </c>
      <c r="AP8" s="96">
        <f t="shared" si="40"/>
        <v>4</v>
      </c>
      <c r="AQ8" s="96">
        <f t="shared" si="40"/>
        <v>5</v>
      </c>
      <c r="AR8" s="96">
        <f t="shared" si="40"/>
        <v>6</v>
      </c>
      <c r="AS8" s="96">
        <f t="shared" si="40"/>
        <v>7</v>
      </c>
      <c r="AT8" s="96">
        <f t="shared" si="40"/>
        <v>1</v>
      </c>
      <c r="AU8" s="96">
        <f t="shared" si="40"/>
        <v>2</v>
      </c>
      <c r="AV8" s="96">
        <f t="shared" si="40"/>
        <v>3</v>
      </c>
      <c r="AW8" s="96">
        <f t="shared" si="40"/>
        <v>4</v>
      </c>
      <c r="AX8" s="96">
        <f t="shared" si="40"/>
        <v>5</v>
      </c>
      <c r="AY8" s="96">
        <f t="shared" si="40"/>
        <v>6</v>
      </c>
      <c r="AZ8" s="96">
        <f t="shared" si="40"/>
        <v>7</v>
      </c>
      <c r="BA8" s="96">
        <f t="shared" si="40"/>
        <v>1</v>
      </c>
      <c r="BB8" s="96">
        <f t="shared" si="40"/>
        <v>2</v>
      </c>
      <c r="BC8" s="96">
        <f t="shared" si="40"/>
        <v>3</v>
      </c>
      <c r="BD8" s="96">
        <f t="shared" si="40"/>
        <v>4</v>
      </c>
      <c r="BE8" s="96">
        <f t="shared" si="40"/>
        <v>5</v>
      </c>
      <c r="BF8" s="96">
        <f t="shared" si="40"/>
        <v>6</v>
      </c>
      <c r="BG8" s="96">
        <f t="shared" si="40"/>
        <v>7</v>
      </c>
      <c r="BH8" s="96">
        <f t="shared" si="40"/>
        <v>1</v>
      </c>
      <c r="BI8" s="96">
        <f t="shared" si="40"/>
        <v>2</v>
      </c>
      <c r="BJ8" s="96">
        <f t="shared" si="40"/>
        <v>3</v>
      </c>
      <c r="BK8" s="96">
        <f t="shared" si="40"/>
        <v>4</v>
      </c>
      <c r="BL8" s="96">
        <f t="shared" si="40"/>
        <v>5</v>
      </c>
      <c r="BM8" s="96">
        <f t="shared" si="40"/>
        <v>6</v>
      </c>
      <c r="BN8" s="96">
        <f t="shared" si="40"/>
        <v>7</v>
      </c>
      <c r="BO8" s="96">
        <f t="shared" si="40"/>
        <v>1</v>
      </c>
      <c r="BP8" s="96">
        <f t="shared" si="40"/>
        <v>2</v>
      </c>
      <c r="BQ8" s="96">
        <f t="shared" si="40"/>
        <v>3</v>
      </c>
      <c r="BR8" s="96">
        <f t="shared" si="40"/>
        <v>4</v>
      </c>
      <c r="BS8" s="96">
        <f t="shared" si="40"/>
        <v>5</v>
      </c>
      <c r="BT8" s="96">
        <f t="shared" si="40"/>
        <v>6</v>
      </c>
      <c r="BU8" s="96">
        <f t="shared" si="40"/>
        <v>7</v>
      </c>
      <c r="BV8" s="96">
        <f t="shared" si="40"/>
        <v>1</v>
      </c>
      <c r="BW8" s="96">
        <f t="shared" si="40"/>
        <v>2</v>
      </c>
      <c r="BX8" s="96">
        <f t="shared" ref="BX8:CZ8" si="41">WEEKDAY(BX7)</f>
        <v>3</v>
      </c>
      <c r="BY8" s="96">
        <f t="shared" si="41"/>
        <v>4</v>
      </c>
      <c r="BZ8" s="96">
        <f t="shared" si="41"/>
        <v>5</v>
      </c>
      <c r="CA8" s="96">
        <f t="shared" si="41"/>
        <v>6</v>
      </c>
      <c r="CB8" s="96">
        <f t="shared" si="41"/>
        <v>7</v>
      </c>
      <c r="CC8" s="96">
        <f t="shared" si="41"/>
        <v>1</v>
      </c>
      <c r="CD8" s="96">
        <f t="shared" si="41"/>
        <v>2</v>
      </c>
      <c r="CE8" s="96">
        <f t="shared" si="41"/>
        <v>3</v>
      </c>
      <c r="CF8" s="96">
        <f t="shared" si="41"/>
        <v>4</v>
      </c>
      <c r="CG8" s="96">
        <f t="shared" si="41"/>
        <v>5</v>
      </c>
      <c r="CH8" s="96">
        <f t="shared" si="41"/>
        <v>6</v>
      </c>
      <c r="CI8" s="96">
        <f t="shared" si="41"/>
        <v>7</v>
      </c>
      <c r="CJ8" s="96">
        <f t="shared" si="41"/>
        <v>1</v>
      </c>
      <c r="CK8" s="96">
        <f t="shared" si="41"/>
        <v>2</v>
      </c>
      <c r="CL8" s="96">
        <f t="shared" si="41"/>
        <v>3</v>
      </c>
      <c r="CM8" s="96">
        <f t="shared" si="41"/>
        <v>4</v>
      </c>
      <c r="CN8" s="96">
        <f t="shared" si="41"/>
        <v>5</v>
      </c>
      <c r="CO8" s="96">
        <f t="shared" si="41"/>
        <v>6</v>
      </c>
      <c r="CP8" s="96">
        <f t="shared" si="41"/>
        <v>7</v>
      </c>
      <c r="CQ8" s="96">
        <f t="shared" si="41"/>
        <v>1</v>
      </c>
      <c r="CR8" s="96">
        <f t="shared" si="41"/>
        <v>2</v>
      </c>
      <c r="CS8" s="96">
        <f t="shared" si="41"/>
        <v>3</v>
      </c>
      <c r="CT8" s="96">
        <f t="shared" si="41"/>
        <v>4</v>
      </c>
      <c r="CU8" s="96">
        <f t="shared" si="41"/>
        <v>5</v>
      </c>
      <c r="CV8" s="96">
        <f t="shared" si="41"/>
        <v>6</v>
      </c>
      <c r="CW8" s="96">
        <f t="shared" si="41"/>
        <v>7</v>
      </c>
      <c r="CX8" s="96">
        <f t="shared" si="41"/>
        <v>1</v>
      </c>
      <c r="CY8" s="96">
        <f t="shared" si="41"/>
        <v>2</v>
      </c>
      <c r="CZ8" s="96">
        <f t="shared" si="41"/>
        <v>3</v>
      </c>
      <c r="DA8" s="96">
        <f t="shared" ref="DA8:DG8" si="42">WEEKDAY(DA7)</f>
        <v>4</v>
      </c>
      <c r="DB8" s="96">
        <f t="shared" si="42"/>
        <v>5</v>
      </c>
      <c r="DC8" s="96">
        <f t="shared" si="42"/>
        <v>6</v>
      </c>
      <c r="DD8" s="96">
        <f t="shared" si="42"/>
        <v>7</v>
      </c>
      <c r="DE8" s="96">
        <f t="shared" si="42"/>
        <v>1</v>
      </c>
      <c r="DF8" s="96">
        <f t="shared" si="42"/>
        <v>2</v>
      </c>
      <c r="DG8" s="96">
        <f t="shared" si="42"/>
        <v>3</v>
      </c>
      <c r="DH8" s="96">
        <f t="shared" ref="DH8:DI8" si="43">WEEKDAY(DH7)</f>
        <v>4</v>
      </c>
      <c r="DI8" s="96">
        <f t="shared" si="43"/>
        <v>5</v>
      </c>
    </row>
    <row r="9" spans="1:113">
      <c r="A9" s="114"/>
      <c r="B9" s="114"/>
      <c r="C9" s="114"/>
      <c r="D9" s="5" t="s">
        <v>117</v>
      </c>
      <c r="E9" s="6">
        <f>SUMPRODUCT($F$12:$F156,$G$12:$G156)</f>
        <v>2207196</v>
      </c>
      <c r="F9" s="6"/>
      <c r="G9" s="6" t="s">
        <v>12</v>
      </c>
      <c r="H9" s="5"/>
      <c r="I9" s="50"/>
      <c r="J9" s="95" t="s">
        <v>13</v>
      </c>
      <c r="K9" s="78">
        <f>COUNT(C12:C160)</f>
        <v>144</v>
      </c>
      <c r="L9" s="7">
        <v>1</v>
      </c>
      <c r="M9" s="7">
        <v>1</v>
      </c>
      <c r="N9" s="7">
        <v>1</v>
      </c>
      <c r="O9" s="7">
        <v>1</v>
      </c>
      <c r="P9" s="7">
        <v>1</v>
      </c>
      <c r="Q9" s="7">
        <v>1</v>
      </c>
      <c r="R9" s="7">
        <v>1</v>
      </c>
      <c r="S9" s="7">
        <v>1</v>
      </c>
      <c r="T9" s="7">
        <v>0</v>
      </c>
      <c r="U9" s="7">
        <v>1</v>
      </c>
      <c r="V9" s="7">
        <v>0</v>
      </c>
      <c r="W9" s="7">
        <v>1</v>
      </c>
      <c r="X9" s="7">
        <v>1</v>
      </c>
      <c r="Y9" s="7">
        <v>1</v>
      </c>
      <c r="Z9" s="7">
        <v>1</v>
      </c>
      <c r="AA9" s="7">
        <v>1</v>
      </c>
      <c r="AB9" s="7">
        <v>1</v>
      </c>
      <c r="AC9" s="7">
        <v>1</v>
      </c>
      <c r="AD9" s="7">
        <v>1</v>
      </c>
      <c r="AE9" s="7">
        <v>1</v>
      </c>
      <c r="AF9" s="7">
        <v>1</v>
      </c>
      <c r="AG9" s="7">
        <v>1</v>
      </c>
      <c r="AH9" s="7">
        <v>1</v>
      </c>
      <c r="AI9" s="7">
        <v>1</v>
      </c>
      <c r="AJ9" s="7">
        <v>1</v>
      </c>
      <c r="AK9" s="7">
        <v>1</v>
      </c>
      <c r="AL9" s="7">
        <v>1</v>
      </c>
      <c r="AM9" s="7">
        <v>1</v>
      </c>
      <c r="AN9" s="7">
        <v>1</v>
      </c>
      <c r="AO9" s="7">
        <v>1</v>
      </c>
      <c r="AP9" s="7">
        <v>1</v>
      </c>
      <c r="AQ9" s="7">
        <v>1</v>
      </c>
      <c r="AR9" s="7">
        <v>1</v>
      </c>
      <c r="AS9" s="7">
        <v>1</v>
      </c>
      <c r="AT9" s="7">
        <v>1</v>
      </c>
      <c r="AU9" s="7">
        <v>1</v>
      </c>
      <c r="AV9" s="7">
        <v>1</v>
      </c>
      <c r="AW9" s="7">
        <v>1</v>
      </c>
      <c r="AX9" s="7">
        <v>1</v>
      </c>
      <c r="AY9" s="7">
        <v>1</v>
      </c>
      <c r="AZ9" s="7">
        <v>1</v>
      </c>
      <c r="BA9" s="7">
        <v>1</v>
      </c>
      <c r="BB9" s="7">
        <v>1</v>
      </c>
      <c r="BC9" s="7">
        <v>1</v>
      </c>
      <c r="BD9" s="7">
        <v>1</v>
      </c>
      <c r="BE9" s="7">
        <v>1</v>
      </c>
      <c r="BF9" s="7">
        <v>1</v>
      </c>
      <c r="BG9" s="7">
        <v>1</v>
      </c>
      <c r="BH9" s="7">
        <v>1</v>
      </c>
      <c r="BI9" s="7">
        <v>1</v>
      </c>
      <c r="BJ9" s="7">
        <v>1</v>
      </c>
      <c r="BK9" s="7">
        <v>1</v>
      </c>
      <c r="BL9" s="7">
        <v>1</v>
      </c>
      <c r="BM9" s="7">
        <v>1</v>
      </c>
      <c r="BN9" s="7">
        <v>1</v>
      </c>
      <c r="BO9" s="7">
        <v>1</v>
      </c>
      <c r="BP9" s="7">
        <v>1</v>
      </c>
      <c r="BQ9" s="7">
        <v>1</v>
      </c>
      <c r="BR9" s="7">
        <v>1</v>
      </c>
      <c r="BS9" s="7">
        <v>1</v>
      </c>
      <c r="BT9" s="7">
        <v>1</v>
      </c>
      <c r="BU9" s="7">
        <v>1</v>
      </c>
      <c r="BV9" s="7">
        <v>1</v>
      </c>
      <c r="BW9" s="7">
        <v>1</v>
      </c>
      <c r="BX9" s="7">
        <v>1</v>
      </c>
      <c r="BY9" s="7">
        <v>1</v>
      </c>
      <c r="BZ9" s="7">
        <v>1</v>
      </c>
      <c r="CA9" s="7">
        <v>1</v>
      </c>
      <c r="CB9" s="7">
        <v>1</v>
      </c>
      <c r="CC9" s="7">
        <v>1</v>
      </c>
      <c r="CD9" s="7">
        <v>1</v>
      </c>
      <c r="CE9" s="7">
        <v>1</v>
      </c>
      <c r="CF9" s="7">
        <v>1</v>
      </c>
      <c r="CG9" s="7">
        <v>1</v>
      </c>
      <c r="CH9" s="7">
        <v>1</v>
      </c>
      <c r="CI9" s="7">
        <v>1</v>
      </c>
      <c r="CJ9" s="7">
        <v>1</v>
      </c>
      <c r="CK9" s="7">
        <v>1</v>
      </c>
      <c r="CL9" s="7">
        <v>1</v>
      </c>
      <c r="CM9" s="7">
        <v>1</v>
      </c>
      <c r="CN9" s="7">
        <v>1</v>
      </c>
      <c r="CO9" s="7">
        <v>1</v>
      </c>
      <c r="CP9" s="7">
        <v>1</v>
      </c>
      <c r="CQ9" s="7">
        <v>1</v>
      </c>
      <c r="CR9" s="7">
        <v>1</v>
      </c>
      <c r="CS9" s="7">
        <v>1</v>
      </c>
      <c r="CT9" s="7">
        <v>1</v>
      </c>
      <c r="CU9" s="7">
        <v>1</v>
      </c>
      <c r="CV9" s="7">
        <v>1</v>
      </c>
      <c r="CW9" s="7">
        <v>1</v>
      </c>
      <c r="CX9" s="7">
        <v>1</v>
      </c>
      <c r="CY9" s="7">
        <v>1</v>
      </c>
      <c r="CZ9" s="7">
        <v>1</v>
      </c>
      <c r="DA9" s="7">
        <v>1</v>
      </c>
      <c r="DB9" s="7">
        <v>1</v>
      </c>
      <c r="DC9" s="7">
        <v>1</v>
      </c>
      <c r="DD9" s="7">
        <v>1</v>
      </c>
      <c r="DE9" s="7">
        <v>1</v>
      </c>
      <c r="DF9" s="7">
        <v>1</v>
      </c>
      <c r="DG9" s="7">
        <v>1</v>
      </c>
      <c r="DH9" s="7">
        <v>1</v>
      </c>
      <c r="DI9" s="7">
        <v>1</v>
      </c>
    </row>
    <row r="10" spans="1:113">
      <c r="A10" s="114"/>
      <c r="B10" s="114"/>
      <c r="C10" s="114"/>
      <c r="D10" s="5"/>
      <c r="E10" s="8"/>
      <c r="F10" s="6"/>
      <c r="G10" s="6" t="s">
        <v>14</v>
      </c>
      <c r="H10" s="5"/>
      <c r="I10" s="50"/>
      <c r="J10" s="95" t="s">
        <v>15</v>
      </c>
      <c r="K10" s="78">
        <f ca="1">COUNT(A12:A156)</f>
        <v>18</v>
      </c>
      <c r="L10" s="7">
        <v>1</v>
      </c>
      <c r="M10" s="7">
        <v>1</v>
      </c>
      <c r="N10" s="7">
        <v>1</v>
      </c>
      <c r="O10" s="7">
        <v>1</v>
      </c>
      <c r="P10" s="7">
        <v>1</v>
      </c>
      <c r="Q10" s="7">
        <v>1</v>
      </c>
      <c r="R10" s="7">
        <v>1</v>
      </c>
      <c r="S10" s="7">
        <v>1</v>
      </c>
      <c r="T10" s="7">
        <v>0</v>
      </c>
      <c r="U10" s="7">
        <v>1</v>
      </c>
      <c r="V10" s="7">
        <v>0</v>
      </c>
      <c r="W10" s="7">
        <v>1</v>
      </c>
      <c r="X10" s="7">
        <v>1</v>
      </c>
      <c r="Y10" s="7">
        <v>1</v>
      </c>
      <c r="Z10" s="7">
        <v>1</v>
      </c>
      <c r="AA10" s="7">
        <v>1</v>
      </c>
      <c r="AB10" s="7">
        <v>1</v>
      </c>
      <c r="AC10" s="7">
        <v>1</v>
      </c>
      <c r="AD10" s="7">
        <v>1</v>
      </c>
      <c r="AE10" s="7">
        <v>1</v>
      </c>
      <c r="AF10" s="7">
        <v>1</v>
      </c>
      <c r="AG10" s="7">
        <v>1</v>
      </c>
      <c r="AH10" s="7">
        <v>1</v>
      </c>
      <c r="AI10" s="7">
        <v>1</v>
      </c>
      <c r="AJ10" s="7">
        <v>1</v>
      </c>
      <c r="AK10" s="7">
        <v>1</v>
      </c>
      <c r="AL10" s="7">
        <v>1</v>
      </c>
      <c r="AM10" s="7">
        <v>1</v>
      </c>
      <c r="AN10" s="7">
        <v>1</v>
      </c>
      <c r="AO10" s="7">
        <v>1</v>
      </c>
      <c r="AP10" s="7">
        <v>1</v>
      </c>
      <c r="AQ10" s="7">
        <v>1</v>
      </c>
      <c r="AR10" s="7">
        <v>1</v>
      </c>
      <c r="AS10" s="7">
        <v>1</v>
      </c>
      <c r="AT10" s="7">
        <v>1</v>
      </c>
      <c r="AU10" s="7">
        <v>1</v>
      </c>
      <c r="AV10" s="7">
        <v>1</v>
      </c>
      <c r="AW10" s="7">
        <v>1</v>
      </c>
      <c r="AX10" s="7">
        <v>1</v>
      </c>
      <c r="AY10" s="7">
        <v>1</v>
      </c>
      <c r="AZ10" s="7">
        <v>1</v>
      </c>
      <c r="BA10" s="7">
        <v>1</v>
      </c>
      <c r="BB10" s="7">
        <v>1</v>
      </c>
      <c r="BC10" s="7">
        <v>1</v>
      </c>
      <c r="BD10" s="7">
        <v>1</v>
      </c>
      <c r="BE10" s="7">
        <v>1</v>
      </c>
      <c r="BF10" s="7">
        <v>1</v>
      </c>
      <c r="BG10" s="7">
        <v>1</v>
      </c>
      <c r="BH10" s="7">
        <v>1</v>
      </c>
      <c r="BI10" s="7">
        <v>1</v>
      </c>
      <c r="BJ10" s="7">
        <v>1</v>
      </c>
      <c r="BK10" s="7">
        <v>1</v>
      </c>
      <c r="BL10" s="7">
        <v>1</v>
      </c>
      <c r="BM10" s="7">
        <v>1</v>
      </c>
      <c r="BN10" s="7">
        <v>1</v>
      </c>
      <c r="BO10" s="7">
        <v>1</v>
      </c>
      <c r="BP10" s="7">
        <v>1</v>
      </c>
      <c r="BQ10" s="7">
        <v>1</v>
      </c>
      <c r="BR10" s="7">
        <v>1</v>
      </c>
      <c r="BS10" s="7">
        <v>1</v>
      </c>
      <c r="BT10" s="7">
        <v>1</v>
      </c>
      <c r="BU10" s="7">
        <v>1</v>
      </c>
      <c r="BV10" s="7">
        <v>1</v>
      </c>
      <c r="BW10" s="7">
        <v>1</v>
      </c>
      <c r="BX10" s="7">
        <v>1</v>
      </c>
      <c r="BY10" s="7">
        <v>1</v>
      </c>
      <c r="BZ10" s="7">
        <v>1</v>
      </c>
      <c r="CA10" s="7">
        <v>1</v>
      </c>
      <c r="CB10" s="7">
        <v>1</v>
      </c>
      <c r="CC10" s="7">
        <v>1</v>
      </c>
      <c r="CD10" s="7">
        <v>1</v>
      </c>
      <c r="CE10" s="7">
        <v>1</v>
      </c>
      <c r="CF10" s="7">
        <v>1</v>
      </c>
      <c r="CG10" s="7">
        <v>1</v>
      </c>
      <c r="CH10" s="7">
        <v>1</v>
      </c>
      <c r="CI10" s="7">
        <v>1</v>
      </c>
      <c r="CJ10" s="7">
        <v>1</v>
      </c>
      <c r="CK10" s="7">
        <v>1</v>
      </c>
      <c r="CL10" s="7">
        <v>1</v>
      </c>
      <c r="CM10" s="7">
        <v>1</v>
      </c>
      <c r="CN10" s="7">
        <v>1</v>
      </c>
      <c r="CO10" s="7">
        <v>1</v>
      </c>
      <c r="CP10" s="7">
        <v>1</v>
      </c>
      <c r="CQ10" s="7">
        <v>1</v>
      </c>
      <c r="CR10" s="7">
        <v>1</v>
      </c>
      <c r="CS10" s="7">
        <v>1</v>
      </c>
      <c r="CT10" s="7">
        <v>1</v>
      </c>
      <c r="CU10" s="7">
        <v>1</v>
      </c>
      <c r="CV10" s="7">
        <v>1</v>
      </c>
      <c r="CW10" s="7">
        <v>1</v>
      </c>
      <c r="CX10" s="7">
        <v>1</v>
      </c>
      <c r="CY10" s="7">
        <v>1</v>
      </c>
      <c r="CZ10" s="7">
        <v>1</v>
      </c>
      <c r="DA10" s="7">
        <v>1</v>
      </c>
      <c r="DB10" s="7">
        <v>1</v>
      </c>
      <c r="DC10" s="7">
        <v>1</v>
      </c>
      <c r="DD10" s="7">
        <v>1</v>
      </c>
      <c r="DE10" s="7">
        <v>1</v>
      </c>
      <c r="DF10" s="7">
        <v>1</v>
      </c>
      <c r="DG10" s="7">
        <v>1</v>
      </c>
      <c r="DH10" s="7">
        <v>1</v>
      </c>
      <c r="DI10" s="7">
        <v>1</v>
      </c>
    </row>
    <row r="11" spans="1:113" s="103" customFormat="1" ht="30.75" customHeight="1">
      <c r="A11" s="158" t="s">
        <v>96</v>
      </c>
      <c r="B11" s="98" t="s">
        <v>16</v>
      </c>
      <c r="C11" s="98" t="s">
        <v>17</v>
      </c>
      <c r="D11" s="69" t="s">
        <v>18</v>
      </c>
      <c r="E11" s="99" t="s">
        <v>19</v>
      </c>
      <c r="F11" s="100" t="s">
        <v>20</v>
      </c>
      <c r="G11" s="100" t="s">
        <v>21</v>
      </c>
      <c r="H11" s="101" t="str">
        <f>"累計"&amp;J1&amp;"至"&amp;K1&amp;"數量"</f>
        <v>累計1至36數量</v>
      </c>
      <c r="I11" s="102" t="s">
        <v>22</v>
      </c>
      <c r="J11" s="99" t="s">
        <v>23</v>
      </c>
      <c r="K11" s="99" t="s">
        <v>24</v>
      </c>
      <c r="L11" s="98" t="s">
        <v>25</v>
      </c>
      <c r="CX11" s="104"/>
      <c r="CY11" s="105"/>
    </row>
    <row r="12" spans="1:113">
      <c r="A12" s="159">
        <f ca="1">IF(H12&gt;0,C12,"")</f>
        <v>1</v>
      </c>
      <c r="B12" s="159" t="str">
        <f>IF(K12="","",C12)</f>
        <v/>
      </c>
      <c r="C12" s="76">
        <v>1</v>
      </c>
      <c r="D12" s="9" t="s">
        <v>145</v>
      </c>
      <c r="E12" s="10" t="s">
        <v>146</v>
      </c>
      <c r="F12" s="11">
        <v>1</v>
      </c>
      <c r="G12" s="11">
        <v>1899</v>
      </c>
      <c r="H12" s="106">
        <f ca="1">SUM(OFFSET(L12,,J$1-1):OFFSET(L12,,K$1-1))</f>
        <v>1</v>
      </c>
      <c r="I12" s="107">
        <f ca="1">SUM(L12:OFFSET(L12,,K$1-1))</f>
        <v>1</v>
      </c>
      <c r="J12" s="106">
        <f ca="1">F12-I12</f>
        <v>0</v>
      </c>
      <c r="K12" s="108" t="str">
        <f t="shared" ref="K12:K43" si="44">IF(LOOKUP(K$1,L$1:DG$1,L12:DG12)=0,"",LOOKUP(K$1,L$1:DG$1,L12:DG12))</f>
        <v/>
      </c>
      <c r="L12" s="2">
        <v>1</v>
      </c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44"/>
      <c r="CY12" s="40"/>
      <c r="CZ12" s="2"/>
      <c r="DA12" s="2"/>
      <c r="DB12" s="2"/>
      <c r="DC12" s="2"/>
      <c r="DD12" s="2"/>
      <c r="DE12" s="2"/>
      <c r="DF12" s="2"/>
      <c r="DG12" s="2"/>
    </row>
    <row r="13" spans="1:113">
      <c r="A13" s="159">
        <f t="shared" ref="A13:A72" ca="1" si="45">IF(H13&gt;0,C13,"")</f>
        <v>2</v>
      </c>
      <c r="B13" s="159" t="str">
        <f t="shared" ref="B13:B73" si="46">IF(K13="","",C13)</f>
        <v/>
      </c>
      <c r="C13" s="76">
        <v>2</v>
      </c>
      <c r="D13" s="9" t="s">
        <v>147</v>
      </c>
      <c r="E13" s="10" t="s">
        <v>146</v>
      </c>
      <c r="F13" s="11">
        <v>1</v>
      </c>
      <c r="G13" s="11">
        <v>1899</v>
      </c>
      <c r="H13" s="106">
        <f ca="1">SUM(OFFSET(L13,,J$1-1):OFFSET(L13,,K$1-1))</f>
        <v>1</v>
      </c>
      <c r="I13" s="107">
        <f ca="1">SUM(L13:OFFSET(L13,,K$1-1))</f>
        <v>1</v>
      </c>
      <c r="J13" s="106">
        <f t="shared" ref="J13:J72" ca="1" si="47">F13-I13</f>
        <v>0</v>
      </c>
      <c r="K13" s="108" t="str">
        <f t="shared" si="44"/>
        <v/>
      </c>
      <c r="L13" s="2">
        <v>1</v>
      </c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44"/>
      <c r="CY13" s="44"/>
      <c r="CZ13" s="2"/>
      <c r="DA13" s="2"/>
      <c r="DB13" s="2"/>
      <c r="DC13" s="2"/>
      <c r="DD13" s="2"/>
      <c r="DE13" s="2"/>
      <c r="DF13" s="2"/>
      <c r="DG13" s="2"/>
    </row>
    <row r="14" spans="1:113">
      <c r="A14" s="159">
        <f t="shared" ca="1" si="45"/>
        <v>3</v>
      </c>
      <c r="B14" s="159" t="str">
        <f t="shared" si="46"/>
        <v/>
      </c>
      <c r="C14" s="76">
        <v>3</v>
      </c>
      <c r="D14" s="9" t="s">
        <v>148</v>
      </c>
      <c r="E14" s="10" t="s">
        <v>149</v>
      </c>
      <c r="F14" s="11">
        <v>50</v>
      </c>
      <c r="G14" s="11">
        <v>570</v>
      </c>
      <c r="H14" s="106">
        <f ca="1">SUM(OFFSET(L14,,J$1-1):OFFSET(L14,,K$1-1))</f>
        <v>50</v>
      </c>
      <c r="I14" s="107">
        <f ca="1">SUM(L14:OFFSET(L14,,K$1-1))</f>
        <v>50</v>
      </c>
      <c r="J14" s="106">
        <f t="shared" ca="1" si="47"/>
        <v>0</v>
      </c>
      <c r="K14" s="108" t="str">
        <f t="shared" si="44"/>
        <v/>
      </c>
      <c r="L14" s="2">
        <v>50</v>
      </c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44"/>
      <c r="CY14" s="44"/>
      <c r="CZ14" s="2"/>
      <c r="DA14" s="2"/>
      <c r="DB14" s="2"/>
      <c r="DC14" s="2"/>
      <c r="DD14" s="2"/>
      <c r="DE14" s="2"/>
      <c r="DF14" s="2"/>
      <c r="DG14" s="2"/>
    </row>
    <row r="15" spans="1:113">
      <c r="A15" s="159">
        <f t="shared" ca="1" si="45"/>
        <v>4</v>
      </c>
      <c r="B15" s="159" t="str">
        <f t="shared" si="46"/>
        <v/>
      </c>
      <c r="C15" s="76">
        <v>4</v>
      </c>
      <c r="D15" s="9" t="s">
        <v>150</v>
      </c>
      <c r="E15" s="10" t="s">
        <v>149</v>
      </c>
      <c r="F15" s="11">
        <v>20</v>
      </c>
      <c r="G15" s="11">
        <v>142</v>
      </c>
      <c r="H15" s="106">
        <f ca="1">SUM(OFFSET(L15,,J$1-1):OFFSET(L15,,K$1-1))</f>
        <v>20</v>
      </c>
      <c r="I15" s="107">
        <f ca="1">SUM(L15:OFFSET(L15,,K$1-1))</f>
        <v>20</v>
      </c>
      <c r="J15" s="106">
        <f t="shared" ca="1" si="47"/>
        <v>0</v>
      </c>
      <c r="K15" s="108" t="str">
        <f t="shared" si="44"/>
        <v/>
      </c>
      <c r="L15" s="2">
        <v>20</v>
      </c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44"/>
      <c r="CY15" s="44"/>
      <c r="CZ15" s="2"/>
      <c r="DA15" s="2"/>
      <c r="DB15" s="2"/>
      <c r="DC15" s="2"/>
      <c r="DD15" s="2"/>
      <c r="DE15" s="2"/>
      <c r="DF15" s="2"/>
      <c r="DG15" s="2"/>
    </row>
    <row r="16" spans="1:113" ht="33">
      <c r="A16" s="159">
        <f t="shared" ca="1" si="45"/>
        <v>5</v>
      </c>
      <c r="B16" s="159" t="str">
        <f t="shared" si="46"/>
        <v/>
      </c>
      <c r="C16" s="76">
        <v>5</v>
      </c>
      <c r="D16" s="9" t="s">
        <v>151</v>
      </c>
      <c r="E16" s="10" t="s">
        <v>152</v>
      </c>
      <c r="F16" s="11">
        <v>1</v>
      </c>
      <c r="G16" s="11">
        <v>28490</v>
      </c>
      <c r="H16" s="106">
        <f ca="1">SUM(OFFSET(L16,,J$1-1):OFFSET(L16,,K$1-1))</f>
        <v>0.5</v>
      </c>
      <c r="I16" s="107">
        <f ca="1">SUM(L16:OFFSET(L16,,K$1-1))</f>
        <v>0.5</v>
      </c>
      <c r="J16" s="106">
        <f t="shared" ca="1" si="47"/>
        <v>0.5</v>
      </c>
      <c r="K16" s="108" t="str">
        <f t="shared" si="44"/>
        <v/>
      </c>
      <c r="L16" s="2">
        <v>0.5</v>
      </c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44"/>
      <c r="CY16" s="44"/>
      <c r="CZ16" s="2"/>
      <c r="DA16" s="2"/>
      <c r="DB16" s="2"/>
      <c r="DC16" s="2"/>
      <c r="DD16" s="2"/>
      <c r="DE16" s="2"/>
      <c r="DF16" s="2"/>
      <c r="DG16" s="2"/>
    </row>
    <row r="17" spans="1:111">
      <c r="A17" s="159">
        <f t="shared" ca="1" si="45"/>
        <v>6</v>
      </c>
      <c r="B17" s="159" t="str">
        <f t="shared" si="46"/>
        <v/>
      </c>
      <c r="C17" s="76">
        <v>6</v>
      </c>
      <c r="D17" s="9" t="s">
        <v>153</v>
      </c>
      <c r="E17" s="10" t="s">
        <v>152</v>
      </c>
      <c r="F17" s="11">
        <v>1</v>
      </c>
      <c r="G17" s="11">
        <v>9497</v>
      </c>
      <c r="H17" s="106">
        <f ca="1">SUM(OFFSET(L17,,J$1-1):OFFSET(L17,,K$1-1))</f>
        <v>1</v>
      </c>
      <c r="I17" s="107">
        <f ca="1">SUM(L17:OFFSET(L17,,K$1-1))</f>
        <v>1</v>
      </c>
      <c r="J17" s="106">
        <f t="shared" ca="1" si="47"/>
        <v>0</v>
      </c>
      <c r="K17" s="108" t="str">
        <f t="shared" si="44"/>
        <v/>
      </c>
      <c r="L17" s="2">
        <v>1</v>
      </c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44"/>
      <c r="CY17" s="44"/>
      <c r="CZ17" s="2"/>
      <c r="DA17" s="2"/>
      <c r="DB17" s="2"/>
      <c r="DC17" s="2"/>
      <c r="DD17" s="2"/>
      <c r="DE17" s="2"/>
      <c r="DF17" s="2"/>
      <c r="DG17" s="2"/>
    </row>
    <row r="18" spans="1:111">
      <c r="A18" s="159">
        <f t="shared" ca="1" si="45"/>
        <v>7</v>
      </c>
      <c r="B18" s="159" t="str">
        <f t="shared" si="46"/>
        <v/>
      </c>
      <c r="C18" s="76">
        <v>7</v>
      </c>
      <c r="D18" s="9" t="s">
        <v>154</v>
      </c>
      <c r="E18" s="10" t="s">
        <v>155</v>
      </c>
      <c r="F18" s="11">
        <v>821</v>
      </c>
      <c r="G18" s="11">
        <v>475</v>
      </c>
      <c r="H18" s="106">
        <f ca="1">SUM(OFFSET(L18,,J$1-1):OFFSET(L18,,K$1-1))</f>
        <v>821</v>
      </c>
      <c r="I18" s="107">
        <f ca="1">SUM(L18:OFFSET(L18,,K$1-1))</f>
        <v>821</v>
      </c>
      <c r="J18" s="106">
        <f t="shared" ca="1" si="47"/>
        <v>0</v>
      </c>
      <c r="K18" s="108" t="str">
        <f t="shared" si="44"/>
        <v/>
      </c>
      <c r="L18" s="2">
        <v>300</v>
      </c>
      <c r="M18" s="2">
        <v>95</v>
      </c>
      <c r="N18" s="2">
        <v>95</v>
      </c>
      <c r="O18" s="2"/>
      <c r="P18" s="2"/>
      <c r="Q18" s="2"/>
      <c r="R18" s="2"/>
      <c r="S18" s="2">
        <v>331</v>
      </c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44"/>
      <c r="CY18" s="44"/>
      <c r="CZ18" s="2"/>
      <c r="DA18" s="2"/>
      <c r="DB18" s="2"/>
      <c r="DC18" s="2"/>
      <c r="DD18" s="2"/>
      <c r="DE18" s="2"/>
      <c r="DF18" s="2"/>
      <c r="DG18" s="2"/>
    </row>
    <row r="19" spans="1:111">
      <c r="A19" s="159">
        <f t="shared" ca="1" si="45"/>
        <v>8</v>
      </c>
      <c r="B19" s="159" t="str">
        <f t="shared" si="46"/>
        <v/>
      </c>
      <c r="C19" s="76">
        <v>8</v>
      </c>
      <c r="D19" s="9" t="s">
        <v>156</v>
      </c>
      <c r="E19" s="10" t="s">
        <v>152</v>
      </c>
      <c r="F19" s="11">
        <v>1</v>
      </c>
      <c r="G19" s="11">
        <v>37987</v>
      </c>
      <c r="H19" s="106">
        <f ca="1">SUM(OFFSET(L19,,J$1-1):OFFSET(L19,,K$1-1))</f>
        <v>0.5</v>
      </c>
      <c r="I19" s="107">
        <f ca="1">SUM(L19:OFFSET(L19,,K$1-1))</f>
        <v>0.5</v>
      </c>
      <c r="J19" s="106">
        <f t="shared" ca="1" si="47"/>
        <v>0.5</v>
      </c>
      <c r="K19" s="108" t="str">
        <f t="shared" si="44"/>
        <v/>
      </c>
      <c r="L19" s="2">
        <v>0.5</v>
      </c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44"/>
      <c r="CY19" s="44"/>
      <c r="CZ19" s="2"/>
      <c r="DA19" s="2"/>
      <c r="DB19" s="2"/>
      <c r="DC19" s="2"/>
      <c r="DD19" s="2"/>
      <c r="DE19" s="2"/>
      <c r="DF19" s="2"/>
      <c r="DG19" s="2"/>
    </row>
    <row r="20" spans="1:111" ht="33">
      <c r="A20" s="159">
        <f t="shared" ca="1" si="45"/>
        <v>9</v>
      </c>
      <c r="B20" s="159" t="str">
        <f t="shared" si="46"/>
        <v/>
      </c>
      <c r="C20" s="76">
        <v>9</v>
      </c>
      <c r="D20" s="9" t="s">
        <v>157</v>
      </c>
      <c r="E20" s="10" t="s">
        <v>158</v>
      </c>
      <c r="F20" s="11">
        <v>6</v>
      </c>
      <c r="G20" s="11">
        <v>4748</v>
      </c>
      <c r="H20" s="106">
        <f ca="1">SUM(OFFSET(L20,,J$1-1):OFFSET(L20,,K$1-1))</f>
        <v>6</v>
      </c>
      <c r="I20" s="107">
        <f ca="1">SUM(L20:OFFSET(L20,,K$1-1))</f>
        <v>6</v>
      </c>
      <c r="J20" s="106">
        <f t="shared" ca="1" si="47"/>
        <v>0</v>
      </c>
      <c r="K20" s="108" t="str">
        <f t="shared" si="44"/>
        <v/>
      </c>
      <c r="L20" s="2"/>
      <c r="M20" s="2"/>
      <c r="N20" s="2"/>
      <c r="O20" s="2">
        <v>3</v>
      </c>
      <c r="P20" s="2">
        <v>3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44"/>
      <c r="CY20" s="44"/>
      <c r="CZ20" s="2"/>
      <c r="DA20" s="2"/>
      <c r="DB20" s="2"/>
      <c r="DC20" s="2"/>
      <c r="DD20" s="2"/>
      <c r="DE20" s="2"/>
      <c r="DF20" s="2"/>
      <c r="DG20" s="2"/>
    </row>
    <row r="21" spans="1:111" ht="33">
      <c r="A21" s="159">
        <f t="shared" ca="1" si="45"/>
        <v>10</v>
      </c>
      <c r="B21" s="159" t="str">
        <f t="shared" si="46"/>
        <v/>
      </c>
      <c r="C21" s="76">
        <v>10</v>
      </c>
      <c r="D21" s="9" t="s">
        <v>159</v>
      </c>
      <c r="E21" s="10" t="s">
        <v>155</v>
      </c>
      <c r="F21" s="11">
        <v>57</v>
      </c>
      <c r="G21" s="11">
        <v>665</v>
      </c>
      <c r="H21" s="106">
        <f ca="1">SUM(OFFSET(L21,,J$1-1):OFFSET(L21,,K$1-1))</f>
        <v>57</v>
      </c>
      <c r="I21" s="107">
        <f ca="1">SUM(L21:OFFSET(L21,,K$1-1))</f>
        <v>57</v>
      </c>
      <c r="J21" s="106">
        <f t="shared" ca="1" si="47"/>
        <v>0</v>
      </c>
      <c r="K21" s="108" t="str">
        <f t="shared" si="44"/>
        <v/>
      </c>
      <c r="L21" s="2"/>
      <c r="M21" s="2"/>
      <c r="N21" s="2"/>
      <c r="O21" s="2">
        <v>10</v>
      </c>
      <c r="P21" s="2">
        <v>23</v>
      </c>
      <c r="Q21" s="2"/>
      <c r="R21" s="2"/>
      <c r="S21" s="2">
        <v>24</v>
      </c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44"/>
      <c r="CY21" s="44"/>
      <c r="CZ21" s="2"/>
      <c r="DA21" s="2"/>
      <c r="DB21" s="2"/>
      <c r="DC21" s="2"/>
      <c r="DD21" s="2"/>
      <c r="DE21" s="2"/>
      <c r="DF21" s="2"/>
      <c r="DG21" s="2"/>
    </row>
    <row r="22" spans="1:111" ht="33">
      <c r="A22" s="159" t="str">
        <f t="shared" ca="1" si="45"/>
        <v/>
      </c>
      <c r="B22" s="159" t="str">
        <f t="shared" si="46"/>
        <v/>
      </c>
      <c r="C22" s="76">
        <v>11</v>
      </c>
      <c r="D22" s="9" t="s">
        <v>160</v>
      </c>
      <c r="E22" s="10" t="s">
        <v>158</v>
      </c>
      <c r="F22" s="11">
        <v>6</v>
      </c>
      <c r="G22" s="11">
        <v>37075</v>
      </c>
      <c r="H22" s="106">
        <f ca="1">SUM(OFFSET(L22,,J$1-1):OFFSET(L22,,K$1-1))</f>
        <v>0</v>
      </c>
      <c r="I22" s="107">
        <f ca="1">SUM(L22:OFFSET(L22,,K$1-1))</f>
        <v>0</v>
      </c>
      <c r="J22" s="106">
        <f t="shared" ca="1" si="47"/>
        <v>6</v>
      </c>
      <c r="K22" s="108" t="str">
        <f t="shared" si="44"/>
        <v/>
      </c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44"/>
      <c r="CY22" s="44"/>
      <c r="CZ22" s="2"/>
      <c r="DA22" s="2"/>
      <c r="DB22" s="2"/>
      <c r="DC22" s="2"/>
      <c r="DD22" s="2"/>
      <c r="DE22" s="2"/>
      <c r="DF22" s="2"/>
      <c r="DG22" s="2"/>
    </row>
    <row r="23" spans="1:111" ht="33">
      <c r="A23" s="159" t="str">
        <f t="shared" ca="1" si="45"/>
        <v/>
      </c>
      <c r="B23" s="159" t="str">
        <f t="shared" si="46"/>
        <v/>
      </c>
      <c r="C23" s="76">
        <v>12</v>
      </c>
      <c r="D23" s="9" t="s">
        <v>161</v>
      </c>
      <c r="E23" s="10" t="s">
        <v>158</v>
      </c>
      <c r="F23" s="11">
        <v>21</v>
      </c>
      <c r="G23" s="11">
        <v>18537</v>
      </c>
      <c r="H23" s="106">
        <f ca="1">SUM(OFFSET(L23,,J$1-1):OFFSET(L23,,K$1-1))</f>
        <v>0</v>
      </c>
      <c r="I23" s="107">
        <f ca="1">SUM(L23:OFFSET(L23,,K$1-1))</f>
        <v>0</v>
      </c>
      <c r="J23" s="106">
        <f t="shared" ca="1" si="47"/>
        <v>21</v>
      </c>
      <c r="K23" s="108" t="str">
        <f t="shared" si="44"/>
        <v/>
      </c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44"/>
      <c r="CY23" s="44"/>
      <c r="CZ23" s="2"/>
      <c r="DA23" s="2"/>
      <c r="DB23" s="2"/>
      <c r="DC23" s="2"/>
      <c r="DD23" s="2"/>
      <c r="DE23" s="2"/>
      <c r="DF23" s="2"/>
      <c r="DG23" s="2"/>
    </row>
    <row r="24" spans="1:111" ht="49.5">
      <c r="A24" s="159" t="str">
        <f t="shared" ca="1" si="45"/>
        <v/>
      </c>
      <c r="B24" s="159" t="str">
        <f t="shared" si="46"/>
        <v/>
      </c>
      <c r="C24" s="76">
        <v>13</v>
      </c>
      <c r="D24" s="9" t="s">
        <v>162</v>
      </c>
      <c r="E24" s="10" t="s">
        <v>158</v>
      </c>
      <c r="F24" s="11">
        <v>2</v>
      </c>
      <c r="G24" s="11">
        <v>7123</v>
      </c>
      <c r="H24" s="106">
        <f ca="1">SUM(OFFSET(L24,,J$1-1):OFFSET(L24,,K$1-1))</f>
        <v>0</v>
      </c>
      <c r="I24" s="107">
        <f ca="1">SUM(L24:OFFSET(L24,,K$1-1))</f>
        <v>0</v>
      </c>
      <c r="J24" s="106">
        <f t="shared" ca="1" si="47"/>
        <v>2</v>
      </c>
      <c r="K24" s="108" t="str">
        <f t="shared" si="44"/>
        <v/>
      </c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44"/>
      <c r="CY24" s="44"/>
      <c r="CZ24" s="2"/>
      <c r="DA24" s="2"/>
      <c r="DB24" s="2"/>
      <c r="DC24" s="2"/>
      <c r="DD24" s="2"/>
      <c r="DE24" s="2"/>
      <c r="DF24" s="2"/>
      <c r="DG24" s="2"/>
    </row>
    <row r="25" spans="1:111" ht="49.5">
      <c r="A25" s="159" t="str">
        <f t="shared" ca="1" si="45"/>
        <v/>
      </c>
      <c r="B25" s="159" t="str">
        <f t="shared" si="46"/>
        <v/>
      </c>
      <c r="C25" s="76">
        <v>14</v>
      </c>
      <c r="D25" s="9" t="s">
        <v>163</v>
      </c>
      <c r="E25" s="10" t="s">
        <v>158</v>
      </c>
      <c r="F25" s="11">
        <v>2</v>
      </c>
      <c r="G25" s="11">
        <v>7123</v>
      </c>
      <c r="H25" s="106">
        <f ca="1">SUM(OFFSET(L25,,J$1-1):OFFSET(L25,,K$1-1))</f>
        <v>0</v>
      </c>
      <c r="I25" s="107">
        <f ca="1">SUM(L25:OFFSET(L25,,K$1-1))</f>
        <v>0</v>
      </c>
      <c r="J25" s="106">
        <f t="shared" ca="1" si="47"/>
        <v>2</v>
      </c>
      <c r="K25" s="108" t="str">
        <f t="shared" si="44"/>
        <v/>
      </c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44"/>
      <c r="CY25" s="44"/>
      <c r="CZ25" s="2"/>
      <c r="DA25" s="2"/>
      <c r="DB25" s="2"/>
      <c r="DC25" s="2"/>
      <c r="DD25" s="2"/>
      <c r="DE25" s="2"/>
      <c r="DF25" s="2"/>
      <c r="DG25" s="2"/>
    </row>
    <row r="26" spans="1:111" ht="33">
      <c r="A26" s="159">
        <f t="shared" ca="1" si="45"/>
        <v>15</v>
      </c>
      <c r="B26" s="159" t="str">
        <f t="shared" si="46"/>
        <v/>
      </c>
      <c r="C26" s="76">
        <v>15</v>
      </c>
      <c r="D26" s="9" t="s">
        <v>164</v>
      </c>
      <c r="E26" s="10" t="s">
        <v>155</v>
      </c>
      <c r="F26" s="11">
        <v>57</v>
      </c>
      <c r="G26" s="11">
        <v>665</v>
      </c>
      <c r="H26" s="106">
        <f ca="1">SUM(OFFSET(L26,,J$1-1):OFFSET(L26,,K$1-1))</f>
        <v>57</v>
      </c>
      <c r="I26" s="107">
        <f ca="1">SUM(L26:OFFSET(L26,,K$1-1))</f>
        <v>57</v>
      </c>
      <c r="J26" s="106">
        <f t="shared" ca="1" si="47"/>
        <v>0</v>
      </c>
      <c r="K26" s="108" t="str">
        <f t="shared" si="44"/>
        <v/>
      </c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>
        <v>5</v>
      </c>
      <c r="AA26" s="2"/>
      <c r="AB26" s="2">
        <v>5</v>
      </c>
      <c r="AC26" s="2">
        <v>12</v>
      </c>
      <c r="AD26" s="2"/>
      <c r="AE26" s="2">
        <v>12</v>
      </c>
      <c r="AF26" s="2"/>
      <c r="AG26" s="2">
        <v>12</v>
      </c>
      <c r="AH26" s="2">
        <v>11</v>
      </c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44"/>
      <c r="CY26" s="44"/>
      <c r="CZ26" s="2"/>
      <c r="DA26" s="2"/>
      <c r="DB26" s="2"/>
      <c r="DC26" s="2"/>
      <c r="DD26" s="2"/>
      <c r="DE26" s="2"/>
      <c r="DF26" s="2"/>
      <c r="DG26" s="2"/>
    </row>
    <row r="27" spans="1:111" ht="33">
      <c r="A27" s="159">
        <f t="shared" ca="1" si="45"/>
        <v>16</v>
      </c>
      <c r="B27" s="159" t="str">
        <f t="shared" si="46"/>
        <v/>
      </c>
      <c r="C27" s="76">
        <v>16</v>
      </c>
      <c r="D27" s="9" t="s">
        <v>165</v>
      </c>
      <c r="E27" s="10" t="s">
        <v>155</v>
      </c>
      <c r="F27" s="11">
        <v>57</v>
      </c>
      <c r="G27" s="11">
        <v>760</v>
      </c>
      <c r="H27" s="106">
        <f ca="1">SUM(OFFSET(L27,,J$1-1):OFFSET(L27,,K$1-1))</f>
        <v>57</v>
      </c>
      <c r="I27" s="107">
        <f ca="1">SUM(L27:OFFSET(L27,,K$1-1))</f>
        <v>57</v>
      </c>
      <c r="J27" s="106">
        <f t="shared" ca="1" si="47"/>
        <v>0</v>
      </c>
      <c r="K27" s="108" t="str">
        <f t="shared" si="44"/>
        <v/>
      </c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>
        <v>20</v>
      </c>
      <c r="AL27" s="2">
        <v>20</v>
      </c>
      <c r="AM27" s="2"/>
      <c r="AN27" s="2">
        <v>17</v>
      </c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44"/>
      <c r="CY27" s="109"/>
      <c r="CZ27" s="2"/>
      <c r="DA27" s="2"/>
      <c r="DB27" s="2"/>
      <c r="DC27" s="2"/>
      <c r="DD27" s="2"/>
      <c r="DE27" s="2"/>
      <c r="DF27" s="2"/>
      <c r="DG27" s="2"/>
    </row>
    <row r="28" spans="1:111">
      <c r="A28" s="159">
        <f t="shared" ca="1" si="45"/>
        <v>17</v>
      </c>
      <c r="B28" s="159" t="str">
        <f t="shared" si="46"/>
        <v/>
      </c>
      <c r="C28" s="76">
        <v>17</v>
      </c>
      <c r="D28" s="9" t="s">
        <v>166</v>
      </c>
      <c r="E28" s="10" t="s">
        <v>155</v>
      </c>
      <c r="F28" s="11">
        <v>10</v>
      </c>
      <c r="G28" s="11">
        <v>1804</v>
      </c>
      <c r="H28" s="106">
        <f ca="1">SUM(OFFSET(L28,,J$1-1):OFFSET(L28,,K$1-1))</f>
        <v>10</v>
      </c>
      <c r="I28" s="107">
        <f ca="1">SUM(L28:OFFSET(L28,,K$1-1))</f>
        <v>10</v>
      </c>
      <c r="J28" s="106">
        <f t="shared" ca="1" si="47"/>
        <v>0</v>
      </c>
      <c r="K28" s="108" t="str">
        <f t="shared" si="44"/>
        <v/>
      </c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>
        <v>5</v>
      </c>
      <c r="AR28" s="2">
        <v>3</v>
      </c>
      <c r="AS28" s="2">
        <v>2</v>
      </c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44"/>
      <c r="CY28" s="109"/>
      <c r="CZ28" s="2"/>
      <c r="DA28" s="2"/>
      <c r="DB28" s="2"/>
      <c r="DC28" s="2"/>
      <c r="DD28" s="2"/>
      <c r="DE28" s="2"/>
      <c r="DF28" s="2"/>
      <c r="DG28" s="2"/>
    </row>
    <row r="29" spans="1:111">
      <c r="A29" s="159" t="str">
        <f t="shared" ca="1" si="45"/>
        <v/>
      </c>
      <c r="B29" s="159" t="str">
        <f t="shared" si="46"/>
        <v/>
      </c>
      <c r="C29" s="76">
        <v>18</v>
      </c>
      <c r="D29" s="9" t="s">
        <v>167</v>
      </c>
      <c r="E29" s="10" t="s">
        <v>149</v>
      </c>
      <c r="F29" s="11">
        <v>67</v>
      </c>
      <c r="G29" s="11">
        <v>427</v>
      </c>
      <c r="H29" s="106">
        <f ca="1">SUM(OFFSET(L29,,J$1-1):OFFSET(L29,,K$1-1))</f>
        <v>0</v>
      </c>
      <c r="I29" s="107">
        <f ca="1">SUM(L29:OFFSET(L29,,K$1-1))</f>
        <v>0</v>
      </c>
      <c r="J29" s="106">
        <f t="shared" ca="1" si="47"/>
        <v>67</v>
      </c>
      <c r="K29" s="108" t="str">
        <f t="shared" si="44"/>
        <v/>
      </c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44"/>
      <c r="CY29" s="109"/>
      <c r="CZ29" s="2"/>
      <c r="DA29" s="2"/>
      <c r="DB29" s="2"/>
      <c r="DC29" s="2"/>
      <c r="DD29" s="2"/>
      <c r="DE29" s="2"/>
      <c r="DF29" s="2"/>
      <c r="DG29" s="2"/>
    </row>
    <row r="30" spans="1:111">
      <c r="A30" s="159">
        <f t="shared" ca="1" si="45"/>
        <v>19</v>
      </c>
      <c r="B30" s="159" t="str">
        <f t="shared" si="46"/>
        <v/>
      </c>
      <c r="C30" s="76">
        <v>19</v>
      </c>
      <c r="D30" s="9" t="s">
        <v>168</v>
      </c>
      <c r="E30" s="10" t="s">
        <v>155</v>
      </c>
      <c r="F30" s="11">
        <v>58</v>
      </c>
      <c r="G30" s="11">
        <v>3419</v>
      </c>
      <c r="H30" s="106">
        <f ca="1">SUM(OFFSET(L30,,J$1-1):OFFSET(L30,,K$1-1))</f>
        <v>58</v>
      </c>
      <c r="I30" s="107">
        <f ca="1">SUM(L30:OFFSET(L30,,K$1-1))</f>
        <v>58</v>
      </c>
      <c r="J30" s="106">
        <f t="shared" ca="1" si="47"/>
        <v>0</v>
      </c>
      <c r="K30" s="108" t="str">
        <f t="shared" si="44"/>
        <v/>
      </c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>
        <v>15</v>
      </c>
      <c r="AQ30" s="2">
        <v>20</v>
      </c>
      <c r="AR30" s="2">
        <v>23</v>
      </c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44"/>
      <c r="CY30" s="109"/>
      <c r="CZ30" s="2"/>
      <c r="DA30" s="2"/>
      <c r="DB30" s="2"/>
      <c r="DC30" s="2"/>
      <c r="DD30" s="2"/>
      <c r="DE30" s="2"/>
      <c r="DF30" s="2"/>
      <c r="DG30" s="2"/>
    </row>
    <row r="31" spans="1:111" ht="33">
      <c r="A31" s="159">
        <f t="shared" ca="1" si="45"/>
        <v>20</v>
      </c>
      <c r="B31" s="159" t="str">
        <f t="shared" si="46"/>
        <v/>
      </c>
      <c r="C31" s="76">
        <v>20</v>
      </c>
      <c r="D31" s="9" t="s">
        <v>169</v>
      </c>
      <c r="E31" s="10" t="s">
        <v>155</v>
      </c>
      <c r="F31" s="11">
        <v>235</v>
      </c>
      <c r="G31" s="11">
        <v>855</v>
      </c>
      <c r="H31" s="106">
        <f ca="1">SUM(OFFSET(L31,,J$1-1):OFFSET(L31,,K$1-1))</f>
        <v>235</v>
      </c>
      <c r="I31" s="107">
        <f ca="1">SUM(L31:OFFSET(L31,,K$1-1))</f>
        <v>235</v>
      </c>
      <c r="J31" s="106">
        <f t="shared" ca="1" si="47"/>
        <v>0</v>
      </c>
      <c r="K31" s="108" t="str">
        <f t="shared" si="44"/>
        <v/>
      </c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>
        <v>50</v>
      </c>
      <c r="AK31" s="2">
        <v>70</v>
      </c>
      <c r="AL31" s="2">
        <v>70</v>
      </c>
      <c r="AM31" s="2"/>
      <c r="AN31" s="2">
        <v>45</v>
      </c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44"/>
      <c r="CY31" s="44"/>
      <c r="CZ31" s="2"/>
      <c r="DA31" s="2"/>
      <c r="DB31" s="2"/>
      <c r="DC31" s="2"/>
      <c r="DD31" s="2"/>
      <c r="DE31" s="2"/>
      <c r="DF31" s="2"/>
      <c r="DG31" s="2"/>
    </row>
    <row r="32" spans="1:111" ht="33">
      <c r="A32" s="159">
        <f t="shared" ca="1" si="45"/>
        <v>21</v>
      </c>
      <c r="B32" s="159" t="str">
        <f t="shared" si="46"/>
        <v/>
      </c>
      <c r="C32" s="76">
        <v>21</v>
      </c>
      <c r="D32" s="9" t="s">
        <v>170</v>
      </c>
      <c r="E32" s="10" t="s">
        <v>171</v>
      </c>
      <c r="F32" s="11">
        <v>300</v>
      </c>
      <c r="G32" s="11">
        <v>570</v>
      </c>
      <c r="H32" s="106">
        <f ca="1">SUM(OFFSET(L32,,J$1-1):OFFSET(L32,,K$1-1))</f>
        <v>300</v>
      </c>
      <c r="I32" s="107">
        <f ca="1">SUM(L32:OFFSET(L32,,K$1-1))</f>
        <v>300</v>
      </c>
      <c r="J32" s="106">
        <f t="shared" ca="1" si="47"/>
        <v>0</v>
      </c>
      <c r="K32" s="108" t="str">
        <f t="shared" si="44"/>
        <v/>
      </c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>
        <v>50</v>
      </c>
      <c r="AP32" s="2">
        <v>100</v>
      </c>
      <c r="AQ32" s="2">
        <v>100</v>
      </c>
      <c r="AR32" s="2">
        <v>50</v>
      </c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44"/>
      <c r="CY32" s="2"/>
      <c r="CZ32" s="2"/>
      <c r="DC32" s="2"/>
      <c r="DD32" s="2"/>
      <c r="DE32" s="2"/>
      <c r="DF32" s="2"/>
      <c r="DG32" s="2"/>
    </row>
    <row r="33" spans="1:111" ht="33">
      <c r="A33" s="159">
        <f t="shared" ca="1" si="45"/>
        <v>22</v>
      </c>
      <c r="B33" s="159">
        <f t="shared" si="46"/>
        <v>22</v>
      </c>
      <c r="C33" s="76">
        <v>22</v>
      </c>
      <c r="D33" s="9" t="s">
        <v>172</v>
      </c>
      <c r="E33" s="10" t="s">
        <v>155</v>
      </c>
      <c r="F33" s="11">
        <v>399</v>
      </c>
      <c r="G33" s="11">
        <v>237</v>
      </c>
      <c r="H33" s="106">
        <f ca="1">SUM(OFFSET(L33,,J$1-1):OFFSET(L33,,K$1-1))</f>
        <v>50</v>
      </c>
      <c r="I33" s="107">
        <f ca="1">SUM(L33:OFFSET(L33,,K$1-1))</f>
        <v>50</v>
      </c>
      <c r="J33" s="106">
        <f t="shared" ca="1" si="47"/>
        <v>349</v>
      </c>
      <c r="K33" s="108">
        <f t="shared" si="44"/>
        <v>50</v>
      </c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>
        <v>50</v>
      </c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44"/>
      <c r="CY33" s="44"/>
      <c r="CZ33" s="2"/>
      <c r="DA33" s="2"/>
      <c r="DB33" s="2"/>
      <c r="DC33" s="2"/>
      <c r="DD33" s="2"/>
      <c r="DE33" s="2"/>
      <c r="DF33" s="2"/>
      <c r="DG33" s="2"/>
    </row>
    <row r="34" spans="1:111" ht="33">
      <c r="A34" s="159" t="str">
        <f t="shared" ca="1" si="45"/>
        <v/>
      </c>
      <c r="B34" s="159" t="str">
        <f t="shared" si="46"/>
        <v/>
      </c>
      <c r="C34" s="76">
        <v>23</v>
      </c>
      <c r="D34" s="9" t="s">
        <v>173</v>
      </c>
      <c r="E34" s="10" t="s">
        <v>174</v>
      </c>
      <c r="F34" s="11">
        <v>209</v>
      </c>
      <c r="G34" s="11">
        <v>266</v>
      </c>
      <c r="H34" s="106">
        <f ca="1">SUM(OFFSET(L34,,J$1-1):OFFSET(L34,,K$1-1))</f>
        <v>0</v>
      </c>
      <c r="I34" s="107">
        <f ca="1">SUM(L34:OFFSET(L34,,K$1-1))</f>
        <v>0</v>
      </c>
      <c r="J34" s="106">
        <f t="shared" ca="1" si="47"/>
        <v>209</v>
      </c>
      <c r="K34" s="108" t="str">
        <f t="shared" si="44"/>
        <v/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44"/>
      <c r="CY34" s="44"/>
      <c r="CZ34" s="2"/>
      <c r="DA34" s="2"/>
      <c r="DB34" s="2"/>
      <c r="DC34" s="2"/>
      <c r="DD34" s="2"/>
      <c r="DE34" s="2"/>
      <c r="DF34" s="2"/>
      <c r="DG34" s="2"/>
    </row>
    <row r="35" spans="1:111" ht="33">
      <c r="A35" s="159" t="str">
        <f t="shared" ca="1" si="45"/>
        <v/>
      </c>
      <c r="B35" s="159" t="str">
        <f t="shared" si="46"/>
        <v/>
      </c>
      <c r="C35" s="76">
        <v>24</v>
      </c>
      <c r="D35" s="9" t="s">
        <v>175</v>
      </c>
      <c r="E35" s="10" t="s">
        <v>152</v>
      </c>
      <c r="F35" s="11">
        <v>1</v>
      </c>
      <c r="G35" s="11">
        <v>143078</v>
      </c>
      <c r="H35" s="106">
        <f ca="1">SUM(OFFSET(L35,,J$1-1):OFFSET(L35,,K$1-1))</f>
        <v>0</v>
      </c>
      <c r="I35" s="107">
        <f ca="1">SUM(L35:OFFSET(L35,,K$1-1))</f>
        <v>0</v>
      </c>
      <c r="J35" s="106">
        <f t="shared" ca="1" si="47"/>
        <v>1</v>
      </c>
      <c r="K35" s="108" t="str">
        <f t="shared" si="44"/>
        <v/>
      </c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44"/>
      <c r="CY35" s="44"/>
      <c r="CZ35" s="44"/>
      <c r="DA35" s="2"/>
      <c r="DB35" s="2"/>
      <c r="DC35" s="2"/>
      <c r="DD35" s="2"/>
      <c r="DE35" s="2"/>
      <c r="DF35" s="2"/>
      <c r="DG35" s="2"/>
    </row>
    <row r="36" spans="1:111">
      <c r="A36" s="159">
        <f t="shared" ca="1" si="45"/>
        <v>25</v>
      </c>
      <c r="B36" s="159" t="str">
        <f t="shared" si="46"/>
        <v/>
      </c>
      <c r="C36" s="76">
        <v>25</v>
      </c>
      <c r="D36" s="9" t="s">
        <v>176</v>
      </c>
      <c r="E36" s="10" t="s">
        <v>152</v>
      </c>
      <c r="F36" s="11">
        <v>1</v>
      </c>
      <c r="G36" s="11">
        <v>8161</v>
      </c>
      <c r="H36" s="106">
        <f ca="1">SUM(OFFSET(L36,,J$1-1):OFFSET(L36,,K$1-1))</f>
        <v>1</v>
      </c>
      <c r="I36" s="107">
        <f ca="1">SUM(L36:OFFSET(L36,,K$1-1))</f>
        <v>1</v>
      </c>
      <c r="J36" s="106">
        <f t="shared" ca="1" si="47"/>
        <v>0</v>
      </c>
      <c r="K36" s="108" t="str">
        <f t="shared" si="44"/>
        <v/>
      </c>
      <c r="L36" s="2">
        <v>1</v>
      </c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44"/>
      <c r="CY36" s="44"/>
      <c r="CZ36" s="44"/>
      <c r="DA36" s="2"/>
      <c r="DB36" s="2"/>
      <c r="DC36" s="2"/>
      <c r="DD36" s="2"/>
      <c r="DE36" s="2"/>
      <c r="DF36" s="2"/>
      <c r="DG36" s="2"/>
    </row>
    <row r="37" spans="1:111">
      <c r="A37" s="159" t="str">
        <f t="shared" ca="1" si="45"/>
        <v/>
      </c>
      <c r="B37" s="159" t="str">
        <f t="shared" si="46"/>
        <v/>
      </c>
      <c r="C37" s="76">
        <v>26</v>
      </c>
      <c r="D37" s="9"/>
      <c r="E37" s="10"/>
      <c r="F37" s="11"/>
      <c r="G37" s="11"/>
      <c r="H37" s="106">
        <f ca="1">SUM(OFFSET(L37,,J$1-1):OFFSET(L37,,K$1-1))</f>
        <v>0</v>
      </c>
      <c r="I37" s="107">
        <f ca="1">SUM(L37:OFFSET(L37,,K$1-1))</f>
        <v>0</v>
      </c>
      <c r="J37" s="106">
        <f t="shared" ca="1" si="47"/>
        <v>0</v>
      </c>
      <c r="K37" s="108" t="str">
        <f t="shared" si="44"/>
        <v/>
      </c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44"/>
      <c r="CY37" s="44"/>
      <c r="CZ37" s="44"/>
      <c r="DA37" s="2"/>
      <c r="DB37" s="2"/>
      <c r="DC37" s="2"/>
      <c r="DD37" s="2"/>
      <c r="DE37" s="2"/>
      <c r="DF37" s="2"/>
      <c r="DG37" s="2"/>
    </row>
    <row r="38" spans="1:111">
      <c r="A38" s="159" t="str">
        <f t="shared" ca="1" si="45"/>
        <v/>
      </c>
      <c r="B38" s="159" t="str">
        <f t="shared" si="46"/>
        <v/>
      </c>
      <c r="C38" s="76">
        <v>27</v>
      </c>
      <c r="D38" s="9"/>
      <c r="E38" s="10"/>
      <c r="F38" s="11"/>
      <c r="G38" s="11"/>
      <c r="H38" s="106">
        <f ca="1">SUM(OFFSET(L38,,J$1-1):OFFSET(L38,,K$1-1))</f>
        <v>0</v>
      </c>
      <c r="I38" s="107">
        <f ca="1">SUM(L38:OFFSET(L38,,K$1-1))</f>
        <v>0</v>
      </c>
      <c r="J38" s="106">
        <f t="shared" ca="1" si="47"/>
        <v>0</v>
      </c>
      <c r="K38" s="108" t="str">
        <f t="shared" si="44"/>
        <v/>
      </c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44"/>
      <c r="CY38" s="44"/>
      <c r="CZ38" s="44"/>
      <c r="DA38" s="2"/>
      <c r="DB38" s="2"/>
      <c r="DC38" s="2"/>
      <c r="DD38" s="2"/>
      <c r="DE38" s="2"/>
      <c r="DF38" s="2"/>
      <c r="DG38" s="2"/>
    </row>
    <row r="39" spans="1:111">
      <c r="A39" s="159" t="str">
        <f t="shared" ca="1" si="45"/>
        <v/>
      </c>
      <c r="B39" s="159" t="str">
        <f t="shared" si="46"/>
        <v/>
      </c>
      <c r="C39" s="76">
        <v>28</v>
      </c>
      <c r="D39" s="9"/>
      <c r="E39" s="10"/>
      <c r="F39" s="11"/>
      <c r="G39" s="11"/>
      <c r="H39" s="106">
        <f ca="1">SUM(OFFSET(L39,,J$1-1):OFFSET(L39,,K$1-1))</f>
        <v>0</v>
      </c>
      <c r="I39" s="107">
        <f ca="1">SUM(L39:OFFSET(L39,,K$1-1))</f>
        <v>0</v>
      </c>
      <c r="J39" s="106">
        <f t="shared" ca="1" si="47"/>
        <v>0</v>
      </c>
      <c r="K39" s="108" t="str">
        <f t="shared" si="44"/>
        <v/>
      </c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44"/>
      <c r="CY39" s="44"/>
      <c r="CZ39" s="44"/>
      <c r="DA39" s="2"/>
      <c r="DB39" s="2"/>
      <c r="DC39" s="2"/>
      <c r="DD39" s="2"/>
      <c r="DE39" s="2"/>
      <c r="DF39" s="2"/>
      <c r="DG39" s="2"/>
    </row>
    <row r="40" spans="1:111" hidden="1">
      <c r="A40" s="159" t="str">
        <f t="shared" ca="1" si="45"/>
        <v/>
      </c>
      <c r="B40" s="159" t="str">
        <f t="shared" si="46"/>
        <v/>
      </c>
      <c r="C40" s="76">
        <v>29</v>
      </c>
      <c r="D40" s="9"/>
      <c r="E40" s="10"/>
      <c r="F40" s="11"/>
      <c r="G40" s="11"/>
      <c r="H40" s="106">
        <f ca="1">SUM(OFFSET(L40,,J$1-1):OFFSET(L40,,K$1-1))</f>
        <v>0</v>
      </c>
      <c r="I40" s="107">
        <f ca="1">SUM(L40:OFFSET(L40,,K$1-1))</f>
        <v>0</v>
      </c>
      <c r="J40" s="106">
        <f t="shared" ca="1" si="47"/>
        <v>0</v>
      </c>
      <c r="K40" s="108" t="str">
        <f t="shared" si="44"/>
        <v/>
      </c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44"/>
      <c r="CY40" s="44"/>
      <c r="CZ40" s="2"/>
      <c r="DA40" s="2"/>
      <c r="DB40" s="2"/>
      <c r="DC40" s="2"/>
      <c r="DD40" s="2"/>
      <c r="DE40" s="2"/>
      <c r="DF40" s="2"/>
      <c r="DG40" s="2"/>
    </row>
    <row r="41" spans="1:111" hidden="1">
      <c r="A41" s="159" t="str">
        <f t="shared" ca="1" si="45"/>
        <v/>
      </c>
      <c r="B41" s="159" t="str">
        <f t="shared" si="46"/>
        <v/>
      </c>
      <c r="C41" s="76">
        <v>30</v>
      </c>
      <c r="D41" s="9"/>
      <c r="E41" s="10"/>
      <c r="F41" s="11"/>
      <c r="G41" s="11"/>
      <c r="H41" s="106">
        <f ca="1">SUM(OFFSET(L41,,J$1-1):OFFSET(L41,,K$1-1))</f>
        <v>0</v>
      </c>
      <c r="I41" s="107">
        <f ca="1">SUM(L41:OFFSET(L41,,K$1-1))</f>
        <v>0</v>
      </c>
      <c r="J41" s="106">
        <f t="shared" ca="1" si="47"/>
        <v>0</v>
      </c>
      <c r="K41" s="108" t="str">
        <f t="shared" si="44"/>
        <v/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44"/>
      <c r="CY41" s="44"/>
      <c r="CZ41" s="2"/>
      <c r="DA41" s="2"/>
      <c r="DB41" s="2"/>
      <c r="DC41" s="2"/>
      <c r="DD41" s="2"/>
      <c r="DE41" s="2"/>
      <c r="DF41" s="2"/>
      <c r="DG41" s="2"/>
    </row>
    <row r="42" spans="1:111" hidden="1">
      <c r="A42" s="159" t="str">
        <f t="shared" ca="1" si="45"/>
        <v/>
      </c>
      <c r="B42" s="159" t="str">
        <f t="shared" si="46"/>
        <v/>
      </c>
      <c r="C42" s="76">
        <v>31</v>
      </c>
      <c r="D42" s="9"/>
      <c r="E42" s="10"/>
      <c r="F42" s="11"/>
      <c r="G42" s="11"/>
      <c r="H42" s="106">
        <f ca="1">SUM(OFFSET(L42,,J$1-1):OFFSET(L42,,K$1-1))</f>
        <v>0</v>
      </c>
      <c r="I42" s="107">
        <f ca="1">SUM(L42:OFFSET(L42,,K$1-1))</f>
        <v>0</v>
      </c>
      <c r="J42" s="106">
        <f t="shared" ca="1" si="47"/>
        <v>0</v>
      </c>
      <c r="K42" s="108" t="str">
        <f t="shared" si="44"/>
        <v/>
      </c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44"/>
      <c r="CY42" s="44"/>
      <c r="CZ42" s="2"/>
      <c r="DA42" s="2"/>
      <c r="DB42" s="2"/>
      <c r="DC42" s="2"/>
      <c r="DD42" s="2"/>
      <c r="DE42" s="2"/>
      <c r="DF42" s="2"/>
      <c r="DG42" s="2"/>
    </row>
    <row r="43" spans="1:111" hidden="1">
      <c r="A43" s="159" t="str">
        <f t="shared" ca="1" si="45"/>
        <v/>
      </c>
      <c r="B43" s="159" t="str">
        <f t="shared" si="46"/>
        <v/>
      </c>
      <c r="C43" s="76">
        <v>32</v>
      </c>
      <c r="D43" s="9"/>
      <c r="E43" s="10"/>
      <c r="F43" s="11"/>
      <c r="G43" s="11"/>
      <c r="H43" s="106">
        <f ca="1">SUM(OFFSET(L43,,J$1-1):OFFSET(L43,,K$1-1))</f>
        <v>0</v>
      </c>
      <c r="I43" s="107">
        <f ca="1">SUM(L43:OFFSET(L43,,K$1-1))</f>
        <v>0</v>
      </c>
      <c r="J43" s="106">
        <f t="shared" ca="1" si="47"/>
        <v>0</v>
      </c>
      <c r="K43" s="108" t="str">
        <f t="shared" si="44"/>
        <v/>
      </c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44"/>
      <c r="CY43" s="44"/>
      <c r="CZ43" s="2"/>
      <c r="DA43" s="2"/>
      <c r="DB43" s="2"/>
      <c r="DC43" s="2"/>
      <c r="DD43" s="2"/>
      <c r="DE43" s="2"/>
      <c r="DF43" s="2"/>
      <c r="DG43" s="2"/>
    </row>
    <row r="44" spans="1:111" hidden="1">
      <c r="A44" s="159" t="str">
        <f t="shared" ca="1" si="45"/>
        <v/>
      </c>
      <c r="B44" s="159" t="str">
        <f t="shared" si="46"/>
        <v/>
      </c>
      <c r="C44" s="76">
        <v>33</v>
      </c>
      <c r="D44" s="12"/>
      <c r="E44" s="10"/>
      <c r="F44" s="11"/>
      <c r="G44" s="11"/>
      <c r="H44" s="106">
        <f ca="1">SUM(OFFSET(L44,,J$1-1):OFFSET(L44,,K$1-1))</f>
        <v>0</v>
      </c>
      <c r="I44" s="107">
        <f ca="1">SUM(L44:OFFSET(L44,,K$1-1))</f>
        <v>0</v>
      </c>
      <c r="J44" s="106">
        <f t="shared" ca="1" si="47"/>
        <v>0</v>
      </c>
      <c r="K44" s="108" t="str">
        <f t="shared" ref="K44:K75" si="48">IF(LOOKUP(K$1,L$1:DG$1,L44:DG44)=0,"",LOOKUP(K$1,L$1:DG$1,L44:DG44))</f>
        <v/>
      </c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44"/>
      <c r="CY44" s="44"/>
      <c r="CZ44" s="2"/>
      <c r="DA44" s="2"/>
      <c r="DB44" s="2"/>
      <c r="DC44" s="2"/>
      <c r="DD44" s="2"/>
      <c r="DE44" s="2"/>
      <c r="DF44" s="2"/>
      <c r="DG44" s="2"/>
    </row>
    <row r="45" spans="1:111" hidden="1">
      <c r="A45" s="159" t="str">
        <f t="shared" ca="1" si="45"/>
        <v/>
      </c>
      <c r="B45" s="159" t="str">
        <f t="shared" si="46"/>
        <v/>
      </c>
      <c r="C45" s="76">
        <v>34</v>
      </c>
      <c r="D45" s="12"/>
      <c r="E45" s="10"/>
      <c r="F45" s="11"/>
      <c r="G45" s="11"/>
      <c r="H45" s="106">
        <f ca="1">SUM(OFFSET(L45,,J$1-1):OFFSET(L45,,K$1-1))</f>
        <v>0</v>
      </c>
      <c r="I45" s="107">
        <f ca="1">SUM(L45:OFFSET(L45,,K$1-1))</f>
        <v>0</v>
      </c>
      <c r="J45" s="106">
        <f t="shared" ca="1" si="47"/>
        <v>0</v>
      </c>
      <c r="K45" s="108" t="str">
        <f t="shared" si="48"/>
        <v/>
      </c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44"/>
      <c r="CY45" s="44"/>
      <c r="CZ45" s="2"/>
      <c r="DA45" s="2"/>
      <c r="DB45" s="2"/>
      <c r="DC45" s="2"/>
      <c r="DD45" s="2"/>
      <c r="DE45" s="2"/>
      <c r="DF45" s="2"/>
      <c r="DG45" s="2"/>
    </row>
    <row r="46" spans="1:111" hidden="1">
      <c r="A46" s="159" t="str">
        <f t="shared" ca="1" si="45"/>
        <v/>
      </c>
      <c r="B46" s="159" t="str">
        <f t="shared" si="46"/>
        <v/>
      </c>
      <c r="C46" s="76">
        <v>35</v>
      </c>
      <c r="D46" s="12"/>
      <c r="E46" s="10"/>
      <c r="F46" s="11"/>
      <c r="G46" s="11"/>
      <c r="H46" s="106">
        <f ca="1">SUM(OFFSET(L46,,J$1-1):OFFSET(L46,,K$1-1))</f>
        <v>0</v>
      </c>
      <c r="I46" s="107">
        <f ca="1">SUM(L46:OFFSET(L46,,K$1-1))</f>
        <v>0</v>
      </c>
      <c r="J46" s="106">
        <f t="shared" ca="1" si="47"/>
        <v>0</v>
      </c>
      <c r="K46" s="108" t="str">
        <f t="shared" si="48"/>
        <v/>
      </c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44"/>
      <c r="CY46" s="40"/>
      <c r="CZ46" s="2"/>
      <c r="DA46" s="2"/>
      <c r="DB46" s="2"/>
      <c r="DC46" s="2"/>
      <c r="DD46" s="2"/>
      <c r="DE46" s="2"/>
      <c r="DF46" s="2"/>
      <c r="DG46" s="2"/>
    </row>
    <row r="47" spans="1:111" hidden="1">
      <c r="A47" s="159" t="str">
        <f t="shared" ca="1" si="45"/>
        <v/>
      </c>
      <c r="B47" s="159" t="str">
        <f t="shared" si="46"/>
        <v/>
      </c>
      <c r="C47" s="76">
        <v>36</v>
      </c>
      <c r="D47" s="12"/>
      <c r="E47" s="10"/>
      <c r="F47" s="11"/>
      <c r="G47" s="11"/>
      <c r="H47" s="106">
        <f ca="1">SUM(OFFSET(L47,,J$1-1):OFFSET(L47,,K$1-1))</f>
        <v>0</v>
      </c>
      <c r="I47" s="107">
        <f ca="1">SUM(L47:OFFSET(L47,,K$1-1))</f>
        <v>0</v>
      </c>
      <c r="J47" s="106">
        <f t="shared" ca="1" si="47"/>
        <v>0</v>
      </c>
      <c r="K47" s="108" t="str">
        <f t="shared" si="48"/>
        <v/>
      </c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44"/>
      <c r="CY47" s="40"/>
      <c r="CZ47" s="2"/>
      <c r="DA47" s="2"/>
      <c r="DB47" s="2"/>
      <c r="DC47" s="2"/>
      <c r="DD47" s="2"/>
      <c r="DE47" s="2"/>
      <c r="DF47" s="2"/>
      <c r="DG47" s="2"/>
    </row>
    <row r="48" spans="1:111" hidden="1">
      <c r="A48" s="159" t="str">
        <f t="shared" ca="1" si="45"/>
        <v/>
      </c>
      <c r="B48" s="159" t="str">
        <f t="shared" si="46"/>
        <v/>
      </c>
      <c r="C48" s="76">
        <v>37</v>
      </c>
      <c r="D48" s="12"/>
      <c r="E48" s="10"/>
      <c r="F48" s="11"/>
      <c r="G48" s="11"/>
      <c r="H48" s="106">
        <f ca="1">SUM(OFFSET(L48,,J$1-1):OFFSET(L48,,K$1-1))</f>
        <v>0</v>
      </c>
      <c r="I48" s="107">
        <f ca="1">SUM(L48:OFFSET(L48,,K$1-1))</f>
        <v>0</v>
      </c>
      <c r="J48" s="106">
        <f t="shared" ca="1" si="47"/>
        <v>0</v>
      </c>
      <c r="K48" s="108" t="str">
        <f t="shared" si="48"/>
        <v/>
      </c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44"/>
      <c r="CY48" s="40"/>
      <c r="CZ48" s="2"/>
      <c r="DA48" s="2"/>
      <c r="DB48" s="2"/>
      <c r="DC48" s="2"/>
      <c r="DD48" s="2"/>
      <c r="DE48" s="2"/>
      <c r="DF48" s="2"/>
      <c r="DG48" s="2"/>
    </row>
    <row r="49" spans="1:111" hidden="1">
      <c r="A49" s="159" t="str">
        <f t="shared" ca="1" si="45"/>
        <v/>
      </c>
      <c r="B49" s="159" t="str">
        <f t="shared" si="46"/>
        <v/>
      </c>
      <c r="C49" s="76">
        <v>38</v>
      </c>
      <c r="D49" s="12"/>
      <c r="E49" s="10"/>
      <c r="F49" s="11"/>
      <c r="G49" s="11"/>
      <c r="H49" s="106">
        <f ca="1">SUM(OFFSET(L49,,J$1-1):OFFSET(L49,,K$1-1))</f>
        <v>0</v>
      </c>
      <c r="I49" s="107">
        <f ca="1">SUM(L49:OFFSET(L49,,K$1-1))</f>
        <v>0</v>
      </c>
      <c r="J49" s="106">
        <f t="shared" ca="1" si="47"/>
        <v>0</v>
      </c>
      <c r="K49" s="108" t="str">
        <f t="shared" si="48"/>
        <v/>
      </c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44"/>
      <c r="CY49" s="40"/>
      <c r="CZ49" s="2"/>
      <c r="DA49" s="2"/>
      <c r="DB49" s="2"/>
      <c r="DC49" s="2"/>
      <c r="DD49" s="2"/>
      <c r="DE49" s="2"/>
      <c r="DF49" s="2"/>
      <c r="DG49" s="2"/>
    </row>
    <row r="50" spans="1:111" hidden="1">
      <c r="A50" s="159" t="str">
        <f t="shared" ca="1" si="45"/>
        <v/>
      </c>
      <c r="B50" s="159" t="str">
        <f t="shared" si="46"/>
        <v/>
      </c>
      <c r="C50" s="76">
        <v>39</v>
      </c>
      <c r="D50" s="12"/>
      <c r="E50" s="10"/>
      <c r="F50" s="11"/>
      <c r="G50" s="11"/>
      <c r="H50" s="106">
        <f ca="1">SUM(OFFSET(L50,,J$1-1):OFFSET(L50,,K$1-1))</f>
        <v>0</v>
      </c>
      <c r="I50" s="107">
        <f ca="1">SUM(L50:OFFSET(L50,,K$1-1))</f>
        <v>0</v>
      </c>
      <c r="J50" s="106">
        <f t="shared" ca="1" si="47"/>
        <v>0</v>
      </c>
      <c r="K50" s="108" t="str">
        <f t="shared" si="48"/>
        <v/>
      </c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44"/>
      <c r="CY50" s="40"/>
      <c r="CZ50" s="2"/>
      <c r="DA50" s="2"/>
      <c r="DB50" s="2"/>
      <c r="DC50" s="2"/>
      <c r="DD50" s="2"/>
      <c r="DE50" s="2"/>
      <c r="DF50" s="2"/>
      <c r="DG50" s="2"/>
    </row>
    <row r="51" spans="1:111" hidden="1">
      <c r="A51" s="159" t="str">
        <f t="shared" ca="1" si="45"/>
        <v/>
      </c>
      <c r="B51" s="159" t="str">
        <f t="shared" si="46"/>
        <v/>
      </c>
      <c r="C51" s="76">
        <v>40</v>
      </c>
      <c r="D51" s="12"/>
      <c r="E51" s="10"/>
      <c r="F51" s="11"/>
      <c r="G51" s="11"/>
      <c r="H51" s="106">
        <f ca="1">SUM(OFFSET(L51,,J$1-1):OFFSET(L51,,K$1-1))</f>
        <v>0</v>
      </c>
      <c r="I51" s="107">
        <f ca="1">SUM(L51:OFFSET(L51,,K$1-1))</f>
        <v>0</v>
      </c>
      <c r="J51" s="106">
        <f t="shared" ca="1" si="47"/>
        <v>0</v>
      </c>
      <c r="K51" s="108" t="str">
        <f t="shared" si="48"/>
        <v/>
      </c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44"/>
      <c r="CY51" s="40"/>
      <c r="CZ51" s="2"/>
      <c r="DA51" s="2"/>
      <c r="DB51" s="2"/>
      <c r="DC51" s="2"/>
      <c r="DD51" s="2"/>
      <c r="DE51" s="2"/>
      <c r="DF51" s="2"/>
      <c r="DG51" s="2"/>
    </row>
    <row r="52" spans="1:111" hidden="1">
      <c r="A52" s="159" t="str">
        <f t="shared" ca="1" si="45"/>
        <v/>
      </c>
      <c r="B52" s="159" t="str">
        <f t="shared" si="46"/>
        <v/>
      </c>
      <c r="C52" s="76">
        <v>41</v>
      </c>
      <c r="D52" s="12"/>
      <c r="E52" s="10"/>
      <c r="F52" s="11"/>
      <c r="G52" s="11"/>
      <c r="H52" s="106">
        <f ca="1">SUM(OFFSET(L52,,J$1-1):OFFSET(L52,,K$1-1))</f>
        <v>0</v>
      </c>
      <c r="I52" s="107">
        <f ca="1">SUM(L52:OFFSET(L52,,K$1-1))</f>
        <v>0</v>
      </c>
      <c r="J52" s="106">
        <f t="shared" ca="1" si="47"/>
        <v>0</v>
      </c>
      <c r="K52" s="108" t="str">
        <f t="shared" si="48"/>
        <v/>
      </c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44"/>
      <c r="CY52" s="40"/>
      <c r="CZ52" s="2"/>
      <c r="DA52" s="2"/>
      <c r="DB52" s="2"/>
      <c r="DC52" s="2"/>
      <c r="DD52" s="2"/>
      <c r="DE52" s="2"/>
      <c r="DF52" s="2"/>
      <c r="DG52" s="2"/>
    </row>
    <row r="53" spans="1:111" hidden="1">
      <c r="A53" s="159" t="str">
        <f t="shared" ca="1" si="45"/>
        <v/>
      </c>
      <c r="B53" s="159" t="str">
        <f t="shared" si="46"/>
        <v/>
      </c>
      <c r="C53" s="76">
        <v>42</v>
      </c>
      <c r="D53" s="12"/>
      <c r="E53" s="10"/>
      <c r="F53" s="11"/>
      <c r="G53" s="11"/>
      <c r="H53" s="106">
        <f ca="1">SUM(OFFSET(L53,,J$1-1):OFFSET(L53,,K$1-1))</f>
        <v>0</v>
      </c>
      <c r="I53" s="107">
        <f ca="1">SUM(L53:OFFSET(L53,,K$1-1))</f>
        <v>0</v>
      </c>
      <c r="J53" s="106">
        <f t="shared" ca="1" si="47"/>
        <v>0</v>
      </c>
      <c r="K53" s="108" t="str">
        <f t="shared" si="48"/>
        <v/>
      </c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44"/>
      <c r="CY53" s="40"/>
      <c r="CZ53" s="2"/>
      <c r="DA53" s="2"/>
      <c r="DB53" s="2"/>
      <c r="DC53" s="2"/>
      <c r="DD53" s="2"/>
      <c r="DE53" s="2"/>
      <c r="DF53" s="2"/>
      <c r="DG53" s="2"/>
    </row>
    <row r="54" spans="1:111" hidden="1">
      <c r="A54" s="159" t="str">
        <f t="shared" ca="1" si="45"/>
        <v/>
      </c>
      <c r="B54" s="159" t="str">
        <f t="shared" si="46"/>
        <v/>
      </c>
      <c r="C54" s="76">
        <v>43</v>
      </c>
      <c r="D54" s="12"/>
      <c r="E54" s="10"/>
      <c r="F54" s="11"/>
      <c r="G54" s="11"/>
      <c r="H54" s="106">
        <f ca="1">SUM(OFFSET(L54,,J$1-1):OFFSET(L54,,K$1-1))</f>
        <v>0</v>
      </c>
      <c r="I54" s="107">
        <f ca="1">SUM(L54:OFFSET(L54,,K$1-1))</f>
        <v>0</v>
      </c>
      <c r="J54" s="106">
        <f t="shared" ca="1" si="47"/>
        <v>0</v>
      </c>
      <c r="K54" s="108" t="str">
        <f t="shared" si="48"/>
        <v/>
      </c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44"/>
      <c r="CY54" s="40"/>
      <c r="CZ54" s="2"/>
      <c r="DA54" s="2"/>
      <c r="DB54" s="2"/>
      <c r="DC54" s="2"/>
      <c r="DD54" s="2"/>
      <c r="DE54" s="2"/>
      <c r="DF54" s="2"/>
      <c r="DG54" s="2"/>
    </row>
    <row r="55" spans="1:111" hidden="1">
      <c r="A55" s="159" t="str">
        <f t="shared" ca="1" si="45"/>
        <v/>
      </c>
      <c r="B55" s="159" t="str">
        <f t="shared" si="46"/>
        <v/>
      </c>
      <c r="C55" s="76">
        <v>44</v>
      </c>
      <c r="D55" s="12"/>
      <c r="E55" s="10"/>
      <c r="F55" s="11"/>
      <c r="G55" s="11"/>
      <c r="H55" s="106">
        <f ca="1">SUM(OFFSET(L55,,J$1-1):OFFSET(L55,,K$1-1))</f>
        <v>0</v>
      </c>
      <c r="I55" s="107">
        <f ca="1">SUM(L55:OFFSET(L55,,K$1-1))</f>
        <v>0</v>
      </c>
      <c r="J55" s="106">
        <f t="shared" ca="1" si="47"/>
        <v>0</v>
      </c>
      <c r="K55" s="108" t="str">
        <f t="shared" si="48"/>
        <v/>
      </c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44"/>
      <c r="CY55" s="40"/>
      <c r="CZ55" s="2"/>
      <c r="DA55" s="2"/>
      <c r="DB55" s="2"/>
      <c r="DC55" s="2"/>
      <c r="DD55" s="2"/>
      <c r="DE55" s="2"/>
      <c r="DF55" s="2"/>
      <c r="DG55" s="2"/>
    </row>
    <row r="56" spans="1:111" hidden="1">
      <c r="A56" s="159" t="str">
        <f t="shared" ca="1" si="45"/>
        <v/>
      </c>
      <c r="B56" s="159" t="str">
        <f t="shared" si="46"/>
        <v/>
      </c>
      <c r="C56" s="76">
        <v>45</v>
      </c>
      <c r="D56" s="12"/>
      <c r="E56" s="10"/>
      <c r="F56" s="11"/>
      <c r="G56" s="11"/>
      <c r="H56" s="106">
        <f ca="1">SUM(OFFSET(L56,,J$1-1):OFFSET(L56,,K$1-1))</f>
        <v>0</v>
      </c>
      <c r="I56" s="107">
        <f ca="1">SUM(L56:OFFSET(L56,,K$1-1))</f>
        <v>0</v>
      </c>
      <c r="J56" s="106">
        <f t="shared" ca="1" si="47"/>
        <v>0</v>
      </c>
      <c r="K56" s="108" t="str">
        <f t="shared" si="48"/>
        <v/>
      </c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44"/>
      <c r="CY56" s="40"/>
      <c r="CZ56" s="2"/>
      <c r="DA56" s="2"/>
      <c r="DB56" s="2"/>
      <c r="DC56" s="2"/>
      <c r="DD56" s="2"/>
      <c r="DE56" s="2"/>
      <c r="DF56" s="2"/>
      <c r="DG56" s="2"/>
    </row>
    <row r="57" spans="1:111" hidden="1">
      <c r="A57" s="159" t="str">
        <f t="shared" ca="1" si="45"/>
        <v/>
      </c>
      <c r="B57" s="159" t="str">
        <f t="shared" si="46"/>
        <v/>
      </c>
      <c r="C57" s="76">
        <v>46</v>
      </c>
      <c r="D57" s="12"/>
      <c r="E57" s="10"/>
      <c r="F57" s="11"/>
      <c r="G57" s="11"/>
      <c r="H57" s="106">
        <f ca="1">SUM(OFFSET(L57,,J$1-1):OFFSET(L57,,K$1-1))</f>
        <v>0</v>
      </c>
      <c r="I57" s="107">
        <f ca="1">SUM(L57:OFFSET(L57,,K$1-1))</f>
        <v>0</v>
      </c>
      <c r="J57" s="106">
        <f t="shared" ca="1" si="47"/>
        <v>0</v>
      </c>
      <c r="K57" s="108" t="str">
        <f t="shared" si="48"/>
        <v/>
      </c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44"/>
      <c r="CY57" s="40"/>
      <c r="CZ57" s="2"/>
      <c r="DA57" s="2"/>
      <c r="DB57" s="2"/>
      <c r="DC57" s="2"/>
      <c r="DD57" s="2"/>
      <c r="DE57" s="2"/>
      <c r="DF57" s="2"/>
      <c r="DG57" s="2"/>
    </row>
    <row r="58" spans="1:111" hidden="1">
      <c r="A58" s="159" t="str">
        <f t="shared" ca="1" si="45"/>
        <v/>
      </c>
      <c r="B58" s="159" t="str">
        <f t="shared" si="46"/>
        <v/>
      </c>
      <c r="C58" s="76">
        <v>47</v>
      </c>
      <c r="D58" s="12"/>
      <c r="E58" s="10"/>
      <c r="F58" s="11"/>
      <c r="G58" s="11"/>
      <c r="H58" s="106">
        <f ca="1">SUM(OFFSET(L58,,J$1-1):OFFSET(L58,,K$1-1))</f>
        <v>0</v>
      </c>
      <c r="I58" s="107">
        <f ca="1">SUM(L58:OFFSET(L58,,K$1-1))</f>
        <v>0</v>
      </c>
      <c r="J58" s="106">
        <f t="shared" ca="1" si="47"/>
        <v>0</v>
      </c>
      <c r="K58" s="108" t="str">
        <f t="shared" si="48"/>
        <v/>
      </c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44"/>
      <c r="CY58" s="40"/>
      <c r="CZ58" s="2"/>
      <c r="DA58" s="2"/>
      <c r="DB58" s="2"/>
      <c r="DC58" s="2"/>
      <c r="DD58" s="2"/>
      <c r="DE58" s="2"/>
      <c r="DF58" s="2"/>
      <c r="DG58" s="2"/>
    </row>
    <row r="59" spans="1:111" hidden="1">
      <c r="A59" s="159" t="str">
        <f t="shared" ca="1" si="45"/>
        <v/>
      </c>
      <c r="B59" s="159" t="str">
        <f t="shared" si="46"/>
        <v/>
      </c>
      <c r="C59" s="76">
        <v>48</v>
      </c>
      <c r="D59" s="12"/>
      <c r="E59" s="10"/>
      <c r="F59" s="11"/>
      <c r="G59" s="11"/>
      <c r="H59" s="106">
        <f ca="1">SUM(OFFSET(L59,,J$1-1):OFFSET(L59,,K$1-1))</f>
        <v>0</v>
      </c>
      <c r="I59" s="107">
        <f ca="1">SUM(L59:OFFSET(L59,,K$1-1))</f>
        <v>0</v>
      </c>
      <c r="J59" s="106">
        <f t="shared" ca="1" si="47"/>
        <v>0</v>
      </c>
      <c r="K59" s="108" t="str">
        <f t="shared" si="48"/>
        <v/>
      </c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44"/>
      <c r="CY59" s="40"/>
      <c r="CZ59" s="2"/>
      <c r="DA59" s="2"/>
      <c r="DB59" s="2"/>
      <c r="DC59" s="2"/>
      <c r="DD59" s="2"/>
      <c r="DE59" s="2"/>
      <c r="DF59" s="2"/>
      <c r="DG59" s="2"/>
    </row>
    <row r="60" spans="1:111" hidden="1">
      <c r="A60" s="159" t="str">
        <f t="shared" ca="1" si="45"/>
        <v/>
      </c>
      <c r="B60" s="159" t="str">
        <f t="shared" si="46"/>
        <v/>
      </c>
      <c r="C60" s="76">
        <v>49</v>
      </c>
      <c r="D60" s="166"/>
      <c r="E60" s="167"/>
      <c r="F60" s="168"/>
      <c r="G60" s="168"/>
      <c r="H60" s="106">
        <f ca="1">SUM(OFFSET(L60,,J$1-1):OFFSET(L60,,K$1-1))</f>
        <v>0</v>
      </c>
      <c r="I60" s="107">
        <f ca="1">SUM(L60:OFFSET(L60,,K$1-1))</f>
        <v>0</v>
      </c>
      <c r="J60" s="106">
        <f t="shared" ca="1" si="47"/>
        <v>0</v>
      </c>
      <c r="K60" s="108" t="str">
        <f t="shared" si="48"/>
        <v/>
      </c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44"/>
      <c r="CY60" s="40"/>
      <c r="CZ60" s="2"/>
      <c r="DA60" s="2"/>
      <c r="DB60" s="2"/>
      <c r="DC60" s="2"/>
      <c r="DD60" s="2"/>
      <c r="DE60" s="2"/>
      <c r="DF60" s="2"/>
      <c r="DG60" s="2"/>
    </row>
    <row r="61" spans="1:111" hidden="1">
      <c r="A61" s="159" t="str">
        <f t="shared" ca="1" si="45"/>
        <v/>
      </c>
      <c r="B61" s="159" t="str">
        <f t="shared" si="46"/>
        <v/>
      </c>
      <c r="C61" s="76">
        <v>50</v>
      </c>
      <c r="D61" s="166"/>
      <c r="E61" s="167"/>
      <c r="F61" s="168"/>
      <c r="G61" s="168"/>
      <c r="H61" s="106">
        <f ca="1">SUM(OFFSET(L61,,J$1-1):OFFSET(L61,,K$1-1))</f>
        <v>0</v>
      </c>
      <c r="I61" s="107">
        <f ca="1">SUM(L61:OFFSET(L61,,K$1-1))</f>
        <v>0</v>
      </c>
      <c r="J61" s="106">
        <f t="shared" ca="1" si="47"/>
        <v>0</v>
      </c>
      <c r="K61" s="108" t="str">
        <f t="shared" si="48"/>
        <v/>
      </c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44"/>
      <c r="CY61" s="40"/>
      <c r="CZ61" s="2"/>
      <c r="DA61" s="2"/>
      <c r="DB61" s="2"/>
      <c r="DC61" s="2"/>
      <c r="DD61" s="2"/>
      <c r="DE61" s="2"/>
      <c r="DF61" s="2"/>
      <c r="DG61" s="2"/>
    </row>
    <row r="62" spans="1:111" hidden="1">
      <c r="A62" s="159" t="str">
        <f t="shared" ca="1" si="45"/>
        <v/>
      </c>
      <c r="B62" s="159" t="str">
        <f t="shared" si="46"/>
        <v/>
      </c>
      <c r="C62" s="76">
        <v>51</v>
      </c>
      <c r="D62" s="166"/>
      <c r="E62" s="167"/>
      <c r="F62" s="168"/>
      <c r="G62" s="168"/>
      <c r="H62" s="106">
        <f ca="1">SUM(OFFSET(L62,,J$1-1):OFFSET(L62,,K$1-1))</f>
        <v>0</v>
      </c>
      <c r="I62" s="107">
        <f ca="1">SUM(L62:OFFSET(L62,,K$1-1))</f>
        <v>0</v>
      </c>
      <c r="J62" s="106">
        <f t="shared" ca="1" si="47"/>
        <v>0</v>
      </c>
      <c r="K62" s="108" t="str">
        <f t="shared" si="48"/>
        <v/>
      </c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44"/>
      <c r="CY62" s="40"/>
      <c r="CZ62" s="2"/>
      <c r="DA62" s="2"/>
      <c r="DB62" s="2"/>
      <c r="DC62" s="2"/>
      <c r="DD62" s="2"/>
      <c r="DE62" s="2"/>
      <c r="DF62" s="2"/>
      <c r="DG62" s="2"/>
    </row>
    <row r="63" spans="1:111" hidden="1">
      <c r="A63" s="159" t="str">
        <f t="shared" ca="1" si="45"/>
        <v/>
      </c>
      <c r="B63" s="159" t="str">
        <f t="shared" si="46"/>
        <v/>
      </c>
      <c r="C63" s="76">
        <v>52</v>
      </c>
      <c r="D63" s="166"/>
      <c r="E63" s="167"/>
      <c r="F63" s="168"/>
      <c r="G63" s="168"/>
      <c r="H63" s="106">
        <f ca="1">SUM(OFFSET(L63,,J$1-1):OFFSET(L63,,K$1-1))</f>
        <v>0</v>
      </c>
      <c r="I63" s="107">
        <f ca="1">SUM(L63:OFFSET(L63,,K$1-1))</f>
        <v>0</v>
      </c>
      <c r="J63" s="106">
        <f t="shared" ca="1" si="47"/>
        <v>0</v>
      </c>
      <c r="K63" s="108" t="str">
        <f t="shared" si="48"/>
        <v/>
      </c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44"/>
      <c r="CY63" s="40"/>
      <c r="CZ63" s="2"/>
      <c r="DA63" s="2"/>
      <c r="DB63" s="2"/>
      <c r="DC63" s="2"/>
      <c r="DD63" s="2"/>
      <c r="DE63" s="2"/>
      <c r="DF63" s="2"/>
      <c r="DG63" s="2"/>
    </row>
    <row r="64" spans="1:111" hidden="1">
      <c r="A64" s="159" t="str">
        <f t="shared" ca="1" si="45"/>
        <v/>
      </c>
      <c r="B64" s="159" t="str">
        <f t="shared" si="46"/>
        <v/>
      </c>
      <c r="C64" s="76">
        <v>53</v>
      </c>
      <c r="D64" s="166"/>
      <c r="E64" s="167"/>
      <c r="F64" s="168"/>
      <c r="G64" s="168"/>
      <c r="H64" s="106">
        <f ca="1">SUM(OFFSET(L64,,J$1-1):OFFSET(L64,,K$1-1))</f>
        <v>0</v>
      </c>
      <c r="I64" s="107">
        <f ca="1">SUM(L64:OFFSET(L64,,K$1-1))</f>
        <v>0</v>
      </c>
      <c r="J64" s="106">
        <f t="shared" ca="1" si="47"/>
        <v>0</v>
      </c>
      <c r="K64" s="108" t="str">
        <f t="shared" si="48"/>
        <v/>
      </c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44"/>
      <c r="CY64" s="40"/>
      <c r="CZ64" s="2"/>
      <c r="DA64" s="2"/>
      <c r="DB64" s="2"/>
      <c r="DC64" s="2"/>
      <c r="DD64" s="2"/>
      <c r="DE64" s="2"/>
      <c r="DF64" s="2"/>
      <c r="DG64" s="2"/>
    </row>
    <row r="65" spans="1:111" hidden="1">
      <c r="A65" s="159" t="str">
        <f t="shared" ca="1" si="45"/>
        <v/>
      </c>
      <c r="B65" s="159" t="str">
        <f t="shared" si="46"/>
        <v/>
      </c>
      <c r="C65" s="76">
        <v>54</v>
      </c>
      <c r="D65" s="12"/>
      <c r="E65" s="10"/>
      <c r="F65" s="11"/>
      <c r="G65" s="11"/>
      <c r="H65" s="106">
        <f ca="1">SUM(OFFSET(L65,,J$1-1):OFFSET(L65,,K$1-1))</f>
        <v>0</v>
      </c>
      <c r="I65" s="107">
        <f ca="1">SUM(L65:OFFSET(L65,,K$1-1))</f>
        <v>0</v>
      </c>
      <c r="J65" s="106">
        <f t="shared" ca="1" si="47"/>
        <v>0</v>
      </c>
      <c r="K65" s="108" t="str">
        <f t="shared" si="48"/>
        <v/>
      </c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44"/>
      <c r="CY65" s="40"/>
      <c r="CZ65" s="2"/>
      <c r="DA65" s="2"/>
      <c r="DB65" s="2"/>
      <c r="DC65" s="2"/>
      <c r="DD65" s="2"/>
      <c r="DE65" s="2"/>
      <c r="DF65" s="2"/>
      <c r="DG65" s="2"/>
    </row>
    <row r="66" spans="1:111" hidden="1">
      <c r="A66" s="159" t="str">
        <f t="shared" ca="1" si="45"/>
        <v/>
      </c>
      <c r="B66" s="159" t="str">
        <f t="shared" si="46"/>
        <v/>
      </c>
      <c r="C66" s="76">
        <v>55</v>
      </c>
      <c r="D66" s="12"/>
      <c r="E66" s="10"/>
      <c r="F66" s="11"/>
      <c r="G66" s="11"/>
      <c r="H66" s="106">
        <f ca="1">SUM(OFFSET(L66,,J$1-1):OFFSET(L66,,K$1-1))</f>
        <v>0</v>
      </c>
      <c r="I66" s="107">
        <f ca="1">SUM(L66:OFFSET(L66,,K$1-1))</f>
        <v>0</v>
      </c>
      <c r="J66" s="106">
        <f t="shared" ca="1" si="47"/>
        <v>0</v>
      </c>
      <c r="K66" s="108" t="str">
        <f t="shared" si="48"/>
        <v/>
      </c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44"/>
      <c r="CY66" s="40"/>
      <c r="CZ66" s="2"/>
      <c r="DA66" s="2"/>
      <c r="DB66" s="2"/>
      <c r="DC66" s="2"/>
      <c r="DD66" s="2"/>
      <c r="DE66" s="2"/>
      <c r="DF66" s="2"/>
      <c r="DG66" s="2"/>
    </row>
    <row r="67" spans="1:111" hidden="1">
      <c r="A67" s="159" t="str">
        <f t="shared" ca="1" si="45"/>
        <v/>
      </c>
      <c r="B67" s="159" t="str">
        <f t="shared" si="46"/>
        <v/>
      </c>
      <c r="C67" s="76">
        <v>56</v>
      </c>
      <c r="D67" s="12"/>
      <c r="E67" s="10"/>
      <c r="F67" s="11"/>
      <c r="G67" s="11"/>
      <c r="H67" s="106">
        <f ca="1">SUM(OFFSET(L67,,J$1-1):OFFSET(L67,,K$1-1))</f>
        <v>0</v>
      </c>
      <c r="I67" s="107">
        <f ca="1">SUM(L67:OFFSET(L67,,K$1-1))</f>
        <v>0</v>
      </c>
      <c r="J67" s="106">
        <f t="shared" ca="1" si="47"/>
        <v>0</v>
      </c>
      <c r="K67" s="108" t="str">
        <f t="shared" si="48"/>
        <v/>
      </c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44"/>
      <c r="CY67" s="40"/>
      <c r="CZ67" s="2"/>
      <c r="DA67" s="2"/>
      <c r="DB67" s="2"/>
      <c r="DC67" s="2"/>
      <c r="DD67" s="2"/>
      <c r="DE67" s="2"/>
      <c r="DF67" s="2"/>
      <c r="DG67" s="2"/>
    </row>
    <row r="68" spans="1:111" hidden="1">
      <c r="A68" s="159" t="str">
        <f t="shared" ca="1" si="45"/>
        <v/>
      </c>
      <c r="B68" s="159" t="str">
        <f t="shared" si="46"/>
        <v/>
      </c>
      <c r="C68" s="76">
        <v>57</v>
      </c>
      <c r="D68" s="12"/>
      <c r="E68" s="10"/>
      <c r="F68" s="11"/>
      <c r="G68" s="11"/>
      <c r="H68" s="106">
        <f ca="1">SUM(OFFSET(L68,,J$1-1):OFFSET(L68,,K$1-1))</f>
        <v>0</v>
      </c>
      <c r="I68" s="107">
        <f ca="1">SUM(L68:OFFSET(L68,,K$1-1))</f>
        <v>0</v>
      </c>
      <c r="J68" s="106">
        <f t="shared" ca="1" si="47"/>
        <v>0</v>
      </c>
      <c r="K68" s="108" t="str">
        <f t="shared" si="48"/>
        <v/>
      </c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44"/>
      <c r="CY68" s="40"/>
      <c r="CZ68" s="2"/>
      <c r="DA68" s="2"/>
      <c r="DB68" s="2"/>
      <c r="DC68" s="2"/>
      <c r="DD68" s="2"/>
      <c r="DE68" s="2"/>
      <c r="DF68" s="2"/>
      <c r="DG68" s="2"/>
    </row>
    <row r="69" spans="1:111" hidden="1">
      <c r="A69" s="159" t="str">
        <f t="shared" ca="1" si="45"/>
        <v/>
      </c>
      <c r="B69" s="159" t="str">
        <f t="shared" si="46"/>
        <v/>
      </c>
      <c r="C69" s="76">
        <v>58</v>
      </c>
      <c r="D69" s="12"/>
      <c r="E69" s="10"/>
      <c r="F69" s="11"/>
      <c r="G69" s="11"/>
      <c r="H69" s="106">
        <f ca="1">SUM(OFFSET(L69,,J$1-1):OFFSET(L69,,K$1-1))</f>
        <v>0</v>
      </c>
      <c r="I69" s="107">
        <f ca="1">SUM(L69:OFFSET(L69,,K$1-1))</f>
        <v>0</v>
      </c>
      <c r="J69" s="106">
        <f t="shared" ca="1" si="47"/>
        <v>0</v>
      </c>
      <c r="K69" s="108" t="str">
        <f t="shared" si="48"/>
        <v/>
      </c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44"/>
      <c r="CY69" s="40"/>
      <c r="CZ69" s="2"/>
      <c r="DA69" s="2"/>
      <c r="DB69" s="2"/>
      <c r="DC69" s="2"/>
      <c r="DD69" s="2"/>
      <c r="DE69" s="2"/>
      <c r="DF69" s="2"/>
      <c r="DG69" s="2"/>
    </row>
    <row r="70" spans="1:111" hidden="1">
      <c r="A70" s="159" t="str">
        <f t="shared" ca="1" si="45"/>
        <v/>
      </c>
      <c r="B70" s="159" t="str">
        <f t="shared" si="46"/>
        <v/>
      </c>
      <c r="C70" s="76">
        <v>59</v>
      </c>
      <c r="D70" s="12"/>
      <c r="E70" s="10"/>
      <c r="F70" s="11"/>
      <c r="G70" s="11"/>
      <c r="H70" s="106">
        <f ca="1">SUM(OFFSET(L70,,J$1-1):OFFSET(L70,,K$1-1))</f>
        <v>0</v>
      </c>
      <c r="I70" s="107">
        <f ca="1">SUM(L70:OFFSET(L70,,K$1-1))</f>
        <v>0</v>
      </c>
      <c r="J70" s="106">
        <f t="shared" ca="1" si="47"/>
        <v>0</v>
      </c>
      <c r="K70" s="108" t="str">
        <f t="shared" si="48"/>
        <v/>
      </c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44"/>
      <c r="CY70" s="40"/>
      <c r="CZ70" s="2"/>
      <c r="DA70" s="2"/>
      <c r="DB70" s="2"/>
      <c r="DC70" s="2"/>
      <c r="DD70" s="2"/>
      <c r="DE70" s="2"/>
      <c r="DF70" s="2"/>
      <c r="DG70" s="2"/>
    </row>
    <row r="71" spans="1:111" hidden="1">
      <c r="A71" s="159" t="str">
        <f t="shared" ca="1" si="45"/>
        <v/>
      </c>
      <c r="B71" s="159" t="str">
        <f t="shared" si="46"/>
        <v/>
      </c>
      <c r="C71" s="76">
        <v>60</v>
      </c>
      <c r="D71" s="12"/>
      <c r="E71" s="10"/>
      <c r="F71" s="11"/>
      <c r="G71" s="11"/>
      <c r="H71" s="106">
        <f ca="1">SUM(OFFSET(L71,,J$1-1):OFFSET(L71,,K$1-1))</f>
        <v>0</v>
      </c>
      <c r="I71" s="107">
        <f ca="1">SUM(L71:OFFSET(L71,,K$1-1))</f>
        <v>0</v>
      </c>
      <c r="J71" s="106">
        <f t="shared" ca="1" si="47"/>
        <v>0</v>
      </c>
      <c r="K71" s="108" t="str">
        <f t="shared" si="48"/>
        <v/>
      </c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44"/>
      <c r="CY71" s="40"/>
      <c r="CZ71" s="2"/>
      <c r="DA71" s="2"/>
      <c r="DB71" s="2"/>
      <c r="DC71" s="2"/>
      <c r="DD71" s="2"/>
      <c r="DE71" s="2"/>
      <c r="DF71" s="2"/>
      <c r="DG71" s="2"/>
    </row>
    <row r="72" spans="1:111" hidden="1">
      <c r="A72" s="159" t="str">
        <f t="shared" ca="1" si="45"/>
        <v/>
      </c>
      <c r="B72" s="159" t="str">
        <f t="shared" si="46"/>
        <v/>
      </c>
      <c r="C72" s="76">
        <v>61</v>
      </c>
      <c r="D72" s="12"/>
      <c r="E72" s="10"/>
      <c r="F72" s="11"/>
      <c r="G72" s="11"/>
      <c r="H72" s="106">
        <f ca="1">SUM(OFFSET(L72,,J$1-1):OFFSET(L72,,K$1-1))</f>
        <v>0</v>
      </c>
      <c r="I72" s="107">
        <f ca="1">SUM(L72:OFFSET(L72,,K$1-1))</f>
        <v>0</v>
      </c>
      <c r="J72" s="106">
        <f t="shared" ca="1" si="47"/>
        <v>0</v>
      </c>
      <c r="K72" s="108" t="str">
        <f t="shared" si="48"/>
        <v/>
      </c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44"/>
      <c r="CY72" s="40"/>
      <c r="CZ72" s="2"/>
      <c r="DA72" s="2"/>
      <c r="DB72" s="2"/>
      <c r="DC72" s="2"/>
      <c r="DD72" s="2"/>
      <c r="DE72" s="2"/>
      <c r="DF72" s="2"/>
      <c r="DG72" s="2"/>
    </row>
    <row r="73" spans="1:111" hidden="1">
      <c r="A73" s="159" t="str">
        <f t="shared" ref="A73:A117" ca="1" si="49">IF(H73&gt;0,C73,"")</f>
        <v/>
      </c>
      <c r="B73" s="159" t="str">
        <f t="shared" si="46"/>
        <v/>
      </c>
      <c r="C73" s="76">
        <v>62</v>
      </c>
      <c r="D73" s="12"/>
      <c r="E73" s="10"/>
      <c r="F73" s="11"/>
      <c r="G73" s="11"/>
      <c r="H73" s="106">
        <f ca="1">SUM(OFFSET(L73,,J$1-1):OFFSET(L73,,K$1-1))</f>
        <v>0</v>
      </c>
      <c r="I73" s="107">
        <f ca="1">SUM(L73:OFFSET(L73,,K$1-1))</f>
        <v>0</v>
      </c>
      <c r="J73" s="106">
        <f t="shared" ref="J73:J117" ca="1" si="50">F73-I73</f>
        <v>0</v>
      </c>
      <c r="K73" s="108" t="str">
        <f t="shared" si="48"/>
        <v/>
      </c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44"/>
      <c r="CY73" s="40"/>
      <c r="CZ73" s="2"/>
      <c r="DA73" s="2"/>
      <c r="DB73" s="2"/>
      <c r="DC73" s="2"/>
      <c r="DD73" s="2"/>
      <c r="DE73" s="2"/>
      <c r="DF73" s="2"/>
      <c r="DG73" s="2"/>
    </row>
    <row r="74" spans="1:111" hidden="1">
      <c r="A74" s="159" t="str">
        <f t="shared" ca="1" si="49"/>
        <v/>
      </c>
      <c r="B74" s="159" t="str">
        <f t="shared" ref="B74:B133" si="51">IF(K74="","",C74)</f>
        <v/>
      </c>
      <c r="C74" s="76">
        <v>63</v>
      </c>
      <c r="D74" s="12"/>
      <c r="E74" s="10"/>
      <c r="F74" s="11"/>
      <c r="G74" s="11"/>
      <c r="H74" s="106">
        <f ca="1">SUM(OFFSET(L74,,J$1-1):OFFSET(L74,,K$1-1))</f>
        <v>0</v>
      </c>
      <c r="I74" s="107">
        <f ca="1">SUM(L74:OFFSET(L74,,K$1-1))</f>
        <v>0</v>
      </c>
      <c r="J74" s="106">
        <f t="shared" ca="1" si="50"/>
        <v>0</v>
      </c>
      <c r="K74" s="108" t="str">
        <f t="shared" si="48"/>
        <v/>
      </c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44"/>
      <c r="CY74" s="40"/>
      <c r="CZ74" s="2"/>
      <c r="DA74" s="2"/>
      <c r="DB74" s="2"/>
      <c r="DC74" s="2"/>
      <c r="DD74" s="2"/>
      <c r="DE74" s="2"/>
      <c r="DF74" s="2"/>
      <c r="DG74" s="2"/>
    </row>
    <row r="75" spans="1:111" hidden="1">
      <c r="A75" s="159" t="str">
        <f t="shared" ca="1" si="49"/>
        <v/>
      </c>
      <c r="B75" s="159" t="str">
        <f t="shared" si="51"/>
        <v/>
      </c>
      <c r="C75" s="76">
        <v>64</v>
      </c>
      <c r="D75" s="12"/>
      <c r="E75" s="10"/>
      <c r="F75" s="11"/>
      <c r="G75" s="11"/>
      <c r="H75" s="106">
        <f ca="1">SUM(OFFSET(L75,,J$1-1):OFFSET(L75,,K$1-1))</f>
        <v>0</v>
      </c>
      <c r="I75" s="107">
        <f ca="1">SUM(L75:OFFSET(L75,,K$1-1))</f>
        <v>0</v>
      </c>
      <c r="J75" s="106">
        <f t="shared" ca="1" si="50"/>
        <v>0</v>
      </c>
      <c r="K75" s="108" t="str">
        <f t="shared" si="48"/>
        <v/>
      </c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44"/>
      <c r="CY75" s="40"/>
      <c r="CZ75" s="2"/>
      <c r="DA75" s="2"/>
      <c r="DB75" s="2"/>
      <c r="DC75" s="2"/>
      <c r="DD75" s="2"/>
      <c r="DE75" s="2"/>
      <c r="DF75" s="2"/>
      <c r="DG75" s="2"/>
    </row>
    <row r="76" spans="1:111" hidden="1">
      <c r="A76" s="159" t="str">
        <f t="shared" ca="1" si="49"/>
        <v/>
      </c>
      <c r="B76" s="159" t="str">
        <f t="shared" si="51"/>
        <v/>
      </c>
      <c r="C76" s="76">
        <v>65</v>
      </c>
      <c r="D76" s="12"/>
      <c r="E76" s="10"/>
      <c r="F76" s="11"/>
      <c r="G76" s="11"/>
      <c r="H76" s="106">
        <f ca="1">SUM(OFFSET(L76,,J$1-1):OFFSET(L76,,K$1-1))</f>
        <v>0</v>
      </c>
      <c r="I76" s="107">
        <f ca="1">SUM(L76:OFFSET(L76,,K$1-1))</f>
        <v>0</v>
      </c>
      <c r="J76" s="106">
        <f t="shared" ca="1" si="50"/>
        <v>0</v>
      </c>
      <c r="K76" s="108" t="str">
        <f t="shared" ref="K76:K107" si="52">IF(LOOKUP(K$1,L$1:DG$1,L76:DG76)=0,"",LOOKUP(K$1,L$1:DG$1,L76:DG76))</f>
        <v/>
      </c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44"/>
      <c r="CY76" s="40"/>
      <c r="CZ76" s="2"/>
      <c r="DA76" s="2"/>
      <c r="DB76" s="2"/>
      <c r="DC76" s="2"/>
      <c r="DD76" s="2"/>
      <c r="DE76" s="2"/>
      <c r="DF76" s="2"/>
      <c r="DG76" s="2"/>
    </row>
    <row r="77" spans="1:111" hidden="1">
      <c r="A77" s="159" t="str">
        <f t="shared" ca="1" si="49"/>
        <v/>
      </c>
      <c r="B77" s="159" t="str">
        <f t="shared" si="51"/>
        <v/>
      </c>
      <c r="C77" s="76">
        <v>66</v>
      </c>
      <c r="D77" s="12"/>
      <c r="E77" s="10"/>
      <c r="F77" s="11"/>
      <c r="G77" s="11"/>
      <c r="H77" s="106">
        <f ca="1">SUM(OFFSET(L77,,J$1-1):OFFSET(L77,,K$1-1))</f>
        <v>0</v>
      </c>
      <c r="I77" s="107">
        <f ca="1">SUM(L77:OFFSET(L77,,K$1-1))</f>
        <v>0</v>
      </c>
      <c r="J77" s="106">
        <f t="shared" ca="1" si="50"/>
        <v>0</v>
      </c>
      <c r="K77" s="108" t="str">
        <f t="shared" si="52"/>
        <v/>
      </c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44"/>
      <c r="CY77" s="40"/>
      <c r="CZ77" s="2"/>
      <c r="DA77" s="2"/>
      <c r="DB77" s="2"/>
      <c r="DC77" s="2"/>
      <c r="DD77" s="2"/>
      <c r="DE77" s="2"/>
      <c r="DF77" s="2"/>
      <c r="DG77" s="2"/>
    </row>
    <row r="78" spans="1:111" hidden="1">
      <c r="A78" s="159" t="str">
        <f t="shared" ca="1" si="49"/>
        <v/>
      </c>
      <c r="B78" s="159" t="str">
        <f t="shared" si="51"/>
        <v/>
      </c>
      <c r="C78" s="76">
        <v>67</v>
      </c>
      <c r="D78" s="12"/>
      <c r="E78" s="10"/>
      <c r="F78" s="11"/>
      <c r="G78" s="11"/>
      <c r="H78" s="106">
        <f ca="1">SUM(OFFSET(L78,,J$1-1):OFFSET(L78,,K$1-1))</f>
        <v>0</v>
      </c>
      <c r="I78" s="107">
        <f ca="1">SUM(L78:OFFSET(L78,,K$1-1))</f>
        <v>0</v>
      </c>
      <c r="J78" s="106">
        <f t="shared" ca="1" si="50"/>
        <v>0</v>
      </c>
      <c r="K78" s="108" t="str">
        <f t="shared" si="52"/>
        <v/>
      </c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44"/>
      <c r="CY78" s="40"/>
      <c r="CZ78" s="2"/>
      <c r="DA78" s="2"/>
      <c r="DB78" s="2"/>
      <c r="DC78" s="2"/>
      <c r="DD78" s="2"/>
      <c r="DE78" s="2"/>
      <c r="DF78" s="2"/>
      <c r="DG78" s="2"/>
    </row>
    <row r="79" spans="1:111" hidden="1">
      <c r="A79" s="159" t="str">
        <f t="shared" ca="1" si="49"/>
        <v/>
      </c>
      <c r="B79" s="159" t="str">
        <f t="shared" si="51"/>
        <v/>
      </c>
      <c r="C79" s="76">
        <v>68</v>
      </c>
      <c r="D79" s="12"/>
      <c r="E79" s="10"/>
      <c r="F79" s="11"/>
      <c r="G79" s="11"/>
      <c r="H79" s="106">
        <f ca="1">SUM(OFFSET(L79,,J$1-1):OFFSET(L79,,K$1-1))</f>
        <v>0</v>
      </c>
      <c r="I79" s="107">
        <f ca="1">SUM(L79:OFFSET(L79,,K$1-1))</f>
        <v>0</v>
      </c>
      <c r="J79" s="106">
        <f t="shared" ca="1" si="50"/>
        <v>0</v>
      </c>
      <c r="K79" s="108" t="str">
        <f t="shared" si="52"/>
        <v/>
      </c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44"/>
      <c r="CY79" s="40"/>
      <c r="CZ79" s="2"/>
      <c r="DA79" s="2"/>
      <c r="DB79" s="2"/>
      <c r="DC79" s="2"/>
      <c r="DD79" s="2"/>
      <c r="DE79" s="2"/>
      <c r="DF79" s="2"/>
      <c r="DG79" s="2"/>
    </row>
    <row r="80" spans="1:111" hidden="1">
      <c r="A80" s="159" t="str">
        <f t="shared" ca="1" si="49"/>
        <v/>
      </c>
      <c r="B80" s="159" t="str">
        <f t="shared" si="51"/>
        <v/>
      </c>
      <c r="C80" s="76">
        <v>69</v>
      </c>
      <c r="D80" s="12"/>
      <c r="E80" s="10"/>
      <c r="F80" s="11"/>
      <c r="G80" s="11"/>
      <c r="H80" s="106">
        <f ca="1">SUM(OFFSET(L80,,J$1-1):OFFSET(L80,,K$1-1))</f>
        <v>0</v>
      </c>
      <c r="I80" s="107">
        <f ca="1">SUM(L80:OFFSET(L80,,K$1-1))</f>
        <v>0</v>
      </c>
      <c r="J80" s="106">
        <f t="shared" ca="1" si="50"/>
        <v>0</v>
      </c>
      <c r="K80" s="108" t="str">
        <f t="shared" si="52"/>
        <v/>
      </c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44"/>
      <c r="CY80" s="40"/>
      <c r="CZ80" s="2"/>
      <c r="DA80" s="2"/>
      <c r="DB80" s="2"/>
      <c r="DC80" s="2"/>
      <c r="DD80" s="2"/>
      <c r="DE80" s="2"/>
      <c r="DF80" s="2"/>
      <c r="DG80" s="2"/>
    </row>
    <row r="81" spans="1:111" hidden="1">
      <c r="A81" s="159" t="str">
        <f t="shared" ca="1" si="49"/>
        <v/>
      </c>
      <c r="B81" s="159" t="str">
        <f t="shared" si="51"/>
        <v/>
      </c>
      <c r="C81" s="76">
        <v>70</v>
      </c>
      <c r="D81" s="12"/>
      <c r="E81" s="10"/>
      <c r="F81" s="11"/>
      <c r="G81" s="11"/>
      <c r="H81" s="106">
        <f ca="1">SUM(OFFSET(L81,,J$1-1):OFFSET(L81,,K$1-1))</f>
        <v>0</v>
      </c>
      <c r="I81" s="107">
        <f ca="1">SUM(L81:OFFSET(L81,,K$1-1))</f>
        <v>0</v>
      </c>
      <c r="J81" s="106">
        <f t="shared" ca="1" si="50"/>
        <v>0</v>
      </c>
      <c r="K81" s="108" t="str">
        <f t="shared" si="52"/>
        <v/>
      </c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44"/>
      <c r="CY81" s="40"/>
      <c r="CZ81" s="2"/>
      <c r="DA81" s="2"/>
      <c r="DB81" s="2"/>
      <c r="DC81" s="2"/>
      <c r="DD81" s="2"/>
      <c r="DE81" s="2"/>
      <c r="DF81" s="2"/>
      <c r="DG81" s="2"/>
    </row>
    <row r="82" spans="1:111" hidden="1">
      <c r="A82" s="159" t="str">
        <f t="shared" ca="1" si="49"/>
        <v/>
      </c>
      <c r="B82" s="159" t="str">
        <f t="shared" si="51"/>
        <v/>
      </c>
      <c r="C82" s="76">
        <v>71</v>
      </c>
      <c r="D82" s="12"/>
      <c r="E82" s="10"/>
      <c r="F82" s="11"/>
      <c r="G82" s="11"/>
      <c r="H82" s="106">
        <f ca="1">SUM(OFFSET(L82,,J$1-1):OFFSET(L82,,K$1-1))</f>
        <v>0</v>
      </c>
      <c r="I82" s="107">
        <f ca="1">SUM(L82:OFFSET(L82,,K$1-1))</f>
        <v>0</v>
      </c>
      <c r="J82" s="106">
        <f t="shared" ca="1" si="50"/>
        <v>0</v>
      </c>
      <c r="K82" s="108" t="str">
        <f t="shared" si="52"/>
        <v/>
      </c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44"/>
      <c r="CY82" s="40"/>
      <c r="CZ82" s="2"/>
      <c r="DA82" s="2"/>
      <c r="DB82" s="2"/>
      <c r="DC82" s="2"/>
      <c r="DD82" s="2"/>
      <c r="DE82" s="2"/>
      <c r="DF82" s="2"/>
      <c r="DG82" s="2"/>
    </row>
    <row r="83" spans="1:111" hidden="1">
      <c r="A83" s="159" t="str">
        <f t="shared" ca="1" si="49"/>
        <v/>
      </c>
      <c r="B83" s="159" t="str">
        <f t="shared" si="51"/>
        <v/>
      </c>
      <c r="C83" s="76">
        <v>72</v>
      </c>
      <c r="D83" s="12"/>
      <c r="E83" s="10"/>
      <c r="F83" s="11"/>
      <c r="G83" s="11"/>
      <c r="H83" s="106">
        <f ca="1">SUM(OFFSET(L83,,J$1-1):OFFSET(L83,,K$1-1))</f>
        <v>0</v>
      </c>
      <c r="I83" s="107">
        <f ca="1">SUM(L83:OFFSET(L83,,K$1-1))</f>
        <v>0</v>
      </c>
      <c r="J83" s="106">
        <f t="shared" ca="1" si="50"/>
        <v>0</v>
      </c>
      <c r="K83" s="108" t="str">
        <f t="shared" si="52"/>
        <v/>
      </c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44"/>
      <c r="CY83" s="40"/>
      <c r="CZ83" s="2"/>
      <c r="DA83" s="2"/>
      <c r="DB83" s="2"/>
      <c r="DC83" s="2"/>
      <c r="DD83" s="2"/>
      <c r="DE83" s="2"/>
      <c r="DF83" s="2"/>
      <c r="DG83" s="2"/>
    </row>
    <row r="84" spans="1:111" hidden="1">
      <c r="A84" s="159" t="str">
        <f t="shared" ca="1" si="49"/>
        <v/>
      </c>
      <c r="B84" s="159" t="str">
        <f t="shared" si="51"/>
        <v/>
      </c>
      <c r="C84" s="76">
        <v>73</v>
      </c>
      <c r="D84" s="12"/>
      <c r="E84" s="10"/>
      <c r="F84" s="11"/>
      <c r="G84" s="11"/>
      <c r="H84" s="106">
        <f ca="1">SUM(OFFSET(L84,,J$1-1):OFFSET(L84,,K$1-1))</f>
        <v>0</v>
      </c>
      <c r="I84" s="107">
        <f ca="1">SUM(L84:OFFSET(L84,,K$1-1))</f>
        <v>0</v>
      </c>
      <c r="J84" s="106">
        <f t="shared" ca="1" si="50"/>
        <v>0</v>
      </c>
      <c r="K84" s="108" t="str">
        <f t="shared" si="52"/>
        <v/>
      </c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44"/>
      <c r="CY84" s="40"/>
      <c r="CZ84" s="2"/>
      <c r="DA84" s="2"/>
      <c r="DB84" s="2"/>
      <c r="DC84" s="2"/>
      <c r="DD84" s="2"/>
      <c r="DE84" s="2"/>
      <c r="DF84" s="2"/>
      <c r="DG84" s="2"/>
    </row>
    <row r="85" spans="1:111" hidden="1">
      <c r="A85" s="159" t="str">
        <f t="shared" ca="1" si="49"/>
        <v/>
      </c>
      <c r="B85" s="159" t="str">
        <f t="shared" si="51"/>
        <v/>
      </c>
      <c r="C85" s="76">
        <v>74</v>
      </c>
      <c r="D85" s="12"/>
      <c r="E85" s="10"/>
      <c r="F85" s="11"/>
      <c r="G85" s="11"/>
      <c r="H85" s="106">
        <f ca="1">SUM(OFFSET(L85,,J$1-1):OFFSET(L85,,K$1-1))</f>
        <v>0</v>
      </c>
      <c r="I85" s="107">
        <f ca="1">SUM(L85:OFFSET(L85,,K$1-1))</f>
        <v>0</v>
      </c>
      <c r="J85" s="106">
        <f t="shared" ca="1" si="50"/>
        <v>0</v>
      </c>
      <c r="K85" s="108" t="str">
        <f t="shared" si="52"/>
        <v/>
      </c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44"/>
      <c r="CY85" s="40"/>
      <c r="CZ85" s="2"/>
      <c r="DA85" s="2"/>
      <c r="DB85" s="2"/>
      <c r="DC85" s="2"/>
      <c r="DD85" s="2"/>
      <c r="DE85" s="2"/>
      <c r="DF85" s="2"/>
      <c r="DG85" s="2"/>
    </row>
    <row r="86" spans="1:111" hidden="1">
      <c r="A86" s="159" t="str">
        <f t="shared" ca="1" si="49"/>
        <v/>
      </c>
      <c r="B86" s="159" t="str">
        <f t="shared" si="51"/>
        <v/>
      </c>
      <c r="C86" s="76">
        <v>75</v>
      </c>
      <c r="D86" s="12"/>
      <c r="E86" s="10"/>
      <c r="F86" s="11"/>
      <c r="G86" s="11"/>
      <c r="H86" s="106">
        <f ca="1">SUM(OFFSET(L86,,J$1-1):OFFSET(L86,,K$1-1))</f>
        <v>0</v>
      </c>
      <c r="I86" s="107">
        <f ca="1">SUM(L86:OFFSET(L86,,K$1-1))</f>
        <v>0</v>
      </c>
      <c r="J86" s="106">
        <f t="shared" ca="1" si="50"/>
        <v>0</v>
      </c>
      <c r="K86" s="108" t="str">
        <f t="shared" si="52"/>
        <v/>
      </c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44"/>
      <c r="CY86" s="40"/>
      <c r="CZ86" s="2"/>
      <c r="DA86" s="2"/>
      <c r="DB86" s="2"/>
      <c r="DC86" s="2"/>
      <c r="DD86" s="2"/>
      <c r="DE86" s="2"/>
      <c r="DF86" s="2"/>
      <c r="DG86" s="2"/>
    </row>
    <row r="87" spans="1:111" hidden="1">
      <c r="A87" s="159" t="str">
        <f t="shared" ca="1" si="49"/>
        <v/>
      </c>
      <c r="B87" s="159" t="str">
        <f t="shared" si="51"/>
        <v/>
      </c>
      <c r="C87" s="76">
        <v>76</v>
      </c>
      <c r="D87" s="12"/>
      <c r="E87" s="10"/>
      <c r="F87" s="11"/>
      <c r="G87" s="11"/>
      <c r="H87" s="106">
        <f ca="1">SUM(OFFSET(L87,,J$1-1):OFFSET(L87,,K$1-1))</f>
        <v>0</v>
      </c>
      <c r="I87" s="107">
        <f ca="1">SUM(L87:OFFSET(L87,,K$1-1))</f>
        <v>0</v>
      </c>
      <c r="J87" s="106">
        <f t="shared" ca="1" si="50"/>
        <v>0</v>
      </c>
      <c r="K87" s="108" t="str">
        <f t="shared" si="52"/>
        <v/>
      </c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44"/>
      <c r="CY87" s="40"/>
      <c r="CZ87" s="2"/>
      <c r="DA87" s="2"/>
      <c r="DB87" s="2"/>
      <c r="DC87" s="2"/>
      <c r="DD87" s="2"/>
      <c r="DE87" s="2"/>
      <c r="DF87" s="2"/>
      <c r="DG87" s="2"/>
    </row>
    <row r="88" spans="1:111" hidden="1">
      <c r="A88" s="159" t="str">
        <f t="shared" ca="1" si="49"/>
        <v/>
      </c>
      <c r="B88" s="159" t="str">
        <f t="shared" si="51"/>
        <v/>
      </c>
      <c r="C88" s="76">
        <v>77</v>
      </c>
      <c r="D88" s="12"/>
      <c r="E88" s="10"/>
      <c r="F88" s="11"/>
      <c r="G88" s="11"/>
      <c r="H88" s="106">
        <f ca="1">SUM(OFFSET(L88,,J$1-1):OFFSET(L88,,K$1-1))</f>
        <v>0</v>
      </c>
      <c r="I88" s="107">
        <f ca="1">SUM(L88:OFFSET(L88,,K$1-1))</f>
        <v>0</v>
      </c>
      <c r="J88" s="106">
        <f t="shared" ca="1" si="50"/>
        <v>0</v>
      </c>
      <c r="K88" s="108" t="str">
        <f t="shared" si="52"/>
        <v/>
      </c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44"/>
      <c r="CY88" s="40"/>
      <c r="CZ88" s="2"/>
      <c r="DA88" s="2"/>
      <c r="DB88" s="2"/>
      <c r="DC88" s="2"/>
      <c r="DD88" s="2"/>
      <c r="DE88" s="2"/>
      <c r="DF88" s="2"/>
      <c r="DG88" s="2"/>
    </row>
    <row r="89" spans="1:111" hidden="1">
      <c r="A89" s="159" t="str">
        <f t="shared" ca="1" si="49"/>
        <v/>
      </c>
      <c r="B89" s="159" t="str">
        <f t="shared" si="51"/>
        <v/>
      </c>
      <c r="C89" s="76">
        <v>78</v>
      </c>
      <c r="D89" s="12"/>
      <c r="E89" s="10"/>
      <c r="F89" s="11"/>
      <c r="G89" s="11"/>
      <c r="H89" s="106">
        <f ca="1">SUM(OFFSET(L89,,J$1-1):OFFSET(L89,,K$1-1))</f>
        <v>0</v>
      </c>
      <c r="I89" s="107">
        <f ca="1">SUM(L89:OFFSET(L89,,K$1-1))</f>
        <v>0</v>
      </c>
      <c r="J89" s="106">
        <f t="shared" ca="1" si="50"/>
        <v>0</v>
      </c>
      <c r="K89" s="108" t="str">
        <f t="shared" si="52"/>
        <v/>
      </c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44"/>
      <c r="CY89" s="40"/>
      <c r="CZ89" s="2"/>
      <c r="DA89" s="2"/>
      <c r="DB89" s="2"/>
      <c r="DC89" s="2"/>
      <c r="DD89" s="2"/>
      <c r="DE89" s="2"/>
      <c r="DF89" s="2"/>
      <c r="DG89" s="2"/>
    </row>
    <row r="90" spans="1:111" hidden="1">
      <c r="A90" s="159" t="str">
        <f t="shared" ca="1" si="49"/>
        <v/>
      </c>
      <c r="B90" s="159" t="str">
        <f t="shared" si="51"/>
        <v/>
      </c>
      <c r="C90" s="76">
        <v>79</v>
      </c>
      <c r="D90" s="12"/>
      <c r="E90" s="10"/>
      <c r="F90" s="11"/>
      <c r="G90" s="11"/>
      <c r="H90" s="106">
        <f ca="1">SUM(OFFSET(L90,,J$1-1):OFFSET(L90,,K$1-1))</f>
        <v>0</v>
      </c>
      <c r="I90" s="107">
        <f ca="1">SUM(L90:OFFSET(L90,,K$1-1))</f>
        <v>0</v>
      </c>
      <c r="J90" s="106">
        <f t="shared" ca="1" si="50"/>
        <v>0</v>
      </c>
      <c r="K90" s="108" t="str">
        <f t="shared" si="52"/>
        <v/>
      </c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44"/>
      <c r="CY90" s="40"/>
      <c r="CZ90" s="2"/>
      <c r="DA90" s="2"/>
      <c r="DB90" s="2"/>
      <c r="DC90" s="2"/>
      <c r="DD90" s="2"/>
      <c r="DE90" s="2"/>
      <c r="DF90" s="2"/>
      <c r="DG90" s="2"/>
    </row>
    <row r="91" spans="1:111" hidden="1">
      <c r="A91" s="159" t="str">
        <f t="shared" ca="1" si="49"/>
        <v/>
      </c>
      <c r="B91" s="159" t="str">
        <f t="shared" si="51"/>
        <v/>
      </c>
      <c r="C91" s="76">
        <v>80</v>
      </c>
      <c r="D91" s="12"/>
      <c r="E91" s="10"/>
      <c r="F91" s="11"/>
      <c r="G91" s="11"/>
      <c r="H91" s="106">
        <f ca="1">SUM(OFFSET(L91,,J$1-1):OFFSET(L91,,K$1-1))</f>
        <v>0</v>
      </c>
      <c r="I91" s="107">
        <f ca="1">SUM(L91:OFFSET(L91,,K$1-1))</f>
        <v>0</v>
      </c>
      <c r="J91" s="106">
        <f t="shared" ca="1" si="50"/>
        <v>0</v>
      </c>
      <c r="K91" s="108" t="str">
        <f t="shared" si="52"/>
        <v/>
      </c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44"/>
      <c r="CY91" s="40"/>
      <c r="CZ91" s="2"/>
      <c r="DA91" s="2"/>
      <c r="DB91" s="2"/>
      <c r="DC91" s="2"/>
      <c r="DD91" s="2"/>
      <c r="DE91" s="2"/>
      <c r="DF91" s="2"/>
      <c r="DG91" s="2"/>
    </row>
    <row r="92" spans="1:111" hidden="1">
      <c r="A92" s="159" t="str">
        <f t="shared" ca="1" si="49"/>
        <v/>
      </c>
      <c r="B92" s="159" t="str">
        <f t="shared" si="51"/>
        <v/>
      </c>
      <c r="C92" s="76">
        <v>81</v>
      </c>
      <c r="D92" s="12"/>
      <c r="E92" s="10"/>
      <c r="F92" s="11"/>
      <c r="G92" s="11"/>
      <c r="H92" s="106">
        <f ca="1">SUM(OFFSET(L92,,J$1-1):OFFSET(L92,,K$1-1))</f>
        <v>0</v>
      </c>
      <c r="I92" s="107">
        <f ca="1">SUM(L92:OFFSET(L92,,K$1-1))</f>
        <v>0</v>
      </c>
      <c r="J92" s="106">
        <f t="shared" ca="1" si="50"/>
        <v>0</v>
      </c>
      <c r="K92" s="108" t="str">
        <f t="shared" si="52"/>
        <v/>
      </c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44"/>
      <c r="CY92" s="40"/>
      <c r="CZ92" s="2"/>
      <c r="DA92" s="2"/>
      <c r="DB92" s="2"/>
      <c r="DC92" s="2"/>
      <c r="DD92" s="2"/>
      <c r="DE92" s="2"/>
      <c r="DF92" s="2"/>
      <c r="DG92" s="2"/>
    </row>
    <row r="93" spans="1:111" hidden="1">
      <c r="A93" s="159" t="str">
        <f t="shared" ca="1" si="49"/>
        <v/>
      </c>
      <c r="B93" s="159" t="str">
        <f t="shared" si="51"/>
        <v/>
      </c>
      <c r="C93" s="76">
        <v>82</v>
      </c>
      <c r="D93" s="12"/>
      <c r="E93" s="10"/>
      <c r="F93" s="11"/>
      <c r="G93" s="11"/>
      <c r="H93" s="106">
        <f ca="1">SUM(OFFSET(L93,,J$1-1):OFFSET(L93,,K$1-1))</f>
        <v>0</v>
      </c>
      <c r="I93" s="107">
        <f ca="1">SUM(L93:OFFSET(L93,,K$1-1))</f>
        <v>0</v>
      </c>
      <c r="J93" s="106">
        <f t="shared" ca="1" si="50"/>
        <v>0</v>
      </c>
      <c r="K93" s="108" t="str">
        <f t="shared" si="52"/>
        <v/>
      </c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44"/>
      <c r="CY93" s="40"/>
      <c r="CZ93" s="2"/>
      <c r="DA93" s="2"/>
      <c r="DB93" s="2"/>
      <c r="DC93" s="2"/>
      <c r="DD93" s="2"/>
      <c r="DE93" s="2"/>
      <c r="DF93" s="2"/>
      <c r="DG93" s="2"/>
    </row>
    <row r="94" spans="1:111" hidden="1">
      <c r="A94" s="159" t="str">
        <f t="shared" ca="1" si="49"/>
        <v/>
      </c>
      <c r="B94" s="159" t="str">
        <f t="shared" si="51"/>
        <v/>
      </c>
      <c r="C94" s="76">
        <v>83</v>
      </c>
      <c r="D94" s="12"/>
      <c r="E94" s="10"/>
      <c r="F94" s="11"/>
      <c r="G94" s="11"/>
      <c r="H94" s="106">
        <f ca="1">SUM(OFFSET(L94,,J$1-1):OFFSET(L94,,K$1-1))</f>
        <v>0</v>
      </c>
      <c r="I94" s="107">
        <f ca="1">SUM(L94:OFFSET(L94,,K$1-1))</f>
        <v>0</v>
      </c>
      <c r="J94" s="106">
        <f t="shared" ca="1" si="50"/>
        <v>0</v>
      </c>
      <c r="K94" s="108" t="str">
        <f t="shared" si="52"/>
        <v/>
      </c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44"/>
      <c r="CY94" s="40"/>
      <c r="CZ94" s="2"/>
      <c r="DA94" s="2"/>
      <c r="DB94" s="2"/>
      <c r="DC94" s="2"/>
      <c r="DD94" s="2"/>
      <c r="DE94" s="2"/>
      <c r="DF94" s="2"/>
      <c r="DG94" s="2"/>
    </row>
    <row r="95" spans="1:111" hidden="1">
      <c r="A95" s="159" t="str">
        <f t="shared" ca="1" si="49"/>
        <v/>
      </c>
      <c r="B95" s="159" t="str">
        <f t="shared" si="51"/>
        <v/>
      </c>
      <c r="C95" s="76">
        <v>84</v>
      </c>
      <c r="D95" s="12"/>
      <c r="E95" s="10"/>
      <c r="F95" s="11"/>
      <c r="G95" s="11"/>
      <c r="H95" s="106">
        <f ca="1">SUM(OFFSET(L95,,J$1-1):OFFSET(L95,,K$1-1))</f>
        <v>0</v>
      </c>
      <c r="I95" s="107">
        <f ca="1">SUM(L95:OFFSET(L95,,K$1-1))</f>
        <v>0</v>
      </c>
      <c r="J95" s="106">
        <f t="shared" ca="1" si="50"/>
        <v>0</v>
      </c>
      <c r="K95" s="108" t="str">
        <f t="shared" si="52"/>
        <v/>
      </c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44"/>
      <c r="CY95" s="40"/>
      <c r="CZ95" s="2"/>
      <c r="DA95" s="2"/>
      <c r="DB95" s="2"/>
      <c r="DC95" s="2"/>
      <c r="DD95" s="2"/>
      <c r="DE95" s="2"/>
      <c r="DF95" s="2"/>
      <c r="DG95" s="2"/>
    </row>
    <row r="96" spans="1:111" hidden="1">
      <c r="A96" s="159" t="str">
        <f t="shared" ca="1" si="49"/>
        <v/>
      </c>
      <c r="B96" s="159" t="str">
        <f t="shared" si="51"/>
        <v/>
      </c>
      <c r="C96" s="76">
        <v>85</v>
      </c>
      <c r="D96" s="12"/>
      <c r="E96" s="10"/>
      <c r="F96" s="11"/>
      <c r="G96" s="11"/>
      <c r="H96" s="106">
        <f ca="1">SUM(OFFSET(L96,,J$1-1):OFFSET(L96,,K$1-1))</f>
        <v>0</v>
      </c>
      <c r="I96" s="107">
        <f ca="1">SUM(L96:OFFSET(L96,,K$1-1))</f>
        <v>0</v>
      </c>
      <c r="J96" s="106">
        <f t="shared" ca="1" si="50"/>
        <v>0</v>
      </c>
      <c r="K96" s="108" t="str">
        <f t="shared" si="52"/>
        <v/>
      </c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44"/>
      <c r="CY96" s="40"/>
      <c r="CZ96" s="2"/>
      <c r="DA96" s="2"/>
      <c r="DB96" s="2"/>
      <c r="DC96" s="2"/>
      <c r="DD96" s="2"/>
      <c r="DE96" s="2"/>
      <c r="DF96" s="2"/>
      <c r="DG96" s="2"/>
    </row>
    <row r="97" spans="1:111" hidden="1">
      <c r="A97" s="159" t="str">
        <f t="shared" ca="1" si="49"/>
        <v/>
      </c>
      <c r="B97" s="159" t="str">
        <f t="shared" si="51"/>
        <v/>
      </c>
      <c r="C97" s="76">
        <v>86</v>
      </c>
      <c r="D97" s="12"/>
      <c r="E97" s="10"/>
      <c r="F97" s="11"/>
      <c r="G97" s="11"/>
      <c r="H97" s="106">
        <f ca="1">SUM(OFFSET(L97,,J$1-1):OFFSET(L97,,K$1-1))</f>
        <v>0</v>
      </c>
      <c r="I97" s="107">
        <f ca="1">SUM(L97:OFFSET(L97,,K$1-1))</f>
        <v>0</v>
      </c>
      <c r="J97" s="106">
        <f t="shared" ca="1" si="50"/>
        <v>0</v>
      </c>
      <c r="K97" s="108" t="str">
        <f t="shared" si="52"/>
        <v/>
      </c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44"/>
      <c r="CY97" s="40"/>
      <c r="CZ97" s="2"/>
      <c r="DA97" s="2"/>
      <c r="DB97" s="2"/>
      <c r="DC97" s="2"/>
      <c r="DD97" s="2"/>
      <c r="DE97" s="2"/>
      <c r="DF97" s="2"/>
      <c r="DG97" s="2"/>
    </row>
    <row r="98" spans="1:111" hidden="1">
      <c r="A98" s="159" t="str">
        <f t="shared" ca="1" si="49"/>
        <v/>
      </c>
      <c r="B98" s="159" t="str">
        <f t="shared" si="51"/>
        <v/>
      </c>
      <c r="C98" s="76">
        <v>87</v>
      </c>
      <c r="D98" s="12"/>
      <c r="E98" s="10"/>
      <c r="F98" s="11"/>
      <c r="G98" s="11"/>
      <c r="H98" s="106">
        <f ca="1">SUM(OFFSET(L98,,J$1-1):OFFSET(L98,,K$1-1))</f>
        <v>0</v>
      </c>
      <c r="I98" s="107">
        <f ca="1">SUM(L98:OFFSET(L98,,K$1-1))</f>
        <v>0</v>
      </c>
      <c r="J98" s="106">
        <f t="shared" ca="1" si="50"/>
        <v>0</v>
      </c>
      <c r="K98" s="108" t="str">
        <f t="shared" si="52"/>
        <v/>
      </c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44"/>
      <c r="CY98" s="40"/>
      <c r="CZ98" s="2"/>
      <c r="DA98" s="2"/>
      <c r="DB98" s="2"/>
      <c r="DC98" s="2"/>
      <c r="DD98" s="2"/>
      <c r="DE98" s="2"/>
      <c r="DF98" s="2"/>
      <c r="DG98" s="2"/>
    </row>
    <row r="99" spans="1:111" hidden="1">
      <c r="A99" s="159" t="str">
        <f t="shared" ca="1" si="49"/>
        <v/>
      </c>
      <c r="B99" s="159" t="str">
        <f t="shared" si="51"/>
        <v/>
      </c>
      <c r="C99" s="76">
        <v>88</v>
      </c>
      <c r="D99" s="12"/>
      <c r="E99" s="10"/>
      <c r="F99" s="11"/>
      <c r="G99" s="11"/>
      <c r="H99" s="106">
        <f ca="1">SUM(OFFSET(L99,,J$1-1):OFFSET(L99,,K$1-1))</f>
        <v>0</v>
      </c>
      <c r="I99" s="107">
        <f ca="1">SUM(L99:OFFSET(L99,,K$1-1))</f>
        <v>0</v>
      </c>
      <c r="J99" s="106">
        <f t="shared" ca="1" si="50"/>
        <v>0</v>
      </c>
      <c r="K99" s="108" t="str">
        <f t="shared" si="52"/>
        <v/>
      </c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44"/>
      <c r="CY99" s="40"/>
      <c r="CZ99" s="2"/>
      <c r="DA99" s="2"/>
      <c r="DB99" s="2"/>
      <c r="DC99" s="2"/>
      <c r="DD99" s="2"/>
      <c r="DE99" s="2"/>
      <c r="DF99" s="2"/>
      <c r="DG99" s="2"/>
    </row>
    <row r="100" spans="1:111" hidden="1">
      <c r="A100" s="159" t="str">
        <f t="shared" ca="1" si="49"/>
        <v/>
      </c>
      <c r="B100" s="159" t="str">
        <f t="shared" si="51"/>
        <v/>
      </c>
      <c r="C100" s="76">
        <v>89</v>
      </c>
      <c r="D100" s="12"/>
      <c r="E100" s="10"/>
      <c r="F100" s="11"/>
      <c r="G100" s="11"/>
      <c r="H100" s="106">
        <f ca="1">SUM(OFFSET(L100,,J$1-1):OFFSET(L100,,K$1-1))</f>
        <v>0</v>
      </c>
      <c r="I100" s="107">
        <f ca="1">SUM(L100:OFFSET(L100,,K$1-1))</f>
        <v>0</v>
      </c>
      <c r="J100" s="106">
        <f t="shared" ca="1" si="50"/>
        <v>0</v>
      </c>
      <c r="K100" s="108" t="str">
        <f t="shared" si="52"/>
        <v/>
      </c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44"/>
      <c r="CY100" s="40"/>
      <c r="CZ100" s="2"/>
      <c r="DA100" s="2"/>
      <c r="DB100" s="2"/>
      <c r="DC100" s="2"/>
      <c r="DD100" s="2"/>
      <c r="DE100" s="2"/>
      <c r="DF100" s="2"/>
      <c r="DG100" s="2"/>
    </row>
    <row r="101" spans="1:111" hidden="1">
      <c r="A101" s="159" t="str">
        <f t="shared" ca="1" si="49"/>
        <v/>
      </c>
      <c r="B101" s="159" t="str">
        <f t="shared" si="51"/>
        <v/>
      </c>
      <c r="C101" s="76">
        <v>90</v>
      </c>
      <c r="D101" s="12"/>
      <c r="E101" s="10"/>
      <c r="F101" s="11"/>
      <c r="G101" s="11"/>
      <c r="H101" s="106">
        <f ca="1">SUM(OFFSET(L101,,J$1-1):OFFSET(L101,,K$1-1))</f>
        <v>0</v>
      </c>
      <c r="I101" s="107">
        <f ca="1">SUM(L101:OFFSET(L101,,K$1-1))</f>
        <v>0</v>
      </c>
      <c r="J101" s="106">
        <f t="shared" ca="1" si="50"/>
        <v>0</v>
      </c>
      <c r="K101" s="108" t="str">
        <f t="shared" si="52"/>
        <v/>
      </c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44"/>
      <c r="CY101" s="40"/>
      <c r="CZ101" s="2"/>
      <c r="DA101" s="2"/>
      <c r="DB101" s="2"/>
      <c r="DC101" s="2"/>
      <c r="DD101" s="2"/>
      <c r="DE101" s="2"/>
      <c r="DF101" s="2"/>
      <c r="DG101" s="2"/>
    </row>
    <row r="102" spans="1:111" hidden="1">
      <c r="A102" s="159" t="str">
        <f t="shared" ca="1" si="49"/>
        <v/>
      </c>
      <c r="B102" s="159" t="str">
        <f t="shared" si="51"/>
        <v/>
      </c>
      <c r="C102" s="76">
        <v>91</v>
      </c>
      <c r="D102" s="12"/>
      <c r="E102" s="10"/>
      <c r="F102" s="11"/>
      <c r="G102" s="11"/>
      <c r="H102" s="106">
        <f ca="1">SUM(OFFSET(L102,,J$1-1):OFFSET(L102,,K$1-1))</f>
        <v>0</v>
      </c>
      <c r="I102" s="107">
        <f ca="1">SUM(L102:OFFSET(L102,,K$1-1))</f>
        <v>0</v>
      </c>
      <c r="J102" s="106">
        <f t="shared" ca="1" si="50"/>
        <v>0</v>
      </c>
      <c r="K102" s="108" t="str">
        <f t="shared" si="52"/>
        <v/>
      </c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44"/>
      <c r="CY102" s="40"/>
      <c r="CZ102" s="2"/>
      <c r="DA102" s="2"/>
      <c r="DB102" s="2"/>
      <c r="DC102" s="2"/>
      <c r="DD102" s="2"/>
      <c r="DE102" s="2"/>
      <c r="DF102" s="2"/>
      <c r="DG102" s="2"/>
    </row>
    <row r="103" spans="1:111" hidden="1">
      <c r="A103" s="159" t="str">
        <f t="shared" ca="1" si="49"/>
        <v/>
      </c>
      <c r="B103" s="159" t="str">
        <f t="shared" si="51"/>
        <v/>
      </c>
      <c r="C103" s="76">
        <v>92</v>
      </c>
      <c r="D103" s="12"/>
      <c r="E103" s="10"/>
      <c r="F103" s="11"/>
      <c r="G103" s="11"/>
      <c r="H103" s="106">
        <f ca="1">SUM(OFFSET(L103,,J$1-1):OFFSET(L103,,K$1-1))</f>
        <v>0</v>
      </c>
      <c r="I103" s="107">
        <f ca="1">SUM(L103:OFFSET(L103,,K$1-1))</f>
        <v>0</v>
      </c>
      <c r="J103" s="106">
        <f t="shared" ca="1" si="50"/>
        <v>0</v>
      </c>
      <c r="K103" s="108" t="str">
        <f t="shared" si="52"/>
        <v/>
      </c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44"/>
      <c r="CY103" s="40"/>
      <c r="CZ103" s="2"/>
      <c r="DA103" s="2"/>
      <c r="DB103" s="2"/>
      <c r="DC103" s="2"/>
      <c r="DD103" s="2"/>
      <c r="DE103" s="2"/>
      <c r="DF103" s="2"/>
      <c r="DG103" s="2"/>
    </row>
    <row r="104" spans="1:111" hidden="1">
      <c r="A104" s="159" t="str">
        <f t="shared" ca="1" si="49"/>
        <v/>
      </c>
      <c r="B104" s="159" t="str">
        <f t="shared" si="51"/>
        <v/>
      </c>
      <c r="C104" s="76">
        <v>93</v>
      </c>
      <c r="D104" s="12"/>
      <c r="E104" s="10"/>
      <c r="F104" s="11"/>
      <c r="G104" s="11"/>
      <c r="H104" s="106">
        <f ca="1">SUM(OFFSET(L104,,J$1-1):OFFSET(L104,,K$1-1))</f>
        <v>0</v>
      </c>
      <c r="I104" s="107">
        <f ca="1">SUM(L104:OFFSET(L104,,K$1-1))</f>
        <v>0</v>
      </c>
      <c r="J104" s="106">
        <f t="shared" ca="1" si="50"/>
        <v>0</v>
      </c>
      <c r="K104" s="108" t="str">
        <f t="shared" si="52"/>
        <v/>
      </c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44"/>
      <c r="CY104" s="40"/>
      <c r="CZ104" s="2"/>
      <c r="DA104" s="2"/>
      <c r="DB104" s="2"/>
      <c r="DC104" s="2"/>
      <c r="DD104" s="2"/>
      <c r="DE104" s="2"/>
      <c r="DF104" s="2"/>
      <c r="DG104" s="2"/>
    </row>
    <row r="105" spans="1:111" hidden="1">
      <c r="A105" s="159" t="str">
        <f t="shared" ca="1" si="49"/>
        <v/>
      </c>
      <c r="B105" s="159" t="str">
        <f t="shared" si="51"/>
        <v/>
      </c>
      <c r="C105" s="76">
        <v>94</v>
      </c>
      <c r="D105" s="12"/>
      <c r="E105" s="10"/>
      <c r="F105" s="11"/>
      <c r="G105" s="11"/>
      <c r="H105" s="106">
        <f ca="1">SUM(OFFSET(L105,,J$1-1):OFFSET(L105,,K$1-1))</f>
        <v>0</v>
      </c>
      <c r="I105" s="107">
        <f ca="1">SUM(L105:OFFSET(L105,,K$1-1))</f>
        <v>0</v>
      </c>
      <c r="J105" s="106">
        <f t="shared" ca="1" si="50"/>
        <v>0</v>
      </c>
      <c r="K105" s="108" t="str">
        <f t="shared" si="52"/>
        <v/>
      </c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44"/>
      <c r="CY105" s="40"/>
      <c r="CZ105" s="2"/>
      <c r="DA105" s="2"/>
      <c r="DB105" s="2"/>
      <c r="DC105" s="2"/>
      <c r="DD105" s="2"/>
      <c r="DE105" s="2"/>
      <c r="DF105" s="2"/>
      <c r="DG105" s="2"/>
    </row>
    <row r="106" spans="1:111" hidden="1">
      <c r="A106" s="159" t="str">
        <f t="shared" ca="1" si="49"/>
        <v/>
      </c>
      <c r="B106" s="159" t="str">
        <f t="shared" si="51"/>
        <v/>
      </c>
      <c r="C106" s="76">
        <v>95</v>
      </c>
      <c r="D106" s="12"/>
      <c r="E106" s="10"/>
      <c r="F106" s="11"/>
      <c r="G106" s="11"/>
      <c r="H106" s="106">
        <f ca="1">SUM(OFFSET(L106,,J$1-1):OFFSET(L106,,K$1-1))</f>
        <v>0</v>
      </c>
      <c r="I106" s="107">
        <f ca="1">SUM(L106:OFFSET(L106,,K$1-1))</f>
        <v>0</v>
      </c>
      <c r="J106" s="106">
        <f t="shared" ca="1" si="50"/>
        <v>0</v>
      </c>
      <c r="K106" s="108" t="str">
        <f t="shared" si="52"/>
        <v/>
      </c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44"/>
      <c r="CY106" s="40"/>
      <c r="CZ106" s="2"/>
      <c r="DA106" s="2"/>
      <c r="DB106" s="2"/>
      <c r="DC106" s="2"/>
      <c r="DD106" s="2"/>
      <c r="DE106" s="2"/>
      <c r="DF106" s="2"/>
      <c r="DG106" s="2"/>
    </row>
    <row r="107" spans="1:111" hidden="1">
      <c r="A107" s="159" t="str">
        <f t="shared" ca="1" si="49"/>
        <v/>
      </c>
      <c r="B107" s="159" t="str">
        <f t="shared" si="51"/>
        <v/>
      </c>
      <c r="C107" s="76">
        <v>96</v>
      </c>
      <c r="D107" s="12"/>
      <c r="E107" s="10"/>
      <c r="F107" s="11"/>
      <c r="G107" s="11"/>
      <c r="H107" s="106">
        <f ca="1">SUM(OFFSET(L107,,J$1-1):OFFSET(L107,,K$1-1))</f>
        <v>0</v>
      </c>
      <c r="I107" s="107">
        <f ca="1">SUM(L107:OFFSET(L107,,K$1-1))</f>
        <v>0</v>
      </c>
      <c r="J107" s="106">
        <f t="shared" ca="1" si="50"/>
        <v>0</v>
      </c>
      <c r="K107" s="108" t="str">
        <f t="shared" si="52"/>
        <v/>
      </c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44"/>
      <c r="CY107" s="40"/>
      <c r="CZ107" s="2"/>
      <c r="DA107" s="2"/>
      <c r="DB107" s="2"/>
      <c r="DC107" s="2"/>
      <c r="DD107" s="2"/>
      <c r="DE107" s="2"/>
      <c r="DF107" s="2"/>
      <c r="DG107" s="2"/>
    </row>
    <row r="108" spans="1:111" hidden="1">
      <c r="A108" s="159" t="str">
        <f t="shared" ca="1" si="49"/>
        <v/>
      </c>
      <c r="B108" s="159" t="str">
        <f t="shared" si="51"/>
        <v/>
      </c>
      <c r="C108" s="76">
        <v>97</v>
      </c>
      <c r="D108" s="12"/>
      <c r="E108" s="10"/>
      <c r="F108" s="11"/>
      <c r="G108" s="11"/>
      <c r="H108" s="106">
        <f ca="1">SUM(OFFSET(L108,,J$1-1):OFFSET(L108,,K$1-1))</f>
        <v>0</v>
      </c>
      <c r="I108" s="107">
        <f ca="1">SUM(L108:OFFSET(L108,,K$1-1))</f>
        <v>0</v>
      </c>
      <c r="J108" s="106">
        <f t="shared" ca="1" si="50"/>
        <v>0</v>
      </c>
      <c r="K108" s="108" t="str">
        <f t="shared" ref="K108:K139" si="53">IF(LOOKUP(K$1,L$1:DG$1,L108:DG108)=0,"",LOOKUP(K$1,L$1:DG$1,L108:DG108))</f>
        <v/>
      </c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44"/>
      <c r="CY108" s="40"/>
      <c r="CZ108" s="2"/>
      <c r="DA108" s="2"/>
      <c r="DB108" s="2"/>
      <c r="DC108" s="2"/>
      <c r="DD108" s="2"/>
      <c r="DE108" s="2"/>
      <c r="DF108" s="2"/>
      <c r="DG108" s="2"/>
    </row>
    <row r="109" spans="1:111" hidden="1">
      <c r="A109" s="159" t="str">
        <f t="shared" ca="1" si="49"/>
        <v/>
      </c>
      <c r="B109" s="159" t="str">
        <f t="shared" si="51"/>
        <v/>
      </c>
      <c r="C109" s="76">
        <v>98</v>
      </c>
      <c r="D109" s="12"/>
      <c r="E109" s="10"/>
      <c r="F109" s="11"/>
      <c r="G109" s="11"/>
      <c r="H109" s="106">
        <f ca="1">SUM(OFFSET(L109,,J$1-1):OFFSET(L109,,K$1-1))</f>
        <v>0</v>
      </c>
      <c r="I109" s="107">
        <f ca="1">SUM(L109:OFFSET(L109,,K$1-1))</f>
        <v>0</v>
      </c>
      <c r="J109" s="106">
        <f t="shared" ca="1" si="50"/>
        <v>0</v>
      </c>
      <c r="K109" s="108" t="str">
        <f t="shared" si="53"/>
        <v/>
      </c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44"/>
      <c r="CY109" s="40"/>
      <c r="CZ109" s="2"/>
      <c r="DA109" s="2"/>
      <c r="DB109" s="2"/>
      <c r="DC109" s="2"/>
      <c r="DD109" s="2"/>
      <c r="DE109" s="2"/>
      <c r="DF109" s="2"/>
      <c r="DG109" s="2"/>
    </row>
    <row r="110" spans="1:111" hidden="1">
      <c r="A110" s="159" t="str">
        <f t="shared" ca="1" si="49"/>
        <v/>
      </c>
      <c r="B110" s="159" t="str">
        <f t="shared" si="51"/>
        <v/>
      </c>
      <c r="C110" s="76">
        <v>99</v>
      </c>
      <c r="D110" s="12"/>
      <c r="E110" s="10"/>
      <c r="F110" s="11"/>
      <c r="G110" s="11"/>
      <c r="H110" s="106">
        <f ca="1">SUM(OFFSET(L110,,J$1-1):OFFSET(L110,,K$1-1))</f>
        <v>0</v>
      </c>
      <c r="I110" s="107">
        <f ca="1">SUM(L110:OFFSET(L110,,K$1-1))</f>
        <v>0</v>
      </c>
      <c r="J110" s="106">
        <f t="shared" ca="1" si="50"/>
        <v>0</v>
      </c>
      <c r="K110" s="108" t="str">
        <f t="shared" si="53"/>
        <v/>
      </c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44"/>
      <c r="CY110" s="40"/>
      <c r="CZ110" s="2"/>
      <c r="DA110" s="2"/>
      <c r="DB110" s="2"/>
      <c r="DC110" s="2"/>
      <c r="DD110" s="2"/>
      <c r="DE110" s="2"/>
      <c r="DF110" s="2"/>
      <c r="DG110" s="2"/>
    </row>
    <row r="111" spans="1:111" hidden="1">
      <c r="A111" s="159" t="str">
        <f t="shared" ca="1" si="49"/>
        <v/>
      </c>
      <c r="B111" s="159" t="str">
        <f t="shared" si="51"/>
        <v/>
      </c>
      <c r="C111" s="76">
        <v>100</v>
      </c>
      <c r="D111" s="12"/>
      <c r="E111" s="10"/>
      <c r="F111" s="11"/>
      <c r="G111" s="11"/>
      <c r="H111" s="106">
        <f ca="1">SUM(OFFSET(L111,,J$1-1):OFFSET(L111,,K$1-1))</f>
        <v>0</v>
      </c>
      <c r="I111" s="107">
        <f ca="1">SUM(L111:OFFSET(L111,,K$1-1))</f>
        <v>0</v>
      </c>
      <c r="J111" s="106">
        <f t="shared" ca="1" si="50"/>
        <v>0</v>
      </c>
      <c r="K111" s="108" t="str">
        <f t="shared" si="53"/>
        <v/>
      </c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44"/>
      <c r="CY111" s="40"/>
      <c r="CZ111" s="2"/>
      <c r="DA111" s="2"/>
      <c r="DB111" s="2"/>
      <c r="DC111" s="2"/>
      <c r="DD111" s="2"/>
      <c r="DE111" s="2"/>
      <c r="DF111" s="2"/>
      <c r="DG111" s="2"/>
    </row>
    <row r="112" spans="1:111" hidden="1">
      <c r="A112" s="159" t="str">
        <f t="shared" ca="1" si="49"/>
        <v/>
      </c>
      <c r="B112" s="159" t="str">
        <f t="shared" si="51"/>
        <v/>
      </c>
      <c r="C112" s="76">
        <v>101</v>
      </c>
      <c r="D112" s="12"/>
      <c r="E112" s="10"/>
      <c r="F112" s="11"/>
      <c r="G112" s="11"/>
      <c r="H112" s="106">
        <f ca="1">SUM(OFFSET(L112,,J$1-1):OFFSET(L112,,K$1-1))</f>
        <v>0</v>
      </c>
      <c r="I112" s="107">
        <f ca="1">SUM(L112:OFFSET(L112,,K$1-1))</f>
        <v>0</v>
      </c>
      <c r="J112" s="106">
        <f t="shared" ca="1" si="50"/>
        <v>0</v>
      </c>
      <c r="K112" s="108" t="str">
        <f t="shared" si="53"/>
        <v/>
      </c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44"/>
      <c r="CY112" s="40"/>
      <c r="CZ112" s="2"/>
      <c r="DA112" s="2"/>
      <c r="DB112" s="2"/>
      <c r="DC112" s="2"/>
      <c r="DD112" s="2"/>
      <c r="DE112" s="2"/>
      <c r="DF112" s="2"/>
      <c r="DG112" s="2"/>
    </row>
    <row r="113" spans="1:111" hidden="1">
      <c r="A113" s="159" t="str">
        <f t="shared" ca="1" si="49"/>
        <v/>
      </c>
      <c r="B113" s="159" t="str">
        <f t="shared" si="51"/>
        <v/>
      </c>
      <c r="C113" s="76">
        <v>102</v>
      </c>
      <c r="D113" s="12"/>
      <c r="E113" s="10"/>
      <c r="F113" s="11"/>
      <c r="G113" s="11"/>
      <c r="H113" s="106">
        <f ca="1">SUM(OFFSET(L113,,J$1-1):OFFSET(L113,,K$1-1))</f>
        <v>0</v>
      </c>
      <c r="I113" s="107">
        <f ca="1">SUM(L113:OFFSET(L113,,K$1-1))</f>
        <v>0</v>
      </c>
      <c r="J113" s="106">
        <f t="shared" ca="1" si="50"/>
        <v>0</v>
      </c>
      <c r="K113" s="108" t="str">
        <f t="shared" si="53"/>
        <v/>
      </c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44"/>
      <c r="CY113" s="40"/>
      <c r="CZ113" s="2"/>
      <c r="DA113" s="2"/>
      <c r="DB113" s="2"/>
      <c r="DC113" s="2"/>
      <c r="DD113" s="2"/>
      <c r="DE113" s="2"/>
      <c r="DF113" s="2"/>
      <c r="DG113" s="2"/>
    </row>
    <row r="114" spans="1:111" hidden="1">
      <c r="A114" s="159" t="str">
        <f t="shared" ca="1" si="49"/>
        <v/>
      </c>
      <c r="B114" s="159" t="str">
        <f t="shared" si="51"/>
        <v/>
      </c>
      <c r="C114" s="76">
        <v>103</v>
      </c>
      <c r="D114" s="12"/>
      <c r="E114" s="10"/>
      <c r="F114" s="11"/>
      <c r="G114" s="11"/>
      <c r="H114" s="106">
        <f ca="1">SUM(OFFSET(L114,,J$1-1):OFFSET(L114,,K$1-1))</f>
        <v>0</v>
      </c>
      <c r="I114" s="107">
        <f ca="1">SUM(L114:OFFSET(L114,,K$1-1))</f>
        <v>0</v>
      </c>
      <c r="J114" s="106">
        <f t="shared" ca="1" si="50"/>
        <v>0</v>
      </c>
      <c r="K114" s="108" t="str">
        <f t="shared" si="53"/>
        <v/>
      </c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44"/>
      <c r="CY114" s="40"/>
      <c r="CZ114" s="2"/>
      <c r="DA114" s="2"/>
      <c r="DB114" s="2"/>
      <c r="DC114" s="2"/>
      <c r="DD114" s="2"/>
      <c r="DE114" s="2"/>
      <c r="DF114" s="2"/>
      <c r="DG114" s="2"/>
    </row>
    <row r="115" spans="1:111" hidden="1">
      <c r="A115" s="159" t="str">
        <f t="shared" ca="1" si="49"/>
        <v/>
      </c>
      <c r="B115" s="159" t="str">
        <f t="shared" si="51"/>
        <v/>
      </c>
      <c r="C115" s="76">
        <v>104</v>
      </c>
      <c r="D115" s="12"/>
      <c r="E115" s="10"/>
      <c r="F115" s="11"/>
      <c r="G115" s="11"/>
      <c r="H115" s="106">
        <f ca="1">SUM(OFFSET(L115,,J$1-1):OFFSET(L115,,K$1-1))</f>
        <v>0</v>
      </c>
      <c r="I115" s="107">
        <f ca="1">SUM(L115:OFFSET(L115,,K$1-1))</f>
        <v>0</v>
      </c>
      <c r="J115" s="106">
        <f t="shared" ca="1" si="50"/>
        <v>0</v>
      </c>
      <c r="K115" s="108" t="str">
        <f t="shared" si="53"/>
        <v/>
      </c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44"/>
      <c r="CY115" s="40"/>
      <c r="CZ115" s="2"/>
      <c r="DA115" s="2"/>
      <c r="DB115" s="2"/>
      <c r="DC115" s="2"/>
      <c r="DD115" s="2"/>
      <c r="DE115" s="2"/>
      <c r="DF115" s="2"/>
      <c r="DG115" s="2"/>
    </row>
    <row r="116" spans="1:111" hidden="1">
      <c r="A116" s="159" t="str">
        <f t="shared" ca="1" si="49"/>
        <v/>
      </c>
      <c r="B116" s="159" t="str">
        <f t="shared" si="51"/>
        <v/>
      </c>
      <c r="C116" s="76">
        <v>105</v>
      </c>
      <c r="D116" s="12"/>
      <c r="E116" s="10"/>
      <c r="F116" s="11"/>
      <c r="G116" s="11"/>
      <c r="H116" s="106">
        <f ca="1">SUM(OFFSET(L116,,J$1-1):OFFSET(L116,,K$1-1))</f>
        <v>0</v>
      </c>
      <c r="I116" s="107">
        <f ca="1">SUM(L116:OFFSET(L116,,K$1-1))</f>
        <v>0</v>
      </c>
      <c r="J116" s="106">
        <f t="shared" ca="1" si="50"/>
        <v>0</v>
      </c>
      <c r="K116" s="108" t="str">
        <f t="shared" si="53"/>
        <v/>
      </c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44"/>
      <c r="CY116" s="40"/>
      <c r="CZ116" s="2"/>
      <c r="DA116" s="2"/>
      <c r="DB116" s="2"/>
      <c r="DC116" s="2"/>
      <c r="DD116" s="2"/>
      <c r="DE116" s="2"/>
      <c r="DF116" s="2"/>
      <c r="DG116" s="2"/>
    </row>
    <row r="117" spans="1:111" hidden="1">
      <c r="A117" s="159" t="str">
        <f t="shared" ca="1" si="49"/>
        <v/>
      </c>
      <c r="B117" s="159" t="str">
        <f t="shared" si="51"/>
        <v/>
      </c>
      <c r="C117" s="76">
        <v>106</v>
      </c>
      <c r="D117" s="12"/>
      <c r="E117" s="10"/>
      <c r="F117" s="11"/>
      <c r="G117" s="11"/>
      <c r="H117" s="106">
        <f ca="1">SUM(OFFSET(L117,,J$1-1):OFFSET(L117,,K$1-1))</f>
        <v>0</v>
      </c>
      <c r="I117" s="107">
        <f ca="1">SUM(L117:OFFSET(L117,,K$1-1))</f>
        <v>0</v>
      </c>
      <c r="J117" s="106">
        <f t="shared" ca="1" si="50"/>
        <v>0</v>
      </c>
      <c r="K117" s="108" t="str">
        <f t="shared" si="53"/>
        <v/>
      </c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44"/>
      <c r="CY117" s="40"/>
      <c r="CZ117" s="2"/>
      <c r="DA117" s="2"/>
      <c r="DB117" s="2"/>
      <c r="DC117" s="2"/>
      <c r="DD117" s="2"/>
      <c r="DE117" s="2"/>
      <c r="DF117" s="2"/>
      <c r="DG117" s="2"/>
    </row>
    <row r="118" spans="1:111" hidden="1">
      <c r="A118" s="159" t="str">
        <f t="shared" ref="A118:A155" ca="1" si="54">IF(H118&gt;0,C118,"")</f>
        <v/>
      </c>
      <c r="B118" s="159" t="str">
        <f t="shared" si="51"/>
        <v/>
      </c>
      <c r="C118" s="76">
        <v>107</v>
      </c>
      <c r="D118" s="12"/>
      <c r="E118" s="10"/>
      <c r="F118" s="11"/>
      <c r="G118" s="11"/>
      <c r="H118" s="106">
        <f ca="1">SUM(OFFSET(L118,,J$1-1):OFFSET(L118,,K$1-1))</f>
        <v>0</v>
      </c>
      <c r="I118" s="107">
        <f ca="1">SUM(L118:OFFSET(L118,,K$1-1))</f>
        <v>0</v>
      </c>
      <c r="J118" s="106">
        <f t="shared" ref="J118:J155" ca="1" si="55">F118-I118</f>
        <v>0</v>
      </c>
      <c r="K118" s="108" t="str">
        <f t="shared" si="53"/>
        <v/>
      </c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44"/>
      <c r="CY118" s="40"/>
      <c r="CZ118" s="2"/>
      <c r="DA118" s="2"/>
      <c r="DB118" s="2"/>
      <c r="DC118" s="2"/>
      <c r="DD118" s="2"/>
      <c r="DE118" s="2"/>
      <c r="DF118" s="2"/>
      <c r="DG118" s="2"/>
    </row>
    <row r="119" spans="1:111" hidden="1">
      <c r="A119" s="159" t="str">
        <f t="shared" ca="1" si="54"/>
        <v/>
      </c>
      <c r="B119" s="159" t="str">
        <f t="shared" si="51"/>
        <v/>
      </c>
      <c r="C119" s="76">
        <v>108</v>
      </c>
      <c r="D119" s="12"/>
      <c r="E119" s="10"/>
      <c r="F119" s="11"/>
      <c r="G119" s="11"/>
      <c r="H119" s="106">
        <f ca="1">SUM(OFFSET(L119,,J$1-1):OFFSET(L119,,K$1-1))</f>
        <v>0</v>
      </c>
      <c r="I119" s="107">
        <f ca="1">SUM(L119:OFFSET(L119,,K$1-1))</f>
        <v>0</v>
      </c>
      <c r="J119" s="106">
        <f t="shared" ca="1" si="55"/>
        <v>0</v>
      </c>
      <c r="K119" s="108" t="str">
        <f t="shared" si="53"/>
        <v/>
      </c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44"/>
      <c r="CY119" s="40"/>
      <c r="CZ119" s="2"/>
      <c r="DA119" s="2"/>
      <c r="DB119" s="2"/>
      <c r="DC119" s="2"/>
      <c r="DD119" s="2"/>
      <c r="DE119" s="2"/>
      <c r="DF119" s="2"/>
      <c r="DG119" s="2"/>
    </row>
    <row r="120" spans="1:111" hidden="1">
      <c r="A120" s="159" t="str">
        <f t="shared" ca="1" si="54"/>
        <v/>
      </c>
      <c r="B120" s="159" t="str">
        <f t="shared" si="51"/>
        <v/>
      </c>
      <c r="C120" s="76">
        <v>109</v>
      </c>
      <c r="D120" s="12"/>
      <c r="E120" s="10"/>
      <c r="F120" s="11"/>
      <c r="G120" s="11"/>
      <c r="H120" s="106">
        <f ca="1">SUM(OFFSET(L120,,J$1-1):OFFSET(L120,,K$1-1))</f>
        <v>0</v>
      </c>
      <c r="I120" s="107">
        <f ca="1">SUM(L120:OFFSET(L120,,K$1-1))</f>
        <v>0</v>
      </c>
      <c r="J120" s="106">
        <f t="shared" ca="1" si="55"/>
        <v>0</v>
      </c>
      <c r="K120" s="108" t="str">
        <f t="shared" si="53"/>
        <v/>
      </c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44"/>
      <c r="CY120" s="40"/>
      <c r="CZ120" s="2"/>
      <c r="DA120" s="2"/>
      <c r="DB120" s="2"/>
      <c r="DC120" s="2"/>
      <c r="DD120" s="2"/>
      <c r="DE120" s="2"/>
      <c r="DF120" s="2"/>
      <c r="DG120" s="2"/>
    </row>
    <row r="121" spans="1:111" hidden="1">
      <c r="A121" s="159" t="str">
        <f t="shared" ca="1" si="54"/>
        <v/>
      </c>
      <c r="B121" s="159" t="str">
        <f t="shared" si="51"/>
        <v/>
      </c>
      <c r="C121" s="76">
        <v>110</v>
      </c>
      <c r="D121" s="12"/>
      <c r="E121" s="10"/>
      <c r="F121" s="11"/>
      <c r="G121" s="11"/>
      <c r="H121" s="106">
        <f ca="1">SUM(OFFSET(L121,,J$1-1):OFFSET(L121,,K$1-1))</f>
        <v>0</v>
      </c>
      <c r="I121" s="107">
        <f ca="1">SUM(L121:OFFSET(L121,,K$1-1))</f>
        <v>0</v>
      </c>
      <c r="J121" s="106">
        <f t="shared" ca="1" si="55"/>
        <v>0</v>
      </c>
      <c r="K121" s="108" t="str">
        <f t="shared" si="53"/>
        <v/>
      </c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44"/>
      <c r="CY121" s="40"/>
      <c r="CZ121" s="2"/>
      <c r="DA121" s="2"/>
      <c r="DB121" s="2"/>
      <c r="DC121" s="2"/>
      <c r="DD121" s="2"/>
      <c r="DE121" s="2"/>
      <c r="DF121" s="2"/>
      <c r="DG121" s="2"/>
    </row>
    <row r="122" spans="1:111" hidden="1">
      <c r="A122" s="159" t="str">
        <f t="shared" ca="1" si="54"/>
        <v/>
      </c>
      <c r="B122" s="159" t="str">
        <f t="shared" si="51"/>
        <v/>
      </c>
      <c r="C122" s="76">
        <v>111</v>
      </c>
      <c r="D122" s="12"/>
      <c r="E122" s="10"/>
      <c r="F122" s="11"/>
      <c r="G122" s="11"/>
      <c r="H122" s="106">
        <f ca="1">SUM(OFFSET(L122,,J$1-1):OFFSET(L122,,K$1-1))</f>
        <v>0</v>
      </c>
      <c r="I122" s="107">
        <f ca="1">SUM(L122:OFFSET(L122,,K$1-1))</f>
        <v>0</v>
      </c>
      <c r="J122" s="106">
        <f t="shared" ca="1" si="55"/>
        <v>0</v>
      </c>
      <c r="K122" s="108" t="str">
        <f t="shared" si="53"/>
        <v/>
      </c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44"/>
      <c r="CY122" s="40"/>
      <c r="CZ122" s="2"/>
      <c r="DA122" s="2"/>
      <c r="DB122" s="2"/>
      <c r="DC122" s="2"/>
      <c r="DD122" s="2"/>
      <c r="DE122" s="2"/>
      <c r="DF122" s="2"/>
      <c r="DG122" s="2"/>
    </row>
    <row r="123" spans="1:111" hidden="1">
      <c r="A123" s="159" t="str">
        <f t="shared" ca="1" si="54"/>
        <v/>
      </c>
      <c r="B123" s="159" t="str">
        <f t="shared" si="51"/>
        <v/>
      </c>
      <c r="C123" s="76">
        <v>112</v>
      </c>
      <c r="D123" s="12"/>
      <c r="E123" s="10"/>
      <c r="F123" s="11"/>
      <c r="G123" s="11"/>
      <c r="H123" s="106">
        <f ca="1">SUM(OFFSET(L123,,J$1-1):OFFSET(L123,,K$1-1))</f>
        <v>0</v>
      </c>
      <c r="I123" s="107">
        <f ca="1">SUM(L123:OFFSET(L123,,K$1-1))</f>
        <v>0</v>
      </c>
      <c r="J123" s="106">
        <f t="shared" ca="1" si="55"/>
        <v>0</v>
      </c>
      <c r="K123" s="108" t="str">
        <f t="shared" si="53"/>
        <v/>
      </c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44"/>
      <c r="CY123" s="40"/>
      <c r="CZ123" s="2"/>
      <c r="DA123" s="2"/>
      <c r="DB123" s="2"/>
      <c r="DC123" s="2"/>
      <c r="DD123" s="2"/>
      <c r="DE123" s="2"/>
      <c r="DF123" s="2"/>
      <c r="DG123" s="2"/>
    </row>
    <row r="124" spans="1:111" hidden="1">
      <c r="A124" s="159" t="str">
        <f t="shared" ca="1" si="54"/>
        <v/>
      </c>
      <c r="B124" s="159" t="str">
        <f t="shared" si="51"/>
        <v/>
      </c>
      <c r="C124" s="76">
        <v>113</v>
      </c>
      <c r="D124" s="12"/>
      <c r="E124" s="10"/>
      <c r="F124" s="11"/>
      <c r="G124" s="11"/>
      <c r="H124" s="106">
        <f ca="1">SUM(OFFSET(L124,,J$1-1):OFFSET(L124,,K$1-1))</f>
        <v>0</v>
      </c>
      <c r="I124" s="107">
        <f ca="1">SUM(L124:OFFSET(L124,,K$1-1))</f>
        <v>0</v>
      </c>
      <c r="J124" s="106">
        <f t="shared" ca="1" si="55"/>
        <v>0</v>
      </c>
      <c r="K124" s="108" t="str">
        <f t="shared" si="53"/>
        <v/>
      </c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44"/>
      <c r="CY124" s="40"/>
      <c r="CZ124" s="2"/>
      <c r="DA124" s="2"/>
      <c r="DB124" s="2"/>
      <c r="DC124" s="2"/>
      <c r="DD124" s="2"/>
      <c r="DE124" s="2"/>
      <c r="DF124" s="2"/>
      <c r="DG124" s="2"/>
    </row>
    <row r="125" spans="1:111" hidden="1">
      <c r="A125" s="159" t="str">
        <f t="shared" ca="1" si="54"/>
        <v/>
      </c>
      <c r="B125" s="159" t="str">
        <f t="shared" si="51"/>
        <v/>
      </c>
      <c r="C125" s="76">
        <v>114</v>
      </c>
      <c r="D125" s="12"/>
      <c r="E125" s="10"/>
      <c r="F125" s="11"/>
      <c r="G125" s="11"/>
      <c r="H125" s="106">
        <f ca="1">SUM(OFFSET(L125,,J$1-1):OFFSET(L125,,K$1-1))</f>
        <v>0</v>
      </c>
      <c r="I125" s="107">
        <f ca="1">SUM(L125:OFFSET(L125,,K$1-1))</f>
        <v>0</v>
      </c>
      <c r="J125" s="106">
        <f t="shared" ca="1" si="55"/>
        <v>0</v>
      </c>
      <c r="K125" s="108" t="str">
        <f t="shared" si="53"/>
        <v/>
      </c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44"/>
      <c r="CY125" s="40"/>
      <c r="CZ125" s="2"/>
      <c r="DA125" s="2"/>
      <c r="DB125" s="2"/>
      <c r="DC125" s="2"/>
      <c r="DD125" s="2"/>
      <c r="DE125" s="2"/>
      <c r="DF125" s="2"/>
      <c r="DG125" s="2"/>
    </row>
    <row r="126" spans="1:111" hidden="1">
      <c r="A126" s="159" t="str">
        <f t="shared" ca="1" si="54"/>
        <v/>
      </c>
      <c r="B126" s="159" t="str">
        <f t="shared" si="51"/>
        <v/>
      </c>
      <c r="C126" s="76">
        <v>115</v>
      </c>
      <c r="D126" s="12"/>
      <c r="E126" s="10"/>
      <c r="F126" s="11"/>
      <c r="G126" s="11"/>
      <c r="H126" s="106">
        <f ca="1">SUM(OFFSET(L126,,J$1-1):OFFSET(L126,,K$1-1))</f>
        <v>0</v>
      </c>
      <c r="I126" s="107">
        <f ca="1">SUM(L126:OFFSET(L126,,K$1-1))</f>
        <v>0</v>
      </c>
      <c r="J126" s="106">
        <f t="shared" ca="1" si="55"/>
        <v>0</v>
      </c>
      <c r="K126" s="108" t="str">
        <f t="shared" si="53"/>
        <v/>
      </c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44"/>
      <c r="CY126" s="40"/>
      <c r="CZ126" s="2"/>
      <c r="DA126" s="2"/>
      <c r="DB126" s="2"/>
      <c r="DC126" s="2"/>
      <c r="DD126" s="2"/>
      <c r="DE126" s="2"/>
      <c r="DF126" s="2"/>
      <c r="DG126" s="2"/>
    </row>
    <row r="127" spans="1:111" hidden="1">
      <c r="A127" s="159" t="str">
        <f t="shared" ca="1" si="54"/>
        <v/>
      </c>
      <c r="B127" s="159" t="str">
        <f t="shared" si="51"/>
        <v/>
      </c>
      <c r="C127" s="76">
        <v>116</v>
      </c>
      <c r="D127" s="12"/>
      <c r="E127" s="10"/>
      <c r="F127" s="11"/>
      <c r="G127" s="11"/>
      <c r="H127" s="106">
        <f ca="1">SUM(OFFSET(L127,,J$1-1):OFFSET(L127,,K$1-1))</f>
        <v>0</v>
      </c>
      <c r="I127" s="107">
        <f ca="1">SUM(L127:OFFSET(L127,,K$1-1))</f>
        <v>0</v>
      </c>
      <c r="J127" s="106">
        <f t="shared" ca="1" si="55"/>
        <v>0</v>
      </c>
      <c r="K127" s="108" t="str">
        <f t="shared" si="53"/>
        <v/>
      </c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44"/>
      <c r="CY127" s="40"/>
      <c r="CZ127" s="2"/>
      <c r="DA127" s="2"/>
      <c r="DB127" s="2"/>
      <c r="DC127" s="2"/>
      <c r="DD127" s="2"/>
      <c r="DE127" s="2"/>
      <c r="DF127" s="2"/>
      <c r="DG127" s="2"/>
    </row>
    <row r="128" spans="1:111" hidden="1">
      <c r="A128" s="159" t="str">
        <f t="shared" ca="1" si="54"/>
        <v/>
      </c>
      <c r="B128" s="159" t="str">
        <f t="shared" si="51"/>
        <v/>
      </c>
      <c r="C128" s="76">
        <v>117</v>
      </c>
      <c r="D128" s="12"/>
      <c r="E128" s="10"/>
      <c r="F128" s="11"/>
      <c r="G128" s="11"/>
      <c r="H128" s="106">
        <f ca="1">SUM(OFFSET(L128,,J$1-1):OFFSET(L128,,K$1-1))</f>
        <v>0</v>
      </c>
      <c r="I128" s="107">
        <f ca="1">SUM(L128:OFFSET(L128,,K$1-1))</f>
        <v>0</v>
      </c>
      <c r="J128" s="106">
        <f t="shared" ca="1" si="55"/>
        <v>0</v>
      </c>
      <c r="K128" s="108" t="str">
        <f t="shared" si="53"/>
        <v/>
      </c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44"/>
      <c r="CY128" s="40"/>
      <c r="CZ128" s="2"/>
      <c r="DA128" s="2"/>
      <c r="DB128" s="2"/>
      <c r="DC128" s="2"/>
      <c r="DD128" s="2"/>
      <c r="DE128" s="2"/>
      <c r="DF128" s="2"/>
      <c r="DG128" s="2"/>
    </row>
    <row r="129" spans="1:111" hidden="1">
      <c r="A129" s="159" t="str">
        <f t="shared" ca="1" si="54"/>
        <v/>
      </c>
      <c r="B129" s="159" t="str">
        <f t="shared" si="51"/>
        <v/>
      </c>
      <c r="C129" s="76">
        <v>118</v>
      </c>
      <c r="D129" s="12"/>
      <c r="E129" s="10"/>
      <c r="F129" s="11"/>
      <c r="G129" s="11"/>
      <c r="H129" s="106">
        <f ca="1">SUM(OFFSET(L129,,J$1-1):OFFSET(L129,,K$1-1))</f>
        <v>0</v>
      </c>
      <c r="I129" s="107">
        <f ca="1">SUM(L129:OFFSET(L129,,K$1-1))</f>
        <v>0</v>
      </c>
      <c r="J129" s="106">
        <f t="shared" ca="1" si="55"/>
        <v>0</v>
      </c>
      <c r="K129" s="108" t="str">
        <f t="shared" si="53"/>
        <v/>
      </c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44"/>
      <c r="CY129" s="40"/>
      <c r="CZ129" s="2"/>
      <c r="DA129" s="2"/>
      <c r="DB129" s="2"/>
      <c r="DC129" s="2"/>
      <c r="DD129" s="2"/>
      <c r="DE129" s="2"/>
      <c r="DF129" s="2"/>
      <c r="DG129" s="2"/>
    </row>
    <row r="130" spans="1:111" hidden="1">
      <c r="A130" s="159" t="str">
        <f t="shared" ca="1" si="54"/>
        <v/>
      </c>
      <c r="B130" s="159" t="str">
        <f t="shared" si="51"/>
        <v/>
      </c>
      <c r="C130" s="76">
        <v>119</v>
      </c>
      <c r="D130" s="12"/>
      <c r="E130" s="10"/>
      <c r="F130" s="11"/>
      <c r="G130" s="11"/>
      <c r="H130" s="106">
        <f ca="1">SUM(OFFSET(L130,,J$1-1):OFFSET(L130,,K$1-1))</f>
        <v>0</v>
      </c>
      <c r="I130" s="107">
        <f ca="1">SUM(L130:OFFSET(L130,,K$1-1))</f>
        <v>0</v>
      </c>
      <c r="J130" s="106">
        <f t="shared" ca="1" si="55"/>
        <v>0</v>
      </c>
      <c r="K130" s="108" t="str">
        <f t="shared" si="53"/>
        <v/>
      </c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44"/>
      <c r="CY130" s="40"/>
      <c r="CZ130" s="2"/>
      <c r="DA130" s="2"/>
      <c r="DB130" s="2"/>
      <c r="DC130" s="2"/>
      <c r="DD130" s="2"/>
      <c r="DE130" s="2"/>
      <c r="DF130" s="2"/>
      <c r="DG130" s="2"/>
    </row>
    <row r="131" spans="1:111" hidden="1">
      <c r="A131" s="159" t="str">
        <f t="shared" ca="1" si="54"/>
        <v/>
      </c>
      <c r="B131" s="159" t="str">
        <f t="shared" si="51"/>
        <v/>
      </c>
      <c r="C131" s="76">
        <v>120</v>
      </c>
      <c r="D131" s="12"/>
      <c r="E131" s="10"/>
      <c r="F131" s="11"/>
      <c r="G131" s="11"/>
      <c r="H131" s="106">
        <f ca="1">SUM(OFFSET(L131,,J$1-1):OFFSET(L131,,K$1-1))</f>
        <v>0</v>
      </c>
      <c r="I131" s="107">
        <f ca="1">SUM(L131:OFFSET(L131,,K$1-1))</f>
        <v>0</v>
      </c>
      <c r="J131" s="106">
        <f t="shared" ca="1" si="55"/>
        <v>0</v>
      </c>
      <c r="K131" s="108" t="str">
        <f t="shared" si="53"/>
        <v/>
      </c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44"/>
      <c r="CY131" s="40"/>
      <c r="CZ131" s="2"/>
      <c r="DA131" s="2"/>
      <c r="DB131" s="2"/>
      <c r="DC131" s="2"/>
      <c r="DD131" s="2"/>
      <c r="DE131" s="2"/>
      <c r="DF131" s="2"/>
      <c r="DG131" s="2"/>
    </row>
    <row r="132" spans="1:111" hidden="1">
      <c r="A132" s="159" t="str">
        <f t="shared" ca="1" si="54"/>
        <v/>
      </c>
      <c r="B132" s="159" t="str">
        <f t="shared" si="51"/>
        <v/>
      </c>
      <c r="C132" s="76">
        <v>121</v>
      </c>
      <c r="D132" s="12"/>
      <c r="E132" s="10"/>
      <c r="F132" s="11"/>
      <c r="G132" s="11"/>
      <c r="H132" s="106">
        <f ca="1">SUM(OFFSET(L132,,J$1-1):OFFSET(L132,,K$1-1))</f>
        <v>0</v>
      </c>
      <c r="I132" s="107">
        <f ca="1">SUM(L132:OFFSET(L132,,K$1-1))</f>
        <v>0</v>
      </c>
      <c r="J132" s="106">
        <f t="shared" ca="1" si="55"/>
        <v>0</v>
      </c>
      <c r="K132" s="108" t="str">
        <f t="shared" si="53"/>
        <v/>
      </c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44"/>
      <c r="CY132" s="40"/>
      <c r="CZ132" s="2"/>
      <c r="DA132" s="2"/>
      <c r="DB132" s="2"/>
      <c r="DC132" s="2"/>
      <c r="DD132" s="2"/>
      <c r="DE132" s="2"/>
      <c r="DF132" s="2"/>
      <c r="DG132" s="2"/>
    </row>
    <row r="133" spans="1:111" hidden="1">
      <c r="A133" s="159" t="str">
        <f t="shared" ca="1" si="54"/>
        <v/>
      </c>
      <c r="B133" s="159" t="str">
        <f t="shared" si="51"/>
        <v/>
      </c>
      <c r="C133" s="76">
        <v>122</v>
      </c>
      <c r="D133" s="12"/>
      <c r="E133" s="10"/>
      <c r="F133" s="11"/>
      <c r="G133" s="11"/>
      <c r="H133" s="106">
        <f ca="1">SUM(OFFSET(L133,,J$1-1):OFFSET(L133,,K$1-1))</f>
        <v>0</v>
      </c>
      <c r="I133" s="107">
        <f ca="1">SUM(L133:OFFSET(L133,,K$1-1))</f>
        <v>0</v>
      </c>
      <c r="J133" s="106">
        <f t="shared" ca="1" si="55"/>
        <v>0</v>
      </c>
      <c r="K133" s="108" t="str">
        <f t="shared" si="53"/>
        <v/>
      </c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44"/>
      <c r="CY133" s="40"/>
      <c r="CZ133" s="2"/>
      <c r="DA133" s="2"/>
      <c r="DB133" s="2"/>
      <c r="DC133" s="2"/>
      <c r="DD133" s="2"/>
      <c r="DE133" s="2"/>
      <c r="DF133" s="2"/>
      <c r="DG133" s="2"/>
    </row>
    <row r="134" spans="1:111" hidden="1">
      <c r="A134" s="159" t="str">
        <f t="shared" ca="1" si="54"/>
        <v/>
      </c>
      <c r="B134" s="159" t="str">
        <f t="shared" ref="B134:B155" si="56">IF(K134="","",C134)</f>
        <v/>
      </c>
      <c r="C134" s="76">
        <v>123</v>
      </c>
      <c r="D134" s="12"/>
      <c r="E134" s="10"/>
      <c r="F134" s="11"/>
      <c r="G134" s="11"/>
      <c r="H134" s="106">
        <f ca="1">SUM(OFFSET(L134,,J$1-1):OFFSET(L134,,K$1-1))</f>
        <v>0</v>
      </c>
      <c r="I134" s="107">
        <f ca="1">SUM(L134:OFFSET(L134,,K$1-1))</f>
        <v>0</v>
      </c>
      <c r="J134" s="106">
        <f t="shared" ca="1" si="55"/>
        <v>0</v>
      </c>
      <c r="K134" s="108" t="str">
        <f t="shared" si="53"/>
        <v/>
      </c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44"/>
      <c r="CY134" s="40"/>
      <c r="CZ134" s="2"/>
      <c r="DA134" s="2"/>
      <c r="DB134" s="2"/>
      <c r="DC134" s="2"/>
      <c r="DD134" s="2"/>
      <c r="DE134" s="2"/>
      <c r="DF134" s="2"/>
      <c r="DG134" s="2"/>
    </row>
    <row r="135" spans="1:111" hidden="1">
      <c r="A135" s="159" t="str">
        <f t="shared" ca="1" si="54"/>
        <v/>
      </c>
      <c r="B135" s="159" t="str">
        <f t="shared" si="56"/>
        <v/>
      </c>
      <c r="C135" s="76">
        <v>124</v>
      </c>
      <c r="D135" s="12"/>
      <c r="E135" s="10"/>
      <c r="F135" s="11"/>
      <c r="G135" s="11"/>
      <c r="H135" s="106">
        <f ca="1">SUM(OFFSET(L135,,J$1-1):OFFSET(L135,,K$1-1))</f>
        <v>0</v>
      </c>
      <c r="I135" s="107">
        <f ca="1">SUM(L135:OFFSET(L135,,K$1-1))</f>
        <v>0</v>
      </c>
      <c r="J135" s="106">
        <f t="shared" ca="1" si="55"/>
        <v>0</v>
      </c>
      <c r="K135" s="108" t="str">
        <f t="shared" si="53"/>
        <v/>
      </c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44"/>
      <c r="CY135" s="40"/>
      <c r="CZ135" s="2"/>
      <c r="DA135" s="2"/>
      <c r="DB135" s="2"/>
      <c r="DC135" s="2"/>
      <c r="DD135" s="2"/>
      <c r="DE135" s="2"/>
      <c r="DF135" s="2"/>
      <c r="DG135" s="2"/>
    </row>
    <row r="136" spans="1:111" hidden="1">
      <c r="A136" s="159" t="str">
        <f t="shared" ca="1" si="54"/>
        <v/>
      </c>
      <c r="B136" s="159" t="str">
        <f t="shared" si="56"/>
        <v/>
      </c>
      <c r="C136" s="76">
        <v>125</v>
      </c>
      <c r="D136" s="12"/>
      <c r="E136" s="10"/>
      <c r="F136" s="11"/>
      <c r="G136" s="11"/>
      <c r="H136" s="106">
        <f ca="1">SUM(OFFSET(L136,,J$1-1):OFFSET(L136,,K$1-1))</f>
        <v>0</v>
      </c>
      <c r="I136" s="107">
        <f ca="1">SUM(L136:OFFSET(L136,,K$1-1))</f>
        <v>0</v>
      </c>
      <c r="J136" s="106">
        <f t="shared" ca="1" si="55"/>
        <v>0</v>
      </c>
      <c r="K136" s="108" t="str">
        <f t="shared" si="53"/>
        <v/>
      </c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44"/>
      <c r="CY136" s="40"/>
      <c r="CZ136" s="2"/>
      <c r="DA136" s="2"/>
      <c r="DB136" s="2"/>
      <c r="DC136" s="2"/>
      <c r="DD136" s="2"/>
      <c r="DE136" s="2"/>
      <c r="DF136" s="2"/>
      <c r="DG136" s="2"/>
    </row>
    <row r="137" spans="1:111" hidden="1">
      <c r="A137" s="159" t="str">
        <f t="shared" ca="1" si="54"/>
        <v/>
      </c>
      <c r="B137" s="159" t="str">
        <f t="shared" si="56"/>
        <v/>
      </c>
      <c r="C137" s="76">
        <v>126</v>
      </c>
      <c r="D137" s="12"/>
      <c r="E137" s="10"/>
      <c r="F137" s="11"/>
      <c r="G137" s="11"/>
      <c r="H137" s="106">
        <f ca="1">SUM(OFFSET(L137,,J$1-1):OFFSET(L137,,K$1-1))</f>
        <v>0</v>
      </c>
      <c r="I137" s="107">
        <f ca="1">SUM(L137:OFFSET(L137,,K$1-1))</f>
        <v>0</v>
      </c>
      <c r="J137" s="106">
        <f t="shared" ca="1" si="55"/>
        <v>0</v>
      </c>
      <c r="K137" s="108" t="str">
        <f t="shared" si="53"/>
        <v/>
      </c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44"/>
      <c r="CY137" s="40"/>
      <c r="CZ137" s="2"/>
      <c r="DA137" s="2"/>
      <c r="DB137" s="2"/>
      <c r="DC137" s="2"/>
      <c r="DD137" s="2"/>
      <c r="DE137" s="2"/>
      <c r="DF137" s="2"/>
      <c r="DG137" s="2"/>
    </row>
    <row r="138" spans="1:111" hidden="1">
      <c r="A138" s="159" t="str">
        <f t="shared" ca="1" si="54"/>
        <v/>
      </c>
      <c r="B138" s="159" t="str">
        <f t="shared" si="56"/>
        <v/>
      </c>
      <c r="C138" s="76">
        <v>127</v>
      </c>
      <c r="D138" s="12"/>
      <c r="E138" s="10"/>
      <c r="F138" s="11"/>
      <c r="G138" s="11"/>
      <c r="H138" s="106">
        <f ca="1">SUM(OFFSET(L138,,J$1-1):OFFSET(L138,,K$1-1))</f>
        <v>0</v>
      </c>
      <c r="I138" s="107">
        <f ca="1">SUM(L138:OFFSET(L138,,K$1-1))</f>
        <v>0</v>
      </c>
      <c r="J138" s="106">
        <f t="shared" ca="1" si="55"/>
        <v>0</v>
      </c>
      <c r="K138" s="108" t="str">
        <f t="shared" si="53"/>
        <v/>
      </c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44"/>
      <c r="CY138" s="40"/>
      <c r="CZ138" s="2"/>
      <c r="DA138" s="2"/>
      <c r="DB138" s="2"/>
      <c r="DC138" s="2"/>
      <c r="DD138" s="2"/>
      <c r="DE138" s="2"/>
      <c r="DF138" s="2"/>
      <c r="DG138" s="2"/>
    </row>
    <row r="139" spans="1:111" hidden="1">
      <c r="A139" s="159" t="str">
        <f t="shared" ca="1" si="54"/>
        <v/>
      </c>
      <c r="B139" s="159" t="str">
        <f t="shared" si="56"/>
        <v/>
      </c>
      <c r="C139" s="76">
        <v>128</v>
      </c>
      <c r="D139" s="12"/>
      <c r="E139" s="10"/>
      <c r="F139" s="11"/>
      <c r="G139" s="11"/>
      <c r="H139" s="106">
        <f ca="1">SUM(OFFSET(L139,,J$1-1):OFFSET(L139,,K$1-1))</f>
        <v>0</v>
      </c>
      <c r="I139" s="107">
        <f ca="1">SUM(L139:OFFSET(L139,,K$1-1))</f>
        <v>0</v>
      </c>
      <c r="J139" s="106">
        <f t="shared" ca="1" si="55"/>
        <v>0</v>
      </c>
      <c r="K139" s="108" t="str">
        <f t="shared" si="53"/>
        <v/>
      </c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44"/>
      <c r="CY139" s="40"/>
      <c r="CZ139" s="2"/>
      <c r="DA139" s="2"/>
      <c r="DB139" s="2"/>
      <c r="DC139" s="2"/>
      <c r="DD139" s="2"/>
      <c r="DE139" s="2"/>
      <c r="DF139" s="2"/>
      <c r="DG139" s="2"/>
    </row>
    <row r="140" spans="1:111" hidden="1">
      <c r="A140" s="159" t="str">
        <f t="shared" ca="1" si="54"/>
        <v/>
      </c>
      <c r="B140" s="159" t="str">
        <f t="shared" si="56"/>
        <v/>
      </c>
      <c r="C140" s="76">
        <v>129</v>
      </c>
      <c r="D140" s="12"/>
      <c r="E140" s="10"/>
      <c r="F140" s="11"/>
      <c r="G140" s="11"/>
      <c r="H140" s="106">
        <f ca="1">SUM(OFFSET(L140,,J$1-1):OFFSET(L140,,K$1-1))</f>
        <v>0</v>
      </c>
      <c r="I140" s="107">
        <f ca="1">SUM(L140:OFFSET(L140,,K$1-1))</f>
        <v>0</v>
      </c>
      <c r="J140" s="106">
        <f t="shared" ca="1" si="55"/>
        <v>0</v>
      </c>
      <c r="K140" s="108" t="str">
        <f t="shared" ref="K140:K156" si="57">IF(LOOKUP(K$1,L$1:DG$1,L140:DG140)=0,"",LOOKUP(K$1,L$1:DG$1,L140:DG140))</f>
        <v/>
      </c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44"/>
      <c r="CY140" s="40"/>
      <c r="CZ140" s="2"/>
      <c r="DA140" s="2"/>
      <c r="DB140" s="2"/>
      <c r="DC140" s="2"/>
      <c r="DD140" s="2"/>
      <c r="DE140" s="2"/>
      <c r="DF140" s="2"/>
      <c r="DG140" s="2"/>
    </row>
    <row r="141" spans="1:111" hidden="1">
      <c r="A141" s="159" t="str">
        <f t="shared" ca="1" si="54"/>
        <v/>
      </c>
      <c r="B141" s="159" t="str">
        <f t="shared" si="56"/>
        <v/>
      </c>
      <c r="C141" s="76">
        <v>130</v>
      </c>
      <c r="D141" s="12"/>
      <c r="E141" s="10"/>
      <c r="F141" s="11"/>
      <c r="G141" s="11"/>
      <c r="H141" s="106">
        <f ca="1">SUM(OFFSET(L141,,J$1-1):OFFSET(L141,,K$1-1))</f>
        <v>0</v>
      </c>
      <c r="I141" s="107">
        <f ca="1">SUM(L141:OFFSET(L141,,K$1-1))</f>
        <v>0</v>
      </c>
      <c r="J141" s="106">
        <f t="shared" ca="1" si="55"/>
        <v>0</v>
      </c>
      <c r="K141" s="108" t="str">
        <f t="shared" si="57"/>
        <v/>
      </c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44"/>
      <c r="CY141" s="40"/>
      <c r="CZ141" s="2"/>
      <c r="DA141" s="2"/>
      <c r="DB141" s="2"/>
      <c r="DC141" s="2"/>
      <c r="DD141" s="2"/>
      <c r="DE141" s="2"/>
      <c r="DF141" s="2"/>
      <c r="DG141" s="2"/>
    </row>
    <row r="142" spans="1:111" hidden="1">
      <c r="A142" s="159" t="str">
        <f t="shared" ca="1" si="54"/>
        <v/>
      </c>
      <c r="B142" s="159" t="str">
        <f t="shared" si="56"/>
        <v/>
      </c>
      <c r="C142" s="76">
        <v>131</v>
      </c>
      <c r="D142" s="12"/>
      <c r="E142" s="10"/>
      <c r="F142" s="11"/>
      <c r="G142" s="11"/>
      <c r="H142" s="106">
        <f ca="1">SUM(OFFSET(L142,,J$1-1):OFFSET(L142,,K$1-1))</f>
        <v>0</v>
      </c>
      <c r="I142" s="107">
        <f ca="1">SUM(L142:OFFSET(L142,,K$1-1))</f>
        <v>0</v>
      </c>
      <c r="J142" s="106">
        <f t="shared" ca="1" si="55"/>
        <v>0</v>
      </c>
      <c r="K142" s="108" t="str">
        <f t="shared" si="57"/>
        <v/>
      </c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44"/>
      <c r="CY142" s="40"/>
      <c r="CZ142" s="2"/>
      <c r="DA142" s="2"/>
      <c r="DB142" s="2"/>
      <c r="DC142" s="2"/>
      <c r="DD142" s="2"/>
      <c r="DE142" s="2"/>
      <c r="DF142" s="2"/>
      <c r="DG142" s="2"/>
    </row>
    <row r="143" spans="1:111" hidden="1">
      <c r="A143" s="159" t="str">
        <f t="shared" ca="1" si="54"/>
        <v/>
      </c>
      <c r="B143" s="159" t="str">
        <f t="shared" si="56"/>
        <v/>
      </c>
      <c r="C143" s="76">
        <v>132</v>
      </c>
      <c r="D143" s="12"/>
      <c r="E143" s="10"/>
      <c r="F143" s="11"/>
      <c r="G143" s="11"/>
      <c r="H143" s="106">
        <f ca="1">SUM(OFFSET(L143,,J$1-1):OFFSET(L143,,K$1-1))</f>
        <v>0</v>
      </c>
      <c r="I143" s="107">
        <f ca="1">SUM(L143:OFFSET(L143,,K$1-1))</f>
        <v>0</v>
      </c>
      <c r="J143" s="106">
        <f t="shared" ca="1" si="55"/>
        <v>0</v>
      </c>
      <c r="K143" s="108" t="str">
        <f t="shared" si="57"/>
        <v/>
      </c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44"/>
      <c r="CY143" s="40"/>
      <c r="CZ143" s="2"/>
      <c r="DA143" s="2"/>
      <c r="DB143" s="2"/>
      <c r="DC143" s="2"/>
      <c r="DD143" s="2"/>
      <c r="DE143" s="2"/>
      <c r="DF143" s="2"/>
      <c r="DG143" s="2"/>
    </row>
    <row r="144" spans="1:111" hidden="1">
      <c r="A144" s="159" t="str">
        <f t="shared" ca="1" si="54"/>
        <v/>
      </c>
      <c r="B144" s="159" t="str">
        <f t="shared" si="56"/>
        <v/>
      </c>
      <c r="C144" s="76">
        <v>133</v>
      </c>
      <c r="D144" s="12"/>
      <c r="E144" s="10"/>
      <c r="F144" s="11"/>
      <c r="G144" s="11"/>
      <c r="H144" s="106">
        <f ca="1">SUM(OFFSET(L144,,J$1-1):OFFSET(L144,,K$1-1))</f>
        <v>0</v>
      </c>
      <c r="I144" s="107">
        <f ca="1">SUM(L144:OFFSET(L144,,K$1-1))</f>
        <v>0</v>
      </c>
      <c r="J144" s="106">
        <f t="shared" ca="1" si="55"/>
        <v>0</v>
      </c>
      <c r="K144" s="108" t="str">
        <f t="shared" si="57"/>
        <v/>
      </c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44"/>
      <c r="CY144" s="40"/>
      <c r="CZ144" s="2"/>
      <c r="DA144" s="2"/>
      <c r="DB144" s="2"/>
      <c r="DC144" s="2"/>
      <c r="DD144" s="2"/>
      <c r="DE144" s="2"/>
      <c r="DF144" s="2"/>
      <c r="DG144" s="2"/>
    </row>
    <row r="145" spans="1:113" hidden="1">
      <c r="A145" s="159" t="str">
        <f t="shared" ca="1" si="54"/>
        <v/>
      </c>
      <c r="B145" s="159" t="str">
        <f t="shared" si="56"/>
        <v/>
      </c>
      <c r="C145" s="76">
        <v>134</v>
      </c>
      <c r="D145" s="12"/>
      <c r="E145" s="10"/>
      <c r="F145" s="11"/>
      <c r="G145" s="11"/>
      <c r="H145" s="106">
        <f ca="1">SUM(OFFSET(L145,,J$1-1):OFFSET(L145,,K$1-1))</f>
        <v>0</v>
      </c>
      <c r="I145" s="107">
        <f ca="1">SUM(L145:OFFSET(L145,,K$1-1))</f>
        <v>0</v>
      </c>
      <c r="J145" s="106">
        <f t="shared" ca="1" si="55"/>
        <v>0</v>
      </c>
      <c r="K145" s="108" t="str">
        <f t="shared" si="57"/>
        <v/>
      </c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44"/>
      <c r="CY145" s="40"/>
      <c r="CZ145" s="2"/>
      <c r="DA145" s="2"/>
      <c r="DB145" s="2"/>
      <c r="DC145" s="2"/>
      <c r="DD145" s="2"/>
      <c r="DE145" s="2"/>
      <c r="DF145" s="2"/>
      <c r="DG145" s="2"/>
    </row>
    <row r="146" spans="1:113" hidden="1">
      <c r="A146" s="159" t="str">
        <f t="shared" ca="1" si="54"/>
        <v/>
      </c>
      <c r="B146" s="159" t="str">
        <f t="shared" si="56"/>
        <v/>
      </c>
      <c r="C146" s="76">
        <v>135</v>
      </c>
      <c r="D146" s="12"/>
      <c r="E146" s="10"/>
      <c r="F146" s="11"/>
      <c r="G146" s="11"/>
      <c r="H146" s="106">
        <f ca="1">SUM(OFFSET(L146,,J$1-1):OFFSET(L146,,K$1-1))</f>
        <v>0</v>
      </c>
      <c r="I146" s="107">
        <f ca="1">SUM(L146:OFFSET(L146,,K$1-1))</f>
        <v>0</v>
      </c>
      <c r="J146" s="106">
        <f t="shared" ca="1" si="55"/>
        <v>0</v>
      </c>
      <c r="K146" s="108" t="str">
        <f t="shared" si="57"/>
        <v/>
      </c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44"/>
      <c r="CY146" s="40"/>
      <c r="CZ146" s="2"/>
      <c r="DA146" s="2"/>
      <c r="DB146" s="2"/>
      <c r="DC146" s="2"/>
      <c r="DD146" s="2"/>
      <c r="DE146" s="2"/>
      <c r="DF146" s="2"/>
      <c r="DG146" s="2"/>
    </row>
    <row r="147" spans="1:113" hidden="1">
      <c r="A147" s="159" t="str">
        <f t="shared" ca="1" si="54"/>
        <v/>
      </c>
      <c r="B147" s="159" t="str">
        <f t="shared" si="56"/>
        <v/>
      </c>
      <c r="C147" s="76">
        <v>136</v>
      </c>
      <c r="D147" s="12"/>
      <c r="E147" s="10"/>
      <c r="F147" s="11"/>
      <c r="G147" s="11"/>
      <c r="H147" s="106">
        <f ca="1">SUM(OFFSET(L147,,J$1-1):OFFSET(L147,,K$1-1))</f>
        <v>0</v>
      </c>
      <c r="I147" s="107">
        <f ca="1">SUM(L147:OFFSET(L147,,K$1-1))</f>
        <v>0</v>
      </c>
      <c r="J147" s="106">
        <f t="shared" ca="1" si="55"/>
        <v>0</v>
      </c>
      <c r="K147" s="108" t="str">
        <f t="shared" si="57"/>
        <v/>
      </c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44"/>
      <c r="CY147" s="40"/>
      <c r="CZ147" s="2"/>
      <c r="DA147" s="2"/>
      <c r="DB147" s="2"/>
      <c r="DC147" s="2"/>
      <c r="DD147" s="2"/>
      <c r="DE147" s="2"/>
      <c r="DF147" s="2"/>
      <c r="DG147" s="2"/>
    </row>
    <row r="148" spans="1:113" hidden="1">
      <c r="A148" s="159" t="str">
        <f t="shared" ca="1" si="54"/>
        <v/>
      </c>
      <c r="B148" s="159" t="str">
        <f t="shared" si="56"/>
        <v/>
      </c>
      <c r="C148" s="76">
        <v>137</v>
      </c>
      <c r="D148" s="12"/>
      <c r="E148" s="10"/>
      <c r="F148" s="11"/>
      <c r="G148" s="11"/>
      <c r="H148" s="106">
        <f ca="1">SUM(OFFSET(L148,,J$1-1):OFFSET(L148,,K$1-1))</f>
        <v>0</v>
      </c>
      <c r="I148" s="107">
        <f ca="1">SUM(L148:OFFSET(L148,,K$1-1))</f>
        <v>0</v>
      </c>
      <c r="J148" s="106">
        <f t="shared" ca="1" si="55"/>
        <v>0</v>
      </c>
      <c r="K148" s="108" t="str">
        <f t="shared" si="57"/>
        <v/>
      </c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44"/>
      <c r="CY148" s="40"/>
      <c r="CZ148" s="2"/>
      <c r="DA148" s="2"/>
      <c r="DB148" s="2"/>
      <c r="DC148" s="2"/>
      <c r="DD148" s="2"/>
      <c r="DE148" s="2"/>
      <c r="DF148" s="2"/>
      <c r="DG148" s="2"/>
    </row>
    <row r="149" spans="1:113" hidden="1">
      <c r="A149" s="159" t="str">
        <f t="shared" ca="1" si="54"/>
        <v/>
      </c>
      <c r="B149" s="159" t="str">
        <f t="shared" si="56"/>
        <v/>
      </c>
      <c r="C149" s="76">
        <v>138</v>
      </c>
      <c r="D149" s="12"/>
      <c r="E149" s="10"/>
      <c r="F149" s="11"/>
      <c r="G149" s="11"/>
      <c r="H149" s="106">
        <f ca="1">SUM(OFFSET(L149,,J$1-1):OFFSET(L149,,K$1-1))</f>
        <v>0</v>
      </c>
      <c r="I149" s="107">
        <f ca="1">SUM(L149:OFFSET(L149,,K$1-1))</f>
        <v>0</v>
      </c>
      <c r="J149" s="106">
        <f t="shared" ca="1" si="55"/>
        <v>0</v>
      </c>
      <c r="K149" s="108" t="str">
        <f t="shared" si="57"/>
        <v/>
      </c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44"/>
      <c r="CY149" s="40"/>
      <c r="CZ149" s="2"/>
      <c r="DA149" s="2"/>
      <c r="DB149" s="2"/>
      <c r="DC149" s="2"/>
      <c r="DD149" s="2"/>
      <c r="DE149" s="2"/>
      <c r="DF149" s="2"/>
      <c r="DG149" s="2"/>
    </row>
    <row r="150" spans="1:113" hidden="1">
      <c r="A150" s="159" t="str">
        <f t="shared" ca="1" si="54"/>
        <v/>
      </c>
      <c r="B150" s="159" t="str">
        <f t="shared" si="56"/>
        <v/>
      </c>
      <c r="C150" s="76">
        <v>139</v>
      </c>
      <c r="D150" s="12"/>
      <c r="E150" s="10"/>
      <c r="F150" s="11"/>
      <c r="G150" s="11"/>
      <c r="H150" s="106">
        <f ca="1">SUM(OFFSET(L150,,J$1-1):OFFSET(L150,,K$1-1))</f>
        <v>0</v>
      </c>
      <c r="I150" s="107">
        <f ca="1">SUM(L150:OFFSET(L150,,K$1-1))</f>
        <v>0</v>
      </c>
      <c r="J150" s="106">
        <f t="shared" ca="1" si="55"/>
        <v>0</v>
      </c>
      <c r="K150" s="108" t="str">
        <f t="shared" si="57"/>
        <v/>
      </c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44"/>
      <c r="CY150" s="40"/>
      <c r="CZ150" s="2"/>
      <c r="DA150" s="2"/>
      <c r="DB150" s="2"/>
      <c r="DC150" s="2"/>
      <c r="DD150" s="2"/>
      <c r="DE150" s="2"/>
      <c r="DF150" s="2"/>
      <c r="DG150" s="2"/>
    </row>
    <row r="151" spans="1:113" hidden="1">
      <c r="A151" s="159" t="str">
        <f t="shared" ca="1" si="54"/>
        <v/>
      </c>
      <c r="B151" s="159" t="str">
        <f t="shared" si="56"/>
        <v/>
      </c>
      <c r="C151" s="76">
        <v>140</v>
      </c>
      <c r="D151" s="12"/>
      <c r="E151" s="10"/>
      <c r="F151" s="11"/>
      <c r="G151" s="11"/>
      <c r="H151" s="106">
        <f ca="1">SUM(OFFSET(L151,,J$1-1):OFFSET(L151,,K$1-1))</f>
        <v>0</v>
      </c>
      <c r="I151" s="107">
        <f ca="1">SUM(L151:OFFSET(L151,,K$1-1))</f>
        <v>0</v>
      </c>
      <c r="J151" s="106">
        <f t="shared" ca="1" si="55"/>
        <v>0</v>
      </c>
      <c r="K151" s="108" t="str">
        <f t="shared" si="57"/>
        <v/>
      </c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44"/>
      <c r="CY151" s="40"/>
      <c r="CZ151" s="2"/>
      <c r="DA151" s="2"/>
      <c r="DB151" s="2"/>
      <c r="DC151" s="2"/>
      <c r="DD151" s="2"/>
      <c r="DE151" s="2"/>
      <c r="DF151" s="2"/>
      <c r="DG151" s="2"/>
    </row>
    <row r="152" spans="1:113" hidden="1">
      <c r="A152" s="159" t="str">
        <f t="shared" ca="1" si="54"/>
        <v/>
      </c>
      <c r="B152" s="159" t="str">
        <f t="shared" si="56"/>
        <v/>
      </c>
      <c r="C152" s="76">
        <v>141</v>
      </c>
      <c r="D152" s="12"/>
      <c r="E152" s="10"/>
      <c r="F152" s="11"/>
      <c r="G152" s="11"/>
      <c r="H152" s="106">
        <f ca="1">SUM(OFFSET(L152,,J$1-1):OFFSET(L152,,K$1-1))</f>
        <v>0</v>
      </c>
      <c r="I152" s="107">
        <f ca="1">SUM(L152:OFFSET(L152,,K$1-1))</f>
        <v>0</v>
      </c>
      <c r="J152" s="106">
        <f t="shared" ca="1" si="55"/>
        <v>0</v>
      </c>
      <c r="K152" s="108" t="str">
        <f t="shared" si="57"/>
        <v/>
      </c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44"/>
      <c r="CY152" s="40"/>
      <c r="CZ152" s="2"/>
      <c r="DA152" s="2"/>
      <c r="DB152" s="2"/>
      <c r="DC152" s="2"/>
      <c r="DD152" s="2"/>
      <c r="DE152" s="2"/>
      <c r="DF152" s="2"/>
      <c r="DG152" s="2"/>
    </row>
    <row r="153" spans="1:113" hidden="1">
      <c r="A153" s="159" t="str">
        <f t="shared" ca="1" si="54"/>
        <v/>
      </c>
      <c r="B153" s="159" t="str">
        <f t="shared" si="56"/>
        <v/>
      </c>
      <c r="C153" s="76">
        <v>142</v>
      </c>
      <c r="D153" s="12"/>
      <c r="E153" s="10"/>
      <c r="F153" s="11"/>
      <c r="G153" s="11"/>
      <c r="H153" s="106">
        <f ca="1">SUM(OFFSET(L153,,J$1-1):OFFSET(L153,,K$1-1))</f>
        <v>0</v>
      </c>
      <c r="I153" s="107">
        <f ca="1">SUM(L153:OFFSET(L153,,K$1-1))</f>
        <v>0</v>
      </c>
      <c r="J153" s="106">
        <f t="shared" ca="1" si="55"/>
        <v>0</v>
      </c>
      <c r="K153" s="108" t="str">
        <f t="shared" si="57"/>
        <v/>
      </c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44"/>
      <c r="CY153" s="40"/>
      <c r="CZ153" s="2"/>
      <c r="DA153" s="2"/>
      <c r="DB153" s="2"/>
      <c r="DC153" s="2"/>
      <c r="DD153" s="2"/>
      <c r="DE153" s="2"/>
      <c r="DF153" s="2"/>
      <c r="DG153" s="2"/>
    </row>
    <row r="154" spans="1:113" hidden="1">
      <c r="A154" s="159" t="str">
        <f t="shared" ca="1" si="54"/>
        <v/>
      </c>
      <c r="B154" s="159" t="str">
        <f t="shared" si="56"/>
        <v/>
      </c>
      <c r="C154" s="76">
        <v>143</v>
      </c>
      <c r="D154" s="12"/>
      <c r="E154" s="10"/>
      <c r="F154" s="11"/>
      <c r="G154" s="11"/>
      <c r="H154" s="106">
        <f ca="1">SUM(OFFSET(L154,,J$1-1):OFFSET(L154,,K$1-1))</f>
        <v>0</v>
      </c>
      <c r="I154" s="107">
        <f ca="1">SUM(L154:OFFSET(L154,,K$1-1))</f>
        <v>0</v>
      </c>
      <c r="J154" s="106">
        <f t="shared" ca="1" si="55"/>
        <v>0</v>
      </c>
      <c r="K154" s="108" t="str">
        <f t="shared" si="57"/>
        <v/>
      </c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44"/>
      <c r="CY154" s="40"/>
      <c r="CZ154" s="2"/>
      <c r="DA154" s="2"/>
      <c r="DB154" s="2"/>
      <c r="DC154" s="2"/>
      <c r="DD154" s="2"/>
      <c r="DE154" s="2"/>
      <c r="DF154" s="2"/>
      <c r="DG154" s="2"/>
    </row>
    <row r="155" spans="1:113" hidden="1">
      <c r="A155" s="159" t="str">
        <f t="shared" ca="1" si="54"/>
        <v/>
      </c>
      <c r="B155" s="159" t="str">
        <f t="shared" si="56"/>
        <v/>
      </c>
      <c r="C155" s="76">
        <v>144</v>
      </c>
      <c r="D155" s="12"/>
      <c r="E155" s="10"/>
      <c r="F155" s="11"/>
      <c r="G155" s="11"/>
      <c r="H155" s="106">
        <f ca="1">SUM(OFFSET(L155,,J$1-1):OFFSET(L155,,K$1-1))</f>
        <v>0</v>
      </c>
      <c r="I155" s="107">
        <f ca="1">SUM(L155:OFFSET(L155,,K$1-1))</f>
        <v>0</v>
      </c>
      <c r="J155" s="106">
        <f t="shared" ca="1" si="55"/>
        <v>0</v>
      </c>
      <c r="K155" s="108" t="str">
        <f t="shared" si="57"/>
        <v/>
      </c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44"/>
      <c r="CY155" s="40"/>
      <c r="CZ155" s="2"/>
      <c r="DA155" s="2"/>
      <c r="DB155" s="2"/>
      <c r="DC155" s="2"/>
      <c r="DD155" s="2"/>
      <c r="DE155" s="2"/>
      <c r="DF155" s="2"/>
      <c r="DG155" s="2"/>
    </row>
    <row r="156" spans="1:113">
      <c r="A156" s="76"/>
      <c r="B156" s="76"/>
      <c r="C156" s="76"/>
      <c r="D156" s="15"/>
      <c r="E156" s="13"/>
      <c r="F156" s="14"/>
      <c r="G156" s="14"/>
      <c r="H156" s="112"/>
      <c r="K156" s="108" t="str">
        <f t="shared" si="57"/>
        <v/>
      </c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</row>
    <row r="157" spans="1:113" s="75" customFormat="1">
      <c r="A157" s="114"/>
      <c r="B157" s="114"/>
      <c r="C157" s="76"/>
      <c r="D157" s="115"/>
      <c r="E157" s="114"/>
      <c r="F157" s="86"/>
      <c r="G157" s="86"/>
      <c r="H157" s="115"/>
      <c r="I157" s="50" t="s">
        <v>9</v>
      </c>
      <c r="J157" s="115"/>
      <c r="K157" s="82">
        <f>LOOKUP(K$1,L$1:DG$1,L157:DG157)</f>
        <v>46111</v>
      </c>
      <c r="L157" s="87">
        <f t="shared" ref="L157:AQ157" si="58">L7</f>
        <v>46076</v>
      </c>
      <c r="M157" s="87">
        <f t="shared" si="58"/>
        <v>46077</v>
      </c>
      <c r="N157" s="87">
        <f t="shared" si="58"/>
        <v>46078</v>
      </c>
      <c r="O157" s="87">
        <f t="shared" si="58"/>
        <v>46079</v>
      </c>
      <c r="P157" s="87">
        <f t="shared" si="58"/>
        <v>46080</v>
      </c>
      <c r="Q157" s="87">
        <f t="shared" si="58"/>
        <v>46081</v>
      </c>
      <c r="R157" s="87">
        <f t="shared" si="58"/>
        <v>46082</v>
      </c>
      <c r="S157" s="87">
        <f t="shared" si="58"/>
        <v>46083</v>
      </c>
      <c r="T157" s="87">
        <f t="shared" si="58"/>
        <v>46084</v>
      </c>
      <c r="U157" s="87">
        <f t="shared" si="58"/>
        <v>46085</v>
      </c>
      <c r="V157" s="87">
        <f t="shared" si="58"/>
        <v>46086</v>
      </c>
      <c r="W157" s="87">
        <f t="shared" si="58"/>
        <v>46087</v>
      </c>
      <c r="X157" s="87">
        <f t="shared" si="58"/>
        <v>46088</v>
      </c>
      <c r="Y157" s="87">
        <f t="shared" si="58"/>
        <v>46089</v>
      </c>
      <c r="Z157" s="87">
        <f t="shared" si="58"/>
        <v>46090</v>
      </c>
      <c r="AA157" s="87">
        <f t="shared" si="58"/>
        <v>46091</v>
      </c>
      <c r="AB157" s="87">
        <f t="shared" si="58"/>
        <v>46092</v>
      </c>
      <c r="AC157" s="87">
        <f t="shared" si="58"/>
        <v>46093</v>
      </c>
      <c r="AD157" s="87">
        <f t="shared" si="58"/>
        <v>46094</v>
      </c>
      <c r="AE157" s="87">
        <f t="shared" si="58"/>
        <v>46095</v>
      </c>
      <c r="AF157" s="87">
        <f t="shared" si="58"/>
        <v>46096</v>
      </c>
      <c r="AG157" s="87">
        <f t="shared" si="58"/>
        <v>46097</v>
      </c>
      <c r="AH157" s="87">
        <f t="shared" si="58"/>
        <v>46098</v>
      </c>
      <c r="AI157" s="87">
        <f t="shared" si="58"/>
        <v>46099</v>
      </c>
      <c r="AJ157" s="87">
        <f t="shared" si="58"/>
        <v>46100</v>
      </c>
      <c r="AK157" s="87">
        <f t="shared" si="58"/>
        <v>46101</v>
      </c>
      <c r="AL157" s="87">
        <f t="shared" si="58"/>
        <v>46102</v>
      </c>
      <c r="AM157" s="87">
        <f t="shared" si="58"/>
        <v>46103</v>
      </c>
      <c r="AN157" s="87">
        <f t="shared" si="58"/>
        <v>46104</v>
      </c>
      <c r="AO157" s="87">
        <f t="shared" si="58"/>
        <v>46105</v>
      </c>
      <c r="AP157" s="87">
        <f t="shared" si="58"/>
        <v>46106</v>
      </c>
      <c r="AQ157" s="87">
        <f t="shared" si="58"/>
        <v>46107</v>
      </c>
      <c r="AR157" s="87">
        <f t="shared" ref="AR157:BW157" si="59">AR7</f>
        <v>46108</v>
      </c>
      <c r="AS157" s="87">
        <f t="shared" si="59"/>
        <v>46109</v>
      </c>
      <c r="AT157" s="87">
        <f t="shared" si="59"/>
        <v>46110</v>
      </c>
      <c r="AU157" s="87">
        <f t="shared" si="59"/>
        <v>46111</v>
      </c>
      <c r="AV157" s="87">
        <f t="shared" si="59"/>
        <v>46112</v>
      </c>
      <c r="AW157" s="87">
        <f t="shared" si="59"/>
        <v>46113</v>
      </c>
      <c r="AX157" s="87">
        <f t="shared" si="59"/>
        <v>46114</v>
      </c>
      <c r="AY157" s="87">
        <f t="shared" si="59"/>
        <v>46115</v>
      </c>
      <c r="AZ157" s="87">
        <f t="shared" si="59"/>
        <v>46116</v>
      </c>
      <c r="BA157" s="87">
        <f t="shared" si="59"/>
        <v>46117</v>
      </c>
      <c r="BB157" s="87">
        <f t="shared" si="59"/>
        <v>46118</v>
      </c>
      <c r="BC157" s="87">
        <f t="shared" si="59"/>
        <v>46119</v>
      </c>
      <c r="BD157" s="87">
        <f t="shared" si="59"/>
        <v>46120</v>
      </c>
      <c r="BE157" s="87">
        <f t="shared" si="59"/>
        <v>46121</v>
      </c>
      <c r="BF157" s="87">
        <f t="shared" si="59"/>
        <v>46122</v>
      </c>
      <c r="BG157" s="87">
        <f t="shared" si="59"/>
        <v>46123</v>
      </c>
      <c r="BH157" s="87">
        <f t="shared" si="59"/>
        <v>46124</v>
      </c>
      <c r="BI157" s="87">
        <f t="shared" si="59"/>
        <v>46125</v>
      </c>
      <c r="BJ157" s="87">
        <f t="shared" si="59"/>
        <v>46126</v>
      </c>
      <c r="BK157" s="87">
        <f t="shared" si="59"/>
        <v>46127</v>
      </c>
      <c r="BL157" s="87">
        <f t="shared" si="59"/>
        <v>46128</v>
      </c>
      <c r="BM157" s="87">
        <f t="shared" si="59"/>
        <v>46129</v>
      </c>
      <c r="BN157" s="87">
        <f t="shared" si="59"/>
        <v>46130</v>
      </c>
      <c r="BO157" s="87">
        <f t="shared" si="59"/>
        <v>46131</v>
      </c>
      <c r="BP157" s="87">
        <f t="shared" si="59"/>
        <v>46132</v>
      </c>
      <c r="BQ157" s="87">
        <f t="shared" si="59"/>
        <v>46133</v>
      </c>
      <c r="BR157" s="87">
        <f t="shared" si="59"/>
        <v>46134</v>
      </c>
      <c r="BS157" s="87">
        <f t="shared" si="59"/>
        <v>46135</v>
      </c>
      <c r="BT157" s="87">
        <f t="shared" si="59"/>
        <v>46136</v>
      </c>
      <c r="BU157" s="87">
        <f t="shared" si="59"/>
        <v>46137</v>
      </c>
      <c r="BV157" s="87">
        <f t="shared" si="59"/>
        <v>46138</v>
      </c>
      <c r="BW157" s="87">
        <f t="shared" si="59"/>
        <v>46139</v>
      </c>
      <c r="BX157" s="87">
        <f t="shared" ref="BX157:DG157" si="60">BX7</f>
        <v>46140</v>
      </c>
      <c r="BY157" s="87">
        <f t="shared" si="60"/>
        <v>46141</v>
      </c>
      <c r="BZ157" s="87">
        <f t="shared" si="60"/>
        <v>46142</v>
      </c>
      <c r="CA157" s="87">
        <f t="shared" si="60"/>
        <v>46143</v>
      </c>
      <c r="CB157" s="87">
        <f t="shared" si="60"/>
        <v>46144</v>
      </c>
      <c r="CC157" s="87">
        <f t="shared" si="60"/>
        <v>46145</v>
      </c>
      <c r="CD157" s="87">
        <f t="shared" si="60"/>
        <v>46146</v>
      </c>
      <c r="CE157" s="87">
        <f t="shared" si="60"/>
        <v>46147</v>
      </c>
      <c r="CF157" s="87">
        <f t="shared" si="60"/>
        <v>46148</v>
      </c>
      <c r="CG157" s="87">
        <f t="shared" si="60"/>
        <v>46149</v>
      </c>
      <c r="CH157" s="87">
        <f t="shared" si="60"/>
        <v>46150</v>
      </c>
      <c r="CI157" s="87">
        <f t="shared" si="60"/>
        <v>46151</v>
      </c>
      <c r="CJ157" s="87">
        <f t="shared" si="60"/>
        <v>46152</v>
      </c>
      <c r="CK157" s="87">
        <f t="shared" si="60"/>
        <v>46153</v>
      </c>
      <c r="CL157" s="87">
        <f t="shared" si="60"/>
        <v>46154</v>
      </c>
      <c r="CM157" s="87">
        <f t="shared" si="60"/>
        <v>46155</v>
      </c>
      <c r="CN157" s="87">
        <f t="shared" si="60"/>
        <v>46156</v>
      </c>
      <c r="CO157" s="87">
        <f t="shared" si="60"/>
        <v>46157</v>
      </c>
      <c r="CP157" s="87">
        <f t="shared" si="60"/>
        <v>46158</v>
      </c>
      <c r="CQ157" s="87">
        <f t="shared" si="60"/>
        <v>46159</v>
      </c>
      <c r="CR157" s="87">
        <f t="shared" si="60"/>
        <v>46160</v>
      </c>
      <c r="CS157" s="87">
        <f t="shared" si="60"/>
        <v>46161</v>
      </c>
      <c r="CT157" s="87">
        <f t="shared" si="60"/>
        <v>46162</v>
      </c>
      <c r="CU157" s="87">
        <f t="shared" si="60"/>
        <v>46163</v>
      </c>
      <c r="CV157" s="87">
        <f t="shared" si="60"/>
        <v>46164</v>
      </c>
      <c r="CW157" s="87">
        <f t="shared" si="60"/>
        <v>46165</v>
      </c>
      <c r="CX157" s="87">
        <f t="shared" si="60"/>
        <v>46166</v>
      </c>
      <c r="CY157" s="87">
        <f t="shared" si="60"/>
        <v>46167</v>
      </c>
      <c r="CZ157" s="87">
        <f t="shared" si="60"/>
        <v>46168</v>
      </c>
      <c r="DA157" s="87">
        <f t="shared" si="60"/>
        <v>46169</v>
      </c>
      <c r="DB157" s="87">
        <f t="shared" si="60"/>
        <v>46170</v>
      </c>
      <c r="DC157" s="87">
        <f t="shared" si="60"/>
        <v>46171</v>
      </c>
      <c r="DD157" s="87">
        <f t="shared" si="60"/>
        <v>46172</v>
      </c>
      <c r="DE157" s="87">
        <f t="shared" si="60"/>
        <v>46173</v>
      </c>
      <c r="DF157" s="87">
        <f t="shared" si="60"/>
        <v>46174</v>
      </c>
      <c r="DG157" s="87">
        <f t="shared" si="60"/>
        <v>46175</v>
      </c>
      <c r="DH157" s="87">
        <f t="shared" ref="DH157:DI157" si="61">DH7</f>
        <v>46176</v>
      </c>
      <c r="DI157" s="87">
        <f t="shared" si="61"/>
        <v>46177</v>
      </c>
    </row>
    <row r="158" spans="1:113" s="75" customFormat="1">
      <c r="A158" s="114"/>
      <c r="B158" s="114"/>
      <c r="C158" s="76"/>
      <c r="D158" s="115"/>
      <c r="E158" s="114"/>
      <c r="F158" s="86"/>
      <c r="G158" s="86"/>
      <c r="H158" s="115"/>
      <c r="I158" s="50" t="s">
        <v>10</v>
      </c>
      <c r="J158" s="115"/>
      <c r="K158" s="116">
        <f>LOOKUP(K$1,L$1:DG$1,L158:DG158)</f>
        <v>2</v>
      </c>
      <c r="L158" s="95">
        <f t="shared" ref="L158:AQ158" si="62">L8</f>
        <v>2</v>
      </c>
      <c r="M158" s="95">
        <f t="shared" si="62"/>
        <v>3</v>
      </c>
      <c r="N158" s="95">
        <f t="shared" si="62"/>
        <v>4</v>
      </c>
      <c r="O158" s="95">
        <f t="shared" si="62"/>
        <v>5</v>
      </c>
      <c r="P158" s="95">
        <f t="shared" si="62"/>
        <v>6</v>
      </c>
      <c r="Q158" s="95">
        <f t="shared" si="62"/>
        <v>7</v>
      </c>
      <c r="R158" s="95">
        <f t="shared" si="62"/>
        <v>1</v>
      </c>
      <c r="S158" s="95">
        <f t="shared" si="62"/>
        <v>2</v>
      </c>
      <c r="T158" s="95">
        <f t="shared" si="62"/>
        <v>3</v>
      </c>
      <c r="U158" s="95">
        <f t="shared" si="62"/>
        <v>4</v>
      </c>
      <c r="V158" s="95">
        <f t="shared" si="62"/>
        <v>5</v>
      </c>
      <c r="W158" s="95">
        <f t="shared" si="62"/>
        <v>6</v>
      </c>
      <c r="X158" s="95">
        <f t="shared" si="62"/>
        <v>7</v>
      </c>
      <c r="Y158" s="95">
        <f t="shared" si="62"/>
        <v>1</v>
      </c>
      <c r="Z158" s="95">
        <f t="shared" si="62"/>
        <v>2</v>
      </c>
      <c r="AA158" s="95">
        <f t="shared" si="62"/>
        <v>3</v>
      </c>
      <c r="AB158" s="95">
        <f t="shared" si="62"/>
        <v>4</v>
      </c>
      <c r="AC158" s="95">
        <f t="shared" si="62"/>
        <v>5</v>
      </c>
      <c r="AD158" s="95">
        <f t="shared" si="62"/>
        <v>6</v>
      </c>
      <c r="AE158" s="95">
        <f t="shared" si="62"/>
        <v>7</v>
      </c>
      <c r="AF158" s="95">
        <f t="shared" si="62"/>
        <v>1</v>
      </c>
      <c r="AG158" s="95">
        <f t="shared" si="62"/>
        <v>2</v>
      </c>
      <c r="AH158" s="95">
        <f t="shared" si="62"/>
        <v>3</v>
      </c>
      <c r="AI158" s="95">
        <f t="shared" si="62"/>
        <v>4</v>
      </c>
      <c r="AJ158" s="95">
        <f t="shared" si="62"/>
        <v>5</v>
      </c>
      <c r="AK158" s="95">
        <f t="shared" si="62"/>
        <v>6</v>
      </c>
      <c r="AL158" s="95">
        <f t="shared" si="62"/>
        <v>7</v>
      </c>
      <c r="AM158" s="95">
        <f t="shared" si="62"/>
        <v>1</v>
      </c>
      <c r="AN158" s="95">
        <f t="shared" si="62"/>
        <v>2</v>
      </c>
      <c r="AO158" s="95">
        <f t="shared" si="62"/>
        <v>3</v>
      </c>
      <c r="AP158" s="95">
        <f t="shared" si="62"/>
        <v>4</v>
      </c>
      <c r="AQ158" s="95">
        <f t="shared" si="62"/>
        <v>5</v>
      </c>
      <c r="AR158" s="95">
        <f t="shared" ref="AR158:BW158" si="63">AR8</f>
        <v>6</v>
      </c>
      <c r="AS158" s="95">
        <f t="shared" si="63"/>
        <v>7</v>
      </c>
      <c r="AT158" s="95">
        <f t="shared" si="63"/>
        <v>1</v>
      </c>
      <c r="AU158" s="95">
        <f t="shared" si="63"/>
        <v>2</v>
      </c>
      <c r="AV158" s="95">
        <f t="shared" si="63"/>
        <v>3</v>
      </c>
      <c r="AW158" s="95">
        <f t="shared" si="63"/>
        <v>4</v>
      </c>
      <c r="AX158" s="95">
        <f t="shared" si="63"/>
        <v>5</v>
      </c>
      <c r="AY158" s="95">
        <f t="shared" si="63"/>
        <v>6</v>
      </c>
      <c r="AZ158" s="95">
        <f t="shared" si="63"/>
        <v>7</v>
      </c>
      <c r="BA158" s="95">
        <f t="shared" si="63"/>
        <v>1</v>
      </c>
      <c r="BB158" s="95">
        <f t="shared" si="63"/>
        <v>2</v>
      </c>
      <c r="BC158" s="95">
        <f t="shared" si="63"/>
        <v>3</v>
      </c>
      <c r="BD158" s="95">
        <f t="shared" si="63"/>
        <v>4</v>
      </c>
      <c r="BE158" s="95">
        <f t="shared" si="63"/>
        <v>5</v>
      </c>
      <c r="BF158" s="95">
        <f t="shared" si="63"/>
        <v>6</v>
      </c>
      <c r="BG158" s="95">
        <f t="shared" si="63"/>
        <v>7</v>
      </c>
      <c r="BH158" s="95">
        <f t="shared" si="63"/>
        <v>1</v>
      </c>
      <c r="BI158" s="95">
        <f t="shared" si="63"/>
        <v>2</v>
      </c>
      <c r="BJ158" s="95">
        <f t="shared" si="63"/>
        <v>3</v>
      </c>
      <c r="BK158" s="95">
        <f t="shared" si="63"/>
        <v>4</v>
      </c>
      <c r="BL158" s="95">
        <f t="shared" si="63"/>
        <v>5</v>
      </c>
      <c r="BM158" s="95">
        <f t="shared" si="63"/>
        <v>6</v>
      </c>
      <c r="BN158" s="95">
        <f t="shared" si="63"/>
        <v>7</v>
      </c>
      <c r="BO158" s="95">
        <f t="shared" si="63"/>
        <v>1</v>
      </c>
      <c r="BP158" s="95">
        <f t="shared" si="63"/>
        <v>2</v>
      </c>
      <c r="BQ158" s="95">
        <f t="shared" si="63"/>
        <v>3</v>
      </c>
      <c r="BR158" s="95">
        <f t="shared" si="63"/>
        <v>4</v>
      </c>
      <c r="BS158" s="95">
        <f t="shared" si="63"/>
        <v>5</v>
      </c>
      <c r="BT158" s="95">
        <f t="shared" si="63"/>
        <v>6</v>
      </c>
      <c r="BU158" s="95">
        <f t="shared" si="63"/>
        <v>7</v>
      </c>
      <c r="BV158" s="95">
        <f t="shared" si="63"/>
        <v>1</v>
      </c>
      <c r="BW158" s="95">
        <f t="shared" si="63"/>
        <v>2</v>
      </c>
      <c r="BX158" s="95">
        <f t="shared" ref="BX158:DG158" si="64">BX8</f>
        <v>3</v>
      </c>
      <c r="BY158" s="95">
        <f t="shared" si="64"/>
        <v>4</v>
      </c>
      <c r="BZ158" s="95">
        <f t="shared" si="64"/>
        <v>5</v>
      </c>
      <c r="CA158" s="95">
        <f t="shared" si="64"/>
        <v>6</v>
      </c>
      <c r="CB158" s="95">
        <f t="shared" si="64"/>
        <v>7</v>
      </c>
      <c r="CC158" s="95">
        <f t="shared" si="64"/>
        <v>1</v>
      </c>
      <c r="CD158" s="95">
        <f t="shared" si="64"/>
        <v>2</v>
      </c>
      <c r="CE158" s="95">
        <f t="shared" si="64"/>
        <v>3</v>
      </c>
      <c r="CF158" s="95">
        <f t="shared" si="64"/>
        <v>4</v>
      </c>
      <c r="CG158" s="95">
        <f t="shared" si="64"/>
        <v>5</v>
      </c>
      <c r="CH158" s="95">
        <f t="shared" si="64"/>
        <v>6</v>
      </c>
      <c r="CI158" s="95">
        <f t="shared" si="64"/>
        <v>7</v>
      </c>
      <c r="CJ158" s="95">
        <f t="shared" si="64"/>
        <v>1</v>
      </c>
      <c r="CK158" s="95">
        <f t="shared" si="64"/>
        <v>2</v>
      </c>
      <c r="CL158" s="95">
        <f t="shared" si="64"/>
        <v>3</v>
      </c>
      <c r="CM158" s="95">
        <f t="shared" si="64"/>
        <v>4</v>
      </c>
      <c r="CN158" s="95">
        <f t="shared" si="64"/>
        <v>5</v>
      </c>
      <c r="CO158" s="95">
        <f t="shared" si="64"/>
        <v>6</v>
      </c>
      <c r="CP158" s="95">
        <f t="shared" si="64"/>
        <v>7</v>
      </c>
      <c r="CQ158" s="95">
        <f t="shared" si="64"/>
        <v>1</v>
      </c>
      <c r="CR158" s="95">
        <f t="shared" si="64"/>
        <v>2</v>
      </c>
      <c r="CS158" s="95">
        <f t="shared" si="64"/>
        <v>3</v>
      </c>
      <c r="CT158" s="95">
        <f t="shared" si="64"/>
        <v>4</v>
      </c>
      <c r="CU158" s="95">
        <f t="shared" si="64"/>
        <v>5</v>
      </c>
      <c r="CV158" s="95">
        <f t="shared" si="64"/>
        <v>6</v>
      </c>
      <c r="CW158" s="95">
        <f t="shared" si="64"/>
        <v>7</v>
      </c>
      <c r="CX158" s="95">
        <f t="shared" si="64"/>
        <v>1</v>
      </c>
      <c r="CY158" s="95">
        <f t="shared" si="64"/>
        <v>2</v>
      </c>
      <c r="CZ158" s="95">
        <f t="shared" si="64"/>
        <v>3</v>
      </c>
      <c r="DA158" s="95">
        <f t="shared" si="64"/>
        <v>4</v>
      </c>
      <c r="DB158" s="95">
        <f t="shared" si="64"/>
        <v>5</v>
      </c>
      <c r="DC158" s="95">
        <f t="shared" si="64"/>
        <v>6</v>
      </c>
      <c r="DD158" s="95">
        <f t="shared" si="64"/>
        <v>7</v>
      </c>
      <c r="DE158" s="95">
        <f t="shared" si="64"/>
        <v>1</v>
      </c>
      <c r="DF158" s="95">
        <f t="shared" si="64"/>
        <v>2</v>
      </c>
      <c r="DG158" s="95">
        <f t="shared" si="64"/>
        <v>3</v>
      </c>
      <c r="DH158" s="95">
        <f t="shared" ref="DH158:DI158" si="65">DH8</f>
        <v>4</v>
      </c>
      <c r="DI158" s="95">
        <f t="shared" si="65"/>
        <v>5</v>
      </c>
    </row>
    <row r="159" spans="1:113" s="75" customFormat="1">
      <c r="A159" s="114"/>
      <c r="B159" s="114"/>
      <c r="C159" s="76"/>
      <c r="D159" s="115"/>
      <c r="E159" s="114"/>
      <c r="F159" s="86"/>
      <c r="G159" s="86"/>
      <c r="H159" s="115"/>
      <c r="I159" s="50" t="s">
        <v>26</v>
      </c>
      <c r="J159" s="115"/>
      <c r="K159" s="116">
        <f>LOOKUP(K$1,L$1:DG$1,L159:DG159)</f>
        <v>1</v>
      </c>
      <c r="L159" s="115">
        <f t="shared" ref="L159:AQ159" si="66">L9</f>
        <v>1</v>
      </c>
      <c r="M159" s="115">
        <f t="shared" si="66"/>
        <v>1</v>
      </c>
      <c r="N159" s="115">
        <f t="shared" si="66"/>
        <v>1</v>
      </c>
      <c r="O159" s="115">
        <f t="shared" si="66"/>
        <v>1</v>
      </c>
      <c r="P159" s="115">
        <f t="shared" si="66"/>
        <v>1</v>
      </c>
      <c r="Q159" s="115">
        <f t="shared" si="66"/>
        <v>1</v>
      </c>
      <c r="R159" s="115">
        <f t="shared" si="66"/>
        <v>1</v>
      </c>
      <c r="S159" s="115">
        <f t="shared" si="66"/>
        <v>1</v>
      </c>
      <c r="T159" s="115">
        <f t="shared" si="66"/>
        <v>0</v>
      </c>
      <c r="U159" s="115">
        <f t="shared" si="66"/>
        <v>1</v>
      </c>
      <c r="V159" s="115">
        <f t="shared" si="66"/>
        <v>0</v>
      </c>
      <c r="W159" s="115">
        <f t="shared" si="66"/>
        <v>1</v>
      </c>
      <c r="X159" s="115">
        <f t="shared" si="66"/>
        <v>1</v>
      </c>
      <c r="Y159" s="115">
        <f t="shared" si="66"/>
        <v>1</v>
      </c>
      <c r="Z159" s="115">
        <f t="shared" si="66"/>
        <v>1</v>
      </c>
      <c r="AA159" s="115">
        <f t="shared" si="66"/>
        <v>1</v>
      </c>
      <c r="AB159" s="115">
        <f t="shared" si="66"/>
        <v>1</v>
      </c>
      <c r="AC159" s="115">
        <f t="shared" si="66"/>
        <v>1</v>
      </c>
      <c r="AD159" s="115">
        <f t="shared" si="66"/>
        <v>1</v>
      </c>
      <c r="AE159" s="115">
        <f t="shared" si="66"/>
        <v>1</v>
      </c>
      <c r="AF159" s="115">
        <f t="shared" si="66"/>
        <v>1</v>
      </c>
      <c r="AG159" s="115">
        <f t="shared" si="66"/>
        <v>1</v>
      </c>
      <c r="AH159" s="115">
        <f t="shared" si="66"/>
        <v>1</v>
      </c>
      <c r="AI159" s="115">
        <f t="shared" si="66"/>
        <v>1</v>
      </c>
      <c r="AJ159" s="115">
        <f t="shared" si="66"/>
        <v>1</v>
      </c>
      <c r="AK159" s="115">
        <f t="shared" si="66"/>
        <v>1</v>
      </c>
      <c r="AL159" s="115">
        <f t="shared" si="66"/>
        <v>1</v>
      </c>
      <c r="AM159" s="115">
        <f t="shared" si="66"/>
        <v>1</v>
      </c>
      <c r="AN159" s="115">
        <f t="shared" si="66"/>
        <v>1</v>
      </c>
      <c r="AO159" s="115">
        <f t="shared" si="66"/>
        <v>1</v>
      </c>
      <c r="AP159" s="115">
        <f t="shared" si="66"/>
        <v>1</v>
      </c>
      <c r="AQ159" s="115">
        <f t="shared" si="66"/>
        <v>1</v>
      </c>
      <c r="AR159" s="115">
        <f t="shared" ref="AR159:BW159" si="67">AR9</f>
        <v>1</v>
      </c>
      <c r="AS159" s="115">
        <f t="shared" si="67"/>
        <v>1</v>
      </c>
      <c r="AT159" s="115">
        <f t="shared" si="67"/>
        <v>1</v>
      </c>
      <c r="AU159" s="115">
        <f t="shared" si="67"/>
        <v>1</v>
      </c>
      <c r="AV159" s="115">
        <f t="shared" si="67"/>
        <v>1</v>
      </c>
      <c r="AW159" s="115">
        <f t="shared" si="67"/>
        <v>1</v>
      </c>
      <c r="AX159" s="115">
        <f t="shared" si="67"/>
        <v>1</v>
      </c>
      <c r="AY159" s="115">
        <f t="shared" si="67"/>
        <v>1</v>
      </c>
      <c r="AZ159" s="115">
        <f t="shared" si="67"/>
        <v>1</v>
      </c>
      <c r="BA159" s="115">
        <f t="shared" si="67"/>
        <v>1</v>
      </c>
      <c r="BB159" s="115">
        <f t="shared" si="67"/>
        <v>1</v>
      </c>
      <c r="BC159" s="115">
        <f t="shared" si="67"/>
        <v>1</v>
      </c>
      <c r="BD159" s="115">
        <f t="shared" si="67"/>
        <v>1</v>
      </c>
      <c r="BE159" s="115">
        <f t="shared" si="67"/>
        <v>1</v>
      </c>
      <c r="BF159" s="115">
        <f t="shared" si="67"/>
        <v>1</v>
      </c>
      <c r="BG159" s="115">
        <f t="shared" si="67"/>
        <v>1</v>
      </c>
      <c r="BH159" s="115">
        <f t="shared" si="67"/>
        <v>1</v>
      </c>
      <c r="BI159" s="115">
        <f t="shared" si="67"/>
        <v>1</v>
      </c>
      <c r="BJ159" s="115">
        <f t="shared" si="67"/>
        <v>1</v>
      </c>
      <c r="BK159" s="115">
        <f t="shared" si="67"/>
        <v>1</v>
      </c>
      <c r="BL159" s="115">
        <f t="shared" si="67"/>
        <v>1</v>
      </c>
      <c r="BM159" s="115">
        <f t="shared" si="67"/>
        <v>1</v>
      </c>
      <c r="BN159" s="115">
        <f t="shared" si="67"/>
        <v>1</v>
      </c>
      <c r="BO159" s="115">
        <f t="shared" si="67"/>
        <v>1</v>
      </c>
      <c r="BP159" s="115">
        <f t="shared" si="67"/>
        <v>1</v>
      </c>
      <c r="BQ159" s="115">
        <f t="shared" si="67"/>
        <v>1</v>
      </c>
      <c r="BR159" s="115">
        <f t="shared" si="67"/>
        <v>1</v>
      </c>
      <c r="BS159" s="115">
        <f t="shared" si="67"/>
        <v>1</v>
      </c>
      <c r="BT159" s="115">
        <f t="shared" si="67"/>
        <v>1</v>
      </c>
      <c r="BU159" s="115">
        <f t="shared" si="67"/>
        <v>1</v>
      </c>
      <c r="BV159" s="115">
        <f t="shared" si="67"/>
        <v>1</v>
      </c>
      <c r="BW159" s="115">
        <f t="shared" si="67"/>
        <v>1</v>
      </c>
      <c r="BX159" s="115">
        <f t="shared" ref="BX159:DG159" si="68">BX9</f>
        <v>1</v>
      </c>
      <c r="BY159" s="115">
        <f t="shared" si="68"/>
        <v>1</v>
      </c>
      <c r="BZ159" s="115">
        <f t="shared" si="68"/>
        <v>1</v>
      </c>
      <c r="CA159" s="115">
        <f t="shared" si="68"/>
        <v>1</v>
      </c>
      <c r="CB159" s="115">
        <f t="shared" si="68"/>
        <v>1</v>
      </c>
      <c r="CC159" s="115">
        <f t="shared" si="68"/>
        <v>1</v>
      </c>
      <c r="CD159" s="115">
        <f t="shared" si="68"/>
        <v>1</v>
      </c>
      <c r="CE159" s="115">
        <f t="shared" si="68"/>
        <v>1</v>
      </c>
      <c r="CF159" s="115">
        <f t="shared" si="68"/>
        <v>1</v>
      </c>
      <c r="CG159" s="115">
        <f t="shared" si="68"/>
        <v>1</v>
      </c>
      <c r="CH159" s="115">
        <f t="shared" si="68"/>
        <v>1</v>
      </c>
      <c r="CI159" s="115">
        <f t="shared" si="68"/>
        <v>1</v>
      </c>
      <c r="CJ159" s="115">
        <f t="shared" si="68"/>
        <v>1</v>
      </c>
      <c r="CK159" s="115">
        <f t="shared" si="68"/>
        <v>1</v>
      </c>
      <c r="CL159" s="115">
        <f t="shared" si="68"/>
        <v>1</v>
      </c>
      <c r="CM159" s="115">
        <f t="shared" si="68"/>
        <v>1</v>
      </c>
      <c r="CN159" s="115">
        <f t="shared" si="68"/>
        <v>1</v>
      </c>
      <c r="CO159" s="115">
        <f t="shared" si="68"/>
        <v>1</v>
      </c>
      <c r="CP159" s="115">
        <f t="shared" si="68"/>
        <v>1</v>
      </c>
      <c r="CQ159" s="115">
        <f t="shared" si="68"/>
        <v>1</v>
      </c>
      <c r="CR159" s="115">
        <f t="shared" si="68"/>
        <v>1</v>
      </c>
      <c r="CS159" s="115">
        <f t="shared" si="68"/>
        <v>1</v>
      </c>
      <c r="CT159" s="115">
        <f t="shared" si="68"/>
        <v>1</v>
      </c>
      <c r="CU159" s="115">
        <f t="shared" si="68"/>
        <v>1</v>
      </c>
      <c r="CV159" s="115">
        <f t="shared" si="68"/>
        <v>1</v>
      </c>
      <c r="CW159" s="115">
        <f t="shared" si="68"/>
        <v>1</v>
      </c>
      <c r="CX159" s="115">
        <f t="shared" si="68"/>
        <v>1</v>
      </c>
      <c r="CY159" s="115">
        <f t="shared" si="68"/>
        <v>1</v>
      </c>
      <c r="CZ159" s="115">
        <f t="shared" si="68"/>
        <v>1</v>
      </c>
      <c r="DA159" s="115">
        <f t="shared" si="68"/>
        <v>1</v>
      </c>
      <c r="DB159" s="115">
        <f t="shared" si="68"/>
        <v>1</v>
      </c>
      <c r="DC159" s="115">
        <f t="shared" si="68"/>
        <v>1</v>
      </c>
      <c r="DD159" s="115">
        <f t="shared" si="68"/>
        <v>1</v>
      </c>
      <c r="DE159" s="115">
        <f t="shared" si="68"/>
        <v>1</v>
      </c>
      <c r="DF159" s="115">
        <f t="shared" si="68"/>
        <v>1</v>
      </c>
      <c r="DG159" s="115">
        <f t="shared" si="68"/>
        <v>1</v>
      </c>
      <c r="DH159" s="115">
        <f t="shared" ref="DH159:DI159" si="69">DH9</f>
        <v>1</v>
      </c>
      <c r="DI159" s="115">
        <f t="shared" si="69"/>
        <v>1</v>
      </c>
    </row>
    <row r="160" spans="1:113" s="75" customFormat="1">
      <c r="A160" s="114"/>
      <c r="B160" s="114"/>
      <c r="C160" s="76"/>
      <c r="D160" s="115"/>
      <c r="E160" s="114"/>
      <c r="F160" s="86"/>
      <c r="G160" s="86"/>
      <c r="H160" s="115"/>
      <c r="I160" s="50" t="s">
        <v>27</v>
      </c>
      <c r="J160" s="115"/>
      <c r="K160" s="116">
        <f>LOOKUP(K$1,L$1:DG$1,L160:DG160)</f>
        <v>1</v>
      </c>
      <c r="L160" s="115">
        <f t="shared" ref="L160:AQ160" si="70">L10</f>
        <v>1</v>
      </c>
      <c r="M160" s="115">
        <f t="shared" si="70"/>
        <v>1</v>
      </c>
      <c r="N160" s="115">
        <f t="shared" si="70"/>
        <v>1</v>
      </c>
      <c r="O160" s="115">
        <f t="shared" si="70"/>
        <v>1</v>
      </c>
      <c r="P160" s="115">
        <f t="shared" si="70"/>
        <v>1</v>
      </c>
      <c r="Q160" s="115">
        <f t="shared" si="70"/>
        <v>1</v>
      </c>
      <c r="R160" s="115">
        <f t="shared" si="70"/>
        <v>1</v>
      </c>
      <c r="S160" s="115">
        <f t="shared" si="70"/>
        <v>1</v>
      </c>
      <c r="T160" s="115">
        <f t="shared" si="70"/>
        <v>0</v>
      </c>
      <c r="U160" s="115">
        <f t="shared" si="70"/>
        <v>1</v>
      </c>
      <c r="V160" s="115">
        <f t="shared" si="70"/>
        <v>0</v>
      </c>
      <c r="W160" s="115">
        <f t="shared" si="70"/>
        <v>1</v>
      </c>
      <c r="X160" s="115">
        <f t="shared" si="70"/>
        <v>1</v>
      </c>
      <c r="Y160" s="115">
        <f t="shared" si="70"/>
        <v>1</v>
      </c>
      <c r="Z160" s="115">
        <f t="shared" si="70"/>
        <v>1</v>
      </c>
      <c r="AA160" s="115">
        <f t="shared" si="70"/>
        <v>1</v>
      </c>
      <c r="AB160" s="115">
        <f t="shared" si="70"/>
        <v>1</v>
      </c>
      <c r="AC160" s="115">
        <f t="shared" si="70"/>
        <v>1</v>
      </c>
      <c r="AD160" s="115">
        <f t="shared" si="70"/>
        <v>1</v>
      </c>
      <c r="AE160" s="115">
        <f t="shared" si="70"/>
        <v>1</v>
      </c>
      <c r="AF160" s="115">
        <f t="shared" si="70"/>
        <v>1</v>
      </c>
      <c r="AG160" s="115">
        <f t="shared" si="70"/>
        <v>1</v>
      </c>
      <c r="AH160" s="115">
        <f t="shared" si="70"/>
        <v>1</v>
      </c>
      <c r="AI160" s="115">
        <f t="shared" si="70"/>
        <v>1</v>
      </c>
      <c r="AJ160" s="115">
        <f t="shared" si="70"/>
        <v>1</v>
      </c>
      <c r="AK160" s="115">
        <f t="shared" si="70"/>
        <v>1</v>
      </c>
      <c r="AL160" s="115">
        <f t="shared" si="70"/>
        <v>1</v>
      </c>
      <c r="AM160" s="115">
        <f t="shared" si="70"/>
        <v>1</v>
      </c>
      <c r="AN160" s="115">
        <f t="shared" si="70"/>
        <v>1</v>
      </c>
      <c r="AO160" s="115">
        <f t="shared" si="70"/>
        <v>1</v>
      </c>
      <c r="AP160" s="115">
        <f t="shared" si="70"/>
        <v>1</v>
      </c>
      <c r="AQ160" s="115">
        <f t="shared" si="70"/>
        <v>1</v>
      </c>
      <c r="AR160" s="115">
        <f t="shared" ref="AR160:BW160" si="71">AR10</f>
        <v>1</v>
      </c>
      <c r="AS160" s="115">
        <f t="shared" si="71"/>
        <v>1</v>
      </c>
      <c r="AT160" s="115">
        <f t="shared" si="71"/>
        <v>1</v>
      </c>
      <c r="AU160" s="115">
        <f t="shared" si="71"/>
        <v>1</v>
      </c>
      <c r="AV160" s="115">
        <f t="shared" si="71"/>
        <v>1</v>
      </c>
      <c r="AW160" s="115">
        <f t="shared" si="71"/>
        <v>1</v>
      </c>
      <c r="AX160" s="115">
        <f t="shared" si="71"/>
        <v>1</v>
      </c>
      <c r="AY160" s="115">
        <f t="shared" si="71"/>
        <v>1</v>
      </c>
      <c r="AZ160" s="115">
        <f t="shared" si="71"/>
        <v>1</v>
      </c>
      <c r="BA160" s="115">
        <f t="shared" si="71"/>
        <v>1</v>
      </c>
      <c r="BB160" s="115">
        <f t="shared" si="71"/>
        <v>1</v>
      </c>
      <c r="BC160" s="115">
        <f t="shared" si="71"/>
        <v>1</v>
      </c>
      <c r="BD160" s="115">
        <f t="shared" si="71"/>
        <v>1</v>
      </c>
      <c r="BE160" s="115">
        <f t="shared" si="71"/>
        <v>1</v>
      </c>
      <c r="BF160" s="115">
        <f t="shared" si="71"/>
        <v>1</v>
      </c>
      <c r="BG160" s="115">
        <f t="shared" si="71"/>
        <v>1</v>
      </c>
      <c r="BH160" s="115">
        <f t="shared" si="71"/>
        <v>1</v>
      </c>
      <c r="BI160" s="115">
        <f t="shared" si="71"/>
        <v>1</v>
      </c>
      <c r="BJ160" s="115">
        <f t="shared" si="71"/>
        <v>1</v>
      </c>
      <c r="BK160" s="115">
        <f t="shared" si="71"/>
        <v>1</v>
      </c>
      <c r="BL160" s="115">
        <f t="shared" si="71"/>
        <v>1</v>
      </c>
      <c r="BM160" s="115">
        <f t="shared" si="71"/>
        <v>1</v>
      </c>
      <c r="BN160" s="115">
        <f t="shared" si="71"/>
        <v>1</v>
      </c>
      <c r="BO160" s="115">
        <f t="shared" si="71"/>
        <v>1</v>
      </c>
      <c r="BP160" s="115">
        <f t="shared" si="71"/>
        <v>1</v>
      </c>
      <c r="BQ160" s="115">
        <f t="shared" si="71"/>
        <v>1</v>
      </c>
      <c r="BR160" s="115">
        <f t="shared" si="71"/>
        <v>1</v>
      </c>
      <c r="BS160" s="115">
        <f t="shared" si="71"/>
        <v>1</v>
      </c>
      <c r="BT160" s="115">
        <f t="shared" si="71"/>
        <v>1</v>
      </c>
      <c r="BU160" s="115">
        <f t="shared" si="71"/>
        <v>1</v>
      </c>
      <c r="BV160" s="115">
        <f t="shared" si="71"/>
        <v>1</v>
      </c>
      <c r="BW160" s="115">
        <f t="shared" si="71"/>
        <v>1</v>
      </c>
      <c r="BX160" s="115">
        <f t="shared" ref="BX160:DG160" si="72">BX10</f>
        <v>1</v>
      </c>
      <c r="BY160" s="115">
        <f t="shared" si="72"/>
        <v>1</v>
      </c>
      <c r="BZ160" s="115">
        <f t="shared" si="72"/>
        <v>1</v>
      </c>
      <c r="CA160" s="115">
        <f t="shared" si="72"/>
        <v>1</v>
      </c>
      <c r="CB160" s="115">
        <f t="shared" si="72"/>
        <v>1</v>
      </c>
      <c r="CC160" s="115">
        <f t="shared" si="72"/>
        <v>1</v>
      </c>
      <c r="CD160" s="115">
        <f t="shared" si="72"/>
        <v>1</v>
      </c>
      <c r="CE160" s="115">
        <f t="shared" si="72"/>
        <v>1</v>
      </c>
      <c r="CF160" s="115">
        <f t="shared" si="72"/>
        <v>1</v>
      </c>
      <c r="CG160" s="115">
        <f t="shared" si="72"/>
        <v>1</v>
      </c>
      <c r="CH160" s="115">
        <f t="shared" si="72"/>
        <v>1</v>
      </c>
      <c r="CI160" s="115">
        <f t="shared" si="72"/>
        <v>1</v>
      </c>
      <c r="CJ160" s="115">
        <f t="shared" si="72"/>
        <v>1</v>
      </c>
      <c r="CK160" s="115">
        <f t="shared" si="72"/>
        <v>1</v>
      </c>
      <c r="CL160" s="115">
        <f t="shared" si="72"/>
        <v>1</v>
      </c>
      <c r="CM160" s="115">
        <f t="shared" si="72"/>
        <v>1</v>
      </c>
      <c r="CN160" s="115">
        <f t="shared" si="72"/>
        <v>1</v>
      </c>
      <c r="CO160" s="115">
        <f t="shared" si="72"/>
        <v>1</v>
      </c>
      <c r="CP160" s="115">
        <f t="shared" si="72"/>
        <v>1</v>
      </c>
      <c r="CQ160" s="115">
        <f t="shared" si="72"/>
        <v>1</v>
      </c>
      <c r="CR160" s="115">
        <f t="shared" si="72"/>
        <v>1</v>
      </c>
      <c r="CS160" s="115">
        <f t="shared" si="72"/>
        <v>1</v>
      </c>
      <c r="CT160" s="115">
        <f t="shared" si="72"/>
        <v>1</v>
      </c>
      <c r="CU160" s="115">
        <f t="shared" si="72"/>
        <v>1</v>
      </c>
      <c r="CV160" s="115">
        <f t="shared" si="72"/>
        <v>1</v>
      </c>
      <c r="CW160" s="115">
        <f t="shared" si="72"/>
        <v>1</v>
      </c>
      <c r="CX160" s="115">
        <f t="shared" si="72"/>
        <v>1</v>
      </c>
      <c r="CY160" s="115">
        <f t="shared" si="72"/>
        <v>1</v>
      </c>
      <c r="CZ160" s="115">
        <f t="shared" si="72"/>
        <v>1</v>
      </c>
      <c r="DA160" s="115">
        <f t="shared" si="72"/>
        <v>1</v>
      </c>
      <c r="DB160" s="115">
        <f t="shared" si="72"/>
        <v>1</v>
      </c>
      <c r="DC160" s="115">
        <f t="shared" si="72"/>
        <v>1</v>
      </c>
      <c r="DD160" s="115">
        <f t="shared" si="72"/>
        <v>1</v>
      </c>
      <c r="DE160" s="115">
        <f t="shared" si="72"/>
        <v>1</v>
      </c>
      <c r="DF160" s="115">
        <f t="shared" si="72"/>
        <v>1</v>
      </c>
      <c r="DG160" s="115">
        <f t="shared" si="72"/>
        <v>1</v>
      </c>
      <c r="DH160" s="115">
        <f t="shared" ref="DH160:DI160" si="73">DH10</f>
        <v>1</v>
      </c>
      <c r="DI160" s="115">
        <f t="shared" si="73"/>
        <v>1</v>
      </c>
    </row>
    <row r="161" spans="1:113" s="75" customFormat="1" ht="33">
      <c r="A161" s="76"/>
      <c r="B161" s="76"/>
      <c r="C161" s="76"/>
      <c r="D161" s="117" t="s">
        <v>97</v>
      </c>
      <c r="E161" s="118" t="s">
        <v>19</v>
      </c>
      <c r="F161" s="119" t="s">
        <v>20</v>
      </c>
      <c r="G161" s="120"/>
      <c r="H161" s="121" t="str">
        <f>"累計"&amp;J1&amp;"至"&amp;K1&amp;"數量"</f>
        <v>累計1至36數量</v>
      </c>
      <c r="I161" s="122" t="s">
        <v>22</v>
      </c>
      <c r="J161" s="118" t="s">
        <v>23</v>
      </c>
      <c r="K161" s="118" t="s">
        <v>24</v>
      </c>
    </row>
    <row r="162" spans="1:113" s="75" customFormat="1">
      <c r="A162" s="76"/>
      <c r="B162" s="76"/>
      <c r="C162" s="76"/>
      <c r="D162" s="117"/>
      <c r="E162" s="118"/>
      <c r="F162" s="119"/>
      <c r="G162" s="120"/>
      <c r="H162" s="121"/>
      <c r="I162" s="122"/>
      <c r="J162" s="95" t="s">
        <v>11</v>
      </c>
      <c r="K162" s="78">
        <f>COUNT(K165:K168)</f>
        <v>0</v>
      </c>
    </row>
    <row r="163" spans="1:113" s="75" customFormat="1">
      <c r="A163" s="76"/>
      <c r="B163" s="76"/>
      <c r="C163" s="76"/>
      <c r="D163" s="117"/>
      <c r="E163" s="118"/>
      <c r="F163" s="119"/>
      <c r="G163" s="120"/>
      <c r="H163" s="121"/>
      <c r="I163" s="122"/>
      <c r="J163" s="95" t="s">
        <v>13</v>
      </c>
      <c r="K163" s="78">
        <f>COUNT(C165:C168)</f>
        <v>4</v>
      </c>
    </row>
    <row r="164" spans="1:113" s="131" customFormat="1">
      <c r="A164" s="98"/>
      <c r="B164" s="98"/>
      <c r="C164" s="98"/>
      <c r="D164" s="132"/>
      <c r="E164" s="99"/>
      <c r="F164" s="100"/>
      <c r="G164" s="151"/>
      <c r="H164" s="101"/>
      <c r="I164" s="102"/>
      <c r="J164" s="152" t="s">
        <v>15</v>
      </c>
      <c r="K164" s="153">
        <f ca="1">COUNT(A165:A168)</f>
        <v>0</v>
      </c>
    </row>
    <row r="165" spans="1:113" s="75" customFormat="1">
      <c r="A165" s="159" t="str">
        <f ca="1">IF(H165&gt;0,C165,"")</f>
        <v/>
      </c>
      <c r="B165" s="159" t="str">
        <f>IF(K165="","",C165)</f>
        <v/>
      </c>
      <c r="C165" s="76">
        <v>501</v>
      </c>
      <c r="D165" s="123" t="s">
        <v>137</v>
      </c>
      <c r="E165" s="124" t="s">
        <v>99</v>
      </c>
      <c r="F165" s="125"/>
      <c r="G165" s="85"/>
      <c r="H165" s="106">
        <f ca="1">SUM(OFFSET(L165,,J$1-1):OFFSET(L165,,K$1-1))</f>
        <v>0</v>
      </c>
      <c r="I165" s="107">
        <f ca="1">SUM(L165:OFFSET(L165,,K$1-1))</f>
        <v>0</v>
      </c>
      <c r="J165" s="106">
        <f ca="1">F165-I165</f>
        <v>0</v>
      </c>
      <c r="K165" s="108" t="str">
        <f>IF(LOOKUP(K$1,L$1:DG$1,L165:DG165)=0,"",LOOKUP(K$1,L$1:DG$1,L165:DG165))</f>
        <v/>
      </c>
    </row>
    <row r="166" spans="1:113" s="75" customFormat="1">
      <c r="A166" s="159" t="str">
        <f ca="1">IF(H166&gt;0,C166,"")</f>
        <v/>
      </c>
      <c r="B166" s="159" t="str">
        <f>IF(K166="","",C166)</f>
        <v/>
      </c>
      <c r="C166" s="76">
        <v>502</v>
      </c>
      <c r="D166" s="126" t="s">
        <v>124</v>
      </c>
      <c r="E166" s="124" t="s">
        <v>101</v>
      </c>
      <c r="F166" s="125"/>
      <c r="G166" s="85"/>
      <c r="H166" s="106">
        <f ca="1">SUM(OFFSET(L166,,J$1-1):OFFSET(L166,,K$1-1))</f>
        <v>0</v>
      </c>
      <c r="I166" s="107">
        <f ca="1">SUM(L166:OFFSET(L166,,K$1-1))</f>
        <v>0</v>
      </c>
      <c r="J166" s="106">
        <f ca="1">F166-I166</f>
        <v>0</v>
      </c>
      <c r="K166" s="108" t="str">
        <f>IF(LOOKUP(K$1,L$1:DG$1,L166:DG166)=0,"",LOOKUP(K$1,L$1:DG$1,L166:DG166))</f>
        <v/>
      </c>
    </row>
    <row r="167" spans="1:113" s="75" customFormat="1">
      <c r="A167" s="159" t="str">
        <f ca="1">IF(H167&gt;0,C167,"")</f>
        <v/>
      </c>
      <c r="B167" s="159" t="str">
        <f>IF(K167="","",C167)</f>
        <v/>
      </c>
      <c r="C167" s="76">
        <v>504</v>
      </c>
      <c r="D167" s="126" t="s">
        <v>100</v>
      </c>
      <c r="E167" s="124" t="s">
        <v>101</v>
      </c>
      <c r="F167" s="125"/>
      <c r="G167" s="85"/>
      <c r="H167" s="106">
        <f ca="1">SUM(OFFSET(L167,,J$1-1):OFFSET(L167,,K$1-1))</f>
        <v>0</v>
      </c>
      <c r="I167" s="107">
        <f ca="1">SUM(L167:OFFSET(L167,,K$1-1))</f>
        <v>0</v>
      </c>
      <c r="J167" s="106">
        <f ca="1">F167-I167</f>
        <v>0</v>
      </c>
      <c r="K167" s="108" t="str">
        <f>IF(LOOKUP(K$1,L$1:DG$1,L167:DG167)=0,"",LOOKUP(K$1,L$1:DG$1,L167:DG167))</f>
        <v/>
      </c>
    </row>
    <row r="168" spans="1:113" s="131" customFormat="1" ht="21" customHeight="1">
      <c r="A168" s="160" t="str">
        <f ca="1">IF(H168&gt;0,C168,"")</f>
        <v/>
      </c>
      <c r="B168" s="160" t="str">
        <f>IF(K168="","",C168)</f>
        <v/>
      </c>
      <c r="C168" s="98">
        <v>505</v>
      </c>
      <c r="D168" s="127"/>
      <c r="E168" s="128"/>
      <c r="F168" s="129"/>
      <c r="G168" s="130"/>
      <c r="H168" s="110">
        <f ca="1">SUM(OFFSET(L168,,J$1-1):OFFSET(L168,,K$1-1))</f>
        <v>0</v>
      </c>
      <c r="I168" s="111">
        <f ca="1">SUM(L168:OFFSET(L168,,K$1-1))</f>
        <v>0</v>
      </c>
      <c r="J168" s="110">
        <f ca="1">F168-I168</f>
        <v>0</v>
      </c>
      <c r="K168" s="108" t="str">
        <f>IF(LOOKUP(K$1,L$1:DG$1,L168:DG168)=0,"",LOOKUP(K$1,L$1:DG$1,L168:DG168))</f>
        <v/>
      </c>
    </row>
    <row r="169" spans="1:113" s="75" customFormat="1" ht="33" customHeight="1">
      <c r="A169" s="76"/>
      <c r="B169" s="76"/>
      <c r="C169" s="76"/>
      <c r="D169" s="150" t="s">
        <v>98</v>
      </c>
      <c r="E169" s="150"/>
      <c r="F169" s="150"/>
      <c r="G169" s="150"/>
      <c r="H169" s="121" t="str">
        <f>"累計"&amp;J1&amp;"至"&amp;K1&amp;"數量"</f>
        <v>累計1至36數量</v>
      </c>
      <c r="I169" s="122" t="s">
        <v>22</v>
      </c>
      <c r="J169" s="150"/>
      <c r="K169" s="76"/>
    </row>
    <row r="170" spans="1:113" s="75" customFormat="1">
      <c r="A170" s="76"/>
      <c r="B170" s="76"/>
      <c r="C170" s="76"/>
      <c r="D170" s="117"/>
      <c r="E170" s="85"/>
      <c r="F170" s="85"/>
      <c r="G170" s="85"/>
      <c r="H170" s="85"/>
      <c r="I170" s="85"/>
      <c r="J170" s="95" t="s">
        <v>11</v>
      </c>
      <c r="K170" s="78">
        <f>COUNT(K173:K188)</f>
        <v>1</v>
      </c>
    </row>
    <row r="171" spans="1:113" s="75" customFormat="1">
      <c r="A171" s="76"/>
      <c r="B171" s="76"/>
      <c r="C171" s="76"/>
      <c r="D171" s="117"/>
      <c r="E171" s="85"/>
      <c r="F171" s="85"/>
      <c r="G171" s="85"/>
      <c r="H171" s="85"/>
      <c r="I171" s="85"/>
      <c r="J171" s="95" t="s">
        <v>13</v>
      </c>
      <c r="K171" s="78">
        <f>COUNT(C173:C188)</f>
        <v>16</v>
      </c>
    </row>
    <row r="172" spans="1:113" s="75" customFormat="1">
      <c r="A172" s="76"/>
      <c r="B172" s="76"/>
      <c r="C172" s="76"/>
      <c r="D172" s="132"/>
      <c r="E172" s="85"/>
      <c r="F172" s="85"/>
      <c r="G172" s="85"/>
      <c r="H172" s="85"/>
      <c r="I172" s="85"/>
      <c r="J172" s="95" t="s">
        <v>15</v>
      </c>
      <c r="K172" s="78">
        <f ca="1">COUNT(A173:A188)</f>
        <v>9</v>
      </c>
    </row>
    <row r="173" spans="1:113" s="75" customFormat="1">
      <c r="A173" s="159" t="str">
        <f ca="1">IF(H173&gt;0,C173,"")</f>
        <v/>
      </c>
      <c r="B173" s="159" t="str">
        <f>IF(K173="","",C173)</f>
        <v/>
      </c>
      <c r="C173" s="76">
        <v>601</v>
      </c>
      <c r="D173" s="133" t="s">
        <v>135</v>
      </c>
      <c r="E173" s="76"/>
      <c r="F173" s="85"/>
      <c r="G173" s="85"/>
      <c r="H173" s="106">
        <f ca="1">SUM(OFFSET(L173,,J$1-1):OFFSET(L173,,K$1-1))</f>
        <v>0</v>
      </c>
      <c r="I173" s="107">
        <f ca="1">SUM(L173:OFFSET(L173,,K$1-1))</f>
        <v>0</v>
      </c>
      <c r="J173" s="106"/>
      <c r="K173" s="108" t="str">
        <f t="shared" ref="K173:K188" si="74">IF(LOOKUP(K$1,L$1:DG$1,L173:DG173)=0,"",LOOKUP(K$1,L$1:DG$1,L173:DG173))</f>
        <v/>
      </c>
      <c r="L173" s="145"/>
      <c r="M173" s="145"/>
      <c r="N173" s="145"/>
      <c r="O173" s="145"/>
      <c r="P173" s="145"/>
      <c r="Q173" s="145"/>
      <c r="R173" s="145"/>
      <c r="S173" s="145"/>
      <c r="T173" s="145"/>
      <c r="U173" s="145"/>
      <c r="V173" s="145"/>
      <c r="W173" s="145"/>
      <c r="X173" s="145"/>
      <c r="Y173" s="145"/>
      <c r="Z173" s="145"/>
      <c r="AA173" s="145"/>
      <c r="AB173" s="145"/>
      <c r="AC173" s="145"/>
      <c r="AD173" s="145"/>
      <c r="AE173" s="145"/>
      <c r="AF173" s="145"/>
      <c r="AG173" s="145"/>
      <c r="AH173" s="145"/>
      <c r="AI173" s="145"/>
      <c r="AJ173" s="145"/>
      <c r="AK173" s="145"/>
      <c r="AL173" s="145"/>
      <c r="AM173" s="145"/>
      <c r="AN173" s="145"/>
      <c r="AO173" s="145"/>
      <c r="AP173" s="145"/>
      <c r="AQ173" s="145"/>
      <c r="AR173" s="145"/>
      <c r="AS173" s="145"/>
      <c r="AT173" s="145"/>
      <c r="AU173" s="145"/>
      <c r="AV173" s="145"/>
      <c r="AW173" s="145"/>
      <c r="AX173" s="145"/>
      <c r="AY173" s="145"/>
      <c r="AZ173" s="145"/>
      <c r="BA173" s="145"/>
      <c r="BB173" s="145"/>
      <c r="BC173" s="145"/>
      <c r="BD173" s="145"/>
      <c r="BE173" s="145"/>
      <c r="BF173" s="145"/>
      <c r="BG173" s="145"/>
      <c r="BH173" s="145"/>
      <c r="BI173" s="145"/>
      <c r="BJ173" s="145"/>
      <c r="BK173" s="145"/>
      <c r="BL173" s="145"/>
      <c r="BM173" s="145"/>
      <c r="BN173" s="145"/>
      <c r="BO173" s="145"/>
      <c r="BP173" s="145"/>
      <c r="BQ173" s="145"/>
      <c r="BR173" s="145"/>
      <c r="BS173" s="145"/>
      <c r="BT173" s="145"/>
      <c r="BU173" s="145"/>
      <c r="BV173" s="145"/>
      <c r="BW173" s="145"/>
      <c r="BX173" s="145"/>
      <c r="BY173" s="145"/>
      <c r="BZ173" s="145"/>
      <c r="CA173" s="145"/>
      <c r="CB173" s="145"/>
      <c r="CC173" s="145"/>
      <c r="CD173" s="145"/>
      <c r="CE173" s="145"/>
      <c r="CF173" s="145"/>
      <c r="CG173" s="145"/>
      <c r="CH173" s="145"/>
      <c r="CI173" s="145"/>
      <c r="CJ173" s="145"/>
      <c r="CK173" s="145"/>
      <c r="CL173" s="145"/>
      <c r="CM173" s="145"/>
      <c r="CN173" s="145"/>
      <c r="CO173" s="145"/>
      <c r="CP173" s="145"/>
      <c r="CQ173" s="145"/>
      <c r="CR173" s="145"/>
      <c r="CS173" s="145"/>
      <c r="CT173" s="145"/>
      <c r="CU173" s="145"/>
      <c r="CV173" s="145"/>
      <c r="CW173" s="145"/>
      <c r="CX173" s="145"/>
      <c r="CY173" s="145"/>
      <c r="CZ173" s="145"/>
      <c r="DA173" s="145"/>
      <c r="DB173" s="145"/>
      <c r="DC173" s="145"/>
      <c r="DD173" s="145"/>
      <c r="DE173" s="145"/>
      <c r="DF173" s="145"/>
      <c r="DG173" s="145"/>
      <c r="DH173" s="145"/>
      <c r="DI173" s="145"/>
    </row>
    <row r="174" spans="1:113" s="75" customFormat="1">
      <c r="A174" s="159" t="str">
        <f t="shared" ref="A174:A186" ca="1" si="75">IF(H174&gt;0,C174,"")</f>
        <v/>
      </c>
      <c r="B174" s="159" t="str">
        <f t="shared" ref="B174:B188" si="76">IF(K174="","",C174)</f>
        <v/>
      </c>
      <c r="C174" s="76">
        <v>602</v>
      </c>
      <c r="D174" s="134" t="s">
        <v>102</v>
      </c>
      <c r="E174" s="76"/>
      <c r="F174" s="85"/>
      <c r="G174" s="85"/>
      <c r="H174" s="106">
        <f ca="1">SUM(OFFSET(L174,,J$1-1):OFFSET(L174,,K$1-1))</f>
        <v>0</v>
      </c>
      <c r="I174" s="107">
        <f ca="1">SUM(L174:OFFSET(L174,,K$1-1))</f>
        <v>0</v>
      </c>
      <c r="J174" s="106"/>
      <c r="K174" s="108" t="str">
        <f t="shared" si="74"/>
        <v/>
      </c>
      <c r="L174" s="145"/>
      <c r="M174" s="145"/>
      <c r="N174" s="145"/>
      <c r="O174" s="145"/>
      <c r="P174" s="145"/>
      <c r="Q174" s="145"/>
      <c r="R174" s="145"/>
      <c r="S174" s="145"/>
      <c r="T174" s="145"/>
      <c r="U174" s="145"/>
      <c r="V174" s="145"/>
      <c r="W174" s="145"/>
      <c r="X174" s="145"/>
      <c r="Y174" s="145"/>
      <c r="Z174" s="145"/>
      <c r="AA174" s="145"/>
      <c r="AB174" s="145"/>
      <c r="AC174" s="145"/>
      <c r="AD174" s="145"/>
      <c r="AE174" s="145"/>
      <c r="AF174" s="145"/>
      <c r="AG174" s="145"/>
      <c r="AH174" s="145"/>
      <c r="AI174" s="145"/>
      <c r="AJ174" s="145"/>
      <c r="AK174" s="145"/>
      <c r="AL174" s="145"/>
      <c r="AM174" s="145"/>
      <c r="AN174" s="145"/>
      <c r="AO174" s="145"/>
      <c r="AP174" s="145"/>
      <c r="AQ174" s="145"/>
      <c r="AR174" s="145"/>
      <c r="AS174" s="145"/>
      <c r="AT174" s="145"/>
      <c r="AU174" s="145"/>
      <c r="AV174" s="145"/>
      <c r="AW174" s="145"/>
      <c r="AX174" s="145"/>
      <c r="AY174" s="145"/>
      <c r="AZ174" s="145"/>
      <c r="BA174" s="145"/>
      <c r="BB174" s="145"/>
      <c r="BC174" s="145"/>
      <c r="BD174" s="145"/>
      <c r="BE174" s="145"/>
      <c r="BF174" s="145"/>
      <c r="BG174" s="145"/>
      <c r="BH174" s="145"/>
      <c r="BI174" s="145"/>
      <c r="BJ174" s="145"/>
      <c r="BK174" s="145"/>
      <c r="BL174" s="145"/>
      <c r="BM174" s="145"/>
      <c r="BN174" s="145"/>
      <c r="BO174" s="145"/>
      <c r="BP174" s="145"/>
      <c r="BQ174" s="145"/>
      <c r="BR174" s="145"/>
      <c r="BS174" s="145"/>
      <c r="BT174" s="145"/>
      <c r="BU174" s="145"/>
      <c r="BV174" s="145"/>
      <c r="BW174" s="145"/>
      <c r="BX174" s="145"/>
      <c r="BY174" s="145"/>
      <c r="BZ174" s="145"/>
      <c r="CA174" s="145"/>
      <c r="CB174" s="145"/>
      <c r="CC174" s="145"/>
      <c r="CD174" s="145"/>
      <c r="CE174" s="145"/>
      <c r="CF174" s="145"/>
      <c r="CG174" s="145"/>
      <c r="CH174" s="145"/>
      <c r="CI174" s="145"/>
      <c r="CJ174" s="145"/>
      <c r="CK174" s="145"/>
      <c r="CL174" s="145"/>
      <c r="CM174" s="145"/>
      <c r="CN174" s="145"/>
      <c r="CO174" s="145"/>
      <c r="CP174" s="145"/>
      <c r="CQ174" s="145"/>
      <c r="CR174" s="145"/>
      <c r="CS174" s="145"/>
      <c r="CT174" s="145"/>
      <c r="CU174" s="145"/>
      <c r="CV174" s="145"/>
      <c r="CW174" s="145"/>
      <c r="CX174" s="145"/>
      <c r="CY174" s="145"/>
      <c r="CZ174" s="145"/>
      <c r="DA174" s="145"/>
      <c r="DB174" s="145"/>
      <c r="DC174" s="145"/>
      <c r="DD174" s="145"/>
      <c r="DE174" s="145"/>
      <c r="DF174" s="145"/>
      <c r="DG174" s="145"/>
      <c r="DH174" s="145"/>
      <c r="DI174" s="145"/>
    </row>
    <row r="175" spans="1:113" s="75" customFormat="1">
      <c r="A175" s="159" t="str">
        <f t="shared" ca="1" si="75"/>
        <v/>
      </c>
      <c r="B175" s="159" t="str">
        <f t="shared" si="76"/>
        <v/>
      </c>
      <c r="C175" s="76">
        <v>603</v>
      </c>
      <c r="D175" s="134" t="s">
        <v>103</v>
      </c>
      <c r="E175" s="76"/>
      <c r="F175" s="85"/>
      <c r="G175" s="85"/>
      <c r="H175" s="106">
        <f ca="1">SUM(OFFSET(L175,,J$1-1):OFFSET(L175,,K$1-1))</f>
        <v>0</v>
      </c>
      <c r="I175" s="107">
        <f ca="1">SUM(L175:OFFSET(L175,,K$1-1))</f>
        <v>0</v>
      </c>
      <c r="J175" s="106"/>
      <c r="K175" s="108" t="str">
        <f t="shared" si="74"/>
        <v/>
      </c>
      <c r="L175" s="145"/>
      <c r="M175" s="145"/>
      <c r="N175" s="145"/>
      <c r="O175" s="145"/>
      <c r="P175" s="145"/>
      <c r="Q175" s="145"/>
      <c r="R175" s="145"/>
      <c r="S175" s="145"/>
      <c r="T175" s="145"/>
      <c r="U175" s="145"/>
      <c r="V175" s="145"/>
      <c r="W175" s="145"/>
      <c r="X175" s="145"/>
      <c r="Y175" s="145"/>
      <c r="Z175" s="145"/>
      <c r="AA175" s="145"/>
      <c r="AB175" s="145"/>
      <c r="AC175" s="145"/>
      <c r="AD175" s="145"/>
      <c r="AE175" s="145"/>
      <c r="AF175" s="145"/>
      <c r="AG175" s="145"/>
      <c r="AH175" s="145"/>
      <c r="AI175" s="145"/>
      <c r="AJ175" s="145"/>
      <c r="AK175" s="145"/>
      <c r="AL175" s="145"/>
      <c r="AM175" s="145"/>
      <c r="AN175" s="145"/>
      <c r="AO175" s="145"/>
      <c r="AP175" s="145"/>
      <c r="AQ175" s="145"/>
      <c r="AR175" s="145"/>
      <c r="AS175" s="145"/>
      <c r="AT175" s="145"/>
      <c r="AU175" s="145"/>
      <c r="AV175" s="145"/>
      <c r="AW175" s="145"/>
      <c r="AX175" s="145"/>
      <c r="AY175" s="145"/>
      <c r="AZ175" s="145"/>
      <c r="BA175" s="145"/>
      <c r="BB175" s="145"/>
      <c r="BC175" s="145"/>
      <c r="BD175" s="145"/>
      <c r="BE175" s="145"/>
      <c r="BF175" s="145"/>
      <c r="BG175" s="145"/>
      <c r="BH175" s="145"/>
      <c r="BI175" s="145"/>
      <c r="BJ175" s="145"/>
      <c r="BK175" s="145"/>
      <c r="BL175" s="145"/>
      <c r="BM175" s="145"/>
      <c r="BN175" s="145"/>
      <c r="BO175" s="145"/>
      <c r="BP175" s="145"/>
      <c r="BQ175" s="145"/>
      <c r="BR175" s="145"/>
      <c r="BS175" s="145"/>
      <c r="BT175" s="145"/>
      <c r="BU175" s="145"/>
      <c r="BV175" s="145"/>
      <c r="BW175" s="145"/>
      <c r="BX175" s="145"/>
      <c r="BY175" s="145"/>
      <c r="BZ175" s="145"/>
      <c r="CA175" s="145"/>
      <c r="CB175" s="145"/>
      <c r="CC175" s="145"/>
      <c r="CD175" s="145"/>
      <c r="CE175" s="145"/>
      <c r="CF175" s="145"/>
      <c r="CG175" s="145"/>
      <c r="CH175" s="145"/>
      <c r="CI175" s="145"/>
      <c r="CJ175" s="145"/>
      <c r="CK175" s="145"/>
      <c r="CL175" s="145"/>
      <c r="CM175" s="145"/>
      <c r="CN175" s="145"/>
      <c r="CO175" s="145"/>
      <c r="CP175" s="145"/>
      <c r="CQ175" s="145"/>
      <c r="CR175" s="145"/>
      <c r="CS175" s="145"/>
      <c r="CT175" s="145"/>
      <c r="CU175" s="145"/>
      <c r="CV175" s="145"/>
      <c r="CW175" s="145"/>
      <c r="CX175" s="145"/>
      <c r="CY175" s="145"/>
      <c r="CZ175" s="145"/>
      <c r="DA175" s="145"/>
      <c r="DB175" s="145"/>
      <c r="DC175" s="145"/>
      <c r="DD175" s="145"/>
      <c r="DE175" s="145"/>
      <c r="DF175" s="145"/>
      <c r="DG175" s="145"/>
      <c r="DH175" s="145"/>
      <c r="DI175" s="145"/>
    </row>
    <row r="176" spans="1:113" s="75" customFormat="1">
      <c r="A176" s="159" t="str">
        <f t="shared" ca="1" si="75"/>
        <v/>
      </c>
      <c r="B176" s="159" t="str">
        <f t="shared" si="76"/>
        <v/>
      </c>
      <c r="C176" s="76">
        <v>604</v>
      </c>
      <c r="D176" s="134" t="s">
        <v>119</v>
      </c>
      <c r="E176" s="76"/>
      <c r="F176" s="85"/>
      <c r="G176" s="85"/>
      <c r="H176" s="106">
        <f ca="1">SUM(OFFSET(L176,,J$1-1):OFFSET(L176,,K$1-1))</f>
        <v>0</v>
      </c>
      <c r="I176" s="107">
        <f ca="1">SUM(L176:OFFSET(L176,,K$1-1))</f>
        <v>0</v>
      </c>
      <c r="J176" s="106"/>
      <c r="K176" s="108" t="str">
        <f t="shared" si="74"/>
        <v/>
      </c>
      <c r="L176" s="145"/>
      <c r="M176" s="145"/>
      <c r="N176" s="145"/>
      <c r="O176" s="145"/>
      <c r="P176" s="145"/>
      <c r="Q176" s="145"/>
      <c r="R176" s="145"/>
      <c r="S176" s="145"/>
      <c r="T176" s="145"/>
      <c r="U176" s="145"/>
      <c r="V176" s="145"/>
      <c r="W176" s="145"/>
      <c r="X176" s="145"/>
      <c r="Y176" s="145"/>
      <c r="Z176" s="145"/>
      <c r="AA176" s="145"/>
      <c r="AB176" s="145"/>
      <c r="AC176" s="145"/>
      <c r="AD176" s="145"/>
      <c r="AE176" s="145"/>
      <c r="AF176" s="145"/>
      <c r="AG176" s="145"/>
      <c r="AH176" s="145"/>
      <c r="AI176" s="145"/>
      <c r="AJ176" s="145"/>
      <c r="AK176" s="145"/>
      <c r="AL176" s="145"/>
      <c r="AM176" s="145"/>
      <c r="AN176" s="145"/>
      <c r="AO176" s="145"/>
      <c r="AP176" s="145"/>
      <c r="AQ176" s="145"/>
      <c r="AR176" s="145"/>
      <c r="AS176" s="145"/>
      <c r="AT176" s="145"/>
      <c r="AU176" s="145"/>
      <c r="AV176" s="145"/>
      <c r="AW176" s="145"/>
      <c r="AX176" s="145"/>
      <c r="AY176" s="145"/>
      <c r="AZ176" s="145"/>
      <c r="BA176" s="145"/>
      <c r="BB176" s="145"/>
      <c r="BC176" s="145"/>
      <c r="BD176" s="145"/>
      <c r="BE176" s="145"/>
      <c r="BF176" s="145"/>
      <c r="BG176" s="145"/>
      <c r="BH176" s="145"/>
      <c r="BI176" s="145"/>
      <c r="BJ176" s="145"/>
      <c r="BK176" s="145"/>
      <c r="BL176" s="145"/>
      <c r="BM176" s="145"/>
      <c r="BN176" s="145"/>
      <c r="BO176" s="145"/>
      <c r="BP176" s="145"/>
      <c r="BQ176" s="145"/>
      <c r="BR176" s="145"/>
      <c r="BS176" s="145"/>
      <c r="BT176" s="145"/>
      <c r="BU176" s="145"/>
      <c r="BV176" s="145"/>
      <c r="BW176" s="145"/>
      <c r="BX176" s="145"/>
      <c r="BY176" s="145"/>
      <c r="BZ176" s="145"/>
      <c r="CA176" s="145"/>
      <c r="CB176" s="145"/>
      <c r="CC176" s="145"/>
      <c r="CD176" s="145"/>
      <c r="CE176" s="145"/>
      <c r="CF176" s="145"/>
      <c r="CG176" s="145"/>
      <c r="CH176" s="145"/>
      <c r="CI176" s="145"/>
      <c r="CJ176" s="145"/>
      <c r="CK176" s="145"/>
      <c r="CL176" s="145"/>
      <c r="CM176" s="145"/>
      <c r="CN176" s="145"/>
      <c r="CO176" s="145"/>
      <c r="CP176" s="145"/>
      <c r="CQ176" s="145"/>
      <c r="CR176" s="145"/>
      <c r="CS176" s="145"/>
      <c r="CT176" s="145"/>
      <c r="CU176" s="145"/>
      <c r="CV176" s="145"/>
      <c r="CW176" s="145"/>
      <c r="CX176" s="145"/>
      <c r="CY176" s="145"/>
      <c r="CZ176" s="145"/>
      <c r="DA176" s="145"/>
      <c r="DB176" s="145"/>
      <c r="DC176" s="145"/>
      <c r="DD176" s="145"/>
      <c r="DE176" s="145"/>
      <c r="DF176" s="145"/>
      <c r="DG176" s="145"/>
      <c r="DH176" s="145"/>
      <c r="DI176" s="145"/>
    </row>
    <row r="177" spans="1:113" s="75" customFormat="1">
      <c r="A177" s="159">
        <f t="shared" ca="1" si="75"/>
        <v>605</v>
      </c>
      <c r="B177" s="159" t="str">
        <f t="shared" si="76"/>
        <v/>
      </c>
      <c r="C177" s="76">
        <v>605</v>
      </c>
      <c r="D177" s="134" t="s">
        <v>132</v>
      </c>
      <c r="E177" s="76"/>
      <c r="F177" s="85"/>
      <c r="G177" s="85"/>
      <c r="H177" s="106">
        <f ca="1">SUM(OFFSET(L177,,J$1-1):OFFSET(L177,,K$1-1))</f>
        <v>26</v>
      </c>
      <c r="I177" s="107">
        <f ca="1">SUM(L177:OFFSET(L177,,K$1-1))</f>
        <v>26</v>
      </c>
      <c r="J177" s="106"/>
      <c r="K177" s="108" t="str">
        <f t="shared" si="74"/>
        <v/>
      </c>
      <c r="L177" s="145"/>
      <c r="M177" s="145"/>
      <c r="N177" s="145"/>
      <c r="O177" s="145"/>
      <c r="P177" s="145"/>
      <c r="Q177" s="145"/>
      <c r="R177" s="145"/>
      <c r="S177" s="145"/>
      <c r="T177" s="145"/>
      <c r="U177" s="145"/>
      <c r="V177" s="145"/>
      <c r="W177" s="145"/>
      <c r="X177" s="145"/>
      <c r="Y177" s="145"/>
      <c r="Z177" s="145">
        <v>3</v>
      </c>
      <c r="AA177" s="145"/>
      <c r="AB177" s="145">
        <v>3</v>
      </c>
      <c r="AC177" s="145">
        <v>4</v>
      </c>
      <c r="AD177" s="145"/>
      <c r="AE177" s="145">
        <v>4</v>
      </c>
      <c r="AF177" s="145"/>
      <c r="AG177" s="145">
        <v>5</v>
      </c>
      <c r="AH177" s="145">
        <v>3</v>
      </c>
      <c r="AI177" s="145"/>
      <c r="AJ177" s="145"/>
      <c r="AK177" s="145"/>
      <c r="AL177" s="145"/>
      <c r="AM177" s="145"/>
      <c r="AN177" s="145"/>
      <c r="AO177" s="145"/>
      <c r="AP177" s="145"/>
      <c r="AQ177" s="145">
        <v>1</v>
      </c>
      <c r="AR177" s="145">
        <v>1</v>
      </c>
      <c r="AS177" s="145">
        <v>2</v>
      </c>
      <c r="AT177" s="145"/>
      <c r="AU177" s="145"/>
      <c r="AV177" s="145"/>
      <c r="AW177" s="145"/>
      <c r="AX177" s="145"/>
      <c r="AY177" s="145"/>
      <c r="AZ177" s="145"/>
      <c r="BA177" s="145"/>
      <c r="BB177" s="145"/>
      <c r="BC177" s="145"/>
      <c r="BD177" s="145"/>
      <c r="BE177" s="145"/>
      <c r="BF177" s="145"/>
      <c r="BG177" s="145"/>
      <c r="BH177" s="145"/>
      <c r="BI177" s="145"/>
      <c r="BJ177" s="145"/>
      <c r="BK177" s="145"/>
      <c r="BL177" s="145"/>
      <c r="BM177" s="145"/>
      <c r="BN177" s="145"/>
      <c r="BO177" s="145"/>
      <c r="BP177" s="145"/>
      <c r="BQ177" s="145"/>
      <c r="BR177" s="145"/>
      <c r="BS177" s="145"/>
      <c r="BT177" s="145"/>
      <c r="BU177" s="145"/>
      <c r="BV177" s="145"/>
      <c r="BW177" s="145"/>
      <c r="BX177" s="145"/>
      <c r="BY177" s="145"/>
      <c r="BZ177" s="145"/>
      <c r="CA177" s="145"/>
      <c r="CB177" s="145"/>
      <c r="CC177" s="145"/>
      <c r="CD177" s="145"/>
      <c r="CE177" s="145"/>
      <c r="CF177" s="145"/>
      <c r="CG177" s="145"/>
      <c r="CH177" s="145"/>
      <c r="CI177" s="145"/>
      <c r="CJ177" s="145"/>
      <c r="CK177" s="145"/>
      <c r="CL177" s="145"/>
      <c r="CM177" s="145"/>
      <c r="CN177" s="145"/>
      <c r="CO177" s="145"/>
      <c r="CP177" s="145"/>
      <c r="CQ177" s="145"/>
      <c r="CR177" s="145"/>
      <c r="CS177" s="145"/>
      <c r="CT177" s="145"/>
      <c r="CU177" s="145"/>
      <c r="CV177" s="145"/>
      <c r="CW177" s="145"/>
      <c r="CX177" s="145"/>
      <c r="CY177" s="145"/>
      <c r="CZ177" s="145"/>
      <c r="DA177" s="145"/>
      <c r="DB177" s="145"/>
      <c r="DC177" s="145"/>
      <c r="DD177" s="145"/>
      <c r="DE177" s="145"/>
      <c r="DF177" s="145"/>
      <c r="DG177" s="145"/>
      <c r="DH177" s="145"/>
      <c r="DI177" s="145"/>
    </row>
    <row r="178" spans="1:113" s="75" customFormat="1">
      <c r="A178" s="159">
        <f t="shared" ca="1" si="75"/>
        <v>606</v>
      </c>
      <c r="B178" s="159" t="str">
        <f t="shared" si="76"/>
        <v/>
      </c>
      <c r="C178" s="76">
        <v>606</v>
      </c>
      <c r="D178" s="134" t="s">
        <v>118</v>
      </c>
      <c r="E178" s="76"/>
      <c r="F178" s="85"/>
      <c r="G178" s="85"/>
      <c r="H178" s="106">
        <f ca="1">SUM(OFFSET(L178,,J$1-1):OFFSET(L178,,K$1-1))</f>
        <v>10</v>
      </c>
      <c r="I178" s="107">
        <f ca="1">SUM(L178:OFFSET(L178,,K$1-1))</f>
        <v>10</v>
      </c>
      <c r="J178" s="106"/>
      <c r="K178" s="108" t="str">
        <f t="shared" si="74"/>
        <v/>
      </c>
      <c r="L178" s="145"/>
      <c r="M178" s="145"/>
      <c r="N178" s="145"/>
      <c r="O178" s="145">
        <v>2</v>
      </c>
      <c r="P178" s="145">
        <v>4</v>
      </c>
      <c r="Q178" s="149"/>
      <c r="R178" s="145"/>
      <c r="S178" s="145">
        <v>4</v>
      </c>
      <c r="T178" s="145"/>
      <c r="U178" s="145"/>
      <c r="V178" s="145"/>
      <c r="W178" s="149"/>
      <c r="X178" s="145"/>
      <c r="Y178" s="145"/>
      <c r="Z178" s="145"/>
      <c r="AA178" s="145"/>
      <c r="AB178" s="145"/>
      <c r="AC178" s="149"/>
      <c r="AD178" s="145"/>
      <c r="AE178" s="145"/>
      <c r="AF178" s="145"/>
      <c r="AG178" s="145"/>
      <c r="AH178" s="145"/>
      <c r="AI178" s="145"/>
      <c r="AJ178" s="145"/>
      <c r="AK178" s="145"/>
      <c r="AL178" s="145"/>
      <c r="AM178" s="145"/>
      <c r="AN178" s="145"/>
      <c r="AO178" s="145"/>
      <c r="AP178" s="145"/>
      <c r="AQ178" s="145"/>
      <c r="AR178" s="145"/>
      <c r="AS178" s="145"/>
      <c r="AT178" s="145"/>
      <c r="AU178" s="145"/>
      <c r="AV178" s="145"/>
      <c r="AW178" s="145"/>
      <c r="AX178" s="145"/>
      <c r="AY178" s="145"/>
      <c r="AZ178" s="145"/>
      <c r="BA178" s="145"/>
      <c r="BB178" s="145"/>
      <c r="BC178" s="145"/>
      <c r="BD178" s="145"/>
      <c r="BE178" s="145"/>
      <c r="BF178" s="145"/>
      <c r="BG178" s="145"/>
      <c r="BH178" s="145"/>
      <c r="BI178" s="145"/>
      <c r="BJ178" s="145"/>
      <c r="BK178" s="145"/>
      <c r="BL178" s="145"/>
      <c r="BM178" s="145"/>
      <c r="BN178" s="145"/>
      <c r="BO178" s="145"/>
      <c r="BP178" s="145"/>
      <c r="BQ178" s="145"/>
      <c r="BR178" s="145"/>
      <c r="BS178" s="145"/>
      <c r="BT178" s="145"/>
      <c r="BU178" s="145"/>
      <c r="BV178" s="145"/>
      <c r="BW178" s="145"/>
      <c r="BX178" s="145"/>
      <c r="BY178" s="145"/>
      <c r="BZ178" s="145"/>
      <c r="CA178" s="145"/>
      <c r="CB178" s="145"/>
      <c r="CC178" s="145"/>
      <c r="CD178" s="145"/>
      <c r="CE178" s="145"/>
      <c r="CF178" s="145"/>
      <c r="CG178" s="145"/>
      <c r="CH178" s="145"/>
      <c r="CI178" s="145"/>
      <c r="CJ178" s="145"/>
      <c r="CK178" s="145"/>
      <c r="CL178" s="145"/>
      <c r="CM178" s="145"/>
      <c r="CN178" s="145"/>
      <c r="CO178" s="145"/>
      <c r="CP178" s="145"/>
      <c r="CQ178" s="145"/>
      <c r="CR178" s="145"/>
      <c r="CS178" s="145"/>
      <c r="CT178" s="145"/>
      <c r="CU178" s="145"/>
      <c r="CV178" s="145"/>
      <c r="CW178" s="145"/>
      <c r="CX178" s="145"/>
      <c r="CY178" s="145"/>
      <c r="CZ178" s="145"/>
      <c r="DA178" s="145"/>
      <c r="DB178" s="145"/>
      <c r="DC178" s="145"/>
      <c r="DD178" s="145"/>
      <c r="DE178" s="145"/>
      <c r="DF178" s="145"/>
      <c r="DG178" s="145"/>
      <c r="DH178" s="145"/>
      <c r="DI178" s="145"/>
    </row>
    <row r="179" spans="1:113" s="75" customFormat="1">
      <c r="A179" s="159">
        <f t="shared" ca="1" si="75"/>
        <v>607</v>
      </c>
      <c r="B179" s="159" t="str">
        <f t="shared" si="76"/>
        <v/>
      </c>
      <c r="C179" s="76">
        <v>607</v>
      </c>
      <c r="D179" s="134" t="s">
        <v>197</v>
      </c>
      <c r="E179" s="76"/>
      <c r="F179" s="85"/>
      <c r="G179" s="85"/>
      <c r="H179" s="106">
        <f ca="1">SUM(OFFSET(L179,,J$1-1):OFFSET(L179,,K$1-1))</f>
        <v>14</v>
      </c>
      <c r="I179" s="107">
        <f ca="1">SUM(L179:OFFSET(L179,,K$1-1))</f>
        <v>14</v>
      </c>
      <c r="J179" s="106"/>
      <c r="K179" s="108" t="str">
        <f t="shared" si="74"/>
        <v/>
      </c>
      <c r="L179" s="145"/>
      <c r="M179" s="145"/>
      <c r="N179" s="145"/>
      <c r="O179" s="145"/>
      <c r="P179" s="145"/>
      <c r="Q179" s="145"/>
      <c r="R179" s="145"/>
      <c r="S179" s="145"/>
      <c r="T179" s="145"/>
      <c r="U179" s="145"/>
      <c r="V179" s="145"/>
      <c r="W179" s="145"/>
      <c r="X179" s="145"/>
      <c r="Y179" s="145"/>
      <c r="Z179" s="145"/>
      <c r="AA179" s="145"/>
      <c r="AB179" s="145"/>
      <c r="AC179" s="145"/>
      <c r="AD179" s="145"/>
      <c r="AE179" s="145"/>
      <c r="AF179" s="145"/>
      <c r="AG179" s="145"/>
      <c r="AH179" s="145"/>
      <c r="AI179" s="145"/>
      <c r="AJ179" s="145">
        <v>2</v>
      </c>
      <c r="AK179" s="145">
        <v>2</v>
      </c>
      <c r="AL179" s="145">
        <v>2</v>
      </c>
      <c r="AM179" s="145"/>
      <c r="AN179" s="145">
        <v>2</v>
      </c>
      <c r="AO179" s="145">
        <v>1</v>
      </c>
      <c r="AP179" s="145">
        <v>1</v>
      </c>
      <c r="AQ179" s="145">
        <v>2</v>
      </c>
      <c r="AR179" s="145">
        <v>2</v>
      </c>
      <c r="AS179" s="145"/>
      <c r="AT179" s="145"/>
      <c r="AU179" s="145"/>
      <c r="AV179" s="145"/>
      <c r="AW179" s="145"/>
      <c r="AX179" s="145"/>
      <c r="AY179" s="145"/>
      <c r="AZ179" s="145"/>
      <c r="BA179" s="145"/>
      <c r="BB179" s="145"/>
      <c r="BC179" s="145"/>
      <c r="BD179" s="145"/>
      <c r="BE179" s="145"/>
      <c r="BF179" s="145"/>
      <c r="BG179" s="145"/>
      <c r="BH179" s="145"/>
      <c r="BI179" s="145"/>
      <c r="BJ179" s="145"/>
      <c r="BK179" s="145"/>
      <c r="BL179" s="145"/>
      <c r="BM179" s="145"/>
      <c r="BN179" s="145"/>
      <c r="BO179" s="145"/>
      <c r="BP179" s="145"/>
      <c r="BQ179" s="145"/>
      <c r="BR179" s="145"/>
      <c r="BS179" s="145"/>
      <c r="BT179" s="145"/>
      <c r="BU179" s="145"/>
      <c r="BV179" s="145"/>
      <c r="BW179" s="145"/>
      <c r="BX179" s="145"/>
      <c r="BY179" s="145"/>
      <c r="BZ179" s="145"/>
      <c r="CA179" s="145"/>
      <c r="CB179" s="145"/>
      <c r="CC179" s="145"/>
      <c r="CD179" s="145"/>
      <c r="CE179" s="145"/>
      <c r="CF179" s="145"/>
      <c r="CG179" s="145"/>
      <c r="CH179" s="145"/>
      <c r="CI179" s="145"/>
      <c r="CJ179" s="145"/>
      <c r="CK179" s="145"/>
      <c r="CL179" s="145"/>
      <c r="CM179" s="145"/>
      <c r="CN179" s="145"/>
      <c r="CO179" s="145"/>
      <c r="CP179" s="145"/>
      <c r="CQ179" s="145"/>
      <c r="CR179" s="145"/>
      <c r="CS179" s="145"/>
      <c r="CT179" s="145"/>
      <c r="CU179" s="145"/>
      <c r="CV179" s="145"/>
      <c r="CW179" s="145"/>
      <c r="CX179" s="145"/>
      <c r="CY179" s="145"/>
      <c r="CZ179" s="145"/>
      <c r="DA179" s="145"/>
      <c r="DB179" s="145"/>
      <c r="DC179" s="145"/>
      <c r="DD179" s="145"/>
      <c r="DE179" s="145"/>
      <c r="DF179" s="145"/>
      <c r="DG179" s="145"/>
      <c r="DH179" s="145"/>
      <c r="DI179" s="145"/>
    </row>
    <row r="180" spans="1:113" s="75" customFormat="1">
      <c r="A180" s="159">
        <f t="shared" ca="1" si="75"/>
        <v>608</v>
      </c>
      <c r="B180" s="159">
        <f t="shared" si="76"/>
        <v>608</v>
      </c>
      <c r="C180" s="76">
        <v>608</v>
      </c>
      <c r="D180" s="134" t="s">
        <v>133</v>
      </c>
      <c r="E180" s="76"/>
      <c r="F180" s="85"/>
      <c r="G180" s="85"/>
      <c r="H180" s="106">
        <f ca="1">SUM(OFFSET(L180,,J$1-1):OFFSET(L180,,K$1-1))</f>
        <v>3</v>
      </c>
      <c r="I180" s="107">
        <f ca="1">SUM(L180:OFFSET(L180,,K$1-1))</f>
        <v>3</v>
      </c>
      <c r="J180" s="106"/>
      <c r="K180" s="108">
        <f t="shared" si="74"/>
        <v>3</v>
      </c>
      <c r="L180" s="145"/>
      <c r="M180" s="145"/>
      <c r="N180" s="145"/>
      <c r="O180" s="145"/>
      <c r="P180" s="145"/>
      <c r="Q180" s="145"/>
      <c r="R180" s="145"/>
      <c r="S180" s="145"/>
      <c r="T180" s="145"/>
      <c r="U180" s="145"/>
      <c r="V180" s="145"/>
      <c r="W180" s="145"/>
      <c r="X180" s="145"/>
      <c r="Y180" s="145"/>
      <c r="Z180" s="145"/>
      <c r="AA180" s="145"/>
      <c r="AB180" s="145"/>
      <c r="AC180" s="145"/>
      <c r="AD180" s="145"/>
      <c r="AE180" s="145"/>
      <c r="AF180" s="145"/>
      <c r="AG180" s="145"/>
      <c r="AH180" s="145"/>
      <c r="AI180" s="145"/>
      <c r="AJ180" s="145"/>
      <c r="AK180" s="145"/>
      <c r="AL180" s="145"/>
      <c r="AM180" s="145"/>
      <c r="AN180" s="145"/>
      <c r="AO180" s="145"/>
      <c r="AP180" s="145"/>
      <c r="AQ180" s="145"/>
      <c r="AR180" s="145"/>
      <c r="AS180" s="145"/>
      <c r="AT180" s="145"/>
      <c r="AU180" s="145">
        <v>3</v>
      </c>
      <c r="AV180" s="145"/>
      <c r="AW180" s="145"/>
      <c r="AX180" s="145"/>
      <c r="AY180" s="145"/>
      <c r="AZ180" s="145"/>
      <c r="BA180" s="145"/>
      <c r="BB180" s="145"/>
      <c r="BC180" s="145"/>
      <c r="BD180" s="145"/>
      <c r="BE180" s="145"/>
      <c r="BF180" s="145"/>
      <c r="BG180" s="145"/>
      <c r="BH180" s="145"/>
      <c r="BI180" s="145"/>
      <c r="BJ180" s="145"/>
      <c r="BK180" s="145"/>
      <c r="BL180" s="145"/>
      <c r="BM180" s="145"/>
      <c r="BN180" s="145"/>
      <c r="BO180" s="145"/>
      <c r="BP180" s="145"/>
      <c r="BQ180" s="145"/>
      <c r="BR180" s="145"/>
      <c r="BS180" s="145"/>
      <c r="BT180" s="145"/>
      <c r="BU180" s="145"/>
      <c r="BV180" s="145"/>
      <c r="BW180" s="145"/>
      <c r="BX180" s="145"/>
      <c r="BY180" s="145"/>
      <c r="BZ180" s="145"/>
      <c r="CA180" s="145"/>
      <c r="CB180" s="145"/>
      <c r="CC180" s="145"/>
      <c r="CD180" s="145"/>
      <c r="CE180" s="145"/>
      <c r="CF180" s="145"/>
      <c r="CG180" s="145"/>
      <c r="CH180" s="145"/>
      <c r="CI180" s="145"/>
      <c r="CJ180" s="145"/>
      <c r="CK180" s="145"/>
      <c r="CL180" s="145"/>
      <c r="CM180" s="145"/>
      <c r="CN180" s="145"/>
      <c r="CO180" s="145"/>
      <c r="CP180" s="145"/>
      <c r="CQ180" s="145"/>
      <c r="CR180" s="145"/>
      <c r="CS180" s="145"/>
      <c r="CT180" s="145"/>
      <c r="CU180" s="145"/>
      <c r="CV180" s="145"/>
      <c r="CW180" s="145"/>
      <c r="CX180" s="145"/>
      <c r="CY180" s="145"/>
      <c r="CZ180" s="145"/>
      <c r="DA180" s="145"/>
      <c r="DB180" s="145"/>
      <c r="DC180" s="145"/>
      <c r="DD180" s="145"/>
      <c r="DE180" s="145"/>
      <c r="DF180" s="145"/>
      <c r="DG180" s="145"/>
      <c r="DH180" s="145"/>
      <c r="DI180" s="145"/>
    </row>
    <row r="181" spans="1:113" s="75" customFormat="1">
      <c r="A181" s="159" t="str">
        <f t="shared" ca="1" si="75"/>
        <v/>
      </c>
      <c r="B181" s="159" t="str">
        <f t="shared" si="76"/>
        <v/>
      </c>
      <c r="C181" s="76">
        <v>609</v>
      </c>
      <c r="D181" s="134" t="s">
        <v>104</v>
      </c>
      <c r="E181" s="76"/>
      <c r="F181" s="85"/>
      <c r="G181" s="85"/>
      <c r="H181" s="106">
        <f ca="1">SUM(OFFSET(L181,,J$1-1):OFFSET(L181,,K$1-1))</f>
        <v>0</v>
      </c>
      <c r="I181" s="107">
        <f ca="1">SUM(L181:OFFSET(L181,,K$1-1))</f>
        <v>0</v>
      </c>
      <c r="J181" s="106"/>
      <c r="K181" s="108" t="str">
        <f t="shared" si="74"/>
        <v/>
      </c>
      <c r="L181" s="145"/>
      <c r="M181" s="145"/>
      <c r="N181" s="145"/>
      <c r="O181" s="145"/>
      <c r="P181" s="145"/>
      <c r="Q181" s="145"/>
      <c r="R181" s="145"/>
      <c r="S181" s="145"/>
      <c r="T181" s="145"/>
      <c r="U181" s="145"/>
      <c r="V181" s="145"/>
      <c r="W181" s="145"/>
      <c r="X181" s="145"/>
      <c r="Y181" s="145"/>
      <c r="Z181" s="145"/>
      <c r="AA181" s="145"/>
      <c r="AB181" s="145"/>
      <c r="AC181" s="145"/>
      <c r="AD181" s="145"/>
      <c r="AE181" s="145"/>
      <c r="AF181" s="145"/>
      <c r="AG181" s="145"/>
      <c r="AH181" s="145"/>
      <c r="AI181" s="145"/>
      <c r="AJ181" s="145"/>
      <c r="AK181" s="145"/>
      <c r="AL181" s="145"/>
      <c r="AM181" s="145"/>
      <c r="AN181" s="145"/>
      <c r="AO181" s="145"/>
      <c r="AP181" s="145"/>
      <c r="AQ181" s="145"/>
      <c r="AR181" s="145"/>
      <c r="AS181" s="145"/>
      <c r="AT181" s="145"/>
      <c r="AU181" s="145"/>
      <c r="AV181" s="145"/>
      <c r="AW181" s="145"/>
      <c r="AX181" s="145"/>
      <c r="AY181" s="145"/>
      <c r="AZ181" s="145"/>
      <c r="BA181" s="145"/>
      <c r="BB181" s="145"/>
      <c r="BC181" s="145"/>
      <c r="BD181" s="145"/>
      <c r="BE181" s="145"/>
      <c r="BF181" s="145"/>
      <c r="BG181" s="145"/>
      <c r="BH181" s="145"/>
      <c r="BI181" s="145"/>
      <c r="BJ181" s="145"/>
      <c r="BK181" s="145"/>
      <c r="BL181" s="145"/>
      <c r="BM181" s="145"/>
      <c r="BN181" s="145"/>
      <c r="BO181" s="145"/>
      <c r="BP181" s="145"/>
      <c r="BQ181" s="145"/>
      <c r="BR181" s="145"/>
      <c r="BS181" s="145"/>
      <c r="BT181" s="145"/>
      <c r="BU181" s="145"/>
      <c r="BV181" s="145"/>
      <c r="BW181" s="145"/>
      <c r="BX181" s="145"/>
      <c r="BY181" s="145"/>
      <c r="BZ181" s="145"/>
      <c r="CA181" s="145"/>
      <c r="CB181" s="145"/>
      <c r="CC181" s="145"/>
      <c r="CD181" s="145"/>
      <c r="CE181" s="145"/>
      <c r="CF181" s="145"/>
      <c r="CG181" s="145"/>
      <c r="CH181" s="145"/>
      <c r="CI181" s="145"/>
      <c r="CJ181" s="145"/>
      <c r="CK181" s="145"/>
      <c r="CL181" s="145"/>
      <c r="CM181" s="145"/>
      <c r="CN181" s="145"/>
      <c r="CO181" s="145"/>
      <c r="CP181" s="145"/>
      <c r="CQ181" s="145"/>
      <c r="CR181" s="145"/>
      <c r="CS181" s="145"/>
      <c r="CT181" s="145"/>
      <c r="CU181" s="145"/>
      <c r="CV181" s="145"/>
      <c r="CW181" s="145"/>
      <c r="CX181" s="145"/>
      <c r="CY181" s="145"/>
      <c r="CZ181" s="145"/>
      <c r="DA181" s="145"/>
      <c r="DB181" s="145"/>
      <c r="DC181" s="145"/>
      <c r="DD181" s="145"/>
      <c r="DE181" s="145"/>
      <c r="DF181" s="145"/>
      <c r="DG181" s="145"/>
      <c r="DH181" s="145"/>
      <c r="DI181" s="145"/>
    </row>
    <row r="182" spans="1:113" s="75" customFormat="1">
      <c r="A182" s="159">
        <f t="shared" ca="1" si="75"/>
        <v>610</v>
      </c>
      <c r="B182" s="159" t="str">
        <f t="shared" si="76"/>
        <v/>
      </c>
      <c r="C182" s="76">
        <v>610</v>
      </c>
      <c r="D182" s="134" t="s">
        <v>131</v>
      </c>
      <c r="E182" s="76"/>
      <c r="F182" s="85"/>
      <c r="G182" s="85"/>
      <c r="H182" s="106">
        <f ca="1">SUM(OFFSET(L182,,J$1-1):OFFSET(L182,,K$1-1))</f>
        <v>16</v>
      </c>
      <c r="I182" s="107">
        <f ca="1">SUM(L182:OFFSET(L182,,K$1-1))</f>
        <v>16</v>
      </c>
      <c r="J182" s="106"/>
      <c r="K182" s="108" t="str">
        <f t="shared" si="74"/>
        <v/>
      </c>
      <c r="L182" s="145">
        <v>8</v>
      </c>
      <c r="M182" s="145">
        <v>4</v>
      </c>
      <c r="N182" s="145">
        <v>4</v>
      </c>
      <c r="O182" s="145"/>
      <c r="P182" s="145"/>
      <c r="Q182" s="145"/>
      <c r="R182" s="145"/>
      <c r="S182" s="145"/>
      <c r="T182" s="145"/>
      <c r="U182" s="145"/>
      <c r="V182" s="145"/>
      <c r="W182" s="145"/>
      <c r="X182" s="145"/>
      <c r="Y182" s="145"/>
      <c r="Z182" s="145"/>
      <c r="AA182" s="145"/>
      <c r="AB182" s="145"/>
      <c r="AC182" s="145"/>
      <c r="AD182" s="145"/>
      <c r="AE182" s="145"/>
      <c r="AF182" s="145"/>
      <c r="AG182" s="145"/>
      <c r="AH182" s="145"/>
      <c r="AI182" s="145"/>
      <c r="AJ182" s="145"/>
      <c r="AK182" s="145"/>
      <c r="AL182" s="145"/>
      <c r="AM182" s="145"/>
      <c r="AN182" s="145"/>
      <c r="AO182" s="145"/>
      <c r="AP182" s="145"/>
      <c r="AQ182" s="145"/>
      <c r="AR182" s="145"/>
      <c r="AS182" s="145"/>
      <c r="AT182" s="145"/>
      <c r="AU182" s="145"/>
      <c r="AV182" s="145"/>
      <c r="AW182" s="145"/>
      <c r="AX182" s="145"/>
      <c r="AY182" s="145"/>
      <c r="AZ182" s="145"/>
      <c r="BA182" s="145"/>
      <c r="BB182" s="145"/>
      <c r="BC182" s="145"/>
      <c r="BD182" s="145"/>
      <c r="BE182" s="145"/>
      <c r="BF182" s="145"/>
      <c r="BG182" s="145"/>
      <c r="BH182" s="145"/>
      <c r="BI182" s="145"/>
      <c r="BJ182" s="145"/>
      <c r="BK182" s="145"/>
      <c r="BL182" s="145"/>
      <c r="BM182" s="145"/>
      <c r="BN182" s="145"/>
      <c r="BO182" s="145"/>
      <c r="BP182" s="145"/>
      <c r="BQ182" s="145"/>
      <c r="BR182" s="145"/>
      <c r="BS182" s="145"/>
      <c r="BT182" s="145"/>
      <c r="BU182" s="145"/>
      <c r="BV182" s="145"/>
      <c r="BW182" s="145"/>
      <c r="BX182" s="145"/>
      <c r="BY182" s="145"/>
      <c r="BZ182" s="145"/>
      <c r="CA182" s="145"/>
      <c r="CB182" s="145"/>
      <c r="CC182" s="145"/>
      <c r="CD182" s="145"/>
      <c r="CE182" s="145"/>
      <c r="CF182" s="145"/>
      <c r="CG182" s="145"/>
      <c r="CH182" s="145"/>
      <c r="CI182" s="145"/>
      <c r="CJ182" s="145"/>
      <c r="CK182" s="145"/>
      <c r="CL182" s="145"/>
      <c r="CM182" s="145"/>
      <c r="CN182" s="145"/>
      <c r="CO182" s="145"/>
      <c r="CP182" s="145"/>
      <c r="CQ182" s="145"/>
      <c r="CR182" s="145"/>
      <c r="CS182" s="145"/>
      <c r="CT182" s="145"/>
      <c r="CU182" s="145"/>
      <c r="CV182" s="145"/>
      <c r="CW182" s="145"/>
      <c r="CX182" s="145"/>
      <c r="CY182" s="145"/>
      <c r="CZ182" s="145"/>
      <c r="DA182" s="145"/>
      <c r="DB182" s="145"/>
      <c r="DC182" s="145"/>
      <c r="DD182" s="145"/>
      <c r="DE182" s="145"/>
      <c r="DF182" s="145"/>
      <c r="DG182" s="145"/>
      <c r="DH182" s="145"/>
      <c r="DI182" s="145"/>
    </row>
    <row r="183" spans="1:113" s="75" customFormat="1">
      <c r="A183" s="159">
        <f t="shared" ca="1" si="75"/>
        <v>611</v>
      </c>
      <c r="B183" s="159" t="str">
        <f t="shared" si="76"/>
        <v/>
      </c>
      <c r="C183" s="76">
        <v>611</v>
      </c>
      <c r="D183" s="134" t="s">
        <v>188</v>
      </c>
      <c r="E183" s="76"/>
      <c r="F183" s="85"/>
      <c r="G183" s="85"/>
      <c r="H183" s="106">
        <f ca="1">SUM(OFFSET(L183,,J$1-1):OFFSET(L183,,K$1-1))</f>
        <v>3</v>
      </c>
      <c r="I183" s="107">
        <f ca="1">SUM(L183:OFFSET(L183,,K$1-1))</f>
        <v>3</v>
      </c>
      <c r="J183" s="106"/>
      <c r="K183" s="108" t="str">
        <f t="shared" si="74"/>
        <v/>
      </c>
      <c r="L183" s="145"/>
      <c r="M183" s="145"/>
      <c r="N183" s="145"/>
      <c r="O183" s="145"/>
      <c r="P183" s="145"/>
      <c r="Q183" s="145"/>
      <c r="R183" s="145"/>
      <c r="S183" s="145"/>
      <c r="T183" s="145"/>
      <c r="U183" s="145">
        <v>3</v>
      </c>
      <c r="V183" s="145"/>
      <c r="W183" s="145"/>
      <c r="X183" s="145"/>
      <c r="Y183" s="145"/>
      <c r="Z183" s="145"/>
      <c r="AA183" s="145"/>
      <c r="AB183" s="145"/>
      <c r="AC183" s="145"/>
      <c r="AD183" s="145"/>
      <c r="AE183" s="145"/>
      <c r="AF183" s="145"/>
      <c r="AG183" s="145"/>
      <c r="AH183" s="145"/>
      <c r="AI183" s="145"/>
      <c r="AJ183" s="145"/>
      <c r="AK183" s="145"/>
      <c r="AL183" s="145"/>
      <c r="AM183" s="145"/>
      <c r="AN183" s="145"/>
      <c r="AO183" s="145"/>
      <c r="AP183" s="145"/>
      <c r="AQ183" s="145"/>
      <c r="AR183" s="145"/>
      <c r="AS183" s="145"/>
      <c r="AT183" s="145"/>
      <c r="AU183" s="145"/>
      <c r="AV183" s="145"/>
      <c r="AW183" s="145"/>
      <c r="AX183" s="145"/>
      <c r="AY183" s="145"/>
      <c r="AZ183" s="145"/>
      <c r="BA183" s="145"/>
      <c r="BB183" s="145"/>
      <c r="BC183" s="145"/>
      <c r="BD183" s="145"/>
      <c r="BE183" s="145"/>
      <c r="BF183" s="145"/>
      <c r="BG183" s="145"/>
      <c r="BH183" s="145"/>
      <c r="BI183" s="145"/>
      <c r="BJ183" s="145"/>
      <c r="BK183" s="145"/>
      <c r="BL183" s="145"/>
      <c r="BM183" s="145"/>
      <c r="BN183" s="145"/>
      <c r="BO183" s="145"/>
      <c r="BP183" s="145"/>
      <c r="BQ183" s="145"/>
      <c r="BR183" s="145"/>
      <c r="BS183" s="145"/>
      <c r="BT183" s="145"/>
      <c r="BU183" s="145"/>
      <c r="BV183" s="145"/>
      <c r="BW183" s="145"/>
      <c r="BX183" s="145"/>
      <c r="BY183" s="145"/>
      <c r="BZ183" s="145"/>
      <c r="CA183" s="145"/>
      <c r="CB183" s="145"/>
      <c r="CC183" s="145"/>
      <c r="CD183" s="145"/>
      <c r="CE183" s="145"/>
      <c r="CF183" s="145"/>
      <c r="CG183" s="145"/>
      <c r="CH183" s="145"/>
      <c r="CI183" s="145"/>
      <c r="CJ183" s="145"/>
      <c r="CK183" s="145"/>
      <c r="CL183" s="145"/>
      <c r="CM183" s="145"/>
      <c r="CN183" s="145"/>
      <c r="CO183" s="145"/>
      <c r="CP183" s="145"/>
      <c r="CQ183" s="145"/>
      <c r="CR183" s="145"/>
      <c r="CS183" s="145"/>
      <c r="CT183" s="145"/>
      <c r="CU183" s="145"/>
      <c r="CV183" s="145"/>
      <c r="CW183" s="145"/>
      <c r="CX183" s="145"/>
      <c r="CY183" s="145"/>
      <c r="CZ183" s="145"/>
      <c r="DA183" s="145"/>
      <c r="DB183" s="145"/>
      <c r="DC183" s="145"/>
      <c r="DD183" s="145"/>
      <c r="DE183" s="145"/>
      <c r="DF183" s="145"/>
      <c r="DG183" s="145"/>
      <c r="DH183" s="145"/>
      <c r="DI183" s="145"/>
    </row>
    <row r="184" spans="1:113" s="75" customFormat="1">
      <c r="A184" s="159" t="str">
        <f t="shared" ca="1" si="75"/>
        <v/>
      </c>
      <c r="B184" s="159" t="str">
        <f t="shared" si="76"/>
        <v/>
      </c>
      <c r="C184" s="76">
        <v>612</v>
      </c>
      <c r="D184" s="134" t="s">
        <v>134</v>
      </c>
      <c r="E184" s="76"/>
      <c r="F184" s="85"/>
      <c r="G184" s="85"/>
      <c r="H184" s="106">
        <f ca="1">SUM(OFFSET(L184,,J$1-1):OFFSET(L184,,K$1-1))</f>
        <v>0</v>
      </c>
      <c r="I184" s="107">
        <f ca="1">SUM(L184:OFFSET(L184,,K$1-1))</f>
        <v>0</v>
      </c>
      <c r="J184" s="106"/>
      <c r="K184" s="108" t="str">
        <f t="shared" si="74"/>
        <v/>
      </c>
      <c r="L184" s="145"/>
      <c r="M184" s="145"/>
      <c r="N184" s="145"/>
      <c r="O184" s="145"/>
      <c r="P184" s="145"/>
      <c r="Q184" s="145"/>
      <c r="R184" s="145"/>
      <c r="S184" s="145"/>
      <c r="T184" s="145"/>
      <c r="U184" s="145"/>
      <c r="V184" s="145"/>
      <c r="W184" s="145"/>
      <c r="X184" s="145"/>
      <c r="Y184" s="145"/>
      <c r="Z184" s="145"/>
      <c r="AA184" s="145"/>
      <c r="AB184" s="145"/>
      <c r="AC184" s="145"/>
      <c r="AD184" s="145"/>
      <c r="AE184" s="145"/>
      <c r="AF184" s="145"/>
      <c r="AG184" s="145"/>
      <c r="AH184" s="145"/>
      <c r="AI184" s="145"/>
      <c r="AJ184" s="145"/>
      <c r="AK184" s="145"/>
      <c r="AL184" s="145"/>
      <c r="AM184" s="145"/>
      <c r="AN184" s="145"/>
      <c r="AO184" s="145"/>
      <c r="AP184" s="145"/>
      <c r="AQ184" s="145"/>
      <c r="AR184" s="145"/>
      <c r="AS184" s="145"/>
      <c r="AT184" s="145"/>
      <c r="AU184" s="145"/>
      <c r="AV184" s="145"/>
      <c r="AW184" s="145"/>
      <c r="AX184" s="145"/>
      <c r="AY184" s="145"/>
      <c r="AZ184" s="145"/>
      <c r="BA184" s="145"/>
      <c r="BB184" s="145"/>
      <c r="BC184" s="145"/>
      <c r="BD184" s="145"/>
      <c r="BE184" s="145"/>
      <c r="BF184" s="145"/>
      <c r="BG184" s="145"/>
      <c r="BH184" s="145"/>
      <c r="BI184" s="145"/>
      <c r="BJ184" s="145"/>
      <c r="BK184" s="145"/>
      <c r="BL184" s="145"/>
      <c r="BM184" s="145"/>
      <c r="BN184" s="145"/>
      <c r="BO184" s="145"/>
      <c r="BP184" s="145"/>
      <c r="BQ184" s="145"/>
      <c r="BR184" s="145"/>
      <c r="BS184" s="145"/>
      <c r="BT184" s="145"/>
      <c r="BU184" s="145"/>
      <c r="BV184" s="145"/>
      <c r="BW184" s="145"/>
      <c r="BX184" s="145"/>
      <c r="BY184" s="145"/>
      <c r="BZ184" s="145"/>
      <c r="CA184" s="145"/>
      <c r="CB184" s="145"/>
      <c r="CC184" s="145"/>
      <c r="CD184" s="145"/>
      <c r="CE184" s="145"/>
      <c r="CF184" s="145"/>
      <c r="CG184" s="145"/>
      <c r="CH184" s="145"/>
      <c r="CI184" s="145"/>
      <c r="CJ184" s="145"/>
      <c r="CK184" s="145"/>
      <c r="CL184" s="145"/>
      <c r="CM184" s="145"/>
      <c r="CN184" s="145"/>
      <c r="CO184" s="145"/>
      <c r="CP184" s="145"/>
      <c r="CQ184" s="145"/>
      <c r="CR184" s="145"/>
      <c r="CS184" s="145"/>
      <c r="CT184" s="145"/>
      <c r="CU184" s="145"/>
      <c r="CV184" s="145"/>
      <c r="CW184" s="145"/>
      <c r="CX184" s="145"/>
      <c r="CY184" s="145"/>
      <c r="CZ184" s="145"/>
      <c r="DA184" s="145"/>
      <c r="DB184" s="145"/>
      <c r="DC184" s="145"/>
      <c r="DD184" s="145"/>
      <c r="DE184" s="145"/>
      <c r="DF184" s="145"/>
      <c r="DG184" s="145"/>
      <c r="DH184" s="145"/>
      <c r="DI184" s="145"/>
    </row>
    <row r="185" spans="1:113" s="75" customFormat="1">
      <c r="A185" s="159">
        <f t="shared" ca="1" si="75"/>
        <v>613</v>
      </c>
      <c r="B185" s="159" t="str">
        <f t="shared" si="76"/>
        <v/>
      </c>
      <c r="C185" s="76">
        <v>613</v>
      </c>
      <c r="D185" s="134" t="s">
        <v>209</v>
      </c>
      <c r="E185" s="76"/>
      <c r="F185" s="85"/>
      <c r="G185" s="85"/>
      <c r="H185" s="106">
        <f ca="1">SUM(OFFSET(L185,,J$1-1):OFFSET(L185,,K$1-1))</f>
        <v>6</v>
      </c>
      <c r="I185" s="107">
        <f ca="1">SUM(L185:OFFSET(L185,,K$1-1))</f>
        <v>6</v>
      </c>
      <c r="J185" s="106"/>
      <c r="K185" s="108" t="str">
        <f t="shared" si="74"/>
        <v/>
      </c>
      <c r="L185" s="145"/>
      <c r="M185" s="145"/>
      <c r="N185" s="145"/>
      <c r="O185" s="145"/>
      <c r="P185" s="145"/>
      <c r="Q185" s="145"/>
      <c r="R185" s="145"/>
      <c r="S185" s="145"/>
      <c r="T185" s="145"/>
      <c r="U185" s="145"/>
      <c r="V185" s="145"/>
      <c r="W185" s="145"/>
      <c r="X185" s="145"/>
      <c r="Y185" s="145"/>
      <c r="Z185" s="145"/>
      <c r="AA185" s="145"/>
      <c r="AB185" s="145"/>
      <c r="AC185" s="145"/>
      <c r="AD185" s="145"/>
      <c r="AE185" s="145"/>
      <c r="AF185" s="145"/>
      <c r="AG185" s="145"/>
      <c r="AH185" s="145"/>
      <c r="AI185" s="145"/>
      <c r="AJ185" s="145"/>
      <c r="AK185" s="145"/>
      <c r="AL185" s="145"/>
      <c r="AM185" s="145"/>
      <c r="AN185" s="145"/>
      <c r="AO185" s="145"/>
      <c r="AP185" s="145"/>
      <c r="AQ185" s="145"/>
      <c r="AR185" s="145"/>
      <c r="AS185" s="145">
        <v>6</v>
      </c>
      <c r="AT185" s="145"/>
      <c r="AU185" s="145"/>
      <c r="AV185" s="145"/>
      <c r="AW185" s="145"/>
      <c r="AX185" s="145"/>
      <c r="AY185" s="145"/>
      <c r="AZ185" s="145"/>
      <c r="BA185" s="145"/>
      <c r="BB185" s="145"/>
      <c r="BC185" s="145"/>
      <c r="BD185" s="145"/>
      <c r="BE185" s="145"/>
      <c r="BF185" s="145"/>
      <c r="BG185" s="145"/>
      <c r="BH185" s="145"/>
      <c r="BI185" s="145"/>
      <c r="BJ185" s="145"/>
      <c r="BK185" s="145"/>
      <c r="BL185" s="145"/>
      <c r="BM185" s="145"/>
      <c r="BN185" s="145"/>
      <c r="BO185" s="145"/>
      <c r="BP185" s="145"/>
      <c r="BQ185" s="145"/>
      <c r="BR185" s="145"/>
      <c r="BS185" s="145"/>
      <c r="BT185" s="145"/>
      <c r="BU185" s="145"/>
      <c r="BV185" s="145"/>
      <c r="BW185" s="145"/>
      <c r="BX185" s="145"/>
      <c r="BY185" s="145"/>
      <c r="BZ185" s="145"/>
      <c r="CA185" s="145"/>
      <c r="CB185" s="145"/>
      <c r="CC185" s="145"/>
      <c r="CD185" s="145"/>
      <c r="CE185" s="145"/>
      <c r="CF185" s="145"/>
      <c r="CG185" s="145"/>
      <c r="CH185" s="145"/>
      <c r="CI185" s="145"/>
      <c r="CJ185" s="145"/>
      <c r="CK185" s="145"/>
      <c r="CL185" s="145"/>
      <c r="CM185" s="145"/>
      <c r="CN185" s="145"/>
      <c r="CO185" s="145"/>
      <c r="CP185" s="145"/>
      <c r="CQ185" s="145"/>
      <c r="CR185" s="145"/>
      <c r="CS185" s="145"/>
      <c r="CT185" s="145"/>
      <c r="CU185" s="145"/>
      <c r="CV185" s="145"/>
      <c r="CW185" s="145"/>
      <c r="CX185" s="145"/>
      <c r="CY185" s="145"/>
      <c r="CZ185" s="145"/>
      <c r="DA185" s="145"/>
      <c r="DB185" s="145"/>
      <c r="DC185" s="145"/>
      <c r="DD185" s="145"/>
      <c r="DE185" s="145"/>
      <c r="DF185" s="145"/>
      <c r="DG185" s="145"/>
      <c r="DH185" s="145"/>
      <c r="DI185" s="145"/>
    </row>
    <row r="186" spans="1:113" s="75" customFormat="1">
      <c r="A186" s="159">
        <f t="shared" ca="1" si="75"/>
        <v>614</v>
      </c>
      <c r="B186" s="159" t="str">
        <f t="shared" si="76"/>
        <v/>
      </c>
      <c r="C186" s="76">
        <v>614</v>
      </c>
      <c r="D186" s="134" t="s">
        <v>136</v>
      </c>
      <c r="E186" s="76"/>
      <c r="F186" s="85"/>
      <c r="G186" s="85"/>
      <c r="H186" s="106">
        <f ca="1">SUM(OFFSET(L186,,J$1-1):OFFSET(L186,,K$1-1))</f>
        <v>7</v>
      </c>
      <c r="I186" s="107">
        <f ca="1">SUM(L186:OFFSET(L186,,K$1-1))</f>
        <v>7</v>
      </c>
      <c r="J186" s="106"/>
      <c r="K186" s="108" t="str">
        <f t="shared" si="74"/>
        <v/>
      </c>
      <c r="L186" s="145"/>
      <c r="M186" s="145"/>
      <c r="N186" s="145"/>
      <c r="O186" s="145"/>
      <c r="P186" s="145"/>
      <c r="Q186" s="145"/>
      <c r="R186" s="145"/>
      <c r="S186" s="145"/>
      <c r="T186" s="145"/>
      <c r="U186" s="145"/>
      <c r="V186" s="145"/>
      <c r="W186" s="145"/>
      <c r="X186" s="145"/>
      <c r="Y186" s="145"/>
      <c r="Z186" s="145"/>
      <c r="AA186" s="145"/>
      <c r="AB186" s="145"/>
      <c r="AC186" s="145"/>
      <c r="AD186" s="145"/>
      <c r="AE186" s="145"/>
      <c r="AF186" s="145"/>
      <c r="AG186" s="145"/>
      <c r="AH186" s="145"/>
      <c r="AI186" s="145"/>
      <c r="AJ186" s="145"/>
      <c r="AK186" s="145"/>
      <c r="AL186" s="145"/>
      <c r="AM186" s="145"/>
      <c r="AN186" s="145"/>
      <c r="AO186" s="145"/>
      <c r="AP186" s="145">
        <v>2</v>
      </c>
      <c r="AQ186" s="145">
        <v>2</v>
      </c>
      <c r="AR186" s="145">
        <v>3</v>
      </c>
      <c r="AS186" s="145"/>
      <c r="AT186" s="145"/>
      <c r="AU186" s="145"/>
      <c r="AV186" s="145"/>
      <c r="AW186" s="145"/>
      <c r="AX186" s="145"/>
      <c r="AY186" s="145"/>
      <c r="AZ186" s="145"/>
      <c r="BA186" s="145"/>
      <c r="BB186" s="145"/>
      <c r="BC186" s="145"/>
      <c r="BD186" s="145"/>
      <c r="BE186" s="145"/>
      <c r="BF186" s="145"/>
      <c r="BG186" s="145"/>
      <c r="BH186" s="145"/>
      <c r="BI186" s="145"/>
      <c r="BJ186" s="145"/>
      <c r="BK186" s="145"/>
      <c r="BL186" s="145"/>
      <c r="BM186" s="145"/>
      <c r="BN186" s="145"/>
      <c r="BO186" s="145"/>
      <c r="BP186" s="145"/>
      <c r="BQ186" s="145"/>
      <c r="BR186" s="145"/>
      <c r="BS186" s="145"/>
      <c r="BT186" s="145"/>
      <c r="BU186" s="145"/>
      <c r="BV186" s="145"/>
      <c r="BW186" s="145"/>
      <c r="BX186" s="145"/>
      <c r="BY186" s="145"/>
      <c r="BZ186" s="145"/>
      <c r="CA186" s="145"/>
      <c r="CB186" s="145"/>
      <c r="CC186" s="145"/>
      <c r="CD186" s="145"/>
      <c r="CE186" s="145"/>
      <c r="CF186" s="145"/>
      <c r="CG186" s="145"/>
      <c r="CH186" s="145"/>
      <c r="CI186" s="145"/>
      <c r="CJ186" s="145"/>
      <c r="CK186" s="145"/>
      <c r="CL186" s="145"/>
      <c r="CM186" s="145"/>
      <c r="CN186" s="145"/>
      <c r="CO186" s="145"/>
      <c r="CP186" s="145"/>
      <c r="CQ186" s="145"/>
      <c r="CR186" s="145"/>
      <c r="CS186" s="145"/>
      <c r="CT186" s="145"/>
      <c r="CU186" s="145"/>
      <c r="CV186" s="145"/>
      <c r="CW186" s="145"/>
      <c r="CX186" s="145"/>
      <c r="CY186" s="145"/>
      <c r="CZ186" s="145"/>
      <c r="DA186" s="145"/>
      <c r="DB186" s="145"/>
      <c r="DC186" s="145"/>
      <c r="DD186" s="145"/>
      <c r="DE186" s="145"/>
      <c r="DF186" s="145"/>
      <c r="DG186" s="145"/>
      <c r="DH186" s="145"/>
      <c r="DI186" s="145"/>
    </row>
    <row r="187" spans="1:113" s="75" customFormat="1">
      <c r="A187" s="159" t="str">
        <f t="shared" ref="A187:A188" ca="1" si="77">IF(H187&gt;0,C187,"")</f>
        <v/>
      </c>
      <c r="B187" s="159" t="str">
        <f t="shared" si="76"/>
        <v/>
      </c>
      <c r="C187" s="76">
        <v>615</v>
      </c>
      <c r="D187" s="134" t="s">
        <v>138</v>
      </c>
      <c r="E187" s="76"/>
      <c r="F187" s="85"/>
      <c r="G187" s="85"/>
      <c r="H187" s="106">
        <f ca="1">SUM(OFFSET(L187,,J$1-1):OFFSET(L187,,K$1-1))</f>
        <v>0</v>
      </c>
      <c r="I187" s="107">
        <f ca="1">SUM(L187:OFFSET(L187,,K$1-1))</f>
        <v>0</v>
      </c>
      <c r="J187" s="106"/>
      <c r="K187" s="108" t="str">
        <f t="shared" si="74"/>
        <v/>
      </c>
      <c r="L187" s="145"/>
      <c r="M187" s="145"/>
      <c r="N187" s="145"/>
      <c r="O187" s="145"/>
      <c r="P187" s="145"/>
      <c r="Q187" s="145"/>
      <c r="R187" s="145"/>
      <c r="S187" s="145"/>
      <c r="T187" s="145"/>
      <c r="U187" s="145"/>
      <c r="V187" s="145"/>
      <c r="W187" s="145"/>
      <c r="X187" s="145"/>
      <c r="Y187" s="145"/>
      <c r="Z187" s="145"/>
      <c r="AA187" s="145"/>
      <c r="AB187" s="145"/>
      <c r="AC187" s="145"/>
      <c r="AD187" s="145"/>
      <c r="AE187" s="145"/>
      <c r="AF187" s="145"/>
      <c r="AG187" s="145"/>
      <c r="AH187" s="145"/>
      <c r="AI187" s="145"/>
      <c r="AJ187" s="145"/>
      <c r="AK187" s="145"/>
      <c r="AL187" s="145"/>
      <c r="AM187" s="145"/>
      <c r="AN187" s="145"/>
      <c r="AO187" s="145"/>
      <c r="AP187" s="145"/>
      <c r="AQ187" s="145"/>
      <c r="AR187" s="145"/>
      <c r="AS187" s="145"/>
      <c r="AT187" s="145"/>
      <c r="AU187" s="145"/>
      <c r="AV187" s="145"/>
      <c r="AW187" s="145"/>
      <c r="AX187" s="145"/>
      <c r="AY187" s="145"/>
      <c r="AZ187" s="145"/>
      <c r="BA187" s="145"/>
      <c r="BB187" s="145"/>
      <c r="BC187" s="145"/>
      <c r="BD187" s="145"/>
      <c r="BE187" s="145"/>
      <c r="BF187" s="145"/>
      <c r="BG187" s="145"/>
      <c r="BH187" s="145"/>
      <c r="BI187" s="145"/>
      <c r="BJ187" s="145"/>
      <c r="BK187" s="145"/>
      <c r="BL187" s="145"/>
      <c r="BM187" s="145"/>
      <c r="BN187" s="145"/>
      <c r="BO187" s="145"/>
      <c r="BP187" s="145"/>
      <c r="BQ187" s="145"/>
      <c r="BR187" s="145"/>
      <c r="BS187" s="145"/>
      <c r="BT187" s="145"/>
      <c r="BU187" s="145"/>
      <c r="BV187" s="145"/>
      <c r="BW187" s="145"/>
      <c r="BX187" s="145"/>
      <c r="BY187" s="145"/>
      <c r="BZ187" s="145"/>
      <c r="CA187" s="145"/>
      <c r="CB187" s="145"/>
      <c r="CC187" s="145"/>
      <c r="CD187" s="145"/>
      <c r="CE187" s="145"/>
      <c r="CF187" s="145"/>
      <c r="CG187" s="145"/>
      <c r="CH187" s="145"/>
      <c r="CI187" s="145"/>
      <c r="CJ187" s="145"/>
      <c r="CK187" s="145"/>
      <c r="CL187" s="145"/>
      <c r="CM187" s="145"/>
      <c r="CN187" s="145"/>
      <c r="CO187" s="145"/>
      <c r="CP187" s="145"/>
      <c r="CQ187" s="145"/>
      <c r="CR187" s="145"/>
      <c r="CS187" s="145"/>
      <c r="CT187" s="145"/>
      <c r="CU187" s="145"/>
      <c r="CV187" s="145"/>
      <c r="CW187" s="145"/>
      <c r="CX187" s="145"/>
      <c r="CY187" s="145"/>
      <c r="CZ187" s="145"/>
      <c r="DA187" s="145"/>
      <c r="DB187" s="145"/>
      <c r="DC187" s="145"/>
      <c r="DD187" s="145"/>
      <c r="DE187" s="145"/>
      <c r="DF187" s="145"/>
      <c r="DG187" s="145"/>
      <c r="DH187" s="145"/>
      <c r="DI187" s="145"/>
    </row>
    <row r="188" spans="1:113" s="131" customFormat="1">
      <c r="A188" s="160">
        <f t="shared" ca="1" si="77"/>
        <v>616</v>
      </c>
      <c r="B188" s="160" t="str">
        <f t="shared" si="76"/>
        <v/>
      </c>
      <c r="C188" s="98">
        <v>616</v>
      </c>
      <c r="D188" s="134" t="s">
        <v>105</v>
      </c>
      <c r="E188" s="98"/>
      <c r="F188" s="130"/>
      <c r="G188" s="130"/>
      <c r="H188" s="110">
        <f ca="1">SUM(OFFSET(L188,,J$1-1):OFFSET(L188,,K$1-1))</f>
        <v>5</v>
      </c>
      <c r="I188" s="111">
        <f ca="1">SUM(L188:OFFSET(L188,,K$1-1))</f>
        <v>5</v>
      </c>
      <c r="J188" s="110"/>
      <c r="K188" s="108" t="str">
        <f t="shared" si="74"/>
        <v/>
      </c>
      <c r="L188" s="146"/>
      <c r="M188" s="146">
        <v>1</v>
      </c>
      <c r="N188" s="146"/>
      <c r="O188" s="146"/>
      <c r="P188" s="146"/>
      <c r="Q188" s="146"/>
      <c r="R188" s="146"/>
      <c r="S188" s="146"/>
      <c r="T188" s="146"/>
      <c r="U188" s="146"/>
      <c r="V188" s="146"/>
      <c r="W188" s="146"/>
      <c r="X188" s="146"/>
      <c r="Y188" s="146"/>
      <c r="Z188" s="146"/>
      <c r="AA188" s="146"/>
      <c r="AB188" s="146"/>
      <c r="AC188" s="146"/>
      <c r="AD188" s="146"/>
      <c r="AE188" s="146"/>
      <c r="AF188" s="146"/>
      <c r="AG188" s="146"/>
      <c r="AH188" s="146">
        <v>1</v>
      </c>
      <c r="AI188" s="146"/>
      <c r="AJ188" s="146"/>
      <c r="AK188" s="146"/>
      <c r="AL188" s="146"/>
      <c r="AM188" s="146"/>
      <c r="AN188" s="146"/>
      <c r="AO188" s="146">
        <v>1</v>
      </c>
      <c r="AP188" s="146">
        <v>1</v>
      </c>
      <c r="AQ188" s="146">
        <v>1</v>
      </c>
      <c r="AR188" s="146"/>
      <c r="AS188" s="146"/>
      <c r="AT188" s="146"/>
      <c r="AU188" s="146"/>
      <c r="AV188" s="146"/>
      <c r="AW188" s="146"/>
      <c r="AX188" s="146"/>
      <c r="AY188" s="146"/>
      <c r="AZ188" s="146"/>
      <c r="BA188" s="146"/>
      <c r="BB188" s="146"/>
      <c r="BC188" s="146"/>
      <c r="BD188" s="146"/>
      <c r="BE188" s="146"/>
      <c r="BF188" s="146"/>
      <c r="BG188" s="146"/>
      <c r="BH188" s="146"/>
      <c r="BI188" s="146"/>
      <c r="BJ188" s="146"/>
      <c r="BK188" s="146"/>
      <c r="BL188" s="146"/>
      <c r="BM188" s="146"/>
      <c r="BN188" s="146"/>
      <c r="BO188" s="146"/>
      <c r="BP188" s="146"/>
      <c r="BQ188" s="146"/>
      <c r="BR188" s="146"/>
      <c r="BS188" s="146"/>
      <c r="BT188" s="146"/>
      <c r="BU188" s="146"/>
      <c r="BV188" s="146"/>
      <c r="BW188" s="146"/>
      <c r="BX188" s="146"/>
      <c r="BY188" s="146"/>
      <c r="BZ188" s="146"/>
      <c r="CA188" s="146"/>
      <c r="CB188" s="146"/>
      <c r="CC188" s="146"/>
      <c r="CD188" s="146"/>
      <c r="CE188" s="146"/>
      <c r="CF188" s="146"/>
      <c r="CG188" s="146"/>
      <c r="CH188" s="146"/>
      <c r="CI188" s="146"/>
      <c r="CJ188" s="146"/>
      <c r="CK188" s="146"/>
      <c r="CL188" s="146"/>
      <c r="CM188" s="146"/>
      <c r="CN188" s="146"/>
      <c r="CO188" s="146"/>
      <c r="CP188" s="146"/>
      <c r="CQ188" s="146"/>
      <c r="CR188" s="146"/>
      <c r="CS188" s="146"/>
      <c r="CT188" s="146"/>
      <c r="CU188" s="146"/>
      <c r="CV188" s="146"/>
      <c r="CW188" s="146"/>
      <c r="CX188" s="146"/>
      <c r="CY188" s="146"/>
      <c r="CZ188" s="146"/>
      <c r="DA188" s="146"/>
      <c r="DB188" s="146"/>
      <c r="DC188" s="146"/>
      <c r="DD188" s="146"/>
      <c r="DE188" s="146"/>
      <c r="DF188" s="146"/>
      <c r="DG188" s="146"/>
      <c r="DH188" s="146"/>
      <c r="DI188" s="146"/>
    </row>
    <row r="189" spans="1:113" s="75" customFormat="1" ht="33">
      <c r="A189" s="159"/>
      <c r="B189" s="159"/>
      <c r="C189" s="76"/>
      <c r="E189" s="76"/>
      <c r="F189" s="85"/>
      <c r="G189" s="85"/>
      <c r="H189" s="121" t="str">
        <f>"累計"&amp;J1&amp;"至"&amp;K1&amp;"數量"</f>
        <v>累計1至36數量</v>
      </c>
      <c r="I189" s="122" t="s">
        <v>22</v>
      </c>
      <c r="J189" s="106"/>
      <c r="K189" s="76"/>
    </row>
    <row r="190" spans="1:113" s="75" customFormat="1">
      <c r="A190" s="76"/>
      <c r="B190" s="76"/>
      <c r="C190" s="76"/>
      <c r="E190" s="76"/>
      <c r="F190" s="85"/>
      <c r="G190" s="85"/>
      <c r="I190" s="49"/>
      <c r="J190" s="95" t="s">
        <v>11</v>
      </c>
      <c r="K190" s="78">
        <f>COUNT(K193:K202)</f>
        <v>0</v>
      </c>
      <c r="L190" s="142">
        <f t="shared" ref="L190:AQ190" si="78">L7</f>
        <v>46076</v>
      </c>
      <c r="M190" s="142">
        <f t="shared" si="78"/>
        <v>46077</v>
      </c>
      <c r="N190" s="142">
        <f t="shared" si="78"/>
        <v>46078</v>
      </c>
      <c r="O190" s="142">
        <f t="shared" si="78"/>
        <v>46079</v>
      </c>
      <c r="P190" s="142">
        <f t="shared" si="78"/>
        <v>46080</v>
      </c>
      <c r="Q190" s="142">
        <f t="shared" si="78"/>
        <v>46081</v>
      </c>
      <c r="R190" s="142">
        <f t="shared" si="78"/>
        <v>46082</v>
      </c>
      <c r="S190" s="142">
        <f t="shared" si="78"/>
        <v>46083</v>
      </c>
      <c r="T190" s="142">
        <f t="shared" si="78"/>
        <v>46084</v>
      </c>
      <c r="U190" s="142">
        <f t="shared" si="78"/>
        <v>46085</v>
      </c>
      <c r="V190" s="142">
        <f t="shared" si="78"/>
        <v>46086</v>
      </c>
      <c r="W190" s="142">
        <f t="shared" si="78"/>
        <v>46087</v>
      </c>
      <c r="X190" s="142">
        <f t="shared" si="78"/>
        <v>46088</v>
      </c>
      <c r="Y190" s="142">
        <f t="shared" si="78"/>
        <v>46089</v>
      </c>
      <c r="Z190" s="142">
        <f t="shared" si="78"/>
        <v>46090</v>
      </c>
      <c r="AA190" s="142">
        <f t="shared" si="78"/>
        <v>46091</v>
      </c>
      <c r="AB190" s="142">
        <f t="shared" si="78"/>
        <v>46092</v>
      </c>
      <c r="AC190" s="142">
        <f t="shared" si="78"/>
        <v>46093</v>
      </c>
      <c r="AD190" s="142">
        <f t="shared" si="78"/>
        <v>46094</v>
      </c>
      <c r="AE190" s="142">
        <f t="shared" si="78"/>
        <v>46095</v>
      </c>
      <c r="AF190" s="142">
        <f t="shared" si="78"/>
        <v>46096</v>
      </c>
      <c r="AG190" s="142">
        <f t="shared" si="78"/>
        <v>46097</v>
      </c>
      <c r="AH190" s="142">
        <f t="shared" si="78"/>
        <v>46098</v>
      </c>
      <c r="AI190" s="142">
        <f t="shared" si="78"/>
        <v>46099</v>
      </c>
      <c r="AJ190" s="142">
        <f t="shared" si="78"/>
        <v>46100</v>
      </c>
      <c r="AK190" s="142">
        <f t="shared" si="78"/>
        <v>46101</v>
      </c>
      <c r="AL190" s="142">
        <f t="shared" si="78"/>
        <v>46102</v>
      </c>
      <c r="AM190" s="142">
        <f t="shared" si="78"/>
        <v>46103</v>
      </c>
      <c r="AN190" s="142">
        <f t="shared" si="78"/>
        <v>46104</v>
      </c>
      <c r="AO190" s="142">
        <f t="shared" si="78"/>
        <v>46105</v>
      </c>
      <c r="AP190" s="142">
        <f t="shared" si="78"/>
        <v>46106</v>
      </c>
      <c r="AQ190" s="142">
        <f t="shared" si="78"/>
        <v>46107</v>
      </c>
      <c r="AR190" s="142">
        <f t="shared" ref="AR190:BW190" si="79">AR7</f>
        <v>46108</v>
      </c>
      <c r="AS190" s="142">
        <f t="shared" si="79"/>
        <v>46109</v>
      </c>
      <c r="AT190" s="142">
        <f t="shared" si="79"/>
        <v>46110</v>
      </c>
      <c r="AU190" s="142">
        <f t="shared" si="79"/>
        <v>46111</v>
      </c>
      <c r="AV190" s="142">
        <f t="shared" si="79"/>
        <v>46112</v>
      </c>
      <c r="AW190" s="142">
        <f t="shared" si="79"/>
        <v>46113</v>
      </c>
      <c r="AX190" s="142">
        <f t="shared" si="79"/>
        <v>46114</v>
      </c>
      <c r="AY190" s="142">
        <f t="shared" si="79"/>
        <v>46115</v>
      </c>
      <c r="AZ190" s="142">
        <f t="shared" si="79"/>
        <v>46116</v>
      </c>
      <c r="BA190" s="142">
        <f t="shared" si="79"/>
        <v>46117</v>
      </c>
      <c r="BB190" s="142">
        <f t="shared" si="79"/>
        <v>46118</v>
      </c>
      <c r="BC190" s="142">
        <f t="shared" si="79"/>
        <v>46119</v>
      </c>
      <c r="BD190" s="142">
        <f t="shared" si="79"/>
        <v>46120</v>
      </c>
      <c r="BE190" s="142">
        <f t="shared" si="79"/>
        <v>46121</v>
      </c>
      <c r="BF190" s="142">
        <f t="shared" si="79"/>
        <v>46122</v>
      </c>
      <c r="BG190" s="142">
        <f t="shared" si="79"/>
        <v>46123</v>
      </c>
      <c r="BH190" s="142">
        <f t="shared" si="79"/>
        <v>46124</v>
      </c>
      <c r="BI190" s="142">
        <f t="shared" si="79"/>
        <v>46125</v>
      </c>
      <c r="BJ190" s="142">
        <f t="shared" si="79"/>
        <v>46126</v>
      </c>
      <c r="BK190" s="142">
        <f t="shared" si="79"/>
        <v>46127</v>
      </c>
      <c r="BL190" s="142">
        <f t="shared" si="79"/>
        <v>46128</v>
      </c>
      <c r="BM190" s="142">
        <f t="shared" si="79"/>
        <v>46129</v>
      </c>
      <c r="BN190" s="142">
        <f t="shared" si="79"/>
        <v>46130</v>
      </c>
      <c r="BO190" s="142">
        <f t="shared" si="79"/>
        <v>46131</v>
      </c>
      <c r="BP190" s="142">
        <f t="shared" si="79"/>
        <v>46132</v>
      </c>
      <c r="BQ190" s="142">
        <f t="shared" si="79"/>
        <v>46133</v>
      </c>
      <c r="BR190" s="142">
        <f t="shared" si="79"/>
        <v>46134</v>
      </c>
      <c r="BS190" s="142">
        <f t="shared" si="79"/>
        <v>46135</v>
      </c>
      <c r="BT190" s="142">
        <f t="shared" si="79"/>
        <v>46136</v>
      </c>
      <c r="BU190" s="142">
        <f t="shared" si="79"/>
        <v>46137</v>
      </c>
      <c r="BV190" s="142">
        <f t="shared" si="79"/>
        <v>46138</v>
      </c>
      <c r="BW190" s="142">
        <f t="shared" si="79"/>
        <v>46139</v>
      </c>
      <c r="BX190" s="142">
        <f t="shared" ref="BX190:DG190" si="80">BX7</f>
        <v>46140</v>
      </c>
      <c r="BY190" s="142">
        <f t="shared" si="80"/>
        <v>46141</v>
      </c>
      <c r="BZ190" s="142">
        <f t="shared" si="80"/>
        <v>46142</v>
      </c>
      <c r="CA190" s="142">
        <f t="shared" si="80"/>
        <v>46143</v>
      </c>
      <c r="CB190" s="142">
        <f t="shared" si="80"/>
        <v>46144</v>
      </c>
      <c r="CC190" s="142">
        <f t="shared" si="80"/>
        <v>46145</v>
      </c>
      <c r="CD190" s="142">
        <f t="shared" si="80"/>
        <v>46146</v>
      </c>
      <c r="CE190" s="142">
        <f t="shared" si="80"/>
        <v>46147</v>
      </c>
      <c r="CF190" s="142">
        <f t="shared" si="80"/>
        <v>46148</v>
      </c>
      <c r="CG190" s="142">
        <f t="shared" si="80"/>
        <v>46149</v>
      </c>
      <c r="CH190" s="142">
        <f t="shared" si="80"/>
        <v>46150</v>
      </c>
      <c r="CI190" s="142">
        <f t="shared" si="80"/>
        <v>46151</v>
      </c>
      <c r="CJ190" s="142">
        <f t="shared" si="80"/>
        <v>46152</v>
      </c>
      <c r="CK190" s="142">
        <f t="shared" si="80"/>
        <v>46153</v>
      </c>
      <c r="CL190" s="142">
        <f t="shared" si="80"/>
        <v>46154</v>
      </c>
      <c r="CM190" s="142">
        <f t="shared" si="80"/>
        <v>46155</v>
      </c>
      <c r="CN190" s="142">
        <f t="shared" si="80"/>
        <v>46156</v>
      </c>
      <c r="CO190" s="142">
        <f t="shared" si="80"/>
        <v>46157</v>
      </c>
      <c r="CP190" s="142">
        <f t="shared" si="80"/>
        <v>46158</v>
      </c>
      <c r="CQ190" s="142">
        <f t="shared" si="80"/>
        <v>46159</v>
      </c>
      <c r="CR190" s="142">
        <f t="shared" si="80"/>
        <v>46160</v>
      </c>
      <c r="CS190" s="142">
        <f t="shared" si="80"/>
        <v>46161</v>
      </c>
      <c r="CT190" s="142">
        <f t="shared" si="80"/>
        <v>46162</v>
      </c>
      <c r="CU190" s="142">
        <f t="shared" si="80"/>
        <v>46163</v>
      </c>
      <c r="CV190" s="142">
        <f t="shared" si="80"/>
        <v>46164</v>
      </c>
      <c r="CW190" s="142">
        <f t="shared" si="80"/>
        <v>46165</v>
      </c>
      <c r="CX190" s="142">
        <f t="shared" si="80"/>
        <v>46166</v>
      </c>
      <c r="CY190" s="142">
        <f t="shared" si="80"/>
        <v>46167</v>
      </c>
      <c r="CZ190" s="142">
        <f t="shared" si="80"/>
        <v>46168</v>
      </c>
      <c r="DA190" s="142">
        <f t="shared" si="80"/>
        <v>46169</v>
      </c>
      <c r="DB190" s="142">
        <f t="shared" si="80"/>
        <v>46170</v>
      </c>
      <c r="DC190" s="142">
        <f t="shared" si="80"/>
        <v>46171</v>
      </c>
      <c r="DD190" s="142">
        <f t="shared" si="80"/>
        <v>46172</v>
      </c>
      <c r="DE190" s="142">
        <f t="shared" si="80"/>
        <v>46173</v>
      </c>
      <c r="DF190" s="142">
        <f t="shared" si="80"/>
        <v>46174</v>
      </c>
      <c r="DG190" s="142">
        <f t="shared" si="80"/>
        <v>46175</v>
      </c>
      <c r="DH190" s="142">
        <f t="shared" ref="DH190:DI190" si="81">DH7</f>
        <v>46176</v>
      </c>
      <c r="DI190" s="142">
        <f t="shared" si="81"/>
        <v>46177</v>
      </c>
    </row>
    <row r="191" spans="1:113" s="75" customFormat="1">
      <c r="A191" s="76"/>
      <c r="B191" s="76"/>
      <c r="C191" s="76"/>
      <c r="E191" s="76"/>
      <c r="F191" s="85"/>
      <c r="G191" s="85"/>
      <c r="I191" s="49"/>
      <c r="J191" s="95" t="s">
        <v>13</v>
      </c>
      <c r="K191" s="78">
        <f>COUNT(C193:C201)</f>
        <v>9</v>
      </c>
      <c r="L191" s="144">
        <f t="shared" ref="L191:AQ191" si="82">L8</f>
        <v>2</v>
      </c>
      <c r="M191" s="144">
        <f t="shared" si="82"/>
        <v>3</v>
      </c>
      <c r="N191" s="144">
        <f t="shared" si="82"/>
        <v>4</v>
      </c>
      <c r="O191" s="144">
        <f t="shared" si="82"/>
        <v>5</v>
      </c>
      <c r="P191" s="144">
        <f t="shared" si="82"/>
        <v>6</v>
      </c>
      <c r="Q191" s="144">
        <f t="shared" si="82"/>
        <v>7</v>
      </c>
      <c r="R191" s="144">
        <f t="shared" si="82"/>
        <v>1</v>
      </c>
      <c r="S191" s="144">
        <f t="shared" si="82"/>
        <v>2</v>
      </c>
      <c r="T191" s="144">
        <f t="shared" si="82"/>
        <v>3</v>
      </c>
      <c r="U191" s="144">
        <f t="shared" si="82"/>
        <v>4</v>
      </c>
      <c r="V191" s="144">
        <f t="shared" si="82"/>
        <v>5</v>
      </c>
      <c r="W191" s="144">
        <f t="shared" si="82"/>
        <v>6</v>
      </c>
      <c r="X191" s="144">
        <f t="shared" si="82"/>
        <v>7</v>
      </c>
      <c r="Y191" s="144">
        <f t="shared" si="82"/>
        <v>1</v>
      </c>
      <c r="Z191" s="144">
        <f t="shared" si="82"/>
        <v>2</v>
      </c>
      <c r="AA191" s="144">
        <f t="shared" si="82"/>
        <v>3</v>
      </c>
      <c r="AB191" s="144">
        <f t="shared" si="82"/>
        <v>4</v>
      </c>
      <c r="AC191" s="144">
        <f t="shared" si="82"/>
        <v>5</v>
      </c>
      <c r="AD191" s="144">
        <f t="shared" si="82"/>
        <v>6</v>
      </c>
      <c r="AE191" s="144">
        <f t="shared" si="82"/>
        <v>7</v>
      </c>
      <c r="AF191" s="144">
        <f t="shared" si="82"/>
        <v>1</v>
      </c>
      <c r="AG191" s="144">
        <f t="shared" si="82"/>
        <v>2</v>
      </c>
      <c r="AH191" s="144">
        <f t="shared" si="82"/>
        <v>3</v>
      </c>
      <c r="AI191" s="144">
        <f t="shared" si="82"/>
        <v>4</v>
      </c>
      <c r="AJ191" s="144">
        <f t="shared" si="82"/>
        <v>5</v>
      </c>
      <c r="AK191" s="144">
        <f t="shared" si="82"/>
        <v>6</v>
      </c>
      <c r="AL191" s="144">
        <f t="shared" si="82"/>
        <v>7</v>
      </c>
      <c r="AM191" s="144">
        <f t="shared" si="82"/>
        <v>1</v>
      </c>
      <c r="AN191" s="144">
        <f t="shared" si="82"/>
        <v>2</v>
      </c>
      <c r="AO191" s="144">
        <f t="shared" si="82"/>
        <v>3</v>
      </c>
      <c r="AP191" s="144">
        <f t="shared" si="82"/>
        <v>4</v>
      </c>
      <c r="AQ191" s="144">
        <f t="shared" si="82"/>
        <v>5</v>
      </c>
      <c r="AR191" s="144">
        <f t="shared" ref="AR191:BW191" si="83">AR8</f>
        <v>6</v>
      </c>
      <c r="AS191" s="144">
        <f t="shared" si="83"/>
        <v>7</v>
      </c>
      <c r="AT191" s="144">
        <f t="shared" si="83"/>
        <v>1</v>
      </c>
      <c r="AU191" s="144">
        <f t="shared" si="83"/>
        <v>2</v>
      </c>
      <c r="AV191" s="144">
        <f t="shared" si="83"/>
        <v>3</v>
      </c>
      <c r="AW191" s="144">
        <f t="shared" si="83"/>
        <v>4</v>
      </c>
      <c r="AX191" s="144">
        <f t="shared" si="83"/>
        <v>5</v>
      </c>
      <c r="AY191" s="144">
        <f t="shared" si="83"/>
        <v>6</v>
      </c>
      <c r="AZ191" s="144">
        <f t="shared" si="83"/>
        <v>7</v>
      </c>
      <c r="BA191" s="144">
        <f t="shared" si="83"/>
        <v>1</v>
      </c>
      <c r="BB191" s="144">
        <f t="shared" si="83"/>
        <v>2</v>
      </c>
      <c r="BC191" s="144">
        <f t="shared" si="83"/>
        <v>3</v>
      </c>
      <c r="BD191" s="144">
        <f t="shared" si="83"/>
        <v>4</v>
      </c>
      <c r="BE191" s="144">
        <f t="shared" si="83"/>
        <v>5</v>
      </c>
      <c r="BF191" s="144">
        <f t="shared" si="83"/>
        <v>6</v>
      </c>
      <c r="BG191" s="144">
        <f t="shared" si="83"/>
        <v>7</v>
      </c>
      <c r="BH191" s="144">
        <f t="shared" si="83"/>
        <v>1</v>
      </c>
      <c r="BI191" s="144">
        <f t="shared" si="83"/>
        <v>2</v>
      </c>
      <c r="BJ191" s="144">
        <f t="shared" si="83"/>
        <v>3</v>
      </c>
      <c r="BK191" s="144">
        <f t="shared" si="83"/>
        <v>4</v>
      </c>
      <c r="BL191" s="144">
        <f t="shared" si="83"/>
        <v>5</v>
      </c>
      <c r="BM191" s="144">
        <f t="shared" si="83"/>
        <v>6</v>
      </c>
      <c r="BN191" s="144">
        <f t="shared" si="83"/>
        <v>7</v>
      </c>
      <c r="BO191" s="144">
        <f t="shared" si="83"/>
        <v>1</v>
      </c>
      <c r="BP191" s="144">
        <f t="shared" si="83"/>
        <v>2</v>
      </c>
      <c r="BQ191" s="144">
        <f t="shared" si="83"/>
        <v>3</v>
      </c>
      <c r="BR191" s="144">
        <f t="shared" si="83"/>
        <v>4</v>
      </c>
      <c r="BS191" s="144">
        <f t="shared" si="83"/>
        <v>5</v>
      </c>
      <c r="BT191" s="144">
        <f t="shared" si="83"/>
        <v>6</v>
      </c>
      <c r="BU191" s="144">
        <f t="shared" si="83"/>
        <v>7</v>
      </c>
      <c r="BV191" s="144">
        <f t="shared" si="83"/>
        <v>1</v>
      </c>
      <c r="BW191" s="144">
        <f t="shared" si="83"/>
        <v>2</v>
      </c>
      <c r="BX191" s="144">
        <f t="shared" ref="BX191:DG191" si="84">BX8</f>
        <v>3</v>
      </c>
      <c r="BY191" s="144">
        <f t="shared" si="84"/>
        <v>4</v>
      </c>
      <c r="BZ191" s="144">
        <f t="shared" si="84"/>
        <v>5</v>
      </c>
      <c r="CA191" s="144">
        <f t="shared" si="84"/>
        <v>6</v>
      </c>
      <c r="CB191" s="144">
        <f t="shared" si="84"/>
        <v>7</v>
      </c>
      <c r="CC191" s="144">
        <f t="shared" si="84"/>
        <v>1</v>
      </c>
      <c r="CD191" s="144">
        <f t="shared" si="84"/>
        <v>2</v>
      </c>
      <c r="CE191" s="144">
        <f t="shared" si="84"/>
        <v>3</v>
      </c>
      <c r="CF191" s="144">
        <f t="shared" si="84"/>
        <v>4</v>
      </c>
      <c r="CG191" s="144">
        <f t="shared" si="84"/>
        <v>5</v>
      </c>
      <c r="CH191" s="144">
        <f t="shared" si="84"/>
        <v>6</v>
      </c>
      <c r="CI191" s="144">
        <f t="shared" si="84"/>
        <v>7</v>
      </c>
      <c r="CJ191" s="144">
        <f t="shared" si="84"/>
        <v>1</v>
      </c>
      <c r="CK191" s="144">
        <f t="shared" si="84"/>
        <v>2</v>
      </c>
      <c r="CL191" s="144">
        <f t="shared" si="84"/>
        <v>3</v>
      </c>
      <c r="CM191" s="144">
        <f t="shared" si="84"/>
        <v>4</v>
      </c>
      <c r="CN191" s="144">
        <f t="shared" si="84"/>
        <v>5</v>
      </c>
      <c r="CO191" s="144">
        <f t="shared" si="84"/>
        <v>6</v>
      </c>
      <c r="CP191" s="144">
        <f t="shared" si="84"/>
        <v>7</v>
      </c>
      <c r="CQ191" s="144">
        <f t="shared" si="84"/>
        <v>1</v>
      </c>
      <c r="CR191" s="144">
        <f t="shared" si="84"/>
        <v>2</v>
      </c>
      <c r="CS191" s="144">
        <f t="shared" si="84"/>
        <v>3</v>
      </c>
      <c r="CT191" s="144">
        <f t="shared" si="84"/>
        <v>4</v>
      </c>
      <c r="CU191" s="144">
        <f t="shared" si="84"/>
        <v>5</v>
      </c>
      <c r="CV191" s="144">
        <f t="shared" si="84"/>
        <v>6</v>
      </c>
      <c r="CW191" s="144">
        <f t="shared" si="84"/>
        <v>7</v>
      </c>
      <c r="CX191" s="144">
        <f t="shared" si="84"/>
        <v>1</v>
      </c>
      <c r="CY191" s="144">
        <f t="shared" si="84"/>
        <v>2</v>
      </c>
      <c r="CZ191" s="144">
        <f t="shared" si="84"/>
        <v>3</v>
      </c>
      <c r="DA191" s="144">
        <f t="shared" si="84"/>
        <v>4</v>
      </c>
      <c r="DB191" s="144">
        <f t="shared" si="84"/>
        <v>5</v>
      </c>
      <c r="DC191" s="144">
        <f t="shared" si="84"/>
        <v>6</v>
      </c>
      <c r="DD191" s="144">
        <f t="shared" si="84"/>
        <v>7</v>
      </c>
      <c r="DE191" s="144">
        <f t="shared" si="84"/>
        <v>1</v>
      </c>
      <c r="DF191" s="144">
        <f t="shared" si="84"/>
        <v>2</v>
      </c>
      <c r="DG191" s="144">
        <f t="shared" si="84"/>
        <v>3</v>
      </c>
      <c r="DH191" s="144">
        <f t="shared" ref="DH191:DI191" si="85">DH8</f>
        <v>4</v>
      </c>
      <c r="DI191" s="144">
        <f t="shared" si="85"/>
        <v>5</v>
      </c>
    </row>
    <row r="192" spans="1:113" s="75" customFormat="1">
      <c r="A192" s="76"/>
      <c r="B192" s="76"/>
      <c r="C192" s="76"/>
      <c r="E192" s="76"/>
      <c r="F192" s="85"/>
      <c r="G192" s="85"/>
      <c r="I192" s="49"/>
      <c r="J192" s="95" t="s">
        <v>15</v>
      </c>
      <c r="K192" s="78">
        <f ca="1">COUNT(A193:A202)</f>
        <v>1</v>
      </c>
    </row>
    <row r="193" spans="1:113" s="75" customFormat="1">
      <c r="A193" s="159" t="str">
        <f ca="1">IF(H193&gt;0,C193,"")</f>
        <v/>
      </c>
      <c r="B193" s="159" t="str">
        <f>IF(K193="","",C193)</f>
        <v/>
      </c>
      <c r="C193" s="76">
        <v>701</v>
      </c>
      <c r="D193" s="135" t="s">
        <v>120</v>
      </c>
      <c r="E193" s="76"/>
      <c r="F193" s="85"/>
      <c r="G193" s="85"/>
      <c r="H193" s="106">
        <f ca="1">SUM(OFFSET(L193,,J$1-1):OFFSET(L193,,K$1-1))</f>
        <v>0</v>
      </c>
      <c r="I193" s="107">
        <f ca="1">SUM(L193:OFFSET(L193,,K$1-1))</f>
        <v>0</v>
      </c>
      <c r="J193" s="106"/>
      <c r="K193" s="108" t="str">
        <f t="shared" ref="K193:K201" si="86">IF(LOOKUP(K$1,L$1:DG$1,L193:DG193)=0,"",LOOKUP(K$1,L$1:DG$1,L193:DG193))</f>
        <v/>
      </c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7"/>
      <c r="AM193" s="147"/>
      <c r="AN193" s="147"/>
      <c r="AO193" s="147"/>
      <c r="AP193" s="147"/>
      <c r="AQ193" s="147"/>
      <c r="AR193" s="147"/>
      <c r="AS193" s="147"/>
      <c r="AT193" s="147"/>
      <c r="AU193" s="147"/>
      <c r="AV193" s="147"/>
      <c r="AW193" s="147"/>
      <c r="AX193" s="147"/>
      <c r="AY193" s="147"/>
      <c r="AZ193" s="147"/>
      <c r="BA193" s="147"/>
      <c r="BB193" s="147"/>
      <c r="BC193" s="147"/>
      <c r="BD193" s="147"/>
      <c r="BE193" s="147"/>
      <c r="BF193" s="147"/>
      <c r="BG193" s="147"/>
      <c r="BH193" s="147"/>
      <c r="BI193" s="147"/>
      <c r="BJ193" s="147"/>
      <c r="BK193" s="147"/>
      <c r="BL193" s="147"/>
      <c r="BM193" s="147"/>
      <c r="BN193" s="147"/>
      <c r="BO193" s="147"/>
      <c r="BP193" s="147"/>
      <c r="BQ193" s="147"/>
      <c r="BR193" s="147"/>
      <c r="BS193" s="147"/>
      <c r="BT193" s="147"/>
      <c r="BU193" s="147"/>
      <c r="BV193" s="147"/>
      <c r="BW193" s="147"/>
      <c r="BX193" s="147"/>
      <c r="BY193" s="147"/>
      <c r="BZ193" s="147"/>
      <c r="CA193" s="147"/>
      <c r="CB193" s="147"/>
      <c r="CC193" s="147"/>
      <c r="CD193" s="147"/>
      <c r="CE193" s="147"/>
      <c r="CF193" s="147"/>
      <c r="CG193" s="147"/>
      <c r="CH193" s="147"/>
      <c r="CI193" s="147"/>
      <c r="CJ193" s="147"/>
      <c r="CK193" s="147"/>
      <c r="CL193" s="147"/>
      <c r="CM193" s="147"/>
      <c r="CN193" s="147"/>
      <c r="CO193" s="147"/>
      <c r="CP193" s="147"/>
      <c r="CQ193" s="147"/>
      <c r="CR193" s="147"/>
      <c r="CS193" s="147"/>
      <c r="CT193" s="147"/>
      <c r="CU193" s="147"/>
      <c r="CV193" s="147"/>
      <c r="CW193" s="147"/>
      <c r="CX193" s="147"/>
      <c r="CY193" s="147"/>
      <c r="CZ193" s="147"/>
      <c r="DA193" s="147"/>
      <c r="DB193" s="147"/>
      <c r="DC193" s="147"/>
      <c r="DD193" s="147"/>
      <c r="DE193" s="147"/>
      <c r="DF193" s="147"/>
      <c r="DG193" s="147"/>
      <c r="DH193" s="147"/>
      <c r="DI193" s="147"/>
    </row>
    <row r="194" spans="1:113" s="75" customFormat="1">
      <c r="A194" s="159" t="str">
        <f t="shared" ref="A194:A201" ca="1" si="87">IF(H194&gt;0,C194,"")</f>
        <v/>
      </c>
      <c r="B194" s="159" t="str">
        <f t="shared" ref="B194:B201" si="88">IF(K194="","",C194)</f>
        <v/>
      </c>
      <c r="C194" s="76">
        <v>702</v>
      </c>
      <c r="D194" s="135" t="s">
        <v>122</v>
      </c>
      <c r="E194" s="76"/>
      <c r="F194" s="85"/>
      <c r="G194" s="85"/>
      <c r="H194" s="106">
        <f ca="1">SUM(OFFSET(L194,,J$1-1):OFFSET(L194,,K$1-1))</f>
        <v>0</v>
      </c>
      <c r="I194" s="107">
        <f ca="1">SUM(L194:OFFSET(L194,,K$1-1))</f>
        <v>0</v>
      </c>
      <c r="J194" s="106"/>
      <c r="K194" s="108" t="str">
        <f t="shared" si="86"/>
        <v/>
      </c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  <c r="AQ194" s="147"/>
      <c r="AR194" s="147"/>
      <c r="AS194" s="147"/>
      <c r="AT194" s="147"/>
      <c r="AU194" s="147"/>
      <c r="AV194" s="147"/>
      <c r="AW194" s="147"/>
      <c r="AX194" s="147"/>
      <c r="AY194" s="147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7"/>
      <c r="BP194" s="147"/>
      <c r="BQ194" s="147"/>
      <c r="BR194" s="147"/>
      <c r="BS194" s="147"/>
      <c r="BT194" s="147"/>
      <c r="BU194" s="147"/>
      <c r="BV194" s="147"/>
      <c r="BW194" s="147"/>
      <c r="BX194" s="147"/>
      <c r="BY194" s="147"/>
      <c r="BZ194" s="147"/>
      <c r="CA194" s="147"/>
      <c r="CB194" s="147"/>
      <c r="CC194" s="147"/>
      <c r="CD194" s="147"/>
      <c r="CE194" s="147"/>
      <c r="CF194" s="147"/>
      <c r="CG194" s="147"/>
      <c r="CH194" s="147"/>
      <c r="CI194" s="147"/>
      <c r="CJ194" s="147"/>
      <c r="CK194" s="147"/>
      <c r="CL194" s="147"/>
      <c r="CM194" s="147"/>
      <c r="CN194" s="147"/>
      <c r="CO194" s="147"/>
      <c r="CP194" s="147"/>
      <c r="CQ194" s="147"/>
      <c r="CR194" s="147"/>
      <c r="CS194" s="147"/>
      <c r="CT194" s="147"/>
      <c r="CU194" s="147"/>
      <c r="CV194" s="147"/>
      <c r="CW194" s="147"/>
      <c r="CX194" s="147"/>
      <c r="CY194" s="147"/>
      <c r="CZ194" s="147"/>
      <c r="DA194" s="147"/>
      <c r="DB194" s="147"/>
      <c r="DC194" s="147"/>
      <c r="DD194" s="147"/>
      <c r="DE194" s="147"/>
      <c r="DF194" s="147"/>
      <c r="DG194" s="147"/>
      <c r="DH194" s="147"/>
      <c r="DI194" s="147"/>
    </row>
    <row r="195" spans="1:113" s="75" customFormat="1">
      <c r="A195" s="159" t="str">
        <f t="shared" ca="1" si="87"/>
        <v/>
      </c>
      <c r="B195" s="159" t="str">
        <f t="shared" si="88"/>
        <v/>
      </c>
      <c r="C195" s="76">
        <v>703</v>
      </c>
      <c r="D195" s="135" t="s">
        <v>121</v>
      </c>
      <c r="E195" s="76"/>
      <c r="F195" s="85"/>
      <c r="G195" s="85"/>
      <c r="H195" s="106">
        <f ca="1">SUM(OFFSET(L195,,J$1-1):OFFSET(L195,,K$1-1))</f>
        <v>0</v>
      </c>
      <c r="I195" s="107">
        <f ca="1">SUM(L195:OFFSET(L195,,K$1-1))</f>
        <v>0</v>
      </c>
      <c r="J195" s="106"/>
      <c r="K195" s="108" t="str">
        <f t="shared" si="86"/>
        <v/>
      </c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7"/>
      <c r="AM195" s="147"/>
      <c r="AN195" s="147"/>
      <c r="AO195" s="147"/>
      <c r="AP195" s="147"/>
      <c r="AQ195" s="147"/>
      <c r="AR195" s="147"/>
      <c r="AS195" s="147"/>
      <c r="AT195" s="147"/>
      <c r="AU195" s="147"/>
      <c r="AV195" s="147"/>
      <c r="AW195" s="147"/>
      <c r="AX195" s="147"/>
      <c r="AY195" s="147"/>
      <c r="AZ195" s="147"/>
      <c r="BA195" s="147"/>
      <c r="BB195" s="147"/>
      <c r="BC195" s="147"/>
      <c r="BD195" s="147"/>
      <c r="BE195" s="147"/>
      <c r="BF195" s="147"/>
      <c r="BG195" s="147"/>
      <c r="BH195" s="147"/>
      <c r="BI195" s="147"/>
      <c r="BJ195" s="147"/>
      <c r="BK195" s="147"/>
      <c r="BL195" s="147"/>
      <c r="BM195" s="147"/>
      <c r="BN195" s="147"/>
      <c r="BO195" s="147"/>
      <c r="BP195" s="147"/>
      <c r="BQ195" s="147"/>
      <c r="BR195" s="147"/>
      <c r="BS195" s="147"/>
      <c r="BT195" s="147"/>
      <c r="BU195" s="147"/>
      <c r="BV195" s="147"/>
      <c r="BW195" s="147"/>
      <c r="BX195" s="147"/>
      <c r="BY195" s="147"/>
      <c r="BZ195" s="147"/>
      <c r="CA195" s="147"/>
      <c r="CB195" s="147"/>
      <c r="CC195" s="147"/>
      <c r="CD195" s="147"/>
      <c r="CE195" s="147"/>
      <c r="CF195" s="147"/>
      <c r="CG195" s="147"/>
      <c r="CH195" s="147"/>
      <c r="CI195" s="147"/>
      <c r="CJ195" s="147"/>
      <c r="CK195" s="147"/>
      <c r="CL195" s="147"/>
      <c r="CM195" s="147"/>
      <c r="CN195" s="147"/>
      <c r="CO195" s="147"/>
      <c r="CP195" s="147"/>
      <c r="CQ195" s="147"/>
      <c r="CR195" s="147"/>
      <c r="CS195" s="147"/>
      <c r="CT195" s="147"/>
      <c r="CU195" s="147"/>
      <c r="CV195" s="147"/>
      <c r="CW195" s="147"/>
      <c r="CX195" s="147"/>
      <c r="CY195" s="147"/>
      <c r="CZ195" s="147"/>
      <c r="DA195" s="147"/>
      <c r="DB195" s="147"/>
      <c r="DC195" s="147"/>
      <c r="DD195" s="147"/>
      <c r="DE195" s="147"/>
      <c r="DF195" s="147"/>
      <c r="DG195" s="147"/>
      <c r="DH195" s="147"/>
      <c r="DI195" s="147"/>
    </row>
    <row r="196" spans="1:113" s="75" customFormat="1">
      <c r="A196" s="159" t="str">
        <f t="shared" ca="1" si="87"/>
        <v/>
      </c>
      <c r="B196" s="159" t="str">
        <f t="shared" si="88"/>
        <v/>
      </c>
      <c r="C196" s="76">
        <v>704</v>
      </c>
      <c r="D196" s="135" t="s">
        <v>123</v>
      </c>
      <c r="E196" s="76"/>
      <c r="F196" s="85"/>
      <c r="G196" s="85"/>
      <c r="H196" s="106">
        <f ca="1">SUM(OFFSET(L196,,J$1-1):OFFSET(L196,,K$1-1))</f>
        <v>0</v>
      </c>
      <c r="I196" s="107">
        <f ca="1">SUM(L196:OFFSET(L196,,K$1-1))</f>
        <v>0</v>
      </c>
      <c r="J196" s="106"/>
      <c r="K196" s="108" t="str">
        <f t="shared" si="86"/>
        <v/>
      </c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7"/>
      <c r="AM196" s="147"/>
      <c r="AN196" s="147"/>
      <c r="AO196" s="147"/>
      <c r="AP196" s="147"/>
      <c r="AQ196" s="147"/>
      <c r="AR196" s="147"/>
      <c r="AS196" s="147"/>
      <c r="AT196" s="147"/>
      <c r="AU196" s="147"/>
      <c r="AV196" s="147"/>
      <c r="AW196" s="147"/>
      <c r="AX196" s="147"/>
      <c r="AY196" s="147"/>
      <c r="AZ196" s="147"/>
      <c r="BA196" s="147"/>
      <c r="BB196" s="147"/>
      <c r="BC196" s="147"/>
      <c r="BD196" s="147"/>
      <c r="BE196" s="147"/>
      <c r="BF196" s="147"/>
      <c r="BG196" s="147"/>
      <c r="BH196" s="147"/>
      <c r="BI196" s="147"/>
      <c r="BJ196" s="147"/>
      <c r="BK196" s="147"/>
      <c r="BL196" s="147"/>
      <c r="BM196" s="147"/>
      <c r="BN196" s="147"/>
      <c r="BO196" s="147"/>
      <c r="BP196" s="147"/>
      <c r="BQ196" s="147"/>
      <c r="BR196" s="147"/>
      <c r="BS196" s="147"/>
      <c r="BT196" s="147"/>
      <c r="BU196" s="147"/>
      <c r="BV196" s="147"/>
      <c r="BW196" s="147"/>
      <c r="BX196" s="147"/>
      <c r="BY196" s="147"/>
      <c r="BZ196" s="147"/>
      <c r="CA196" s="147"/>
      <c r="CB196" s="147"/>
      <c r="CC196" s="147"/>
      <c r="CD196" s="147"/>
      <c r="CE196" s="147"/>
      <c r="CF196" s="147"/>
      <c r="CG196" s="147"/>
      <c r="CH196" s="147"/>
      <c r="CI196" s="147"/>
      <c r="CJ196" s="147"/>
      <c r="CK196" s="147"/>
      <c r="CL196" s="147"/>
      <c r="CM196" s="147"/>
      <c r="CN196" s="147"/>
      <c r="CO196" s="147"/>
      <c r="CP196" s="147"/>
      <c r="CQ196" s="147"/>
      <c r="CR196" s="147"/>
      <c r="CS196" s="147"/>
      <c r="CT196" s="147"/>
      <c r="CU196" s="147"/>
      <c r="CV196" s="147"/>
      <c r="CW196" s="147"/>
      <c r="CX196" s="147"/>
      <c r="CY196" s="147"/>
      <c r="CZ196" s="147"/>
      <c r="DA196" s="147"/>
      <c r="DB196" s="147"/>
      <c r="DC196" s="147"/>
      <c r="DD196" s="147"/>
      <c r="DE196" s="147"/>
      <c r="DF196" s="147"/>
      <c r="DG196" s="147"/>
      <c r="DH196" s="147"/>
      <c r="DI196" s="147"/>
    </row>
    <row r="197" spans="1:113" s="75" customFormat="1">
      <c r="A197" s="159" t="str">
        <f t="shared" ca="1" si="87"/>
        <v/>
      </c>
      <c r="B197" s="159" t="str">
        <f t="shared" si="88"/>
        <v/>
      </c>
      <c r="C197" s="76">
        <v>705</v>
      </c>
      <c r="D197" s="135" t="s">
        <v>110</v>
      </c>
      <c r="E197" s="76"/>
      <c r="F197" s="85"/>
      <c r="G197" s="85"/>
      <c r="H197" s="106">
        <f ca="1">SUM(OFFSET(L197,,J$1-1):OFFSET(L197,,K$1-1))</f>
        <v>0</v>
      </c>
      <c r="I197" s="107">
        <f ca="1">SUM(L197:OFFSET(L197,,K$1-1))</f>
        <v>0</v>
      </c>
      <c r="J197" s="106"/>
      <c r="K197" s="108" t="str">
        <f t="shared" si="86"/>
        <v/>
      </c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7"/>
      <c r="AM197" s="147"/>
      <c r="AN197" s="147"/>
      <c r="AO197" s="147"/>
      <c r="AP197" s="147"/>
      <c r="AQ197" s="147"/>
      <c r="AR197" s="147"/>
      <c r="AS197" s="147"/>
      <c r="AT197" s="147"/>
      <c r="AU197" s="147"/>
      <c r="AV197" s="147"/>
      <c r="AW197" s="147"/>
      <c r="AX197" s="147"/>
      <c r="AY197" s="147"/>
      <c r="AZ197" s="147"/>
      <c r="BA197" s="147"/>
      <c r="BB197" s="147"/>
      <c r="BC197" s="147"/>
      <c r="BD197" s="147"/>
      <c r="BE197" s="147"/>
      <c r="BF197" s="147"/>
      <c r="BG197" s="147"/>
      <c r="BH197" s="147"/>
      <c r="BI197" s="147"/>
      <c r="BJ197" s="147"/>
      <c r="BK197" s="147"/>
      <c r="BL197" s="147"/>
      <c r="BM197" s="147"/>
      <c r="BN197" s="147"/>
      <c r="BO197" s="147"/>
      <c r="BP197" s="147"/>
      <c r="BQ197" s="147"/>
      <c r="BR197" s="147"/>
      <c r="BS197" s="147"/>
      <c r="BT197" s="147"/>
      <c r="BU197" s="147"/>
      <c r="BV197" s="147"/>
      <c r="BW197" s="147"/>
      <c r="BX197" s="147"/>
      <c r="BY197" s="147"/>
      <c r="BZ197" s="147"/>
      <c r="CA197" s="147"/>
      <c r="CB197" s="147"/>
      <c r="CC197" s="147"/>
      <c r="CD197" s="147"/>
      <c r="CE197" s="147"/>
      <c r="CF197" s="147"/>
      <c r="CG197" s="147"/>
      <c r="CH197" s="147"/>
      <c r="CI197" s="147"/>
      <c r="CJ197" s="147"/>
      <c r="CK197" s="147"/>
      <c r="CL197" s="147"/>
      <c r="CM197" s="147"/>
      <c r="CN197" s="147"/>
      <c r="CO197" s="147"/>
      <c r="CP197" s="147"/>
      <c r="CQ197" s="147"/>
      <c r="CR197" s="147"/>
      <c r="CS197" s="147"/>
      <c r="CT197" s="147"/>
      <c r="CU197" s="147"/>
      <c r="CV197" s="147"/>
      <c r="CW197" s="147"/>
      <c r="CX197" s="147"/>
      <c r="CY197" s="147"/>
      <c r="CZ197" s="147"/>
      <c r="DA197" s="147"/>
      <c r="DB197" s="147"/>
      <c r="DC197" s="147"/>
      <c r="DD197" s="147"/>
      <c r="DE197" s="147"/>
      <c r="DF197" s="147"/>
      <c r="DG197" s="147"/>
      <c r="DH197" s="147"/>
      <c r="DI197" s="147"/>
    </row>
    <row r="198" spans="1:113" s="75" customFormat="1">
      <c r="A198" s="159">
        <f t="shared" ca="1" si="87"/>
        <v>706</v>
      </c>
      <c r="B198" s="159" t="str">
        <f t="shared" si="88"/>
        <v/>
      </c>
      <c r="C198" s="76">
        <v>706</v>
      </c>
      <c r="D198" s="135" t="s">
        <v>106</v>
      </c>
      <c r="E198" s="76"/>
      <c r="F198" s="85"/>
      <c r="G198" s="85"/>
      <c r="H198" s="106">
        <f ca="1">SUM(OFFSET(L198,,J$1-1):OFFSET(L198,,K$1-1))</f>
        <v>1</v>
      </c>
      <c r="I198" s="107">
        <f ca="1">SUM(L198:OFFSET(L198,,K$1-1))</f>
        <v>1</v>
      </c>
      <c r="J198" s="106"/>
      <c r="K198" s="108" t="str">
        <f t="shared" si="86"/>
        <v/>
      </c>
      <c r="L198" s="147">
        <v>1</v>
      </c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7"/>
      <c r="AM198" s="147"/>
      <c r="AN198" s="147"/>
      <c r="AO198" s="147"/>
      <c r="AP198" s="147"/>
      <c r="AQ198" s="147"/>
      <c r="AR198" s="147"/>
      <c r="AS198" s="147"/>
      <c r="AT198" s="147"/>
      <c r="AU198" s="147"/>
      <c r="AV198" s="147"/>
      <c r="AW198" s="147"/>
      <c r="AX198" s="147"/>
      <c r="AY198" s="147"/>
      <c r="AZ198" s="147"/>
      <c r="BA198" s="147"/>
      <c r="BB198" s="147"/>
      <c r="BC198" s="147"/>
      <c r="BD198" s="147"/>
      <c r="BE198" s="147"/>
      <c r="BF198" s="147"/>
      <c r="BG198" s="147"/>
      <c r="BH198" s="147"/>
      <c r="BI198" s="147"/>
      <c r="BJ198" s="147"/>
      <c r="BK198" s="147"/>
      <c r="BL198" s="147"/>
      <c r="BM198" s="147"/>
      <c r="BN198" s="147"/>
      <c r="BO198" s="147"/>
      <c r="BP198" s="147"/>
      <c r="BQ198" s="147"/>
      <c r="BR198" s="147"/>
      <c r="BS198" s="147"/>
      <c r="BT198" s="147"/>
      <c r="BU198" s="147"/>
      <c r="BV198" s="147"/>
      <c r="BW198" s="147"/>
      <c r="BX198" s="147"/>
      <c r="BY198" s="147"/>
      <c r="BZ198" s="147"/>
      <c r="CA198" s="147"/>
      <c r="CB198" s="147"/>
      <c r="CC198" s="147"/>
      <c r="CD198" s="147"/>
      <c r="CE198" s="147"/>
      <c r="CF198" s="147"/>
      <c r="CG198" s="147"/>
      <c r="CH198" s="147"/>
      <c r="CI198" s="147"/>
      <c r="CJ198" s="147"/>
      <c r="CK198" s="147"/>
      <c r="CL198" s="147"/>
      <c r="CM198" s="147"/>
      <c r="CN198" s="147"/>
      <c r="CO198" s="147"/>
      <c r="CP198" s="147"/>
      <c r="CQ198" s="147"/>
      <c r="CR198" s="147"/>
      <c r="CS198" s="147"/>
      <c r="CT198" s="147"/>
      <c r="CU198" s="147"/>
      <c r="CV198" s="147"/>
      <c r="CW198" s="147"/>
      <c r="CX198" s="147"/>
      <c r="CY198" s="147"/>
      <c r="CZ198" s="147"/>
      <c r="DA198" s="147"/>
      <c r="DB198" s="147"/>
      <c r="DC198" s="147"/>
      <c r="DD198" s="147"/>
      <c r="DE198" s="147"/>
      <c r="DF198" s="147"/>
      <c r="DG198" s="147"/>
      <c r="DH198" s="147"/>
      <c r="DI198" s="147"/>
    </row>
    <row r="199" spans="1:113" s="75" customFormat="1">
      <c r="A199" s="159" t="str">
        <f t="shared" ca="1" si="87"/>
        <v/>
      </c>
      <c r="B199" s="159" t="str">
        <f t="shared" si="88"/>
        <v/>
      </c>
      <c r="C199" s="76">
        <v>707</v>
      </c>
      <c r="D199" s="135" t="s">
        <v>107</v>
      </c>
      <c r="E199" s="76"/>
      <c r="F199" s="85"/>
      <c r="G199" s="85"/>
      <c r="H199" s="106">
        <f ca="1">SUM(OFFSET(L199,,J$1-1):OFFSET(L199,,K$1-1))</f>
        <v>0</v>
      </c>
      <c r="I199" s="107">
        <f ca="1">SUM(L199:OFFSET(L199,,K$1-1))</f>
        <v>0</v>
      </c>
      <c r="J199" s="106"/>
      <c r="K199" s="108" t="str">
        <f t="shared" si="86"/>
        <v/>
      </c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7"/>
      <c r="AM199" s="147"/>
      <c r="AN199" s="147"/>
      <c r="AO199" s="147"/>
      <c r="AP199" s="147"/>
      <c r="AQ199" s="147"/>
      <c r="AR199" s="147"/>
      <c r="AS199" s="147"/>
      <c r="AT199" s="147"/>
      <c r="AU199" s="147"/>
      <c r="AV199" s="147"/>
      <c r="AW199" s="147"/>
      <c r="AX199" s="147"/>
      <c r="AY199" s="147"/>
      <c r="AZ199" s="147"/>
      <c r="BA199" s="147"/>
      <c r="BB199" s="147"/>
      <c r="BC199" s="147"/>
      <c r="BD199" s="147"/>
      <c r="BE199" s="147"/>
      <c r="BF199" s="147"/>
      <c r="BG199" s="147"/>
      <c r="BH199" s="147"/>
      <c r="BI199" s="147"/>
      <c r="BJ199" s="147"/>
      <c r="BK199" s="147"/>
      <c r="BL199" s="147"/>
      <c r="BM199" s="147"/>
      <c r="BN199" s="147"/>
      <c r="BO199" s="147"/>
      <c r="BP199" s="147"/>
      <c r="BQ199" s="147"/>
      <c r="BR199" s="147"/>
      <c r="BS199" s="147"/>
      <c r="BT199" s="147"/>
      <c r="BU199" s="147"/>
      <c r="BV199" s="147"/>
      <c r="BW199" s="147"/>
      <c r="BX199" s="147"/>
      <c r="BY199" s="147"/>
      <c r="BZ199" s="147"/>
      <c r="CA199" s="147"/>
      <c r="CB199" s="147"/>
      <c r="CC199" s="147"/>
      <c r="CD199" s="147"/>
      <c r="CE199" s="147"/>
      <c r="CF199" s="147"/>
      <c r="CG199" s="147"/>
      <c r="CH199" s="147"/>
      <c r="CI199" s="147"/>
      <c r="CJ199" s="147"/>
      <c r="CK199" s="147"/>
      <c r="CL199" s="147"/>
      <c r="CM199" s="147"/>
      <c r="CN199" s="147"/>
      <c r="CO199" s="147"/>
      <c r="CP199" s="147"/>
      <c r="CQ199" s="147"/>
      <c r="CR199" s="147"/>
      <c r="CS199" s="147"/>
      <c r="CT199" s="147"/>
      <c r="CU199" s="147"/>
      <c r="CV199" s="147"/>
      <c r="CW199" s="147"/>
      <c r="CX199" s="147"/>
      <c r="CY199" s="147"/>
      <c r="CZ199" s="147"/>
      <c r="DA199" s="147"/>
      <c r="DB199" s="147"/>
      <c r="DC199" s="147"/>
      <c r="DD199" s="147"/>
      <c r="DE199" s="147"/>
      <c r="DF199" s="147"/>
      <c r="DG199" s="147"/>
      <c r="DH199" s="147"/>
      <c r="DI199" s="147"/>
    </row>
    <row r="200" spans="1:113" s="75" customFormat="1">
      <c r="A200" s="159" t="str">
        <f t="shared" ca="1" si="87"/>
        <v/>
      </c>
      <c r="B200" s="159" t="str">
        <f t="shared" si="88"/>
        <v/>
      </c>
      <c r="C200" s="76">
        <v>708</v>
      </c>
      <c r="D200" s="135" t="s">
        <v>108</v>
      </c>
      <c r="E200" s="76"/>
      <c r="F200" s="85"/>
      <c r="G200" s="85"/>
      <c r="H200" s="106">
        <f ca="1">SUM(OFFSET(L200,,J$1-1):OFFSET(L200,,K$1-1))</f>
        <v>0</v>
      </c>
      <c r="I200" s="107">
        <f ca="1">SUM(L200:OFFSET(L200,,K$1-1))</f>
        <v>0</v>
      </c>
      <c r="J200" s="106"/>
      <c r="K200" s="108" t="str">
        <f t="shared" si="86"/>
        <v/>
      </c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  <c r="AH200" s="147"/>
      <c r="AI200" s="147"/>
      <c r="AJ200" s="147"/>
      <c r="AK200" s="147"/>
      <c r="AL200" s="147"/>
      <c r="AM200" s="147"/>
      <c r="AN200" s="147"/>
      <c r="AO200" s="147"/>
      <c r="AP200" s="147"/>
      <c r="AQ200" s="147"/>
      <c r="AR200" s="147"/>
      <c r="AS200" s="147"/>
      <c r="AT200" s="147"/>
      <c r="AU200" s="147"/>
      <c r="AV200" s="147"/>
      <c r="AW200" s="147"/>
      <c r="AX200" s="147"/>
      <c r="AY200" s="147"/>
      <c r="AZ200" s="147"/>
      <c r="BA200" s="147"/>
      <c r="BB200" s="147"/>
      <c r="BC200" s="147"/>
      <c r="BD200" s="147"/>
      <c r="BE200" s="147"/>
      <c r="BF200" s="147"/>
      <c r="BG200" s="147"/>
      <c r="BH200" s="147"/>
      <c r="BI200" s="147"/>
      <c r="BJ200" s="147"/>
      <c r="BK200" s="147"/>
      <c r="BL200" s="147"/>
      <c r="BM200" s="147"/>
      <c r="BN200" s="147"/>
      <c r="BO200" s="147"/>
      <c r="BP200" s="147"/>
      <c r="BQ200" s="147"/>
      <c r="BR200" s="147"/>
      <c r="BS200" s="147"/>
      <c r="BT200" s="147"/>
      <c r="BU200" s="147"/>
      <c r="BV200" s="147"/>
      <c r="BW200" s="147"/>
      <c r="BX200" s="147"/>
      <c r="BY200" s="147"/>
      <c r="BZ200" s="147"/>
      <c r="CA200" s="147"/>
      <c r="CB200" s="147"/>
      <c r="CC200" s="147"/>
      <c r="CD200" s="147"/>
      <c r="CE200" s="147"/>
      <c r="CF200" s="147"/>
      <c r="CG200" s="147"/>
      <c r="CH200" s="147"/>
      <c r="CI200" s="147"/>
      <c r="CJ200" s="147"/>
      <c r="CK200" s="147"/>
      <c r="CL200" s="147"/>
      <c r="CM200" s="147"/>
      <c r="CN200" s="147"/>
      <c r="CO200" s="147"/>
      <c r="CP200" s="147"/>
      <c r="CQ200" s="147"/>
      <c r="CR200" s="147"/>
      <c r="CS200" s="147"/>
      <c r="CT200" s="147"/>
      <c r="CU200" s="147"/>
      <c r="CV200" s="147"/>
      <c r="CW200" s="147"/>
      <c r="CX200" s="147"/>
      <c r="CY200" s="147"/>
      <c r="CZ200" s="147"/>
      <c r="DA200" s="147"/>
      <c r="DB200" s="147"/>
      <c r="DC200" s="147"/>
      <c r="DD200" s="147"/>
      <c r="DE200" s="147"/>
      <c r="DF200" s="147"/>
      <c r="DG200" s="147"/>
      <c r="DH200" s="147"/>
      <c r="DI200" s="147"/>
    </row>
    <row r="201" spans="1:113" s="131" customFormat="1">
      <c r="A201" s="160" t="str">
        <f t="shared" ca="1" si="87"/>
        <v/>
      </c>
      <c r="B201" s="160" t="str">
        <f t="shared" si="88"/>
        <v/>
      </c>
      <c r="C201" s="98">
        <v>709</v>
      </c>
      <c r="D201" s="135" t="s">
        <v>109</v>
      </c>
      <c r="E201" s="98"/>
      <c r="F201" s="130"/>
      <c r="G201" s="130"/>
      <c r="H201" s="110">
        <f ca="1">SUM(OFFSET(L201,,J$1-1):OFFSET(L201,,K$1-1))</f>
        <v>0</v>
      </c>
      <c r="I201" s="111">
        <f ca="1">SUM(L201:OFFSET(L201,,K$1-1))</f>
        <v>0</v>
      </c>
      <c r="J201" s="110"/>
      <c r="K201" s="108" t="str">
        <f t="shared" si="86"/>
        <v/>
      </c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  <c r="AA201" s="148"/>
      <c r="AB201" s="148"/>
      <c r="AC201" s="148"/>
      <c r="AD201" s="148"/>
      <c r="AE201" s="148"/>
      <c r="AF201" s="148"/>
      <c r="AG201" s="148"/>
      <c r="AH201" s="148"/>
      <c r="AI201" s="148"/>
      <c r="AJ201" s="148"/>
      <c r="AK201" s="148"/>
      <c r="AL201" s="148"/>
      <c r="AM201" s="148"/>
      <c r="AN201" s="148"/>
      <c r="AO201" s="148"/>
      <c r="AP201" s="148"/>
      <c r="AQ201" s="148"/>
      <c r="AR201" s="148"/>
      <c r="AS201" s="148"/>
      <c r="AT201" s="148"/>
      <c r="AU201" s="148"/>
      <c r="AV201" s="148"/>
      <c r="AW201" s="148"/>
      <c r="AX201" s="148"/>
      <c r="AY201" s="148"/>
      <c r="AZ201" s="148"/>
      <c r="BA201" s="148"/>
      <c r="BB201" s="148"/>
      <c r="BC201" s="148"/>
      <c r="BD201" s="148"/>
      <c r="BE201" s="148"/>
      <c r="BF201" s="148"/>
      <c r="BG201" s="148"/>
      <c r="BH201" s="148"/>
      <c r="BI201" s="148"/>
      <c r="BJ201" s="148"/>
      <c r="BK201" s="148"/>
      <c r="BL201" s="148"/>
      <c r="BM201" s="148"/>
      <c r="BN201" s="148"/>
      <c r="BO201" s="148"/>
      <c r="BP201" s="148"/>
      <c r="BQ201" s="148"/>
      <c r="BR201" s="148"/>
      <c r="BS201" s="148"/>
      <c r="BT201" s="148"/>
      <c r="BU201" s="148"/>
      <c r="BV201" s="148"/>
      <c r="BW201" s="148"/>
      <c r="BX201" s="148"/>
      <c r="BY201" s="148"/>
      <c r="BZ201" s="148"/>
      <c r="CA201" s="148"/>
      <c r="CB201" s="148"/>
      <c r="CC201" s="148"/>
      <c r="CD201" s="148"/>
      <c r="CE201" s="148"/>
      <c r="CF201" s="148"/>
      <c r="CG201" s="148"/>
      <c r="CH201" s="148"/>
      <c r="CI201" s="148"/>
      <c r="CJ201" s="148"/>
      <c r="CK201" s="148"/>
      <c r="CL201" s="148"/>
      <c r="CM201" s="148"/>
      <c r="CN201" s="148"/>
      <c r="CO201" s="148"/>
      <c r="CP201" s="148"/>
      <c r="CQ201" s="148"/>
      <c r="CR201" s="148"/>
      <c r="CS201" s="148"/>
      <c r="CT201" s="148"/>
      <c r="CU201" s="148"/>
      <c r="CV201" s="148"/>
      <c r="CW201" s="148"/>
      <c r="CX201" s="148"/>
      <c r="CY201" s="148"/>
      <c r="CZ201" s="148"/>
      <c r="DA201" s="148"/>
      <c r="DB201" s="148"/>
      <c r="DC201" s="148"/>
      <c r="DD201" s="148"/>
      <c r="DE201" s="148"/>
      <c r="DF201" s="148"/>
      <c r="DG201" s="148"/>
      <c r="DH201" s="148"/>
      <c r="DI201" s="148"/>
    </row>
    <row r="202" spans="1:113" s="75" customFormat="1">
      <c r="A202" s="76"/>
      <c r="B202" s="76"/>
      <c r="C202" s="76"/>
      <c r="E202" s="76"/>
      <c r="F202" s="85"/>
      <c r="G202" s="85"/>
      <c r="I202" s="49"/>
      <c r="K202" s="76"/>
    </row>
    <row r="203" spans="1:113" s="75" customFormat="1">
      <c r="A203" s="76"/>
      <c r="B203" s="76"/>
      <c r="C203" s="76"/>
      <c r="E203" s="76"/>
      <c r="F203" s="85"/>
      <c r="G203" s="85"/>
      <c r="I203" s="49"/>
      <c r="K203" s="76"/>
    </row>
    <row r="204" spans="1:113" s="75" customFormat="1">
      <c r="A204" s="76"/>
      <c r="B204" s="76"/>
      <c r="C204" s="76"/>
      <c r="E204" s="76"/>
      <c r="F204" s="85"/>
      <c r="G204" s="85"/>
      <c r="I204" s="49"/>
      <c r="K204" s="76"/>
    </row>
    <row r="205" spans="1:113" s="75" customFormat="1">
      <c r="A205" s="76"/>
      <c r="B205" s="76"/>
      <c r="C205" s="76"/>
      <c r="E205" s="76"/>
      <c r="F205" s="85"/>
      <c r="G205" s="85"/>
      <c r="I205" s="49"/>
      <c r="K205" s="76"/>
    </row>
    <row r="206" spans="1:113" s="75" customFormat="1" ht="148.5">
      <c r="A206" s="76"/>
      <c r="B206" s="76"/>
      <c r="C206" s="76"/>
      <c r="D206" s="136"/>
      <c r="G206" s="138"/>
      <c r="H206" s="136"/>
      <c r="I206" s="139"/>
      <c r="J206" s="137" t="s">
        <v>91</v>
      </c>
      <c r="K206" s="108" t="str">
        <f>IF(LOOKUP(K$1,L$1:DG$1,L206:DG206)=0,"",LOOKUP(K$1,L$1:DG$1,L206:DG206))</f>
        <v/>
      </c>
      <c r="O206" s="175" t="s">
        <v>179</v>
      </c>
      <c r="P206" s="137"/>
      <c r="AL206" s="136"/>
      <c r="AN206" s="175" t="s">
        <v>201</v>
      </c>
      <c r="AQ206" s="136"/>
      <c r="AR206" s="136"/>
      <c r="BP206" s="137"/>
      <c r="CQ206" s="137"/>
      <c r="CR206" s="80"/>
      <c r="CS206" s="80"/>
      <c r="CT206" s="80"/>
      <c r="CU206" s="137"/>
      <c r="CV206" s="80"/>
      <c r="CW206" s="80"/>
      <c r="CX206" s="80"/>
      <c r="CY206" s="80"/>
      <c r="CZ206" s="80"/>
      <c r="DA206" s="80"/>
      <c r="DB206" s="80"/>
      <c r="DC206" s="80"/>
      <c r="DD206" s="80"/>
    </row>
    <row r="207" spans="1:113" s="75" customFormat="1" ht="148.5">
      <c r="A207" s="140"/>
      <c r="B207" s="140"/>
      <c r="C207" s="76"/>
      <c r="D207" s="136"/>
      <c r="G207" s="141"/>
      <c r="H207" s="137"/>
      <c r="I207" s="139"/>
      <c r="J207" s="137" t="s">
        <v>92</v>
      </c>
      <c r="K207" s="108" t="str">
        <f>IF(LOOKUP(K$1,L$1:DG$1,L207:DG207)=0,"",LOOKUP(K$1,L$1:DG$1,L207:DG207))</f>
        <v/>
      </c>
      <c r="L207" s="137"/>
      <c r="M207" s="137"/>
      <c r="N207" s="137"/>
      <c r="O207" s="137"/>
      <c r="P207" s="137"/>
      <c r="Q207" s="137"/>
      <c r="R207" s="137"/>
      <c r="S207" s="137" t="s">
        <v>183</v>
      </c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  <c r="AG207" s="137"/>
      <c r="AH207" s="137"/>
      <c r="AI207" s="137"/>
      <c r="AJ207" s="137"/>
      <c r="AK207" s="137"/>
      <c r="AL207" s="137"/>
      <c r="AM207" s="137"/>
      <c r="AN207" s="137"/>
      <c r="AO207" s="137"/>
      <c r="AP207" s="137"/>
      <c r="AQ207" s="137"/>
      <c r="AR207" s="137"/>
      <c r="AS207" s="137"/>
      <c r="AT207" s="137"/>
      <c r="AU207" s="137"/>
      <c r="AV207" s="137"/>
      <c r="AW207" s="137"/>
      <c r="AY207" s="137"/>
      <c r="AZ207" s="137"/>
      <c r="BA207" s="137"/>
      <c r="BB207" s="137"/>
      <c r="BC207" s="137"/>
      <c r="BD207" s="137"/>
      <c r="BE207" s="137"/>
      <c r="BF207" s="137"/>
      <c r="BG207" s="137"/>
      <c r="BH207" s="137"/>
      <c r="BI207" s="137"/>
      <c r="BJ207" s="137"/>
      <c r="BK207" s="137"/>
      <c r="BL207" s="137"/>
      <c r="BM207" s="137"/>
      <c r="BN207" s="137"/>
      <c r="BO207" s="137"/>
      <c r="BP207" s="137"/>
      <c r="BQ207" s="137"/>
      <c r="BR207" s="137"/>
      <c r="BS207" s="137"/>
      <c r="BT207" s="136"/>
      <c r="BU207" s="136"/>
      <c r="BV207" s="136"/>
      <c r="BW207" s="136"/>
      <c r="BX207" s="136"/>
      <c r="BY207" s="136"/>
      <c r="BZ207" s="136"/>
      <c r="CA207" s="136"/>
      <c r="CB207" s="136"/>
      <c r="CC207" s="136"/>
      <c r="CD207" s="136"/>
      <c r="CE207" s="136"/>
      <c r="CF207" s="136"/>
      <c r="CG207" s="136"/>
      <c r="CH207" s="136"/>
      <c r="CI207" s="136"/>
      <c r="CJ207" s="136"/>
      <c r="CK207" s="136"/>
      <c r="CL207" s="136"/>
      <c r="CM207" s="136"/>
      <c r="CN207" s="136"/>
      <c r="CO207" s="136"/>
      <c r="CP207" s="136"/>
      <c r="CQ207" s="137"/>
      <c r="CR207" s="137"/>
      <c r="CS207" s="137"/>
      <c r="CT207" s="137"/>
      <c r="CU207" s="137"/>
      <c r="CV207" s="137"/>
      <c r="CW207" s="137"/>
      <c r="CX207" s="137"/>
      <c r="CY207" s="137"/>
      <c r="CZ207" s="137"/>
      <c r="DA207" s="80"/>
      <c r="DB207" s="80"/>
      <c r="DC207" s="80"/>
      <c r="DD207" s="80"/>
    </row>
    <row r="208" spans="1:113" s="136" customFormat="1" ht="66" hidden="1">
      <c r="A208" s="140"/>
      <c r="B208" s="140"/>
      <c r="C208" s="140"/>
      <c r="G208" s="138"/>
      <c r="I208" s="139"/>
      <c r="J208" s="137" t="s">
        <v>93</v>
      </c>
      <c r="K208" s="108" t="str">
        <f>IF(LOOKUP(K$1,L$1:DG$1,L208:DG208)=0,"",LOOKUP(K$1,L$1:DG$1,L208:DG208))</f>
        <v/>
      </c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  <c r="AG208" s="137"/>
      <c r="AH208" s="137"/>
      <c r="AI208" s="137"/>
      <c r="AJ208" s="137"/>
      <c r="AK208" s="137"/>
      <c r="AL208" s="137"/>
      <c r="AM208" s="137"/>
      <c r="AN208" s="137"/>
      <c r="AO208" s="137"/>
      <c r="AP208" s="137"/>
      <c r="AQ208" s="137"/>
      <c r="AR208" s="137"/>
      <c r="AS208" s="137"/>
      <c r="AT208" s="137"/>
      <c r="AU208" s="137"/>
      <c r="AV208" s="137"/>
      <c r="AW208" s="137"/>
      <c r="AX208" s="137"/>
      <c r="AY208" s="137"/>
      <c r="AZ208" s="137"/>
      <c r="BA208" s="137"/>
      <c r="BC208" s="137"/>
      <c r="BD208" s="137"/>
      <c r="BE208" s="137"/>
      <c r="BF208" s="137"/>
      <c r="BG208" s="137"/>
      <c r="BH208" s="137"/>
      <c r="BI208" s="137"/>
      <c r="BJ208" s="137"/>
      <c r="BK208" s="137"/>
      <c r="BL208" s="137"/>
      <c r="BM208" s="137"/>
      <c r="BN208" s="137"/>
      <c r="BO208" s="137"/>
      <c r="BP208" s="137"/>
      <c r="BQ208" s="137"/>
      <c r="BR208" s="137"/>
      <c r="BS208" s="137"/>
      <c r="CD208" s="137"/>
      <c r="CQ208" s="137"/>
      <c r="CR208" s="137"/>
      <c r="CS208" s="137"/>
      <c r="CT208" s="137"/>
      <c r="CU208" s="137"/>
      <c r="CV208" s="137"/>
      <c r="CW208" s="137"/>
      <c r="CX208" s="137"/>
      <c r="CY208" s="137"/>
      <c r="CZ208" s="137"/>
      <c r="DA208" s="137"/>
      <c r="DB208" s="137"/>
      <c r="DC208" s="137"/>
      <c r="DD208" s="137"/>
    </row>
    <row r="209" spans="1:113" s="162" customFormat="1" ht="396">
      <c r="A209" s="161"/>
      <c r="B209" s="161"/>
      <c r="C209" s="161"/>
      <c r="I209" s="163"/>
      <c r="J209" s="162" t="s">
        <v>94</v>
      </c>
      <c r="K209" s="108" t="str">
        <f>IF(LOOKUP(K$1,L$1:DG$1,L209:DG209)=0,"",LOOKUP(K$1,L$1:DG$1,L209:DG209))</f>
        <v>1.本日室內油漆壁癌處理刷漆。
2.本日油漆自主檢查(施工前)。</v>
      </c>
      <c r="L209" s="162" t="s">
        <v>180</v>
      </c>
      <c r="M209" s="162" t="s">
        <v>181</v>
      </c>
      <c r="N209" s="162" t="s">
        <v>182</v>
      </c>
      <c r="O209" s="162" t="s">
        <v>185</v>
      </c>
      <c r="P209" s="162" t="s">
        <v>186</v>
      </c>
      <c r="Q209" s="162" t="s">
        <v>184</v>
      </c>
      <c r="R209" s="162" t="s">
        <v>184</v>
      </c>
      <c r="S209" s="162" t="s">
        <v>193</v>
      </c>
      <c r="T209" s="176" t="s">
        <v>187</v>
      </c>
      <c r="U209" s="162" t="s">
        <v>189</v>
      </c>
      <c r="V209" s="176" t="s">
        <v>187</v>
      </c>
      <c r="W209" s="162" t="s">
        <v>190</v>
      </c>
      <c r="X209" s="162" t="s">
        <v>184</v>
      </c>
      <c r="Y209" s="162" t="s">
        <v>184</v>
      </c>
      <c r="Z209" s="162" t="s">
        <v>191</v>
      </c>
      <c r="AA209" s="162" t="s">
        <v>184</v>
      </c>
      <c r="AB209" s="162" t="s">
        <v>203</v>
      </c>
      <c r="AC209" s="162" t="s">
        <v>192</v>
      </c>
      <c r="AD209" s="162" t="s">
        <v>184</v>
      </c>
      <c r="AE209" s="162" t="s">
        <v>194</v>
      </c>
      <c r="AF209" s="162" t="s">
        <v>184</v>
      </c>
      <c r="AG209" s="162" t="s">
        <v>195</v>
      </c>
      <c r="AH209" s="162" t="s">
        <v>196</v>
      </c>
      <c r="AI209" s="162" t="s">
        <v>184</v>
      </c>
      <c r="AJ209" s="162" t="s">
        <v>198</v>
      </c>
      <c r="AK209" s="162" t="s">
        <v>199</v>
      </c>
      <c r="AL209" s="162" t="s">
        <v>200</v>
      </c>
      <c r="AM209" s="162" t="s">
        <v>184</v>
      </c>
      <c r="AN209" s="162" t="s">
        <v>202</v>
      </c>
      <c r="AO209" s="162" t="s">
        <v>204</v>
      </c>
      <c r="AP209" s="162" t="s">
        <v>206</v>
      </c>
      <c r="AQ209" s="162" t="s">
        <v>205</v>
      </c>
      <c r="AR209" s="162" t="s">
        <v>208</v>
      </c>
      <c r="AS209" s="162" t="s">
        <v>210</v>
      </c>
      <c r="AT209" s="162" t="s">
        <v>184</v>
      </c>
      <c r="AU209" s="162" t="s">
        <v>211</v>
      </c>
    </row>
    <row r="210" spans="1:113" s="143" customFormat="1">
      <c r="A210" s="75"/>
      <c r="B210" s="75"/>
      <c r="C210" s="75"/>
      <c r="D210" s="75"/>
      <c r="E210" s="75"/>
      <c r="F210" s="75"/>
      <c r="G210" s="75"/>
      <c r="H210" s="75"/>
      <c r="I210" s="49"/>
      <c r="J210" s="75"/>
      <c r="K210" s="76"/>
      <c r="L210" s="142">
        <f t="shared" ref="L210:AQ210" si="89">L157</f>
        <v>46076</v>
      </c>
      <c r="M210" s="142">
        <f t="shared" si="89"/>
        <v>46077</v>
      </c>
      <c r="N210" s="142">
        <f t="shared" si="89"/>
        <v>46078</v>
      </c>
      <c r="O210" s="142">
        <f t="shared" si="89"/>
        <v>46079</v>
      </c>
      <c r="P210" s="142">
        <f t="shared" si="89"/>
        <v>46080</v>
      </c>
      <c r="Q210" s="142">
        <f t="shared" si="89"/>
        <v>46081</v>
      </c>
      <c r="R210" s="142">
        <f t="shared" si="89"/>
        <v>46082</v>
      </c>
      <c r="S210" s="142">
        <f t="shared" si="89"/>
        <v>46083</v>
      </c>
      <c r="T210" s="142">
        <f t="shared" si="89"/>
        <v>46084</v>
      </c>
      <c r="U210" s="142">
        <f t="shared" si="89"/>
        <v>46085</v>
      </c>
      <c r="V210" s="142">
        <f t="shared" si="89"/>
        <v>46086</v>
      </c>
      <c r="W210" s="142">
        <f t="shared" si="89"/>
        <v>46087</v>
      </c>
      <c r="X210" s="142">
        <f t="shared" si="89"/>
        <v>46088</v>
      </c>
      <c r="Y210" s="142">
        <f t="shared" si="89"/>
        <v>46089</v>
      </c>
      <c r="Z210" s="142">
        <f t="shared" si="89"/>
        <v>46090</v>
      </c>
      <c r="AA210" s="142">
        <f t="shared" si="89"/>
        <v>46091</v>
      </c>
      <c r="AB210" s="142">
        <f t="shared" si="89"/>
        <v>46092</v>
      </c>
      <c r="AC210" s="142">
        <f t="shared" si="89"/>
        <v>46093</v>
      </c>
      <c r="AD210" s="142">
        <f t="shared" si="89"/>
        <v>46094</v>
      </c>
      <c r="AE210" s="142">
        <f t="shared" si="89"/>
        <v>46095</v>
      </c>
      <c r="AF210" s="142">
        <f t="shared" si="89"/>
        <v>46096</v>
      </c>
      <c r="AG210" s="142">
        <f t="shared" si="89"/>
        <v>46097</v>
      </c>
      <c r="AH210" s="142">
        <f t="shared" si="89"/>
        <v>46098</v>
      </c>
      <c r="AI210" s="142">
        <f t="shared" si="89"/>
        <v>46099</v>
      </c>
      <c r="AJ210" s="142">
        <f t="shared" si="89"/>
        <v>46100</v>
      </c>
      <c r="AK210" s="142">
        <f t="shared" si="89"/>
        <v>46101</v>
      </c>
      <c r="AL210" s="142">
        <f t="shared" si="89"/>
        <v>46102</v>
      </c>
      <c r="AM210" s="142">
        <f t="shared" si="89"/>
        <v>46103</v>
      </c>
      <c r="AN210" s="142">
        <f t="shared" si="89"/>
        <v>46104</v>
      </c>
      <c r="AO210" s="142">
        <f t="shared" si="89"/>
        <v>46105</v>
      </c>
      <c r="AP210" s="142">
        <f t="shared" si="89"/>
        <v>46106</v>
      </c>
      <c r="AQ210" s="142">
        <f t="shared" si="89"/>
        <v>46107</v>
      </c>
      <c r="AR210" s="142">
        <f t="shared" ref="AR210:BW210" si="90">AR157</f>
        <v>46108</v>
      </c>
      <c r="AS210" s="142">
        <f t="shared" si="90"/>
        <v>46109</v>
      </c>
      <c r="AT210" s="142">
        <f t="shared" si="90"/>
        <v>46110</v>
      </c>
      <c r="AU210" s="142">
        <f t="shared" si="90"/>
        <v>46111</v>
      </c>
      <c r="AV210" s="142">
        <f t="shared" si="90"/>
        <v>46112</v>
      </c>
      <c r="AW210" s="142">
        <f t="shared" si="90"/>
        <v>46113</v>
      </c>
      <c r="AX210" s="142">
        <f t="shared" si="90"/>
        <v>46114</v>
      </c>
      <c r="AY210" s="142">
        <f t="shared" si="90"/>
        <v>46115</v>
      </c>
      <c r="AZ210" s="142">
        <f t="shared" si="90"/>
        <v>46116</v>
      </c>
      <c r="BA210" s="142">
        <f t="shared" si="90"/>
        <v>46117</v>
      </c>
      <c r="BB210" s="142">
        <f t="shared" si="90"/>
        <v>46118</v>
      </c>
      <c r="BC210" s="142">
        <f t="shared" si="90"/>
        <v>46119</v>
      </c>
      <c r="BD210" s="142">
        <f t="shared" si="90"/>
        <v>46120</v>
      </c>
      <c r="BE210" s="142">
        <f t="shared" si="90"/>
        <v>46121</v>
      </c>
      <c r="BF210" s="142">
        <f t="shared" si="90"/>
        <v>46122</v>
      </c>
      <c r="BG210" s="142">
        <f t="shared" si="90"/>
        <v>46123</v>
      </c>
      <c r="BH210" s="142">
        <f t="shared" si="90"/>
        <v>46124</v>
      </c>
      <c r="BI210" s="142">
        <f t="shared" si="90"/>
        <v>46125</v>
      </c>
      <c r="BJ210" s="142">
        <f t="shared" si="90"/>
        <v>46126</v>
      </c>
      <c r="BK210" s="142">
        <f t="shared" si="90"/>
        <v>46127</v>
      </c>
      <c r="BL210" s="142">
        <f t="shared" si="90"/>
        <v>46128</v>
      </c>
      <c r="BM210" s="142">
        <f t="shared" si="90"/>
        <v>46129</v>
      </c>
      <c r="BN210" s="142">
        <f t="shared" si="90"/>
        <v>46130</v>
      </c>
      <c r="BO210" s="142">
        <f t="shared" si="90"/>
        <v>46131</v>
      </c>
      <c r="BP210" s="142">
        <f t="shared" si="90"/>
        <v>46132</v>
      </c>
      <c r="BQ210" s="142">
        <f t="shared" si="90"/>
        <v>46133</v>
      </c>
      <c r="BR210" s="142">
        <f t="shared" si="90"/>
        <v>46134</v>
      </c>
      <c r="BS210" s="142">
        <f t="shared" si="90"/>
        <v>46135</v>
      </c>
      <c r="BT210" s="142">
        <f t="shared" si="90"/>
        <v>46136</v>
      </c>
      <c r="BU210" s="142">
        <f t="shared" si="90"/>
        <v>46137</v>
      </c>
      <c r="BV210" s="142">
        <f t="shared" si="90"/>
        <v>46138</v>
      </c>
      <c r="BW210" s="142">
        <f t="shared" si="90"/>
        <v>46139</v>
      </c>
      <c r="BX210" s="142">
        <f t="shared" ref="BX210:DC210" si="91">BX157</f>
        <v>46140</v>
      </c>
      <c r="BY210" s="142">
        <f t="shared" si="91"/>
        <v>46141</v>
      </c>
      <c r="BZ210" s="142">
        <f t="shared" si="91"/>
        <v>46142</v>
      </c>
      <c r="CA210" s="142">
        <f t="shared" si="91"/>
        <v>46143</v>
      </c>
      <c r="CB210" s="142">
        <f t="shared" si="91"/>
        <v>46144</v>
      </c>
      <c r="CC210" s="142">
        <f t="shared" si="91"/>
        <v>46145</v>
      </c>
      <c r="CD210" s="142">
        <f t="shared" si="91"/>
        <v>46146</v>
      </c>
      <c r="CE210" s="142">
        <f t="shared" si="91"/>
        <v>46147</v>
      </c>
      <c r="CF210" s="142">
        <f t="shared" si="91"/>
        <v>46148</v>
      </c>
      <c r="CG210" s="142">
        <f t="shared" si="91"/>
        <v>46149</v>
      </c>
      <c r="CH210" s="142">
        <f t="shared" si="91"/>
        <v>46150</v>
      </c>
      <c r="CI210" s="142">
        <f t="shared" si="91"/>
        <v>46151</v>
      </c>
      <c r="CJ210" s="142">
        <f t="shared" si="91"/>
        <v>46152</v>
      </c>
      <c r="CK210" s="142">
        <f t="shared" si="91"/>
        <v>46153</v>
      </c>
      <c r="CL210" s="142">
        <f t="shared" si="91"/>
        <v>46154</v>
      </c>
      <c r="CM210" s="142">
        <f t="shared" si="91"/>
        <v>46155</v>
      </c>
      <c r="CN210" s="142">
        <f t="shared" si="91"/>
        <v>46156</v>
      </c>
      <c r="CO210" s="142">
        <f t="shared" si="91"/>
        <v>46157</v>
      </c>
      <c r="CP210" s="142">
        <f t="shared" si="91"/>
        <v>46158</v>
      </c>
      <c r="CQ210" s="142">
        <f t="shared" si="91"/>
        <v>46159</v>
      </c>
      <c r="CR210" s="142">
        <f t="shared" si="91"/>
        <v>46160</v>
      </c>
      <c r="CS210" s="142">
        <f t="shared" si="91"/>
        <v>46161</v>
      </c>
      <c r="CT210" s="142">
        <f t="shared" si="91"/>
        <v>46162</v>
      </c>
      <c r="CU210" s="142">
        <f t="shared" si="91"/>
        <v>46163</v>
      </c>
      <c r="CV210" s="142">
        <f t="shared" si="91"/>
        <v>46164</v>
      </c>
      <c r="CW210" s="142">
        <f t="shared" si="91"/>
        <v>46165</v>
      </c>
      <c r="CX210" s="142">
        <f t="shared" si="91"/>
        <v>46166</v>
      </c>
      <c r="CY210" s="142">
        <f t="shared" si="91"/>
        <v>46167</v>
      </c>
      <c r="CZ210" s="142">
        <f t="shared" si="91"/>
        <v>46168</v>
      </c>
      <c r="DA210" s="142">
        <f t="shared" si="91"/>
        <v>46169</v>
      </c>
      <c r="DB210" s="142">
        <f t="shared" si="91"/>
        <v>46170</v>
      </c>
      <c r="DC210" s="142">
        <f t="shared" si="91"/>
        <v>46171</v>
      </c>
      <c r="DD210" s="142">
        <f t="shared" ref="DD210:DG210" si="92">DD157</f>
        <v>46172</v>
      </c>
      <c r="DE210" s="142">
        <f t="shared" si="92"/>
        <v>46173</v>
      </c>
      <c r="DF210" s="142">
        <f t="shared" si="92"/>
        <v>46174</v>
      </c>
      <c r="DG210" s="142">
        <f t="shared" si="92"/>
        <v>46175</v>
      </c>
      <c r="DH210" s="142">
        <f t="shared" ref="DH210:DI210" si="93">DH157</f>
        <v>46176</v>
      </c>
      <c r="DI210" s="142">
        <f t="shared" si="93"/>
        <v>46177</v>
      </c>
    </row>
    <row r="211" spans="1:113" s="143" customFormat="1">
      <c r="A211" s="75"/>
      <c r="B211" s="75"/>
      <c r="C211" s="75"/>
      <c r="D211" s="75"/>
      <c r="E211" s="75"/>
      <c r="F211" s="75"/>
      <c r="G211" s="75"/>
      <c r="H211" s="75"/>
      <c r="I211" s="49"/>
      <c r="J211" s="75"/>
      <c r="K211" s="76"/>
      <c r="L211" s="144">
        <f t="shared" ref="L211:AQ211" si="94">L158</f>
        <v>2</v>
      </c>
      <c r="M211" s="144">
        <f t="shared" si="94"/>
        <v>3</v>
      </c>
      <c r="N211" s="144">
        <f t="shared" si="94"/>
        <v>4</v>
      </c>
      <c r="O211" s="144">
        <f t="shared" si="94"/>
        <v>5</v>
      </c>
      <c r="P211" s="144">
        <f t="shared" si="94"/>
        <v>6</v>
      </c>
      <c r="Q211" s="144">
        <f t="shared" si="94"/>
        <v>7</v>
      </c>
      <c r="R211" s="144">
        <f t="shared" si="94"/>
        <v>1</v>
      </c>
      <c r="S211" s="144">
        <f t="shared" si="94"/>
        <v>2</v>
      </c>
      <c r="T211" s="144">
        <f t="shared" si="94"/>
        <v>3</v>
      </c>
      <c r="U211" s="144">
        <f t="shared" si="94"/>
        <v>4</v>
      </c>
      <c r="V211" s="144">
        <f t="shared" si="94"/>
        <v>5</v>
      </c>
      <c r="W211" s="144">
        <f t="shared" si="94"/>
        <v>6</v>
      </c>
      <c r="X211" s="144">
        <f t="shared" si="94"/>
        <v>7</v>
      </c>
      <c r="Y211" s="144">
        <f t="shared" si="94"/>
        <v>1</v>
      </c>
      <c r="Z211" s="144">
        <f t="shared" si="94"/>
        <v>2</v>
      </c>
      <c r="AA211" s="144">
        <f t="shared" si="94"/>
        <v>3</v>
      </c>
      <c r="AB211" s="144">
        <f t="shared" si="94"/>
        <v>4</v>
      </c>
      <c r="AC211" s="144">
        <f t="shared" si="94"/>
        <v>5</v>
      </c>
      <c r="AD211" s="144">
        <f t="shared" si="94"/>
        <v>6</v>
      </c>
      <c r="AE211" s="144">
        <f t="shared" si="94"/>
        <v>7</v>
      </c>
      <c r="AF211" s="144">
        <f t="shared" si="94"/>
        <v>1</v>
      </c>
      <c r="AG211" s="144">
        <f t="shared" si="94"/>
        <v>2</v>
      </c>
      <c r="AH211" s="144">
        <f t="shared" si="94"/>
        <v>3</v>
      </c>
      <c r="AI211" s="144">
        <f t="shared" si="94"/>
        <v>4</v>
      </c>
      <c r="AJ211" s="144">
        <f t="shared" si="94"/>
        <v>5</v>
      </c>
      <c r="AK211" s="144">
        <f t="shared" si="94"/>
        <v>6</v>
      </c>
      <c r="AL211" s="144">
        <f t="shared" si="94"/>
        <v>7</v>
      </c>
      <c r="AM211" s="144">
        <f t="shared" si="94"/>
        <v>1</v>
      </c>
      <c r="AN211" s="144">
        <f t="shared" si="94"/>
        <v>2</v>
      </c>
      <c r="AO211" s="144">
        <f t="shared" si="94"/>
        <v>3</v>
      </c>
      <c r="AP211" s="144">
        <f t="shared" si="94"/>
        <v>4</v>
      </c>
      <c r="AQ211" s="144">
        <f t="shared" si="94"/>
        <v>5</v>
      </c>
      <c r="AR211" s="144">
        <f t="shared" ref="AR211:BW211" si="95">AR158</f>
        <v>6</v>
      </c>
      <c r="AS211" s="144">
        <f t="shared" si="95"/>
        <v>7</v>
      </c>
      <c r="AT211" s="144">
        <f t="shared" si="95"/>
        <v>1</v>
      </c>
      <c r="AU211" s="144">
        <f t="shared" si="95"/>
        <v>2</v>
      </c>
      <c r="AV211" s="144">
        <f t="shared" si="95"/>
        <v>3</v>
      </c>
      <c r="AW211" s="144">
        <f t="shared" si="95"/>
        <v>4</v>
      </c>
      <c r="AX211" s="144">
        <f t="shared" si="95"/>
        <v>5</v>
      </c>
      <c r="AY211" s="144">
        <f t="shared" si="95"/>
        <v>6</v>
      </c>
      <c r="AZ211" s="144">
        <f t="shared" si="95"/>
        <v>7</v>
      </c>
      <c r="BA211" s="144">
        <f t="shared" si="95"/>
        <v>1</v>
      </c>
      <c r="BB211" s="144">
        <f t="shared" si="95"/>
        <v>2</v>
      </c>
      <c r="BC211" s="144">
        <f t="shared" si="95"/>
        <v>3</v>
      </c>
      <c r="BD211" s="144">
        <f t="shared" si="95"/>
        <v>4</v>
      </c>
      <c r="BE211" s="144">
        <f t="shared" si="95"/>
        <v>5</v>
      </c>
      <c r="BF211" s="144">
        <f t="shared" si="95"/>
        <v>6</v>
      </c>
      <c r="BG211" s="144">
        <f t="shared" si="95"/>
        <v>7</v>
      </c>
      <c r="BH211" s="144">
        <f t="shared" si="95"/>
        <v>1</v>
      </c>
      <c r="BI211" s="144">
        <f t="shared" si="95"/>
        <v>2</v>
      </c>
      <c r="BJ211" s="144">
        <f t="shared" si="95"/>
        <v>3</v>
      </c>
      <c r="BK211" s="144">
        <f t="shared" si="95"/>
        <v>4</v>
      </c>
      <c r="BL211" s="144">
        <f t="shared" si="95"/>
        <v>5</v>
      </c>
      <c r="BM211" s="144">
        <f t="shared" si="95"/>
        <v>6</v>
      </c>
      <c r="BN211" s="144">
        <f t="shared" si="95"/>
        <v>7</v>
      </c>
      <c r="BO211" s="144">
        <f t="shared" si="95"/>
        <v>1</v>
      </c>
      <c r="BP211" s="144">
        <f t="shared" si="95"/>
        <v>2</v>
      </c>
      <c r="BQ211" s="144">
        <f t="shared" si="95"/>
        <v>3</v>
      </c>
      <c r="BR211" s="144">
        <f t="shared" si="95"/>
        <v>4</v>
      </c>
      <c r="BS211" s="144">
        <f t="shared" si="95"/>
        <v>5</v>
      </c>
      <c r="BT211" s="144">
        <f t="shared" si="95"/>
        <v>6</v>
      </c>
      <c r="BU211" s="144">
        <f t="shared" si="95"/>
        <v>7</v>
      </c>
      <c r="BV211" s="144">
        <f t="shared" si="95"/>
        <v>1</v>
      </c>
      <c r="BW211" s="144">
        <f t="shared" si="95"/>
        <v>2</v>
      </c>
      <c r="BX211" s="144">
        <f t="shared" ref="BX211:DC211" si="96">BX158</f>
        <v>3</v>
      </c>
      <c r="BY211" s="144">
        <f t="shared" si="96"/>
        <v>4</v>
      </c>
      <c r="BZ211" s="144">
        <f t="shared" si="96"/>
        <v>5</v>
      </c>
      <c r="CA211" s="144">
        <f t="shared" si="96"/>
        <v>6</v>
      </c>
      <c r="CB211" s="144">
        <f t="shared" si="96"/>
        <v>7</v>
      </c>
      <c r="CC211" s="144">
        <f t="shared" si="96"/>
        <v>1</v>
      </c>
      <c r="CD211" s="144">
        <f t="shared" si="96"/>
        <v>2</v>
      </c>
      <c r="CE211" s="144">
        <f t="shared" si="96"/>
        <v>3</v>
      </c>
      <c r="CF211" s="144">
        <f t="shared" si="96"/>
        <v>4</v>
      </c>
      <c r="CG211" s="144">
        <f t="shared" si="96"/>
        <v>5</v>
      </c>
      <c r="CH211" s="144">
        <f t="shared" si="96"/>
        <v>6</v>
      </c>
      <c r="CI211" s="144">
        <f t="shared" si="96"/>
        <v>7</v>
      </c>
      <c r="CJ211" s="144">
        <f t="shared" si="96"/>
        <v>1</v>
      </c>
      <c r="CK211" s="144">
        <f t="shared" si="96"/>
        <v>2</v>
      </c>
      <c r="CL211" s="144">
        <f t="shared" si="96"/>
        <v>3</v>
      </c>
      <c r="CM211" s="144">
        <f t="shared" si="96"/>
        <v>4</v>
      </c>
      <c r="CN211" s="144">
        <f t="shared" si="96"/>
        <v>5</v>
      </c>
      <c r="CO211" s="144">
        <f t="shared" si="96"/>
        <v>6</v>
      </c>
      <c r="CP211" s="144">
        <f t="shared" si="96"/>
        <v>7</v>
      </c>
      <c r="CQ211" s="144">
        <f t="shared" si="96"/>
        <v>1</v>
      </c>
      <c r="CR211" s="144">
        <f t="shared" si="96"/>
        <v>2</v>
      </c>
      <c r="CS211" s="144">
        <f t="shared" si="96"/>
        <v>3</v>
      </c>
      <c r="CT211" s="144">
        <f t="shared" si="96"/>
        <v>4</v>
      </c>
      <c r="CU211" s="144">
        <f t="shared" si="96"/>
        <v>5</v>
      </c>
      <c r="CV211" s="144">
        <f t="shared" si="96"/>
        <v>6</v>
      </c>
      <c r="CW211" s="144">
        <f t="shared" si="96"/>
        <v>7</v>
      </c>
      <c r="CX211" s="144">
        <f t="shared" si="96"/>
        <v>1</v>
      </c>
      <c r="CY211" s="144">
        <f t="shared" si="96"/>
        <v>2</v>
      </c>
      <c r="CZ211" s="144">
        <f t="shared" si="96"/>
        <v>3</v>
      </c>
      <c r="DA211" s="144">
        <f t="shared" si="96"/>
        <v>4</v>
      </c>
      <c r="DB211" s="144">
        <f t="shared" si="96"/>
        <v>5</v>
      </c>
      <c r="DC211" s="144">
        <f t="shared" si="96"/>
        <v>6</v>
      </c>
      <c r="DD211" s="144">
        <f t="shared" ref="DD211:DG211" si="97">DD158</f>
        <v>7</v>
      </c>
      <c r="DE211" s="144">
        <f t="shared" si="97"/>
        <v>1</v>
      </c>
      <c r="DF211" s="144">
        <f t="shared" si="97"/>
        <v>2</v>
      </c>
      <c r="DG211" s="144">
        <f t="shared" si="97"/>
        <v>3</v>
      </c>
      <c r="DH211" s="144">
        <f t="shared" ref="DH211:DI211" si="98">DH158</f>
        <v>4</v>
      </c>
      <c r="DI211" s="144">
        <f t="shared" si="98"/>
        <v>5</v>
      </c>
    </row>
    <row r="212" spans="1:113" ht="82.5" customHeight="1">
      <c r="J212" s="137" t="s">
        <v>125</v>
      </c>
      <c r="K212" s="108" t="str">
        <f>IF(LOOKUP(K$1,L$1:DG$1,L212:DG212)=0,"",LOOKUP(K$1,L$1:DG$1,L212:DG212))</f>
        <v/>
      </c>
    </row>
    <row r="213" spans="1:113" ht="49.5" customHeight="1">
      <c r="D213" s="177" t="s">
        <v>139</v>
      </c>
      <c r="E213" s="178"/>
      <c r="F213" s="178"/>
      <c r="G213" s="178"/>
      <c r="H213" s="178"/>
      <c r="J213" s="137" t="s">
        <v>126</v>
      </c>
      <c r="K213" s="108" t="str">
        <f>IF(LOOKUP(K$1,L$1:DG$1,L213:DG213)=0,"",LOOKUP(K$1,L$1:DG$1,L213:DG213))</f>
        <v/>
      </c>
    </row>
    <row r="214" spans="1:113" ht="66" customHeight="1">
      <c r="D214" s="178"/>
      <c r="E214" s="178"/>
      <c r="F214" s="178"/>
      <c r="G214" s="178"/>
      <c r="H214" s="178"/>
      <c r="J214" s="137" t="s">
        <v>128</v>
      </c>
      <c r="K214" s="108" t="str">
        <f>IF(LOOKUP(K$1,L$1:DG$1,L214:DG214)=0,"",LOOKUP(K$1,L$1:DG$1,L214:DG214))</f>
        <v/>
      </c>
    </row>
    <row r="215" spans="1:113" s="161" customFormat="1" ht="132" customHeight="1">
      <c r="I215" s="163"/>
      <c r="J215" s="162" t="s">
        <v>127</v>
      </c>
      <c r="K215" s="108" t="str">
        <f>IF(LOOKUP(K$1,L$1:DG$1,L215:DG215)=0,"",LOOKUP(K$1,L$1:DG$1,L215:DG215))</f>
        <v/>
      </c>
      <c r="M215" s="162"/>
      <c r="N215" s="162"/>
      <c r="O215" s="162"/>
      <c r="P215" s="162"/>
      <c r="Q215" s="162"/>
      <c r="R215" s="162"/>
      <c r="S215" s="162"/>
      <c r="T215" s="162"/>
      <c r="U215" s="162"/>
      <c r="V215" s="162"/>
      <c r="W215" s="162"/>
      <c r="BB215" s="162"/>
    </row>
    <row r="225" spans="6:10">
      <c r="F225" s="97"/>
      <c r="J225" s="137"/>
    </row>
    <row r="226" spans="6:10">
      <c r="F226" s="97"/>
      <c r="J226" s="137"/>
    </row>
  </sheetData>
  <mergeCells count="2">
    <mergeCell ref="D213:H214"/>
    <mergeCell ref="E6:F6"/>
  </mergeCells>
  <phoneticPr fontId="40" type="noConversion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00000000-0003-0000-00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內容!L5:L5</xm:f>
              <xm:sqref>L7</xm:sqref>
            </x14:sparkline>
            <x14:sparkline>
              <xm:f>內容!M5:M5</xm:f>
              <xm:sqref>M7</xm:sqref>
            </x14:sparkline>
            <x14:sparkline>
              <xm:f>內容!N5:N5</xm:f>
              <xm:sqref>N7</xm:sqref>
            </x14:sparkline>
            <x14:sparkline>
              <xm:f>內容!O5:O5</xm:f>
              <xm:sqref>O7</xm:sqref>
            </x14:sparkline>
            <x14:sparkline>
              <xm:f>內容!P5:P5</xm:f>
              <xm:sqref>P7</xm:sqref>
            </x14:sparkline>
            <x14:sparkline>
              <xm:f>內容!Q5:Q5</xm:f>
              <xm:sqref>Q7</xm:sqref>
            </x14:sparkline>
            <x14:sparkline>
              <xm:f>內容!R5:R5</xm:f>
              <xm:sqref>R7</xm:sqref>
            </x14:sparkline>
            <x14:sparkline>
              <xm:f>內容!S5:S5</xm:f>
              <xm:sqref>S7</xm:sqref>
            </x14:sparkline>
            <x14:sparkline>
              <xm:f>內容!T5:T5</xm:f>
              <xm:sqref>T7</xm:sqref>
            </x14:sparkline>
            <x14:sparkline>
              <xm:f>內容!U5:U5</xm:f>
              <xm:sqref>U7</xm:sqref>
            </x14:sparkline>
            <x14:sparkline>
              <xm:f>內容!V5:V5</xm:f>
              <xm:sqref>V7</xm:sqref>
            </x14:sparkline>
            <x14:sparkline>
              <xm:f>內容!W5:W5</xm:f>
              <xm:sqref>W7</xm:sqref>
            </x14:sparkline>
            <x14:sparkline>
              <xm:f>內容!X5:X5</xm:f>
              <xm:sqref>X7</xm:sqref>
            </x14:sparkline>
            <x14:sparkline>
              <xm:f>內容!Y5:Y5</xm:f>
              <xm:sqref>Y7</xm:sqref>
            </x14:sparkline>
            <x14:sparkline>
              <xm:f>內容!Z5:Z5</xm:f>
              <xm:sqref>Z7</xm:sqref>
            </x14:sparkline>
            <x14:sparkline>
              <xm:f>內容!AA5:AA5</xm:f>
              <xm:sqref>AA7</xm:sqref>
            </x14:sparkline>
            <x14:sparkline>
              <xm:f>內容!AB5:AB5</xm:f>
              <xm:sqref>AB7</xm:sqref>
            </x14:sparkline>
            <x14:sparkline>
              <xm:f>內容!AC5:AC5</xm:f>
              <xm:sqref>AC7</xm:sqref>
            </x14:sparkline>
            <x14:sparkline>
              <xm:f>內容!AD5:AD5</xm:f>
              <xm:sqref>AD7</xm:sqref>
            </x14:sparkline>
            <x14:sparkline>
              <xm:f>內容!AE5:AE5</xm:f>
              <xm:sqref>AE7</xm:sqref>
            </x14:sparkline>
            <x14:sparkline>
              <xm:f>內容!AF5:AF5</xm:f>
              <xm:sqref>AF7</xm:sqref>
            </x14:sparkline>
            <x14:sparkline>
              <xm:f>內容!AG5:AG5</xm:f>
              <xm:sqref>AG7</xm:sqref>
            </x14:sparkline>
            <x14:sparkline>
              <xm:f>內容!AH5:AH5</xm:f>
              <xm:sqref>AH7</xm:sqref>
            </x14:sparkline>
            <x14:sparkline>
              <xm:f>內容!AI5:AI5</xm:f>
              <xm:sqref>AI7</xm:sqref>
            </x14:sparkline>
            <x14:sparkline>
              <xm:f>內容!AJ5:AJ5</xm:f>
              <xm:sqref>AJ7</xm:sqref>
            </x14:sparkline>
            <x14:sparkline>
              <xm:f>內容!AK5:AK5</xm:f>
              <xm:sqref>AK7</xm:sqref>
            </x14:sparkline>
            <x14:sparkline>
              <xm:f>內容!AL5:AL5</xm:f>
              <xm:sqref>AL7</xm:sqref>
            </x14:sparkline>
            <x14:sparkline>
              <xm:f>內容!AM5:AM5</xm:f>
              <xm:sqref>AM7</xm:sqref>
            </x14:sparkline>
            <x14:sparkline>
              <xm:f>內容!AN5:AN5</xm:f>
              <xm:sqref>AN7</xm:sqref>
            </x14:sparkline>
            <x14:sparkline>
              <xm:f>內容!AO5:AO5</xm:f>
              <xm:sqref>AO7</xm:sqref>
            </x14:sparkline>
            <x14:sparkline>
              <xm:f>內容!AP5:AP5</xm:f>
              <xm:sqref>AP7</xm:sqref>
            </x14:sparkline>
            <x14:sparkline>
              <xm:f>內容!AQ5:AQ5</xm:f>
              <xm:sqref>AQ7</xm:sqref>
            </x14:sparkline>
            <x14:sparkline>
              <xm:f>內容!AR5:AR5</xm:f>
              <xm:sqref>AR7</xm:sqref>
            </x14:sparkline>
            <x14:sparkline>
              <xm:f>內容!AS5:AS5</xm:f>
              <xm:sqref>AS7</xm:sqref>
            </x14:sparkline>
            <x14:sparkline>
              <xm:f>內容!AT5:AT5</xm:f>
              <xm:sqref>AT7</xm:sqref>
            </x14:sparkline>
            <x14:sparkline>
              <xm:f>內容!AU5:AU5</xm:f>
              <xm:sqref>AU7</xm:sqref>
            </x14:sparkline>
            <x14:sparkline>
              <xm:f>內容!AV5:AV5</xm:f>
              <xm:sqref>AV7</xm:sqref>
            </x14:sparkline>
            <x14:sparkline>
              <xm:f>內容!AW5:AW5</xm:f>
              <xm:sqref>AW7</xm:sqref>
            </x14:sparkline>
            <x14:sparkline>
              <xm:f>內容!AX5:AX5</xm:f>
              <xm:sqref>AX7</xm:sqref>
            </x14:sparkline>
            <x14:sparkline>
              <xm:f>內容!AY5:AY5</xm:f>
              <xm:sqref>AY7</xm:sqref>
            </x14:sparkline>
            <x14:sparkline>
              <xm:f>內容!AZ5:AZ5</xm:f>
              <xm:sqref>AZ7</xm:sqref>
            </x14:sparkline>
            <x14:sparkline>
              <xm:f>內容!BA5:BA5</xm:f>
              <xm:sqref>BA7</xm:sqref>
            </x14:sparkline>
            <x14:sparkline>
              <xm:f>內容!BB5:BB5</xm:f>
              <xm:sqref>BB7</xm:sqref>
            </x14:sparkline>
            <x14:sparkline>
              <xm:f>內容!BC5:BC5</xm:f>
              <xm:sqref>BC7</xm:sqref>
            </x14:sparkline>
            <x14:sparkline>
              <xm:f>內容!BD5:BD5</xm:f>
              <xm:sqref>BD7</xm:sqref>
            </x14:sparkline>
            <x14:sparkline>
              <xm:f>內容!BE5:BE5</xm:f>
              <xm:sqref>BE7</xm:sqref>
            </x14:sparkline>
            <x14:sparkline>
              <xm:f>內容!BF5:BF5</xm:f>
              <xm:sqref>BF7</xm:sqref>
            </x14:sparkline>
            <x14:sparkline>
              <xm:f>內容!BG5:BG5</xm:f>
              <xm:sqref>BG7</xm:sqref>
            </x14:sparkline>
            <x14:sparkline>
              <xm:f>內容!BH5:BH5</xm:f>
              <xm:sqref>BH7</xm:sqref>
            </x14:sparkline>
            <x14:sparkline>
              <xm:f>內容!BI5:BI5</xm:f>
              <xm:sqref>BI7</xm:sqref>
            </x14:sparkline>
            <x14:sparkline>
              <xm:f>內容!BJ5:BJ5</xm:f>
              <xm:sqref>BJ7</xm:sqref>
            </x14:sparkline>
            <x14:sparkline>
              <xm:f>內容!BK5:BK5</xm:f>
              <xm:sqref>BK7</xm:sqref>
            </x14:sparkline>
            <x14:sparkline>
              <xm:f>內容!BL5:BL5</xm:f>
              <xm:sqref>BL7</xm:sqref>
            </x14:sparkline>
            <x14:sparkline>
              <xm:f>內容!BM5:BM5</xm:f>
              <xm:sqref>BM7</xm:sqref>
            </x14:sparkline>
            <x14:sparkline>
              <xm:f>內容!BN5:BN5</xm:f>
              <xm:sqref>BN7</xm:sqref>
            </x14:sparkline>
            <x14:sparkline>
              <xm:f>內容!BO5:BO5</xm:f>
              <xm:sqref>BO7</xm:sqref>
            </x14:sparkline>
            <x14:sparkline>
              <xm:f>內容!BP5:BP5</xm:f>
              <xm:sqref>BP7</xm:sqref>
            </x14:sparkline>
            <x14:sparkline>
              <xm:f>內容!BQ5:BQ5</xm:f>
              <xm:sqref>BQ7</xm:sqref>
            </x14:sparkline>
            <x14:sparkline>
              <xm:f>內容!BR5:BR5</xm:f>
              <xm:sqref>BR7</xm:sqref>
            </x14:sparkline>
            <x14:sparkline>
              <xm:f>內容!BS5:BS5</xm:f>
              <xm:sqref>BS7</xm:sqref>
            </x14:sparkline>
            <x14:sparkline>
              <xm:f>內容!BT5:BT5</xm:f>
              <xm:sqref>BT7</xm:sqref>
            </x14:sparkline>
            <x14:sparkline>
              <xm:f>內容!BU5:BU5</xm:f>
              <xm:sqref>BU7</xm:sqref>
            </x14:sparkline>
            <x14:sparkline>
              <xm:f>內容!BV5:BV5</xm:f>
              <xm:sqref>BV7</xm:sqref>
            </x14:sparkline>
            <x14:sparkline>
              <xm:f>內容!BW5:BW5</xm:f>
              <xm:sqref>BW7</xm:sqref>
            </x14:sparkline>
            <x14:sparkline>
              <xm:f>內容!BX5:BX5</xm:f>
              <xm:sqref>BX7</xm:sqref>
            </x14:sparkline>
            <x14:sparkline>
              <xm:f>內容!BY5:BY5</xm:f>
              <xm:sqref>BY7</xm:sqref>
            </x14:sparkline>
            <x14:sparkline>
              <xm:f>內容!BZ5:BZ5</xm:f>
              <xm:sqref>BZ7</xm:sqref>
            </x14:sparkline>
            <x14:sparkline>
              <xm:f>內容!CA5:CA5</xm:f>
              <xm:sqref>CA7</xm:sqref>
            </x14:sparkline>
            <x14:sparkline>
              <xm:f>內容!CB5:CB5</xm:f>
              <xm:sqref>CB7</xm:sqref>
            </x14:sparkline>
            <x14:sparkline>
              <xm:f>內容!CC5:CC5</xm:f>
              <xm:sqref>CC7</xm:sqref>
            </x14:sparkline>
            <x14:sparkline>
              <xm:f>內容!CD5:CD5</xm:f>
              <xm:sqref>CD7</xm:sqref>
            </x14:sparkline>
            <x14:sparkline>
              <xm:f>內容!CE5:CE5</xm:f>
              <xm:sqref>CE7</xm:sqref>
            </x14:sparkline>
            <x14:sparkline>
              <xm:f>內容!CF5:CF5</xm:f>
              <xm:sqref>CF7</xm:sqref>
            </x14:sparkline>
            <x14:sparkline>
              <xm:f>內容!CG5:CG5</xm:f>
              <xm:sqref>CG7</xm:sqref>
            </x14:sparkline>
            <x14:sparkline>
              <xm:f>內容!CH5:CH5</xm:f>
              <xm:sqref>CH7</xm:sqref>
            </x14:sparkline>
            <x14:sparkline>
              <xm:f>內容!CI5:CI5</xm:f>
              <xm:sqref>CI7</xm:sqref>
            </x14:sparkline>
            <x14:sparkline>
              <xm:f>內容!CJ5:CJ5</xm:f>
              <xm:sqref>CJ7</xm:sqref>
            </x14:sparkline>
            <x14:sparkline>
              <xm:f>內容!CK5:CK5</xm:f>
              <xm:sqref>CK7</xm:sqref>
            </x14:sparkline>
            <x14:sparkline>
              <xm:f>內容!CL5:CL5</xm:f>
              <xm:sqref>CL7</xm:sqref>
            </x14:sparkline>
            <x14:sparkline>
              <xm:f>內容!CM5:CM5</xm:f>
              <xm:sqref>CM7</xm:sqref>
            </x14:sparkline>
            <x14:sparkline>
              <xm:f>內容!CN5:CN5</xm:f>
              <xm:sqref>CN7</xm:sqref>
            </x14:sparkline>
            <x14:sparkline>
              <xm:f>內容!CO5:CO5</xm:f>
              <xm:sqref>CO7</xm:sqref>
            </x14:sparkline>
            <x14:sparkline>
              <xm:f>內容!CP5:CP5</xm:f>
              <xm:sqref>CP7</xm:sqref>
            </x14:sparkline>
            <x14:sparkline>
              <xm:f>內容!CQ5:CQ5</xm:f>
              <xm:sqref>CQ7</xm:sqref>
            </x14:sparkline>
            <x14:sparkline>
              <xm:f>內容!CR5:CR5</xm:f>
              <xm:sqref>CR7</xm:sqref>
            </x14:sparkline>
            <x14:sparkline>
              <xm:f>內容!CS5:CS5</xm:f>
              <xm:sqref>CS7</xm:sqref>
            </x14:sparkline>
            <x14:sparkline>
              <xm:f>內容!CT5:CT5</xm:f>
              <xm:sqref>CT7</xm:sqref>
            </x14:sparkline>
            <x14:sparkline>
              <xm:f>內容!CU5:CU5</xm:f>
              <xm:sqref>CU7</xm:sqref>
            </x14:sparkline>
            <x14:sparkline>
              <xm:f>內容!CV5:CV5</xm:f>
              <xm:sqref>CV7</xm:sqref>
            </x14:sparkline>
            <x14:sparkline>
              <xm:f>內容!CW5:CW5</xm:f>
              <xm:sqref>CW7</xm:sqref>
            </x14:sparkline>
            <x14:sparkline>
              <xm:f>內容!CX5:CX5</xm:f>
              <xm:sqref>CX7</xm:sqref>
            </x14:sparkline>
            <x14:sparkline>
              <xm:f>內容!CY5:CY5</xm:f>
              <xm:sqref>CY7</xm:sqref>
            </x14:sparkline>
            <x14:sparkline>
              <xm:f>內容!CZ5:CZ5</xm:f>
              <xm:sqref>CZ7</xm:sqref>
            </x14:sparkline>
            <x14:sparkline>
              <xm:f>內容!DA5:DA5</xm:f>
              <xm:sqref>DA7</xm:sqref>
            </x14:sparkline>
            <x14:sparkline>
              <xm:f>內容!DB5:DB5</xm:f>
              <xm:sqref>DB7</xm:sqref>
            </x14:sparkline>
            <x14:sparkline>
              <xm:f>內容!DC5:DC5</xm:f>
              <xm:sqref>DC7</xm:sqref>
            </x14:sparkline>
            <x14:sparkline>
              <xm:f>內容!DD5:DD5</xm:f>
              <xm:sqref>DD7</xm:sqref>
            </x14:sparkline>
            <x14:sparkline>
              <xm:f>內容!DE5:DE5</xm:f>
              <xm:sqref>DE7</xm:sqref>
            </x14:sparkline>
            <x14:sparkline>
              <xm:f>內容!DF5:DF5</xm:f>
              <xm:sqref>DF7</xm:sqref>
            </x14:sparkline>
            <x14:sparkline>
              <xm:f>內容!DG5:DG5</xm:f>
              <xm:sqref>DG7</xm:sqref>
            </x14:sparkline>
          </x14:sparklines>
        </x14:sparklineGroup>
        <x14:sparklineGroup manualMax="0" manualMin="0" displayEmptyCellsAs="gap" xr2:uid="{CAD2C0D0-C7FE-43C3-B5C1-268D72F2174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內容!DH5:DH5</xm:f>
              <xm:sqref>DH7</xm:sqref>
            </x14:sparkline>
            <x14:sparkline>
              <xm:f>內容!DI5:DI5</xm:f>
              <xm:sqref>DI7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BFD43-E375-49CD-9DBA-DE0A36BFD36E}">
  <sheetPr codeName="工作表8">
    <pageSetUpPr fitToPage="1"/>
  </sheetPr>
  <dimension ref="A1:W38"/>
  <sheetViews>
    <sheetView view="pageBreakPreview" zoomScaleNormal="100" zoomScaleSheetLayoutView="100" workbookViewId="0">
      <selection activeCell="W15" sqref="W15"/>
    </sheetView>
  </sheetViews>
  <sheetFormatPr defaultColWidth="9.140625" defaultRowHeight="15.75"/>
  <cols>
    <col min="1" max="1" width="11.140625" style="57" bestFit="1" customWidth="1"/>
    <col min="2" max="2" width="1.7109375" style="57" customWidth="1"/>
    <col min="3" max="3" width="5.42578125" style="57" customWidth="1"/>
    <col min="4" max="4" width="3.85546875" style="57" bestFit="1" customWidth="1"/>
    <col min="5" max="6" width="3.5703125" style="57" customWidth="1"/>
    <col min="7" max="7" width="5.7109375" style="57" customWidth="1"/>
    <col min="8" max="8" width="5.42578125" style="57" customWidth="1"/>
    <col min="9" max="9" width="3.85546875" style="57" customWidth="1"/>
    <col min="10" max="10" width="7.28515625" style="57" customWidth="1"/>
    <col min="11" max="11" width="5.5703125" style="57" customWidth="1"/>
    <col min="12" max="12" width="5.42578125" style="57" customWidth="1"/>
    <col min="13" max="13" width="3.85546875" style="57" bestFit="1" customWidth="1"/>
    <col min="14" max="14" width="6.140625" style="57" customWidth="1"/>
    <col min="15" max="15" width="3.28515625" style="57" customWidth="1"/>
    <col min="16" max="16" width="5.7109375" style="57" customWidth="1"/>
    <col min="17" max="17" width="5.42578125" style="57" customWidth="1"/>
    <col min="18" max="18" width="3.85546875" style="57" bestFit="1" customWidth="1"/>
    <col min="19" max="16384" width="9.140625" style="57"/>
  </cols>
  <sheetData>
    <row r="1" spans="1:20" ht="21">
      <c r="A1" s="197" t="s">
        <v>90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57">
        <f>內容!K1</f>
        <v>36</v>
      </c>
    </row>
    <row r="2" spans="1:20" s="59" customFormat="1" ht="14.25">
      <c r="A2" s="61" t="s">
        <v>89</v>
      </c>
      <c r="B2" s="198">
        <f>內容!K1</f>
        <v>36</v>
      </c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  <c r="P2" s="198"/>
      <c r="Q2" s="198"/>
      <c r="R2" s="198"/>
    </row>
    <row r="3" spans="1:20" s="59" customFormat="1" ht="15" thickBot="1">
      <c r="A3" s="61" t="s">
        <v>88</v>
      </c>
      <c r="B3" s="199" t="s">
        <v>87</v>
      </c>
      <c r="C3" s="199"/>
      <c r="D3" s="60" t="str">
        <f>IF(OR(內容!K159=10,內容!K159=0),"雨","晴")</f>
        <v>晴</v>
      </c>
      <c r="E3" s="200" t="s">
        <v>86</v>
      </c>
      <c r="F3" s="200"/>
      <c r="G3" s="60" t="str">
        <f>IF(OR(內容!K160=10,內容!K160=0),"雨","晴")</f>
        <v>晴</v>
      </c>
      <c r="K3" s="201" t="s">
        <v>85</v>
      </c>
      <c r="L3" s="201"/>
      <c r="M3" s="201"/>
      <c r="N3" s="202">
        <f>內容!K7</f>
        <v>46111</v>
      </c>
      <c r="O3" s="202"/>
      <c r="P3" s="202"/>
      <c r="Q3" s="203">
        <f>N3</f>
        <v>46111</v>
      </c>
      <c r="R3" s="203"/>
    </row>
    <row r="4" spans="1:20" s="62" customFormat="1" ht="31.5" customHeight="1">
      <c r="A4" s="185" t="s">
        <v>84</v>
      </c>
      <c r="B4" s="186"/>
      <c r="C4" s="187" t="str">
        <f>內容!E1</f>
        <v>光明國中-行政大樓外牆與屋頂防水工程</v>
      </c>
      <c r="D4" s="188"/>
      <c r="E4" s="188"/>
      <c r="F4" s="188"/>
      <c r="G4" s="188"/>
      <c r="H4" s="188"/>
      <c r="I4" s="189"/>
      <c r="J4" s="190" t="s">
        <v>83</v>
      </c>
      <c r="K4" s="190"/>
      <c r="L4" s="190"/>
      <c r="M4" s="190"/>
      <c r="N4" s="191" t="s">
        <v>178</v>
      </c>
      <c r="O4" s="192"/>
      <c r="P4" s="192"/>
      <c r="Q4" s="192"/>
      <c r="R4" s="193"/>
    </row>
    <row r="5" spans="1:20" s="62" customFormat="1">
      <c r="A5" s="194" t="s">
        <v>82</v>
      </c>
      <c r="B5" s="195"/>
      <c r="C5" s="164">
        <f>內容!E2</f>
        <v>100</v>
      </c>
      <c r="D5" s="63" t="s">
        <v>78</v>
      </c>
      <c r="E5" s="195" t="s">
        <v>81</v>
      </c>
      <c r="F5" s="195"/>
      <c r="G5" s="195"/>
      <c r="H5" s="164">
        <f>內容!K2</f>
        <v>34</v>
      </c>
      <c r="I5" s="63" t="s">
        <v>78</v>
      </c>
      <c r="J5" s="196" t="s">
        <v>80</v>
      </c>
      <c r="K5" s="196"/>
      <c r="L5" s="164">
        <f>C5-H5</f>
        <v>66</v>
      </c>
      <c r="M5" s="63" t="s">
        <v>78</v>
      </c>
      <c r="N5" s="195" t="s">
        <v>79</v>
      </c>
      <c r="O5" s="195"/>
      <c r="P5" s="195"/>
      <c r="Q5" s="165">
        <f ca="1">COUNT(內容!L9:OFFSET(內容!L9,,內容!K$1-1))-COUNTIF(內容!L9:OFFSET(內容!L9,,內容!K$1-1),1)</f>
        <v>2</v>
      </c>
      <c r="R5" s="64" t="s">
        <v>78</v>
      </c>
    </row>
    <row r="6" spans="1:20" s="62" customFormat="1">
      <c r="A6" s="194" t="s">
        <v>49</v>
      </c>
      <c r="B6" s="195"/>
      <c r="C6" s="195"/>
      <c r="D6" s="195"/>
      <c r="E6" s="213">
        <f>內容!L7</f>
        <v>46076</v>
      </c>
      <c r="F6" s="213"/>
      <c r="G6" s="213"/>
      <c r="H6" s="213"/>
      <c r="I6" s="213"/>
      <c r="J6" s="195" t="s">
        <v>77</v>
      </c>
      <c r="K6" s="195"/>
      <c r="L6" s="195"/>
      <c r="M6" s="195"/>
      <c r="N6" s="213">
        <f>IF(內容!K5&lt;100,內容!K7+內容!K3,內容!K7)</f>
        <v>46177</v>
      </c>
      <c r="O6" s="195"/>
      <c r="P6" s="195"/>
      <c r="Q6" s="195"/>
      <c r="R6" s="212"/>
    </row>
    <row r="7" spans="1:20" s="62" customFormat="1">
      <c r="A7" s="194" t="s">
        <v>76</v>
      </c>
      <c r="B7" s="195"/>
      <c r="C7" s="195"/>
      <c r="D7" s="195"/>
      <c r="E7" s="214">
        <f ca="1">內容!K6</f>
        <v>33.674000000000014</v>
      </c>
      <c r="F7" s="214"/>
      <c r="G7" s="214"/>
      <c r="H7" s="214"/>
      <c r="I7" s="214"/>
      <c r="J7" s="195" t="s">
        <v>75</v>
      </c>
      <c r="K7" s="195"/>
      <c r="L7" s="195"/>
      <c r="M7" s="195"/>
      <c r="N7" s="214">
        <f>IF(內容!K5&lt;100,內容!K5,100)</f>
        <v>55.44</v>
      </c>
      <c r="O7" s="214"/>
      <c r="P7" s="214"/>
      <c r="Q7" s="214"/>
      <c r="R7" s="215"/>
    </row>
    <row r="8" spans="1:20">
      <c r="A8" s="204" t="s">
        <v>74</v>
      </c>
      <c r="B8" s="205"/>
      <c r="C8" s="205"/>
      <c r="D8" s="205"/>
      <c r="E8" s="205"/>
      <c r="F8" s="205"/>
      <c r="G8" s="205"/>
      <c r="H8" s="205"/>
      <c r="I8" s="205"/>
      <c r="J8" s="205"/>
      <c r="K8" s="205"/>
      <c r="L8" s="205"/>
      <c r="M8" s="205"/>
      <c r="N8" s="205"/>
      <c r="O8" s="205"/>
      <c r="P8" s="205"/>
      <c r="Q8" s="205"/>
      <c r="R8" s="206"/>
      <c r="S8" s="59"/>
      <c r="T8" s="59"/>
    </row>
    <row r="9" spans="1:20" s="62" customFormat="1">
      <c r="A9" s="194" t="s">
        <v>111</v>
      </c>
      <c r="B9" s="195"/>
      <c r="C9" s="195"/>
      <c r="D9" s="195"/>
      <c r="E9" s="195"/>
      <c r="F9" s="195"/>
      <c r="G9" s="195"/>
      <c r="H9" s="68" t="s">
        <v>50</v>
      </c>
      <c r="I9" s="207" t="s">
        <v>51</v>
      </c>
      <c r="J9" s="208"/>
      <c r="K9" s="209" t="s">
        <v>52</v>
      </c>
      <c r="L9" s="210"/>
      <c r="M9" s="211"/>
      <c r="N9" s="209" t="s">
        <v>53</v>
      </c>
      <c r="O9" s="210"/>
      <c r="P9" s="211"/>
      <c r="Q9" s="195" t="s">
        <v>69</v>
      </c>
      <c r="R9" s="212"/>
      <c r="S9" s="71"/>
      <c r="T9" s="71"/>
    </row>
    <row r="10" spans="1:20" ht="23.25" customHeight="1">
      <c r="A10" s="216" t="str">
        <f>IF($S10&gt;0,LOOKUP($T10,內容!$B$12:$B$155,內容!$D$12:$D$155),"")</f>
        <v>壁癌處理，壁面清潔，刷水泥漆(1底2度)</v>
      </c>
      <c r="B10" s="217"/>
      <c r="C10" s="217"/>
      <c r="D10" s="217"/>
      <c r="E10" s="217"/>
      <c r="F10" s="217"/>
      <c r="G10" s="218"/>
      <c r="H10" s="74" t="str">
        <f>IF($S10&gt;0,LOOKUP($T10,內容!$B$12:$B$155,內容!$E$12:$E$155),"")</f>
        <v>M2</v>
      </c>
      <c r="I10" s="219">
        <f>IF($S10&gt;0,LOOKUP($T10,內容!$B$12:$B$155,內容!$F$12:$F$155),"")</f>
        <v>399</v>
      </c>
      <c r="J10" s="220"/>
      <c r="K10" s="219">
        <f>IF($S10&gt;0,LOOKUP($T10,內容!$B$12:$B$155,內容!$K$12:$K$155),"")</f>
        <v>50</v>
      </c>
      <c r="L10" s="221"/>
      <c r="M10" s="220"/>
      <c r="N10" s="219">
        <f ca="1">IF($S10&gt;0,LOOKUP($T10,內容!$B$12:$B$155,內容!$I$12:$I$155),"")</f>
        <v>50</v>
      </c>
      <c r="O10" s="221"/>
      <c r="P10" s="220"/>
      <c r="Q10" s="195"/>
      <c r="R10" s="212"/>
      <c r="S10" s="59">
        <f>內容!K8</f>
        <v>1</v>
      </c>
      <c r="T10" s="59">
        <f>IF(S10&gt;0,LARGE(內容!$B$12:$B$155,S10),"")</f>
        <v>22</v>
      </c>
    </row>
    <row r="11" spans="1:20" ht="23.25" customHeight="1">
      <c r="A11" s="216" t="str">
        <f>IF($S11&gt;0,LOOKUP($T11,內容!$B$12:$B$155,內容!$D$12:$D$155),"")</f>
        <v/>
      </c>
      <c r="B11" s="217"/>
      <c r="C11" s="217"/>
      <c r="D11" s="217"/>
      <c r="E11" s="217"/>
      <c r="F11" s="217"/>
      <c r="G11" s="218"/>
      <c r="H11" s="74" t="str">
        <f>IF($S11&gt;0,LOOKUP($T11,內容!$B$12:$B$155,內容!$E$12:$E$155),"")</f>
        <v/>
      </c>
      <c r="I11" s="219" t="str">
        <f>IF($S11&gt;0,LOOKUP($T11,內容!$B$12:$B$155,內容!$F$12:$F$155),"")</f>
        <v/>
      </c>
      <c r="J11" s="220"/>
      <c r="K11" s="219" t="str">
        <f>IF($S11&gt;0,LOOKUP($T11,內容!$B$12:$B$155,內容!$K$12:$K$155),"")</f>
        <v/>
      </c>
      <c r="L11" s="221"/>
      <c r="M11" s="220"/>
      <c r="N11" s="219" t="str">
        <f>IF($S11&gt;0,LOOKUP($T11,內容!$B$12:$B$155,內容!$I$12:$I$155),"")</f>
        <v/>
      </c>
      <c r="O11" s="221"/>
      <c r="P11" s="220"/>
      <c r="Q11" s="222"/>
      <c r="R11" s="223"/>
      <c r="S11" s="59">
        <f>S10-1</f>
        <v>0</v>
      </c>
      <c r="T11" s="59" t="str">
        <f>IF(S11&gt;0,LARGE(內容!$B$12:$B$155,S11),"")</f>
        <v/>
      </c>
    </row>
    <row r="12" spans="1:20" ht="23.25" customHeight="1">
      <c r="A12" s="216" t="str">
        <f>IF($S12&gt;0,LOOKUP($T12,內容!$B$12:$B$155,內容!$D$12:$D$155),"")</f>
        <v/>
      </c>
      <c r="B12" s="217"/>
      <c r="C12" s="217"/>
      <c r="D12" s="217"/>
      <c r="E12" s="217"/>
      <c r="F12" s="217"/>
      <c r="G12" s="218"/>
      <c r="H12" s="74" t="str">
        <f>IF($S12&gt;0,LOOKUP($T12,內容!$B$12:$B$155,內容!$E$12:$E$155),"")</f>
        <v/>
      </c>
      <c r="I12" s="219" t="str">
        <f>IF($S12&gt;0,LOOKUP($T12,內容!$B$12:$B$155,內容!$F$12:$F$155),"")</f>
        <v/>
      </c>
      <c r="J12" s="220"/>
      <c r="K12" s="219" t="str">
        <f>IF($S12&gt;0,LOOKUP($T12,內容!$B$12:$B$155,內容!$K$12:$K$155),"")</f>
        <v/>
      </c>
      <c r="L12" s="221"/>
      <c r="M12" s="220"/>
      <c r="N12" s="219" t="str">
        <f>IF($S12&gt;0,LOOKUP($T12,內容!$B$12:$B$155,內容!$I$12:$I$155),"")</f>
        <v/>
      </c>
      <c r="O12" s="221"/>
      <c r="P12" s="220"/>
      <c r="Q12" s="222"/>
      <c r="R12" s="223"/>
      <c r="S12" s="59">
        <f t="shared" ref="S12:S16" si="0">S11-1</f>
        <v>-1</v>
      </c>
      <c r="T12" s="59" t="str">
        <f>IF(S12&gt;0,LARGE(內容!$B$12:$B$155,S12),"")</f>
        <v/>
      </c>
    </row>
    <row r="13" spans="1:20" ht="23.25" customHeight="1">
      <c r="A13" s="216" t="str">
        <f>IF($S13&gt;0,LOOKUP($T13,內容!$B$12:$B$155,內容!$D$12:$D$155),"")</f>
        <v/>
      </c>
      <c r="B13" s="217"/>
      <c r="C13" s="217"/>
      <c r="D13" s="217"/>
      <c r="E13" s="217"/>
      <c r="F13" s="217"/>
      <c r="G13" s="218"/>
      <c r="H13" s="74" t="str">
        <f>IF($S13&gt;0,LOOKUP($T13,內容!$B$12:$B$155,內容!$E$12:$E$155),"")</f>
        <v/>
      </c>
      <c r="I13" s="219" t="str">
        <f>IF($S13&gt;0,LOOKUP($T13,內容!$B$12:$B$155,內容!$F$12:$F$155),"")</f>
        <v/>
      </c>
      <c r="J13" s="220"/>
      <c r="K13" s="219" t="str">
        <f>IF($S13&gt;0,LOOKUP($T13,內容!$B$12:$B$155,內容!$K$12:$K$155),"")</f>
        <v/>
      </c>
      <c r="L13" s="221"/>
      <c r="M13" s="220"/>
      <c r="N13" s="219" t="str">
        <f>IF($S13&gt;0,LOOKUP($T13,內容!$B$12:$B$155,內容!$I$12:$I$155),"")</f>
        <v/>
      </c>
      <c r="O13" s="221"/>
      <c r="P13" s="220"/>
      <c r="Q13" s="222"/>
      <c r="R13" s="223"/>
      <c r="S13" s="59">
        <f t="shared" si="0"/>
        <v>-2</v>
      </c>
      <c r="T13" s="59" t="str">
        <f>IF(S13&gt;0,LARGE(內容!$B$12:$B$155,S13),"")</f>
        <v/>
      </c>
    </row>
    <row r="14" spans="1:20" ht="23.25" customHeight="1">
      <c r="A14" s="216" t="str">
        <f>IF($S14&gt;0,LOOKUP($T14,內容!$B$12:$B$155,內容!$D$12:$D$155),"")</f>
        <v/>
      </c>
      <c r="B14" s="217"/>
      <c r="C14" s="217"/>
      <c r="D14" s="217"/>
      <c r="E14" s="217"/>
      <c r="F14" s="217"/>
      <c r="G14" s="218"/>
      <c r="H14" s="74" t="str">
        <f>IF($S14&gt;0,LOOKUP($T14,內容!$B$12:$B$155,內容!$E$12:$E$155),"")</f>
        <v/>
      </c>
      <c r="I14" s="219" t="str">
        <f>IF($S14&gt;0,LOOKUP($T14,內容!$B$12:$B$155,內容!$F$12:$F$155),"")</f>
        <v/>
      </c>
      <c r="J14" s="220"/>
      <c r="K14" s="219" t="str">
        <f>IF($S14&gt;0,LOOKUP($T14,內容!$B$12:$B$155,內容!$K$12:$K$155),"")</f>
        <v/>
      </c>
      <c r="L14" s="221"/>
      <c r="M14" s="220"/>
      <c r="N14" s="219" t="str">
        <f>IF($S14&gt;0,LOOKUP($T14,內容!$B$12:$B$155,內容!$I$12:$I$155),"")</f>
        <v/>
      </c>
      <c r="O14" s="221"/>
      <c r="P14" s="220"/>
      <c r="Q14" s="222"/>
      <c r="R14" s="223"/>
      <c r="S14" s="59">
        <f t="shared" si="0"/>
        <v>-3</v>
      </c>
      <c r="T14" s="59" t="str">
        <f>IF(S14&gt;0,LARGE(內容!$B$12:$B$155,S14),"")</f>
        <v/>
      </c>
    </row>
    <row r="15" spans="1:20" ht="23.25" customHeight="1">
      <c r="A15" s="216" t="str">
        <f>IF($S15&gt;0,LOOKUP($T15,內容!$B$12:$B$155,內容!$D$12:$D$155),"")</f>
        <v/>
      </c>
      <c r="B15" s="217"/>
      <c r="C15" s="217"/>
      <c r="D15" s="217"/>
      <c r="E15" s="217"/>
      <c r="F15" s="217"/>
      <c r="G15" s="218"/>
      <c r="H15" s="74" t="str">
        <f>IF($S15&gt;0,LOOKUP($T15,內容!$B$12:$B$155,內容!$E$12:$E$155),"")</f>
        <v/>
      </c>
      <c r="I15" s="219" t="str">
        <f>IF($S15&gt;0,LOOKUP($T15,內容!$B$12:$B$155,內容!$F$12:$F$155),"")</f>
        <v/>
      </c>
      <c r="J15" s="220"/>
      <c r="K15" s="219" t="str">
        <f>IF($S15&gt;0,LOOKUP($T15,內容!$B$12:$B$155,內容!$K$12:$K$155),"")</f>
        <v/>
      </c>
      <c r="L15" s="221"/>
      <c r="M15" s="220"/>
      <c r="N15" s="219" t="str">
        <f>IF($S15&gt;0,LOOKUP($T15,內容!$B$12:$B$155,內容!$I$12:$I$155),"")</f>
        <v/>
      </c>
      <c r="O15" s="221"/>
      <c r="P15" s="220"/>
      <c r="Q15" s="222"/>
      <c r="R15" s="223"/>
      <c r="S15" s="59">
        <f t="shared" si="0"/>
        <v>-4</v>
      </c>
      <c r="T15" s="59" t="str">
        <f>IF(S15&gt;0,LARGE(內容!$B$12:$B$155,S15),"")</f>
        <v/>
      </c>
    </row>
    <row r="16" spans="1:20" ht="23.25" customHeight="1" thickBot="1">
      <c r="A16" s="216" t="str">
        <f>IF($S16&gt;0,LOOKUP($T16,內容!$B$12:$B$155,內容!$D$12:$D$155),"")</f>
        <v/>
      </c>
      <c r="B16" s="217"/>
      <c r="C16" s="217"/>
      <c r="D16" s="217"/>
      <c r="E16" s="217"/>
      <c r="F16" s="217"/>
      <c r="G16" s="218"/>
      <c r="H16" s="74" t="str">
        <f>IF($S16&gt;0,LOOKUP($T16,內容!$B$12:$B$155,內容!$E$12:$E$155),"")</f>
        <v/>
      </c>
      <c r="I16" s="219" t="str">
        <f>IF($S16&gt;0,LOOKUP($T16,內容!$B$12:$B$155,內容!$F$12:$F$155),"")</f>
        <v/>
      </c>
      <c r="J16" s="220"/>
      <c r="K16" s="219" t="str">
        <f>IF($S16&gt;0,LOOKUP($T16,內容!$B$12:$B$155,內容!$K$12:$K$155),"")</f>
        <v/>
      </c>
      <c r="L16" s="221"/>
      <c r="M16" s="220"/>
      <c r="N16" s="219" t="str">
        <f>IF($S16&gt;0,LOOKUP($T16,內容!$B$12:$B$155,內容!$I$12:$I$155),"")</f>
        <v/>
      </c>
      <c r="O16" s="221"/>
      <c r="P16" s="220"/>
      <c r="Q16" s="222"/>
      <c r="R16" s="223"/>
      <c r="S16" s="59">
        <f t="shared" si="0"/>
        <v>-5</v>
      </c>
      <c r="T16" s="59" t="str">
        <f>IF(S16&gt;0,LARGE(內容!$B$12:$B$155,S16),"")</f>
        <v/>
      </c>
    </row>
    <row r="17" spans="1:23" ht="16.5" thickTop="1">
      <c r="A17" s="224" t="s">
        <v>73</v>
      </c>
      <c r="B17" s="225"/>
      <c r="C17" s="225"/>
      <c r="D17" s="225"/>
      <c r="E17" s="225"/>
      <c r="F17" s="225"/>
      <c r="G17" s="225"/>
      <c r="H17" s="66"/>
      <c r="I17" s="226"/>
      <c r="J17" s="226"/>
      <c r="K17" s="227"/>
      <c r="L17" s="227"/>
      <c r="M17" s="227"/>
      <c r="N17" s="227"/>
      <c r="O17" s="227"/>
      <c r="P17" s="227"/>
      <c r="Q17" s="227"/>
      <c r="R17" s="228"/>
      <c r="S17" s="59"/>
      <c r="T17" s="59"/>
    </row>
    <row r="18" spans="1:23">
      <c r="A18" s="232" t="s">
        <v>72</v>
      </c>
      <c r="B18" s="233"/>
      <c r="C18" s="233"/>
      <c r="D18" s="233"/>
      <c r="E18" s="233"/>
      <c r="F18" s="233"/>
      <c r="G18" s="233"/>
      <c r="H18" s="65"/>
      <c r="I18" s="234"/>
      <c r="J18" s="234"/>
      <c r="K18" s="222"/>
      <c r="L18" s="222"/>
      <c r="M18" s="222"/>
      <c r="N18" s="222"/>
      <c r="O18" s="222"/>
      <c r="P18" s="222"/>
      <c r="Q18" s="222"/>
      <c r="R18" s="235"/>
      <c r="S18" s="59"/>
      <c r="T18" s="59"/>
    </row>
    <row r="19" spans="1:23" ht="16.5" thickBot="1">
      <c r="A19" s="236" t="s">
        <v>71</v>
      </c>
      <c r="B19" s="237"/>
      <c r="C19" s="237"/>
      <c r="D19" s="237"/>
      <c r="E19" s="237"/>
      <c r="F19" s="237"/>
      <c r="G19" s="237"/>
      <c r="H19" s="67"/>
      <c r="I19" s="238"/>
      <c r="J19" s="238"/>
      <c r="K19" s="239"/>
      <c r="L19" s="239"/>
      <c r="M19" s="239"/>
      <c r="N19" s="239"/>
      <c r="O19" s="239"/>
      <c r="P19" s="239"/>
      <c r="Q19" s="239"/>
      <c r="R19" s="240"/>
      <c r="S19" s="59"/>
      <c r="T19" s="59"/>
    </row>
    <row r="20" spans="1:23" s="62" customFormat="1" ht="16.5" thickTop="1">
      <c r="A20" s="229" t="s">
        <v>70</v>
      </c>
      <c r="B20" s="230"/>
      <c r="C20" s="230"/>
      <c r="D20" s="230"/>
      <c r="E20" s="230"/>
      <c r="F20" s="230"/>
      <c r="G20" s="230"/>
      <c r="H20" s="230"/>
      <c r="I20" s="230"/>
      <c r="J20" s="230"/>
      <c r="K20" s="230"/>
      <c r="L20" s="230"/>
      <c r="M20" s="230"/>
      <c r="N20" s="230"/>
      <c r="O20" s="230"/>
      <c r="P20" s="230"/>
      <c r="Q20" s="230"/>
      <c r="R20" s="231"/>
      <c r="S20" s="71"/>
      <c r="T20" s="71"/>
    </row>
    <row r="21" spans="1:23" s="73" customFormat="1">
      <c r="A21" s="194" t="s">
        <v>112</v>
      </c>
      <c r="B21" s="195"/>
      <c r="C21" s="195"/>
      <c r="D21" s="195"/>
      <c r="E21" s="195"/>
      <c r="F21" s="195"/>
      <c r="G21" s="195"/>
      <c r="H21" s="68" t="s">
        <v>50</v>
      </c>
      <c r="I21" s="213" t="s">
        <v>51</v>
      </c>
      <c r="J21" s="213"/>
      <c r="K21" s="195" t="s">
        <v>64</v>
      </c>
      <c r="L21" s="195"/>
      <c r="M21" s="195"/>
      <c r="N21" s="195" t="s">
        <v>63</v>
      </c>
      <c r="O21" s="195"/>
      <c r="P21" s="195"/>
      <c r="Q21" s="195" t="s">
        <v>69</v>
      </c>
      <c r="R21" s="212"/>
      <c r="S21" s="72"/>
      <c r="T21" s="72"/>
    </row>
    <row r="22" spans="1:23" s="62" customFormat="1">
      <c r="A22" s="241" t="str">
        <f>IF($S22&gt;0,LOOKUP($T22,內容!$B165:$B$168,內容!D165:$D$168),"")</f>
        <v/>
      </c>
      <c r="B22" s="242"/>
      <c r="C22" s="242"/>
      <c r="D22" s="242"/>
      <c r="E22" s="242"/>
      <c r="F22" s="242"/>
      <c r="G22" s="242"/>
      <c r="H22" s="68" t="str">
        <f>IF($S22&gt;0,LOOKUP($T22,內容!$B165:$B$168,內容!E165:$E$168),"")</f>
        <v/>
      </c>
      <c r="I22" s="243" t="str">
        <f>IF($S22&gt;0,LOOKUP($T22,內容!$B165:$B$168,內容!F165:$F$168),"")</f>
        <v/>
      </c>
      <c r="J22" s="243"/>
      <c r="K22" s="243" t="str">
        <f>IF($S22&gt;0,LOOKUP($T22,內容!$B165:$B$168,內容!K165:$K$168),"")</f>
        <v/>
      </c>
      <c r="L22" s="243"/>
      <c r="M22" s="243"/>
      <c r="N22" s="244" t="str">
        <f>IF($S22&gt;0,LOOKUP($T22,內容!$B165:$B$168,內容!I165:$I$168),"")</f>
        <v/>
      </c>
      <c r="O22" s="245"/>
      <c r="P22" s="246"/>
      <c r="Q22" s="195"/>
      <c r="R22" s="212"/>
      <c r="S22" s="59">
        <f>內容!K162</f>
        <v>0</v>
      </c>
      <c r="T22" s="59" t="str">
        <f>IF(S22&gt;0,LARGE(內容!B$165:B$168,S22),"")</f>
        <v/>
      </c>
    </row>
    <row r="23" spans="1:23" s="62" customFormat="1" hidden="1">
      <c r="A23" s="241" t="str">
        <f>IF($S23&gt;0,LOOKUP($T23,內容!$B166:$B$168,內容!D166:$D$168),"")</f>
        <v/>
      </c>
      <c r="B23" s="242"/>
      <c r="C23" s="242"/>
      <c r="D23" s="242"/>
      <c r="E23" s="242"/>
      <c r="F23" s="242"/>
      <c r="G23" s="242"/>
      <c r="H23" s="68" t="str">
        <f>IF($S23&gt;0,LOOKUP($T23,內容!$B166:$B$168,內容!E166:$E$168),"")</f>
        <v/>
      </c>
      <c r="I23" s="243" t="str">
        <f>IF($S23&gt;0,LOOKUP($T23,內容!$B166:$B$168,內容!F166:$F$168),"")</f>
        <v/>
      </c>
      <c r="J23" s="243"/>
      <c r="K23" s="243" t="str">
        <f>IF($S23&gt;0,LOOKUP($T23,內容!$B166:$B$168,內容!K166:$K$168),"")</f>
        <v/>
      </c>
      <c r="L23" s="243"/>
      <c r="M23" s="243"/>
      <c r="N23" s="244" t="str">
        <f>IF($S23&gt;0,LOOKUP($T23,內容!$B166:$B$168,內容!I166:$I$168),"")</f>
        <v/>
      </c>
      <c r="O23" s="245"/>
      <c r="P23" s="246"/>
      <c r="Q23" s="195"/>
      <c r="R23" s="212"/>
      <c r="S23" s="59">
        <f>S22-1</f>
        <v>-1</v>
      </c>
      <c r="T23" s="59" t="str">
        <f>IF(S23&gt;0,LARGE(內容!B$165:B$168,S23),"")</f>
        <v/>
      </c>
    </row>
    <row r="24" spans="1:23">
      <c r="A24" s="241" t="str">
        <f>IF($S24&gt;0,LOOKUP($T24,內容!$B167:$B$168,內容!D168:$D$168),"")</f>
        <v/>
      </c>
      <c r="B24" s="242"/>
      <c r="C24" s="242"/>
      <c r="D24" s="242"/>
      <c r="E24" s="242"/>
      <c r="F24" s="242"/>
      <c r="G24" s="242"/>
      <c r="H24" s="65"/>
      <c r="I24" s="234"/>
      <c r="J24" s="234"/>
      <c r="K24" s="222"/>
      <c r="L24" s="222"/>
      <c r="M24" s="222"/>
      <c r="N24" s="222"/>
      <c r="O24" s="222"/>
      <c r="P24" s="222"/>
      <c r="Q24" s="222"/>
      <c r="R24" s="223"/>
      <c r="S24" s="59">
        <f>S23-1</f>
        <v>-2</v>
      </c>
      <c r="T24" s="59" t="str">
        <f>IF(S24&gt;0,LARGE(內容!B$165:B$168,S24),"")</f>
        <v/>
      </c>
    </row>
    <row r="25" spans="1:23" s="62" customFormat="1">
      <c r="A25" s="204" t="s">
        <v>68</v>
      </c>
      <c r="B25" s="205"/>
      <c r="C25" s="205"/>
      <c r="D25" s="205"/>
      <c r="E25" s="205"/>
      <c r="F25" s="205"/>
      <c r="G25" s="205"/>
      <c r="H25" s="205"/>
      <c r="I25" s="205"/>
      <c r="J25" s="205"/>
      <c r="K25" s="205"/>
      <c r="L25" s="205"/>
      <c r="M25" s="205"/>
      <c r="N25" s="205"/>
      <c r="O25" s="205"/>
      <c r="P25" s="205"/>
      <c r="Q25" s="205"/>
      <c r="R25" s="206"/>
      <c r="S25" s="71"/>
      <c r="T25" s="71"/>
    </row>
    <row r="26" spans="1:23" s="73" customFormat="1">
      <c r="A26" s="194" t="s">
        <v>113</v>
      </c>
      <c r="B26" s="195"/>
      <c r="C26" s="195"/>
      <c r="D26" s="195"/>
      <c r="E26" s="195"/>
      <c r="F26" s="248" t="s">
        <v>67</v>
      </c>
      <c r="G26" s="249"/>
      <c r="H26" s="248" t="s">
        <v>66</v>
      </c>
      <c r="I26" s="249"/>
      <c r="J26" s="195" t="s">
        <v>65</v>
      </c>
      <c r="K26" s="195"/>
      <c r="L26" s="195"/>
      <c r="M26" s="195" t="s">
        <v>64</v>
      </c>
      <c r="N26" s="195"/>
      <c r="O26" s="195"/>
      <c r="P26" s="195" t="s">
        <v>63</v>
      </c>
      <c r="Q26" s="195"/>
      <c r="R26" s="212"/>
      <c r="S26" s="72"/>
      <c r="T26" s="72"/>
    </row>
    <row r="27" spans="1:23" s="58" customFormat="1">
      <c r="A27" s="247" t="str">
        <f>IF($S27&gt;0,LOOKUP($T27,內容!$B173:$B$188,內容!D173:$D$188),"")</f>
        <v>油漆工</v>
      </c>
      <c r="B27" s="222"/>
      <c r="C27" s="222"/>
      <c r="D27" s="222"/>
      <c r="E27" s="222"/>
      <c r="F27" s="222">
        <f>IF($S27&gt;0,LOOKUP($T27,內容!$B173:$B$188,內容!K173:$K$188),"")</f>
        <v>3</v>
      </c>
      <c r="G27" s="222"/>
      <c r="H27" s="222">
        <f ca="1">IF($S27&gt;0,LOOKUP($T27,內容!$B173:$B$188,內容!I173:$I$188),"")</f>
        <v>3</v>
      </c>
      <c r="I27" s="222"/>
      <c r="J27" s="222" t="str">
        <f>IF($V27&gt;0,LOOKUP($W27,內容!$B193:$B$201,內容!D193:$D$201),"")</f>
        <v/>
      </c>
      <c r="K27" s="222"/>
      <c r="L27" s="222"/>
      <c r="M27" s="222" t="str">
        <f>IF($V27&gt;0,LOOKUP($W27,內容!$B193:$B$201,內容!K193:$K$201),"")</f>
        <v/>
      </c>
      <c r="N27" s="222"/>
      <c r="O27" s="222"/>
      <c r="P27" s="222" t="str">
        <f>IF($V27&gt;0,LOOKUP($W27,內容!$B193:$B$201,內容!I193:$I$201),"")</f>
        <v/>
      </c>
      <c r="Q27" s="222"/>
      <c r="R27" s="223"/>
      <c r="S27" s="61">
        <f>內容!K170</f>
        <v>1</v>
      </c>
      <c r="T27" s="59">
        <f>IF(S27&gt;0,LARGE(內容!B$173:B$188,S27),"")</f>
        <v>608</v>
      </c>
      <c r="U27" s="70"/>
      <c r="V27" s="70">
        <f>內容!K190</f>
        <v>0</v>
      </c>
      <c r="W27" s="59" t="str">
        <f>IF(V27&gt;0,LARGE(內容!B$193:B$201,V27),"")</f>
        <v/>
      </c>
    </row>
    <row r="28" spans="1:23" s="58" customFormat="1">
      <c r="A28" s="247" t="str">
        <f>IF($S28&gt;0,LOOKUP($T28,內容!$B174:$B$188,內容!D174:$D$188),"")</f>
        <v/>
      </c>
      <c r="B28" s="222"/>
      <c r="C28" s="222"/>
      <c r="D28" s="222"/>
      <c r="E28" s="222"/>
      <c r="F28" s="222" t="str">
        <f>IF($S28&gt;0,LOOKUP($T28,內容!$B174:$B$188,內容!K174:$K$188),"")</f>
        <v/>
      </c>
      <c r="G28" s="222"/>
      <c r="H28" s="222" t="str">
        <f>IF($S28&gt;0,LOOKUP($T28,內容!$B174:$B$188,內容!I174:$I$188),"")</f>
        <v/>
      </c>
      <c r="I28" s="222"/>
      <c r="J28" s="222" t="str">
        <f>IF($V28&gt;0,LOOKUP($W28,內容!$B194:$B$201,內容!D194:$D$201),"")</f>
        <v/>
      </c>
      <c r="K28" s="222"/>
      <c r="L28" s="222"/>
      <c r="M28" s="222" t="str">
        <f>IF($V28&gt;0,LOOKUP($W28,內容!$B194:$B$201,內容!K194:$K$201),"")</f>
        <v/>
      </c>
      <c r="N28" s="222"/>
      <c r="O28" s="222"/>
      <c r="P28" s="222" t="str">
        <f>IF($V28&gt;0,LOOKUP($W28,內容!$B194:$B$201,內容!I194:$I$201),"")</f>
        <v/>
      </c>
      <c r="Q28" s="222"/>
      <c r="R28" s="223"/>
      <c r="S28" s="61">
        <f>S27-1</f>
        <v>0</v>
      </c>
      <c r="T28" s="59" t="str">
        <f>IF(S28&gt;0,LARGE(內容!B$173:B$188,S28),"")</f>
        <v/>
      </c>
      <c r="U28" s="70"/>
      <c r="V28" s="61">
        <f>V27-1</f>
        <v>-1</v>
      </c>
      <c r="W28" s="59" t="str">
        <f>IF(V28&gt;0,LARGE(內容!B$193:B$201,V28),"")</f>
        <v/>
      </c>
    </row>
    <row r="29" spans="1:23">
      <c r="A29" s="247" t="str">
        <f>IF($S29&gt;0,LOOKUP($T29,內容!$B175:$B$188,內容!D175:$D$188),"")</f>
        <v/>
      </c>
      <c r="B29" s="222"/>
      <c r="C29" s="222"/>
      <c r="D29" s="222"/>
      <c r="E29" s="222"/>
      <c r="F29" s="222" t="str">
        <f>IF($S29&gt;0,LOOKUP($T29,內容!$B175:$B$188,內容!K175:$K$188),"")</f>
        <v/>
      </c>
      <c r="G29" s="222"/>
      <c r="H29" s="222" t="str">
        <f>IF($S29&gt;0,LOOKUP($T29,內容!$B175:$B$188,內容!I175:$I$188),"")</f>
        <v/>
      </c>
      <c r="I29" s="222"/>
      <c r="J29" s="222" t="str">
        <f>IF($V29&gt;0,LOOKUP($W29,內容!$B195:$B$201,內容!D195:$D$201),"")</f>
        <v/>
      </c>
      <c r="K29" s="222"/>
      <c r="L29" s="222"/>
      <c r="M29" s="222" t="str">
        <f>IF($V29&gt;0,LOOKUP($W29,內容!$B195:$B$201,內容!K195:$K$201),"")</f>
        <v/>
      </c>
      <c r="N29" s="222"/>
      <c r="O29" s="222"/>
      <c r="P29" s="222" t="str">
        <f>IF($V29&gt;0,LOOKUP($W29,內容!$B195:$B$201,內容!I195:$I$201),"")</f>
        <v/>
      </c>
      <c r="Q29" s="222"/>
      <c r="R29" s="223"/>
      <c r="S29" s="61">
        <f>S28-1</f>
        <v>-1</v>
      </c>
      <c r="T29" s="59" t="str">
        <f>IF(S29&gt;0,LARGE(內容!B$173:B$188,S29),"")</f>
        <v/>
      </c>
      <c r="U29" s="70"/>
      <c r="V29" s="61">
        <f>V28-1</f>
        <v>-2</v>
      </c>
      <c r="W29" s="59" t="str">
        <f>IF(V29&gt;0,LARGE(內容!B$193:B$201,V29),"")</f>
        <v/>
      </c>
    </row>
    <row r="30" spans="1:23" ht="42.75" customHeight="1">
      <c r="A30" s="259" t="s">
        <v>62</v>
      </c>
      <c r="B30" s="260"/>
      <c r="C30" s="260"/>
      <c r="D30" s="260"/>
      <c r="E30" s="260"/>
      <c r="F30" s="260"/>
      <c r="G30" s="260"/>
      <c r="H30" s="260"/>
      <c r="I30" s="260"/>
      <c r="J30" s="260"/>
      <c r="K30" s="260"/>
      <c r="L30" s="260"/>
      <c r="M30" s="260"/>
      <c r="N30" s="260"/>
      <c r="O30" s="260"/>
      <c r="P30" s="260"/>
      <c r="Q30" s="260"/>
      <c r="R30" s="261"/>
      <c r="S30" s="59"/>
      <c r="T30" s="59"/>
    </row>
    <row r="31" spans="1:23" ht="100.5" customHeight="1">
      <c r="A31" s="262" t="s">
        <v>61</v>
      </c>
      <c r="B31" s="263"/>
      <c r="C31" s="263"/>
      <c r="D31" s="263"/>
      <c r="E31" s="263"/>
      <c r="F31" s="263"/>
      <c r="G31" s="263"/>
      <c r="H31" s="263"/>
      <c r="I31" s="263"/>
      <c r="J31" s="263"/>
      <c r="K31" s="263"/>
      <c r="L31" s="263"/>
      <c r="M31" s="263"/>
      <c r="N31" s="263"/>
      <c r="O31" s="263"/>
      <c r="P31" s="263"/>
      <c r="Q31" s="263"/>
      <c r="R31" s="264"/>
      <c r="S31" s="59"/>
      <c r="T31" s="59"/>
    </row>
    <row r="32" spans="1:23">
      <c r="A32" s="265"/>
      <c r="B32" s="266"/>
      <c r="C32" s="266"/>
      <c r="D32" s="266"/>
      <c r="E32" s="266"/>
      <c r="F32" s="266"/>
      <c r="G32" s="266"/>
      <c r="H32" s="266"/>
      <c r="I32" s="266"/>
      <c r="J32" s="266"/>
      <c r="K32" s="266"/>
      <c r="L32" s="266"/>
      <c r="M32" s="266"/>
      <c r="N32" s="266"/>
      <c r="O32" s="266"/>
      <c r="P32" s="266"/>
      <c r="Q32" s="266"/>
      <c r="R32" s="267"/>
      <c r="S32" s="59"/>
      <c r="T32" s="59"/>
    </row>
    <row r="33" spans="1:20" s="62" customFormat="1">
      <c r="A33" s="250" t="s">
        <v>60</v>
      </c>
      <c r="B33" s="251"/>
      <c r="C33" s="251"/>
      <c r="D33" s="251"/>
      <c r="E33" s="251"/>
      <c r="F33" s="251"/>
      <c r="G33" s="251"/>
      <c r="H33" s="251"/>
      <c r="I33" s="251"/>
      <c r="J33" s="251"/>
      <c r="K33" s="251"/>
      <c r="L33" s="251"/>
      <c r="M33" s="251"/>
      <c r="N33" s="251"/>
      <c r="O33" s="251"/>
      <c r="P33" s="251"/>
      <c r="Q33" s="251"/>
      <c r="R33" s="252"/>
      <c r="S33" s="71"/>
      <c r="T33" s="71"/>
    </row>
    <row r="34" spans="1:20" s="62" customFormat="1" ht="15.75" customHeight="1">
      <c r="A34" s="229" t="str">
        <f>內容!K207</f>
        <v/>
      </c>
      <c r="B34" s="230"/>
      <c r="C34" s="230"/>
      <c r="D34" s="230"/>
      <c r="E34" s="230"/>
      <c r="F34" s="230"/>
      <c r="G34" s="230"/>
      <c r="H34" s="230"/>
      <c r="I34" s="230"/>
      <c r="J34" s="230"/>
      <c r="K34" s="230"/>
      <c r="L34" s="230"/>
      <c r="M34" s="230"/>
      <c r="N34" s="230"/>
      <c r="O34" s="230"/>
      <c r="P34" s="230"/>
      <c r="Q34" s="230"/>
      <c r="R34" s="231"/>
      <c r="S34" s="71"/>
      <c r="T34" s="71"/>
    </row>
    <row r="35" spans="1:20" s="62" customFormat="1">
      <c r="A35" s="250" t="s">
        <v>59</v>
      </c>
      <c r="B35" s="251"/>
      <c r="C35" s="251"/>
      <c r="D35" s="251"/>
      <c r="E35" s="251"/>
      <c r="F35" s="251"/>
      <c r="G35" s="251"/>
      <c r="H35" s="251"/>
      <c r="I35" s="251"/>
      <c r="J35" s="251"/>
      <c r="K35" s="251"/>
      <c r="L35" s="251"/>
      <c r="M35" s="251"/>
      <c r="N35" s="251"/>
      <c r="O35" s="251"/>
      <c r="P35" s="251"/>
      <c r="Q35" s="251"/>
      <c r="R35" s="252"/>
      <c r="S35" s="71"/>
      <c r="T35" s="71"/>
    </row>
    <row r="36" spans="1:20" s="62" customFormat="1">
      <c r="A36" s="250" t="s">
        <v>58</v>
      </c>
      <c r="B36" s="251"/>
      <c r="C36" s="251"/>
      <c r="D36" s="251"/>
      <c r="E36" s="251"/>
      <c r="F36" s="251"/>
      <c r="G36" s="251"/>
      <c r="H36" s="251"/>
      <c r="I36" s="251"/>
      <c r="J36" s="251"/>
      <c r="K36" s="251"/>
      <c r="L36" s="251"/>
      <c r="M36" s="251"/>
      <c r="N36" s="251"/>
      <c r="O36" s="251"/>
      <c r="P36" s="251"/>
      <c r="Q36" s="251"/>
      <c r="R36" s="252"/>
      <c r="S36" s="71"/>
      <c r="T36" s="71"/>
    </row>
    <row r="37" spans="1:20" ht="47.25" customHeight="1">
      <c r="A37" s="253" t="str">
        <f>內容!K209</f>
        <v>1.本日室內油漆壁癌處理刷漆。
2.本日油漆自主檢查(施工前)。</v>
      </c>
      <c r="B37" s="254"/>
      <c r="C37" s="254"/>
      <c r="D37" s="254"/>
      <c r="E37" s="254"/>
      <c r="F37" s="254"/>
      <c r="G37" s="254"/>
      <c r="H37" s="254"/>
      <c r="I37" s="254"/>
      <c r="J37" s="254"/>
      <c r="K37" s="254"/>
      <c r="L37" s="254"/>
      <c r="M37" s="254"/>
      <c r="N37" s="254"/>
      <c r="O37" s="254"/>
      <c r="P37" s="254"/>
      <c r="Q37" s="254"/>
      <c r="R37" s="255"/>
      <c r="S37" s="59"/>
      <c r="T37" s="59"/>
    </row>
    <row r="38" spans="1:20" ht="45" customHeight="1" thickBot="1">
      <c r="A38" s="256" t="s">
        <v>57</v>
      </c>
      <c r="B38" s="257"/>
      <c r="C38" s="257"/>
      <c r="D38" s="257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8"/>
      <c r="S38" s="59"/>
      <c r="T38" s="59"/>
    </row>
  </sheetData>
  <mergeCells count="134">
    <mergeCell ref="A36:R36"/>
    <mergeCell ref="A37:R37"/>
    <mergeCell ref="A38:R38"/>
    <mergeCell ref="A30:R30"/>
    <mergeCell ref="A31:R31"/>
    <mergeCell ref="A32:R32"/>
    <mergeCell ref="A33:R33"/>
    <mergeCell ref="A34:R34"/>
    <mergeCell ref="A35:R35"/>
    <mergeCell ref="A29:E29"/>
    <mergeCell ref="F29:G29"/>
    <mergeCell ref="H29:I29"/>
    <mergeCell ref="J29:L29"/>
    <mergeCell ref="M29:O29"/>
    <mergeCell ref="P29:R29"/>
    <mergeCell ref="A28:E28"/>
    <mergeCell ref="F28:G28"/>
    <mergeCell ref="H28:I28"/>
    <mergeCell ref="J28:L28"/>
    <mergeCell ref="M28:O28"/>
    <mergeCell ref="P28:R28"/>
    <mergeCell ref="A27:E27"/>
    <mergeCell ref="F27:G27"/>
    <mergeCell ref="H27:I27"/>
    <mergeCell ref="J27:L27"/>
    <mergeCell ref="M27:O27"/>
    <mergeCell ref="P27:R27"/>
    <mergeCell ref="A26:E26"/>
    <mergeCell ref="F26:G26"/>
    <mergeCell ref="H26:I26"/>
    <mergeCell ref="J26:L26"/>
    <mergeCell ref="M26:O26"/>
    <mergeCell ref="P26:R26"/>
    <mergeCell ref="A24:G24"/>
    <mergeCell ref="I24:J24"/>
    <mergeCell ref="K24:M24"/>
    <mergeCell ref="N24:P24"/>
    <mergeCell ref="Q24:R24"/>
    <mergeCell ref="A25:R25"/>
    <mergeCell ref="A22:G22"/>
    <mergeCell ref="I22:J22"/>
    <mergeCell ref="K22:M22"/>
    <mergeCell ref="N22:P22"/>
    <mergeCell ref="Q22:R22"/>
    <mergeCell ref="A23:G23"/>
    <mergeCell ref="I23:J23"/>
    <mergeCell ref="K23:M23"/>
    <mergeCell ref="N23:P23"/>
    <mergeCell ref="Q23:R23"/>
    <mergeCell ref="A20:R20"/>
    <mergeCell ref="A21:G21"/>
    <mergeCell ref="I21:J21"/>
    <mergeCell ref="K21:M21"/>
    <mergeCell ref="N21:P21"/>
    <mergeCell ref="Q21:R21"/>
    <mergeCell ref="A18:G18"/>
    <mergeCell ref="I18:J18"/>
    <mergeCell ref="K18:M18"/>
    <mergeCell ref="N18:P18"/>
    <mergeCell ref="Q18:R18"/>
    <mergeCell ref="A19:G19"/>
    <mergeCell ref="I19:J19"/>
    <mergeCell ref="K19:M19"/>
    <mergeCell ref="N19:P19"/>
    <mergeCell ref="Q19:R19"/>
    <mergeCell ref="A16:G16"/>
    <mergeCell ref="I16:J16"/>
    <mergeCell ref="K16:M16"/>
    <mergeCell ref="N16:P16"/>
    <mergeCell ref="Q16:R16"/>
    <mergeCell ref="A17:G17"/>
    <mergeCell ref="I17:J17"/>
    <mergeCell ref="K17:M17"/>
    <mergeCell ref="N17:P17"/>
    <mergeCell ref="Q17:R17"/>
    <mergeCell ref="A14:G14"/>
    <mergeCell ref="I14:J14"/>
    <mergeCell ref="K14:M14"/>
    <mergeCell ref="N14:P14"/>
    <mergeCell ref="Q14:R14"/>
    <mergeCell ref="A15:G15"/>
    <mergeCell ref="I15:J15"/>
    <mergeCell ref="K15:M15"/>
    <mergeCell ref="N15:P15"/>
    <mergeCell ref="Q15:R15"/>
    <mergeCell ref="A12:G12"/>
    <mergeCell ref="I12:J12"/>
    <mergeCell ref="K12:M12"/>
    <mergeCell ref="N12:P12"/>
    <mergeCell ref="Q12:R12"/>
    <mergeCell ref="A13:G13"/>
    <mergeCell ref="I13:J13"/>
    <mergeCell ref="K13:M13"/>
    <mergeCell ref="N13:P13"/>
    <mergeCell ref="Q13:R13"/>
    <mergeCell ref="A10:G10"/>
    <mergeCell ref="I10:J10"/>
    <mergeCell ref="K10:M10"/>
    <mergeCell ref="N10:P10"/>
    <mergeCell ref="Q10:R10"/>
    <mergeCell ref="A11:G11"/>
    <mergeCell ref="I11:J11"/>
    <mergeCell ref="K11:M11"/>
    <mergeCell ref="N11:P11"/>
    <mergeCell ref="Q11:R11"/>
    <mergeCell ref="A8:R8"/>
    <mergeCell ref="A9:G9"/>
    <mergeCell ref="I9:J9"/>
    <mergeCell ref="K9:M9"/>
    <mergeCell ref="N9:P9"/>
    <mergeCell ref="Q9:R9"/>
    <mergeCell ref="A6:D6"/>
    <mergeCell ref="E6:I6"/>
    <mergeCell ref="J6:M6"/>
    <mergeCell ref="N6:R6"/>
    <mergeCell ref="A7:D7"/>
    <mergeCell ref="E7:I7"/>
    <mergeCell ref="J7:M7"/>
    <mergeCell ref="N7:R7"/>
    <mergeCell ref="A4:B4"/>
    <mergeCell ref="C4:I4"/>
    <mergeCell ref="J4:M4"/>
    <mergeCell ref="N4:R4"/>
    <mergeCell ref="A5:B5"/>
    <mergeCell ref="E5:G5"/>
    <mergeCell ref="J5:K5"/>
    <mergeCell ref="N5:P5"/>
    <mergeCell ref="A1:R1"/>
    <mergeCell ref="B2:R2"/>
    <mergeCell ref="B3:C3"/>
    <mergeCell ref="E3:F3"/>
    <mergeCell ref="K3:M3"/>
    <mergeCell ref="N3:P3"/>
    <mergeCell ref="Q3:R3"/>
  </mergeCells>
  <phoneticPr fontId="2" type="noConversion"/>
  <printOptions horizontalCentered="1"/>
  <pageMargins left="0.70866141732283472" right="0.70866141732283472" top="0.55118110236220474" bottom="0.55118110236220474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DoDo1">
                <anchor moveWithCells="1" sizeWithCells="1">
                  <from>
                    <xdr:col>18</xdr:col>
                    <xdr:colOff>247650</xdr:colOff>
                    <xdr:row>3</xdr:row>
                    <xdr:rowOff>19050</xdr:rowOff>
                  </from>
                  <to>
                    <xdr:col>20</xdr:col>
                    <xdr:colOff>57150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Export_施工日誌_WithOptions5">
                <anchor moveWithCells="1" sizeWithCells="1">
                  <from>
                    <xdr:col>18</xdr:col>
                    <xdr:colOff>247650</xdr:colOff>
                    <xdr:row>4</xdr:row>
                    <xdr:rowOff>123825</xdr:rowOff>
                  </from>
                  <to>
                    <xdr:col>20</xdr:col>
                    <xdr:colOff>57150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>
    <pageSetUpPr fitToPage="1"/>
  </sheetPr>
  <dimension ref="A1:T40"/>
  <sheetViews>
    <sheetView view="pageBreakPreview" zoomScaleNormal="100" zoomScaleSheetLayoutView="100" workbookViewId="0">
      <selection activeCell="H4" sqref="H4:K4"/>
    </sheetView>
  </sheetViews>
  <sheetFormatPr defaultRowHeight="15.75"/>
  <cols>
    <col min="1" max="1" width="13" customWidth="1"/>
    <col min="2" max="2" width="7" customWidth="1"/>
    <col min="3" max="3" width="3.28515625" customWidth="1"/>
    <col min="4" max="4" width="11.42578125" customWidth="1"/>
    <col min="5" max="5" width="2.140625" customWidth="1"/>
    <col min="6" max="6" width="6.42578125" customWidth="1"/>
    <col min="7" max="7" width="4.42578125" customWidth="1"/>
    <col min="8" max="8" width="8.5703125" customWidth="1"/>
    <col min="9" max="9" width="13" customWidth="1"/>
    <col min="10" max="10" width="8.5703125" customWidth="1"/>
    <col min="11" max="11" width="9.28515625" customWidth="1"/>
    <col min="12" max="12" width="11.42578125" customWidth="1"/>
  </cols>
  <sheetData>
    <row r="1" spans="1:20" ht="18.75" customHeight="1">
      <c r="A1" s="16"/>
      <c r="B1" s="16"/>
      <c r="C1" s="17"/>
      <c r="D1" s="19"/>
      <c r="E1" s="18"/>
      <c r="F1" s="18"/>
      <c r="G1" s="18"/>
      <c r="H1" s="18"/>
      <c r="I1" s="18"/>
      <c r="J1" s="18"/>
      <c r="K1" s="18"/>
      <c r="L1" s="18"/>
      <c r="M1" s="20">
        <f>內容!K1</f>
        <v>36</v>
      </c>
      <c r="N1" s="20"/>
    </row>
    <row r="2" spans="1:20" ht="18.75" customHeight="1">
      <c r="A2" s="327" t="s">
        <v>28</v>
      </c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20"/>
      <c r="N2" s="20"/>
    </row>
    <row r="3" spans="1:20" ht="16.5">
      <c r="A3" s="21" t="s">
        <v>29</v>
      </c>
      <c r="B3" s="328">
        <f>內容!K1</f>
        <v>36</v>
      </c>
      <c r="C3" s="328"/>
      <c r="D3" s="328"/>
      <c r="E3" s="23"/>
      <c r="F3" s="23"/>
      <c r="G3" s="23"/>
      <c r="H3" s="23"/>
      <c r="I3" s="18"/>
      <c r="J3" s="25"/>
      <c r="K3" s="25"/>
      <c r="L3" s="26"/>
      <c r="M3" s="20"/>
      <c r="N3" s="27"/>
    </row>
    <row r="4" spans="1:20" ht="16.5" thickBot="1">
      <c r="A4" s="24" t="s">
        <v>30</v>
      </c>
      <c r="B4" s="28" t="s">
        <v>31</v>
      </c>
      <c r="C4" s="21" t="str">
        <f>IF(OR(內容!K159=10,內容!K159=0),"雨","晴")</f>
        <v>晴</v>
      </c>
      <c r="D4" s="25" t="s">
        <v>32</v>
      </c>
      <c r="E4" s="339" t="str">
        <f>IF(OR(內容!K160=10,內容!K160=0),"雨","晴")</f>
        <v>晴</v>
      </c>
      <c r="F4" s="339"/>
      <c r="G4" s="22"/>
      <c r="H4" s="329">
        <f>內容!K7</f>
        <v>46111</v>
      </c>
      <c r="I4" s="329"/>
      <c r="J4" s="329"/>
      <c r="K4" s="329"/>
      <c r="L4" s="29">
        <f>H4</f>
        <v>46111</v>
      </c>
      <c r="M4" s="20"/>
      <c r="N4" s="27"/>
    </row>
    <row r="5" spans="1:20" ht="18.75" customHeight="1">
      <c r="A5" s="30" t="s">
        <v>33</v>
      </c>
      <c r="B5" s="330" t="str">
        <f>內容!E1</f>
        <v>光明國中-行政大樓外牆與屋頂防水工程</v>
      </c>
      <c r="C5" s="331"/>
      <c r="D5" s="331"/>
      <c r="E5" s="331"/>
      <c r="F5" s="331"/>
      <c r="G5" s="331"/>
      <c r="H5" s="331"/>
      <c r="I5" s="331"/>
      <c r="J5" s="331"/>
      <c r="K5" s="331"/>
      <c r="L5" s="332"/>
      <c r="M5" s="31"/>
      <c r="N5" s="31"/>
    </row>
    <row r="6" spans="1:20" ht="28.5">
      <c r="A6" s="32" t="s">
        <v>34</v>
      </c>
      <c r="B6" s="337" t="str">
        <f>內容!E2&amp;"日曆天"</f>
        <v>100日曆天</v>
      </c>
      <c r="C6" s="338"/>
      <c r="D6" s="42" t="s">
        <v>49</v>
      </c>
      <c r="E6" s="333">
        <f>內容!L7</f>
        <v>46076</v>
      </c>
      <c r="F6" s="334"/>
      <c r="G6" s="335"/>
      <c r="H6" s="34" t="s">
        <v>35</v>
      </c>
      <c r="I6" s="33">
        <f>IF(內容!K5&lt;100,內容!K7+內容!K3,內容!K7)</f>
        <v>46177</v>
      </c>
      <c r="J6" s="34" t="s">
        <v>36</v>
      </c>
      <c r="K6" s="333"/>
      <c r="L6" s="336"/>
      <c r="M6" s="20"/>
      <c r="N6" s="20"/>
    </row>
    <row r="7" spans="1:20" ht="16.5">
      <c r="A7" s="318" t="s">
        <v>37</v>
      </c>
      <c r="B7" s="313"/>
      <c r="C7" s="319"/>
      <c r="D7" s="43"/>
      <c r="E7" s="310" t="s">
        <v>38</v>
      </c>
      <c r="F7" s="313"/>
      <c r="G7" s="313"/>
      <c r="H7" s="311"/>
      <c r="I7" s="42">
        <f ca="1">COUNT(內容!L9:OFFSET(內容!L9,,內容!K$1-1))-COUNTIF(內容!L9:OFFSET(內容!L9,,內容!K$1-1),1)</f>
        <v>2</v>
      </c>
      <c r="J7" s="314" t="s">
        <v>39</v>
      </c>
      <c r="K7" s="316">
        <f>內容!E3</f>
        <v>2560000</v>
      </c>
      <c r="L7" s="317"/>
      <c r="M7" s="20"/>
      <c r="N7" s="20"/>
    </row>
    <row r="8" spans="1:20">
      <c r="A8" s="32" t="s">
        <v>40</v>
      </c>
      <c r="B8" s="320">
        <f ca="1">內容!K6</f>
        <v>33.674000000000014</v>
      </c>
      <c r="C8" s="321"/>
      <c r="D8" s="322"/>
      <c r="E8" s="310" t="s">
        <v>41</v>
      </c>
      <c r="F8" s="313"/>
      <c r="G8" s="311"/>
      <c r="H8" s="323">
        <f>內容!K5</f>
        <v>55.44</v>
      </c>
      <c r="I8" s="324" t="e">
        <v>#VALUE!</v>
      </c>
      <c r="J8" s="315"/>
      <c r="K8" s="325" t="s">
        <v>42</v>
      </c>
      <c r="L8" s="326"/>
      <c r="M8" s="31"/>
      <c r="N8" s="31"/>
    </row>
    <row r="9" spans="1:20" ht="16.5">
      <c r="A9" s="277" t="s">
        <v>43</v>
      </c>
      <c r="B9" s="278"/>
      <c r="C9" s="278"/>
      <c r="D9" s="278"/>
      <c r="E9" s="278"/>
      <c r="F9" s="278"/>
      <c r="G9" s="278"/>
      <c r="H9" s="278"/>
      <c r="I9" s="278"/>
      <c r="J9" s="278"/>
      <c r="K9" s="278"/>
      <c r="L9" s="279"/>
      <c r="M9" s="20"/>
      <c r="N9" s="20"/>
    </row>
    <row r="10" spans="1:20">
      <c r="A10" s="307" t="s">
        <v>44</v>
      </c>
      <c r="B10" s="308"/>
      <c r="C10" s="308"/>
      <c r="D10" s="308"/>
      <c r="E10" s="309"/>
      <c r="F10" s="41" t="s">
        <v>50</v>
      </c>
      <c r="G10" s="310" t="s">
        <v>51</v>
      </c>
      <c r="H10" s="311"/>
      <c r="I10" s="45" t="s">
        <v>52</v>
      </c>
      <c r="J10" s="196" t="s">
        <v>53</v>
      </c>
      <c r="K10" s="196"/>
      <c r="L10" s="46" t="s">
        <v>54</v>
      </c>
      <c r="M10" s="20"/>
      <c r="N10" s="20"/>
      <c r="T10" s="155"/>
    </row>
    <row r="11" spans="1:20" ht="27" customHeight="1">
      <c r="A11" s="272" t="str">
        <f>IF($M11&gt;0,LOOKUP($N11,內容!$B$12:$B$155,內容!$D$12:$D$155),"")</f>
        <v>壁癌處理，壁面清潔，刷水泥漆(1底2度)</v>
      </c>
      <c r="B11" s="273"/>
      <c r="C11" s="273"/>
      <c r="D11" s="273"/>
      <c r="E11" s="274"/>
      <c r="F11" s="169" t="str">
        <f>IF($M11&gt;0,LOOKUP($N11,內容!$B$12:$B$155,內容!$E$12:$E$155),"")</f>
        <v>M2</v>
      </c>
      <c r="G11" s="275">
        <f>IF($M11&gt;0,LOOKUP($N11,內容!$B$12:$B$155,內容!$F$12:$F$155),"")</f>
        <v>399</v>
      </c>
      <c r="H11" s="276"/>
      <c r="I11" s="170">
        <f>IF($M11&gt;0,LOOKUP($N11,內容!$B$12:$B$155,內容!$K$12:$K$155),"")</f>
        <v>50</v>
      </c>
      <c r="J11" s="312">
        <f ca="1">IF($M11&gt;0,LOOKUP($N11,內容!$B$12:$B$155,內容!$I$12:$I$155),"")</f>
        <v>50</v>
      </c>
      <c r="K11" s="312"/>
      <c r="L11" s="47"/>
      <c r="M11" s="37">
        <f>內容!K8</f>
        <v>1</v>
      </c>
      <c r="N11" s="37">
        <f>IF(M11&gt;0,LARGE(內容!$B$12:B$155,M11),"")</f>
        <v>22</v>
      </c>
    </row>
    <row r="12" spans="1:20" ht="27" customHeight="1">
      <c r="A12" s="272" t="str">
        <f>IF($M12&gt;0,LOOKUP($N12,內容!$B$12:$B$155,內容!$D$12:$D$155),"")</f>
        <v/>
      </c>
      <c r="B12" s="273"/>
      <c r="C12" s="273"/>
      <c r="D12" s="273"/>
      <c r="E12" s="274"/>
      <c r="F12" s="169" t="str">
        <f>IF($M12&gt;0,LOOKUP($N12,內容!$B$12:$B$155,內容!$E$12:$E$155),"")</f>
        <v/>
      </c>
      <c r="G12" s="275" t="str">
        <f>IF($M12&gt;0,LOOKUP($N12,內容!$B$12:$B$155,內容!$F$12:$F$155),"")</f>
        <v/>
      </c>
      <c r="H12" s="276"/>
      <c r="I12" s="170" t="str">
        <f>IF($M12&gt;0,LOOKUP($N12,內容!$B$12:$B$155,內容!$K$12:$K$155),"")</f>
        <v/>
      </c>
      <c r="J12" s="312" t="str">
        <f>IF($M12&gt;0,LOOKUP($N12,內容!$B$12:$B$155,內容!$I$12:$I$155),"")</f>
        <v/>
      </c>
      <c r="K12" s="312"/>
      <c r="L12" s="47"/>
      <c r="M12" s="37">
        <f t="shared" ref="M12:M22" si="0">M11-1</f>
        <v>0</v>
      </c>
      <c r="N12" s="37" t="str">
        <f>IF(M12&gt;0,LARGE(內容!$B$12:B$155,M12),"")</f>
        <v/>
      </c>
    </row>
    <row r="13" spans="1:20" ht="27" customHeight="1">
      <c r="A13" s="272" t="str">
        <f>IF($M13&gt;0,LOOKUP($N13,內容!$B$12:$B$155,內容!$D$12:$D$155),"")</f>
        <v/>
      </c>
      <c r="B13" s="273"/>
      <c r="C13" s="273"/>
      <c r="D13" s="273"/>
      <c r="E13" s="274"/>
      <c r="F13" s="169" t="str">
        <f>IF($M13&gt;0,LOOKUP($N13,內容!$B$12:$B$155,內容!$E$12:$E$155),"")</f>
        <v/>
      </c>
      <c r="G13" s="275" t="str">
        <f>IF($M13&gt;0,LOOKUP($N13,內容!$B$12:$B$155,內容!$F$12:$F$155),"")</f>
        <v/>
      </c>
      <c r="H13" s="276"/>
      <c r="I13" s="170" t="str">
        <f>IF($M13&gt;0,LOOKUP($N13,內容!$B$12:$B$155,內容!$K$12:$K$155),"")</f>
        <v/>
      </c>
      <c r="J13" s="312" t="str">
        <f>IF($M13&gt;0,LOOKUP($N13,內容!$B$12:$B$155,內容!$I$12:$I$155),"")</f>
        <v/>
      </c>
      <c r="K13" s="312"/>
      <c r="L13" s="47"/>
      <c r="M13" s="37">
        <f t="shared" si="0"/>
        <v>-1</v>
      </c>
      <c r="N13" s="37" t="str">
        <f>IF(M13&gt;0,LARGE(內容!$B$12:B$155,M13),"")</f>
        <v/>
      </c>
    </row>
    <row r="14" spans="1:20" ht="27" customHeight="1">
      <c r="A14" s="272" t="str">
        <f>IF($M14&gt;0,LOOKUP($N14,內容!$B$12:$B$155,內容!$D$12:$D$155),"")</f>
        <v/>
      </c>
      <c r="B14" s="273"/>
      <c r="C14" s="273"/>
      <c r="D14" s="273"/>
      <c r="E14" s="274"/>
      <c r="F14" s="169" t="str">
        <f>IF($M14&gt;0,LOOKUP($N14,內容!$B$12:$B$155,內容!$E$12:$E$155),"")</f>
        <v/>
      </c>
      <c r="G14" s="275" t="str">
        <f>IF($M14&gt;0,LOOKUP($N14,內容!$B$12:$B$155,內容!$F$12:$F$155),"")</f>
        <v/>
      </c>
      <c r="H14" s="276"/>
      <c r="I14" s="170" t="str">
        <f>IF($M14&gt;0,LOOKUP($N14,內容!$B$12:$B$155,內容!$K$12:$K$155),"")</f>
        <v/>
      </c>
      <c r="J14" s="312" t="str">
        <f>IF($M14&gt;0,LOOKUP($N14,內容!$B$12:$B$155,內容!$I$12:$I$155),"")</f>
        <v/>
      </c>
      <c r="K14" s="312"/>
      <c r="L14" s="47"/>
      <c r="M14" s="37">
        <f t="shared" si="0"/>
        <v>-2</v>
      </c>
      <c r="N14" s="37" t="str">
        <f>IF(M14&gt;0,LARGE(內容!$B$12:B$155,M14),"")</f>
        <v/>
      </c>
    </row>
    <row r="15" spans="1:20" ht="27" customHeight="1">
      <c r="A15" s="272" t="str">
        <f>IF($M15&gt;0,LOOKUP($N15,內容!$B$12:$B$155,內容!$D$12:$D$155),"")</f>
        <v/>
      </c>
      <c r="B15" s="273"/>
      <c r="C15" s="273"/>
      <c r="D15" s="273"/>
      <c r="E15" s="274"/>
      <c r="F15" s="169" t="str">
        <f>IF($M15&gt;0,LOOKUP($N15,內容!$B$12:$B$155,內容!$E$12:$E$155),"")</f>
        <v/>
      </c>
      <c r="G15" s="275" t="str">
        <f>IF($M15&gt;0,LOOKUP($N15,內容!$B$12:$B$155,內容!$F$12:$F$155),"")</f>
        <v/>
      </c>
      <c r="H15" s="276"/>
      <c r="I15" s="170" t="str">
        <f>IF($M15&gt;0,LOOKUP($N15,內容!$B$12:$B$155,內容!$K$12:$K$155),"")</f>
        <v/>
      </c>
      <c r="J15" s="312" t="str">
        <f>IF($M15&gt;0,LOOKUP($N15,內容!$B$12:$B$155,內容!$I$12:$I$155),"")</f>
        <v/>
      </c>
      <c r="K15" s="312"/>
      <c r="L15" s="47"/>
      <c r="M15" s="37">
        <f t="shared" si="0"/>
        <v>-3</v>
      </c>
      <c r="N15" s="37" t="str">
        <f>IF(M15&gt;0,LARGE(內容!$B$12:B$155,M15),"")</f>
        <v/>
      </c>
    </row>
    <row r="16" spans="1:20" ht="27" customHeight="1">
      <c r="A16" s="272" t="str">
        <f>IF($M16&gt;0,LOOKUP($N16,內容!$B$12:$B$155,內容!$D$12:$D$155),"")</f>
        <v/>
      </c>
      <c r="B16" s="273"/>
      <c r="C16" s="273"/>
      <c r="D16" s="273"/>
      <c r="E16" s="274"/>
      <c r="F16" s="169" t="str">
        <f>IF($M16&gt;0,LOOKUP($N16,內容!$B$12:$B$155,內容!$E$12:$E$155),"")</f>
        <v/>
      </c>
      <c r="G16" s="275" t="str">
        <f>IF($M16&gt;0,LOOKUP($N16,內容!$B$12:$B$155,內容!$F$12:$F$155),"")</f>
        <v/>
      </c>
      <c r="H16" s="276"/>
      <c r="I16" s="170" t="str">
        <f>IF($M16&gt;0,LOOKUP($N16,內容!$B$12:$B$155,內容!$K$12:$K$155),"")</f>
        <v/>
      </c>
      <c r="J16" s="312" t="str">
        <f>IF($M16&gt;0,LOOKUP($N16,內容!$B$12:$B$155,內容!$I$12:$I$155),"")</f>
        <v/>
      </c>
      <c r="K16" s="312"/>
      <c r="L16" s="47"/>
      <c r="M16" s="37">
        <f t="shared" si="0"/>
        <v>-4</v>
      </c>
      <c r="N16" s="37" t="str">
        <f>IF(M16&gt;0,LARGE(內容!$B$12:B$155,M16),"")</f>
        <v/>
      </c>
    </row>
    <row r="17" spans="1:14" ht="27" customHeight="1">
      <c r="A17" s="272" t="str">
        <f>IF($M17&gt;0,LOOKUP($N17,內容!$B$12:$B$155,內容!$D$12:$D$155),"")</f>
        <v/>
      </c>
      <c r="B17" s="273"/>
      <c r="C17" s="273"/>
      <c r="D17" s="273"/>
      <c r="E17" s="274"/>
      <c r="F17" s="169" t="str">
        <f>IF($M17&gt;0,LOOKUP($N17,內容!$B$12:$B$155,內容!$E$12:$E$155),"")</f>
        <v/>
      </c>
      <c r="G17" s="275" t="str">
        <f>IF($M17&gt;0,LOOKUP($N17,內容!$B$12:$B$155,內容!$F$12:$F$155),"")</f>
        <v/>
      </c>
      <c r="H17" s="276"/>
      <c r="I17" s="170" t="str">
        <f>IF($M17&gt;0,LOOKUP($N17,內容!$B$12:$B$155,內容!$K$12:$K$155),"")</f>
        <v/>
      </c>
      <c r="J17" s="312" t="str">
        <f>IF($M17&gt;0,LOOKUP($N17,內容!$B$12:$B$155,內容!$I$12:$I$155),"")</f>
        <v/>
      </c>
      <c r="K17" s="312"/>
      <c r="L17" s="47"/>
      <c r="M17" s="37">
        <f t="shared" si="0"/>
        <v>-5</v>
      </c>
      <c r="N17" s="37" t="str">
        <f>IF(M17&gt;0,LARGE(內容!$B$12:B$155,M17),"")</f>
        <v/>
      </c>
    </row>
    <row r="18" spans="1:14" ht="27" customHeight="1">
      <c r="A18" s="272" t="str">
        <f>IF($M18&gt;0,LOOKUP($N18,內容!$B$12:$B$155,內容!$D$12:$D$155),"")</f>
        <v/>
      </c>
      <c r="B18" s="273"/>
      <c r="C18" s="273"/>
      <c r="D18" s="273"/>
      <c r="E18" s="274"/>
      <c r="F18" s="169" t="str">
        <f>IF($M18&gt;0,LOOKUP($N18,內容!$B$12:$B$155,內容!$E$12:$E$155),"")</f>
        <v/>
      </c>
      <c r="G18" s="275" t="str">
        <f>IF($M18&gt;0,LOOKUP($N18,內容!$B$12:$B$155,內容!$F$12:$F$155),"")</f>
        <v/>
      </c>
      <c r="H18" s="276"/>
      <c r="I18" s="170" t="str">
        <f>IF($M18&gt;0,LOOKUP($N18,內容!$B$12:$B$155,內容!$K$12:$K$155),"")</f>
        <v/>
      </c>
      <c r="J18" s="312" t="str">
        <f>IF($M18&gt;0,LOOKUP($N18,內容!$B$12:$B$155,內容!$I$12:$I$155),"")</f>
        <v/>
      </c>
      <c r="K18" s="312"/>
      <c r="L18" s="47"/>
      <c r="M18" s="37">
        <f t="shared" si="0"/>
        <v>-6</v>
      </c>
      <c r="N18" s="37" t="str">
        <f>IF(M18&gt;0,LARGE(內容!$B$12:B$155,M18),"")</f>
        <v/>
      </c>
    </row>
    <row r="19" spans="1:14" ht="27" customHeight="1">
      <c r="A19" s="272" t="str">
        <f>IF($M19&gt;0,LOOKUP($N19,內容!$B$12:$B$155,內容!$D$12:$D$155),"")</f>
        <v/>
      </c>
      <c r="B19" s="273"/>
      <c r="C19" s="273"/>
      <c r="D19" s="273"/>
      <c r="E19" s="274"/>
      <c r="F19" s="169" t="str">
        <f>IF($M19&gt;0,LOOKUP($N19,內容!$B$12:$B$155,內容!$E$12:$E$155),"")</f>
        <v/>
      </c>
      <c r="G19" s="275" t="str">
        <f>IF($M19&gt;0,LOOKUP($N19,內容!$B$12:$B$155,內容!$F$12:$F$155),"")</f>
        <v/>
      </c>
      <c r="H19" s="276"/>
      <c r="I19" s="170" t="str">
        <f>IF($M19&gt;0,LOOKUP($N19,內容!$B$12:$B$155,內容!$K$12:$K$155),"")</f>
        <v/>
      </c>
      <c r="J19" s="312" t="str">
        <f>IF($M19&gt;0,LOOKUP($N19,內容!$B$12:$B$155,內容!$I$12:$I$155),"")</f>
        <v/>
      </c>
      <c r="K19" s="312"/>
      <c r="L19" s="47"/>
      <c r="M19" s="37">
        <f t="shared" si="0"/>
        <v>-7</v>
      </c>
      <c r="N19" s="37" t="str">
        <f>IF(M19&gt;0,LARGE(內容!$B$12:B$155,M19),"")</f>
        <v/>
      </c>
    </row>
    <row r="20" spans="1:14" ht="27" customHeight="1">
      <c r="A20" s="272" t="str">
        <f>IF($M20&gt;0,LOOKUP($N20,內容!$B$12:$B$155,內容!$D$12:$D$155),"")</f>
        <v/>
      </c>
      <c r="B20" s="273"/>
      <c r="C20" s="273"/>
      <c r="D20" s="273"/>
      <c r="E20" s="274"/>
      <c r="F20" s="169" t="str">
        <f>IF($M20&gt;0,LOOKUP($N20,內容!$B$12:$B$155,內容!$E$12:$E$155),"")</f>
        <v/>
      </c>
      <c r="G20" s="275" t="str">
        <f>IF($M20&gt;0,LOOKUP($N20,內容!$B$12:$B$155,內容!$F$12:$F$155),"")</f>
        <v/>
      </c>
      <c r="H20" s="276"/>
      <c r="I20" s="170" t="str">
        <f>IF($M20&gt;0,LOOKUP($N20,內容!$B$12:$B$155,內容!$K$12:$K$155),"")</f>
        <v/>
      </c>
      <c r="J20" s="312" t="str">
        <f>IF($M20&gt;0,LOOKUP($N20,內容!$B$12:$B$155,內容!$I$12:$I$155),"")</f>
        <v/>
      </c>
      <c r="K20" s="312"/>
      <c r="L20" s="47"/>
      <c r="M20" s="37">
        <f t="shared" si="0"/>
        <v>-8</v>
      </c>
      <c r="N20" s="37" t="str">
        <f>IF(M20&gt;0,LARGE(內容!$B$12:B$155,M20),"")</f>
        <v/>
      </c>
    </row>
    <row r="21" spans="1:14" ht="27" customHeight="1">
      <c r="A21" s="272" t="str">
        <f>IF($M21&gt;0,LOOKUP($N21,內容!$B$12:$B$155,內容!$D$12:$D$155),"")</f>
        <v/>
      </c>
      <c r="B21" s="273"/>
      <c r="C21" s="273"/>
      <c r="D21" s="273"/>
      <c r="E21" s="274"/>
      <c r="F21" s="169" t="str">
        <f>IF($M21&gt;0,LOOKUP($N21,內容!$B$12:$B$155,內容!$E$12:$E$155),"")</f>
        <v/>
      </c>
      <c r="G21" s="275" t="str">
        <f>IF($M21&gt;0,LOOKUP($N21,內容!$B$12:$B$155,內容!$F$12:$F$155),"")</f>
        <v/>
      </c>
      <c r="H21" s="276"/>
      <c r="I21" s="170" t="str">
        <f>IF($M21&gt;0,LOOKUP($N21,內容!$B$12:$B$155,內容!$K$12:$K$155),"")</f>
        <v/>
      </c>
      <c r="J21" s="312" t="str">
        <f>IF($M21&gt;0,LOOKUP($N21,內容!$B$12:$B$155,內容!$I$12:$I$155),"")</f>
        <v/>
      </c>
      <c r="K21" s="312"/>
      <c r="L21" s="47"/>
      <c r="M21" s="37">
        <f t="shared" si="0"/>
        <v>-9</v>
      </c>
      <c r="N21" s="37" t="str">
        <f>IF(M21&gt;0,LARGE(內容!$B$12:B$155,M21),"")</f>
        <v/>
      </c>
    </row>
    <row r="22" spans="1:14" ht="27" customHeight="1">
      <c r="A22" s="272" t="str">
        <f>IF($M22&gt;0,LOOKUP($N22,內容!$B$12:$B$155,內容!$D$12:$D$155),"")</f>
        <v/>
      </c>
      <c r="B22" s="273"/>
      <c r="C22" s="273"/>
      <c r="D22" s="273"/>
      <c r="E22" s="274"/>
      <c r="F22" s="169" t="str">
        <f>IF($M22&gt;0,LOOKUP($N22,內容!$B$12:$B$155,內容!$E$12:$E$155),"")</f>
        <v/>
      </c>
      <c r="G22" s="275" t="str">
        <f>IF($M22&gt;0,LOOKUP($N22,內容!$B$12:$B$155,內容!$F$12:$F$155),"")</f>
        <v/>
      </c>
      <c r="H22" s="276"/>
      <c r="I22" s="170" t="str">
        <f>IF($M22&gt;0,LOOKUP($N22,內容!$B$12:$B$155,內容!$K$12:$K$155),"")</f>
        <v/>
      </c>
      <c r="J22" s="312" t="str">
        <f>IF($M22&gt;0,LOOKUP($N22,內容!$B$12:$B$155,內容!$I$12:$I$155),"")</f>
        <v/>
      </c>
      <c r="K22" s="312"/>
      <c r="L22" s="47"/>
      <c r="M22" s="37">
        <f t="shared" si="0"/>
        <v>-10</v>
      </c>
      <c r="N22" s="37" t="str">
        <f>IF(M22&gt;0,LARGE(內容!$B$12:B$155,M22),"")</f>
        <v/>
      </c>
    </row>
    <row r="23" spans="1:14" ht="16.5" customHeight="1">
      <c r="A23" s="277" t="s">
        <v>130</v>
      </c>
      <c r="B23" s="278"/>
      <c r="C23" s="278"/>
      <c r="D23" s="278"/>
      <c r="E23" s="278"/>
      <c r="F23" s="278"/>
      <c r="G23" s="278"/>
      <c r="H23" s="278"/>
      <c r="I23" s="278"/>
      <c r="J23" s="278"/>
      <c r="K23" s="278"/>
      <c r="L23" s="279"/>
      <c r="M23" s="20"/>
      <c r="N23" s="20"/>
    </row>
    <row r="24" spans="1:14" ht="49.5" customHeight="1">
      <c r="A24" s="280" t="str">
        <f>內容!K212</f>
        <v/>
      </c>
      <c r="B24" s="281"/>
      <c r="C24" s="281"/>
      <c r="D24" s="281"/>
      <c r="E24" s="281"/>
      <c r="F24" s="281"/>
      <c r="G24" s="281"/>
      <c r="H24" s="281"/>
      <c r="I24" s="281"/>
      <c r="J24" s="281"/>
      <c r="K24" s="281"/>
      <c r="L24" s="282"/>
      <c r="M24" s="20"/>
      <c r="N24" s="20"/>
    </row>
    <row r="25" spans="1:14" ht="16.5" customHeight="1">
      <c r="A25" s="283" t="s">
        <v>45</v>
      </c>
      <c r="B25" s="284"/>
      <c r="C25" s="284"/>
      <c r="D25" s="284"/>
      <c r="E25" s="284"/>
      <c r="F25" s="284"/>
      <c r="G25" s="284"/>
      <c r="H25" s="284"/>
      <c r="I25" s="284"/>
      <c r="J25" s="284"/>
      <c r="K25" s="284"/>
      <c r="L25" s="285"/>
      <c r="M25" s="20"/>
      <c r="N25" s="20"/>
    </row>
    <row r="26" spans="1:14" ht="49.5" customHeight="1">
      <c r="A26" s="286" t="str">
        <f>內容!K213</f>
        <v/>
      </c>
      <c r="B26" s="287"/>
      <c r="C26" s="287"/>
      <c r="D26" s="287"/>
      <c r="E26" s="287"/>
      <c r="F26" s="287"/>
      <c r="G26" s="287"/>
      <c r="H26" s="287"/>
      <c r="I26" s="287"/>
      <c r="J26" s="287"/>
      <c r="K26" s="287"/>
      <c r="L26" s="288"/>
      <c r="M26" s="20"/>
      <c r="N26" s="20"/>
    </row>
    <row r="27" spans="1:14" ht="16.5" customHeight="1">
      <c r="A27" s="304" t="s">
        <v>128</v>
      </c>
      <c r="B27" s="305"/>
      <c r="C27" s="305"/>
      <c r="D27" s="305"/>
      <c r="E27" s="305"/>
      <c r="F27" s="305"/>
      <c r="G27" s="305"/>
      <c r="H27" s="305"/>
      <c r="I27" s="305"/>
      <c r="J27" s="305"/>
      <c r="K27" s="305"/>
      <c r="L27" s="306"/>
      <c r="M27" s="20"/>
      <c r="N27" s="20"/>
    </row>
    <row r="28" spans="1:14" ht="16.5" customHeight="1">
      <c r="A28" s="289" t="s">
        <v>129</v>
      </c>
      <c r="B28" s="290"/>
      <c r="C28" s="290"/>
      <c r="D28" s="290"/>
      <c r="E28" s="290"/>
      <c r="F28" s="290"/>
      <c r="G28" s="290"/>
      <c r="H28" s="290"/>
      <c r="I28" s="290"/>
      <c r="J28" s="290"/>
      <c r="K28" s="290"/>
      <c r="L28" s="291"/>
      <c r="M28" s="31"/>
      <c r="N28" s="31"/>
    </row>
    <row r="29" spans="1:14" ht="16.5" customHeight="1">
      <c r="A29" s="292" t="str">
        <f>"(二)其他工地安全衛生督導事項:"&amp;內容!K214</f>
        <v>(二)其他工地安全衛生督導事項:</v>
      </c>
      <c r="B29" s="293"/>
      <c r="C29" s="293"/>
      <c r="D29" s="293"/>
      <c r="E29" s="293"/>
      <c r="F29" s="293"/>
      <c r="G29" s="293"/>
      <c r="H29" s="293"/>
      <c r="I29" s="293"/>
      <c r="J29" s="293"/>
      <c r="K29" s="293"/>
      <c r="L29" s="294"/>
      <c r="M29" s="31"/>
      <c r="N29" s="31"/>
    </row>
    <row r="30" spans="1:14" ht="16.5" customHeight="1">
      <c r="A30" s="38" t="s">
        <v>46</v>
      </c>
      <c r="B30" s="39"/>
      <c r="C30" s="35"/>
      <c r="D30" s="35"/>
      <c r="E30" s="35"/>
      <c r="F30" s="35"/>
      <c r="G30" s="35"/>
      <c r="H30" s="35"/>
      <c r="I30" s="35"/>
      <c r="J30" s="35"/>
      <c r="K30" s="35"/>
      <c r="L30" s="36"/>
      <c r="M30" s="20"/>
      <c r="N30" s="20"/>
    </row>
    <row r="31" spans="1:14" ht="49.5" customHeight="1">
      <c r="A31" s="295" t="str">
        <f>內容!K215</f>
        <v/>
      </c>
      <c r="B31" s="296"/>
      <c r="C31" s="296"/>
      <c r="D31" s="296"/>
      <c r="E31" s="296"/>
      <c r="F31" s="296"/>
      <c r="G31" s="296"/>
      <c r="H31" s="296"/>
      <c r="I31" s="296"/>
      <c r="J31" s="296"/>
      <c r="K31" s="296"/>
      <c r="L31" s="297"/>
      <c r="M31" s="20"/>
      <c r="N31" s="20"/>
    </row>
    <row r="32" spans="1:14" ht="35.25" customHeight="1">
      <c r="A32" s="298" t="s">
        <v>47</v>
      </c>
      <c r="B32" s="299"/>
      <c r="C32" s="299"/>
      <c r="D32" s="299"/>
      <c r="E32" s="299"/>
      <c r="F32" s="299"/>
      <c r="G32" s="299"/>
      <c r="H32" s="299"/>
      <c r="I32" s="299"/>
      <c r="J32" s="299"/>
      <c r="K32" s="299"/>
      <c r="L32" s="300"/>
      <c r="M32" s="20"/>
      <c r="N32" s="20"/>
    </row>
    <row r="33" spans="1:14" ht="35.25" customHeight="1" thickBot="1">
      <c r="A33" s="301"/>
      <c r="B33" s="302"/>
      <c r="C33" s="302"/>
      <c r="D33" s="302"/>
      <c r="E33" s="302"/>
      <c r="F33" s="302"/>
      <c r="G33" s="302"/>
      <c r="H33" s="302"/>
      <c r="I33" s="302"/>
      <c r="J33" s="302"/>
      <c r="K33" s="302"/>
      <c r="L33" s="303"/>
      <c r="M33" s="20"/>
      <c r="N33" s="20"/>
    </row>
    <row r="34" spans="1:14" ht="49.5" customHeight="1">
      <c r="A34" s="268" t="s">
        <v>48</v>
      </c>
      <c r="B34" s="268"/>
      <c r="C34" s="269"/>
      <c r="D34" s="269"/>
      <c r="E34" s="269"/>
      <c r="F34" s="269"/>
      <c r="G34" s="269"/>
      <c r="H34" s="269"/>
      <c r="I34" s="269"/>
      <c r="J34" s="269"/>
      <c r="K34" s="269"/>
      <c r="L34" s="269"/>
      <c r="M34" s="20"/>
      <c r="N34" s="20"/>
    </row>
    <row r="35" spans="1:14" ht="35.25" customHeight="1">
      <c r="A35" s="270"/>
      <c r="B35" s="270"/>
      <c r="C35" s="270"/>
      <c r="D35" s="270"/>
      <c r="E35" s="270"/>
      <c r="F35" s="270"/>
      <c r="G35" s="270"/>
      <c r="H35" s="270"/>
      <c r="I35" s="270"/>
      <c r="J35" s="270"/>
      <c r="K35" s="270"/>
      <c r="L35" s="270"/>
      <c r="M35" s="20"/>
      <c r="N35" s="20"/>
    </row>
    <row r="36" spans="1:14" ht="35.25" customHeight="1">
      <c r="A36" s="270"/>
      <c r="B36" s="270"/>
      <c r="C36" s="270"/>
      <c r="D36" s="270"/>
      <c r="E36" s="270"/>
      <c r="F36" s="270"/>
      <c r="G36" s="270"/>
      <c r="H36" s="270"/>
      <c r="I36" s="270"/>
      <c r="J36" s="270"/>
      <c r="K36" s="270"/>
      <c r="L36" s="270"/>
      <c r="M36" s="20"/>
      <c r="N36" s="20"/>
    </row>
    <row r="37" spans="1:14">
      <c r="A37" s="270"/>
      <c r="B37" s="270"/>
      <c r="C37" s="270"/>
      <c r="D37" s="270"/>
      <c r="E37" s="270"/>
      <c r="F37" s="270"/>
      <c r="G37" s="270"/>
      <c r="H37" s="270"/>
      <c r="I37" s="270"/>
      <c r="J37" s="270"/>
      <c r="K37" s="270"/>
      <c r="L37" s="270"/>
      <c r="M37" s="20"/>
      <c r="N37" s="20"/>
    </row>
    <row r="38" spans="1:14">
      <c r="A38" s="271"/>
      <c r="B38" s="271"/>
      <c r="C38" s="271"/>
      <c r="D38" s="271"/>
      <c r="E38" s="271"/>
      <c r="F38" s="271"/>
      <c r="G38" s="271"/>
      <c r="H38" s="271"/>
      <c r="I38" s="271"/>
      <c r="J38" s="271"/>
      <c r="K38" s="271"/>
      <c r="L38" s="271"/>
      <c r="M38" s="20"/>
      <c r="N38" s="20"/>
    </row>
    <row r="39" spans="1:14">
      <c r="A39" s="271"/>
      <c r="B39" s="271"/>
      <c r="C39" s="271"/>
      <c r="D39" s="271"/>
      <c r="E39" s="271"/>
      <c r="F39" s="271"/>
      <c r="G39" s="271"/>
      <c r="H39" s="271"/>
      <c r="I39" s="271"/>
      <c r="J39" s="271"/>
      <c r="K39" s="271"/>
      <c r="L39" s="271"/>
      <c r="M39" s="20"/>
      <c r="N39" s="20"/>
    </row>
    <row r="40" spans="1:14">
      <c r="A40" s="271"/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0"/>
      <c r="N40" s="20"/>
    </row>
  </sheetData>
  <mergeCells count="66">
    <mergeCell ref="A21:E21"/>
    <mergeCell ref="G21:H21"/>
    <mergeCell ref="J21:K21"/>
    <mergeCell ref="A19:E19"/>
    <mergeCell ref="G19:H19"/>
    <mergeCell ref="J19:K19"/>
    <mergeCell ref="A20:E20"/>
    <mergeCell ref="G20:H20"/>
    <mergeCell ref="J20:K20"/>
    <mergeCell ref="J16:K16"/>
    <mergeCell ref="J22:K22"/>
    <mergeCell ref="A16:E16"/>
    <mergeCell ref="G16:H16"/>
    <mergeCell ref="J14:K14"/>
    <mergeCell ref="J15:K15"/>
    <mergeCell ref="A14:E14"/>
    <mergeCell ref="G14:H14"/>
    <mergeCell ref="A15:E15"/>
    <mergeCell ref="G15:H15"/>
    <mergeCell ref="A17:E17"/>
    <mergeCell ref="G17:H17"/>
    <mergeCell ref="J17:K17"/>
    <mergeCell ref="A18:E18"/>
    <mergeCell ref="G18:H18"/>
    <mergeCell ref="J18:K18"/>
    <mergeCell ref="A2:L2"/>
    <mergeCell ref="B3:D3"/>
    <mergeCell ref="H4:K4"/>
    <mergeCell ref="B5:L5"/>
    <mergeCell ref="E6:G6"/>
    <mergeCell ref="K6:L6"/>
    <mergeCell ref="B6:C6"/>
    <mergeCell ref="E4:F4"/>
    <mergeCell ref="E7:H7"/>
    <mergeCell ref="J7:J8"/>
    <mergeCell ref="K7:L7"/>
    <mergeCell ref="A7:C7"/>
    <mergeCell ref="B8:D8"/>
    <mergeCell ref="E8:G8"/>
    <mergeCell ref="H8:I8"/>
    <mergeCell ref="K8:L8"/>
    <mergeCell ref="A9:L9"/>
    <mergeCell ref="A10:E10"/>
    <mergeCell ref="G10:H10"/>
    <mergeCell ref="A13:E13"/>
    <mergeCell ref="G13:H13"/>
    <mergeCell ref="J12:K12"/>
    <mergeCell ref="J13:K13"/>
    <mergeCell ref="A12:E12"/>
    <mergeCell ref="G12:H12"/>
    <mergeCell ref="J10:K10"/>
    <mergeCell ref="J11:K11"/>
    <mergeCell ref="A11:E11"/>
    <mergeCell ref="G11:H11"/>
    <mergeCell ref="A34:L40"/>
    <mergeCell ref="A22:E22"/>
    <mergeCell ref="G22:H22"/>
    <mergeCell ref="A23:L23"/>
    <mergeCell ref="A24:L24"/>
    <mergeCell ref="A25:L25"/>
    <mergeCell ref="A26:L26"/>
    <mergeCell ref="A28:L28"/>
    <mergeCell ref="A29:L29"/>
    <mergeCell ref="A31:L31"/>
    <mergeCell ref="A32:L33"/>
    <mergeCell ref="A27:L27"/>
  </mergeCells>
  <phoneticPr fontId="2" type="noConversion"/>
  <pageMargins left="0.70866141732283472" right="0.70866141732283472" top="0.74803149606299213" bottom="0.74803149606299213" header="0.31496062992125984" footer="0.31496062992125984"/>
  <pageSetup paperSize="9" scale="9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DoDo1">
                <anchor moveWithCells="1" sizeWithCells="1">
                  <from>
                    <xdr:col>13</xdr:col>
                    <xdr:colOff>57150</xdr:colOff>
                    <xdr:row>3</xdr:row>
                    <xdr:rowOff>152400</xdr:rowOff>
                  </from>
                  <to>
                    <xdr:col>14</xdr:col>
                    <xdr:colOff>476250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Export_監造日報_WithOptions5">
                <anchor moveWithCells="1" sizeWithCells="1">
                  <from>
                    <xdr:col>13</xdr:col>
                    <xdr:colOff>57150</xdr:colOff>
                    <xdr:row>5</xdr:row>
                    <xdr:rowOff>238125</xdr:rowOff>
                  </from>
                  <to>
                    <xdr:col>14</xdr:col>
                    <xdr:colOff>476250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7B26-7BFB-4283-BF81-15032C8E3E8B}">
  <dimension ref="A1:CY8"/>
  <sheetViews>
    <sheetView zoomScaleNormal="100" workbookViewId="0">
      <selection activeCell="M11" sqref="M11"/>
    </sheetView>
  </sheetViews>
  <sheetFormatPr defaultRowHeight="15.75"/>
  <cols>
    <col min="1" max="1" width="15.140625" bestFit="1" customWidth="1"/>
  </cols>
  <sheetData>
    <row r="1" spans="1:103">
      <c r="A1" t="s">
        <v>142</v>
      </c>
      <c r="B1" s="173">
        <f>內容!L7</f>
        <v>46076</v>
      </c>
      <c r="C1" s="172">
        <f>B1+1</f>
        <v>46077</v>
      </c>
      <c r="D1" s="172">
        <f t="shared" ref="D1:BO1" si="0">C1+1</f>
        <v>46078</v>
      </c>
      <c r="E1" s="172">
        <f t="shared" si="0"/>
        <v>46079</v>
      </c>
      <c r="F1" s="172">
        <f t="shared" si="0"/>
        <v>46080</v>
      </c>
      <c r="G1" s="172">
        <f t="shared" si="0"/>
        <v>46081</v>
      </c>
      <c r="H1" s="172">
        <f t="shared" si="0"/>
        <v>46082</v>
      </c>
      <c r="I1" s="172">
        <f t="shared" si="0"/>
        <v>46083</v>
      </c>
      <c r="J1" s="172">
        <f t="shared" si="0"/>
        <v>46084</v>
      </c>
      <c r="K1" s="172">
        <f t="shared" si="0"/>
        <v>46085</v>
      </c>
      <c r="L1" s="172">
        <f t="shared" si="0"/>
        <v>46086</v>
      </c>
      <c r="M1" s="172">
        <f t="shared" si="0"/>
        <v>46087</v>
      </c>
      <c r="N1" s="172">
        <f t="shared" si="0"/>
        <v>46088</v>
      </c>
      <c r="O1" s="172">
        <f t="shared" si="0"/>
        <v>46089</v>
      </c>
      <c r="P1" s="172">
        <f t="shared" si="0"/>
        <v>46090</v>
      </c>
      <c r="Q1" s="172">
        <f t="shared" si="0"/>
        <v>46091</v>
      </c>
      <c r="R1" s="172">
        <f t="shared" si="0"/>
        <v>46092</v>
      </c>
      <c r="S1" s="172">
        <f t="shared" si="0"/>
        <v>46093</v>
      </c>
      <c r="T1" s="172">
        <f t="shared" si="0"/>
        <v>46094</v>
      </c>
      <c r="U1" s="172">
        <f t="shared" si="0"/>
        <v>46095</v>
      </c>
      <c r="V1" s="172">
        <f t="shared" si="0"/>
        <v>46096</v>
      </c>
      <c r="W1" s="172">
        <f t="shared" si="0"/>
        <v>46097</v>
      </c>
      <c r="X1" s="172">
        <f t="shared" si="0"/>
        <v>46098</v>
      </c>
      <c r="Y1" s="172">
        <f t="shared" si="0"/>
        <v>46099</v>
      </c>
      <c r="Z1" s="172">
        <f t="shared" si="0"/>
        <v>46100</v>
      </c>
      <c r="AA1" s="172">
        <f t="shared" si="0"/>
        <v>46101</v>
      </c>
      <c r="AB1" s="172">
        <f t="shared" si="0"/>
        <v>46102</v>
      </c>
      <c r="AC1" s="172">
        <f t="shared" si="0"/>
        <v>46103</v>
      </c>
      <c r="AD1" s="172">
        <f t="shared" si="0"/>
        <v>46104</v>
      </c>
      <c r="AE1" s="172">
        <f t="shared" si="0"/>
        <v>46105</v>
      </c>
      <c r="AF1" s="172">
        <f t="shared" si="0"/>
        <v>46106</v>
      </c>
      <c r="AG1" s="172">
        <f t="shared" si="0"/>
        <v>46107</v>
      </c>
      <c r="AH1" s="172">
        <f t="shared" si="0"/>
        <v>46108</v>
      </c>
      <c r="AI1" s="172">
        <f t="shared" si="0"/>
        <v>46109</v>
      </c>
      <c r="AJ1" s="172">
        <f t="shared" si="0"/>
        <v>46110</v>
      </c>
      <c r="AK1" s="172">
        <f t="shared" si="0"/>
        <v>46111</v>
      </c>
      <c r="AL1" s="172">
        <f t="shared" si="0"/>
        <v>46112</v>
      </c>
      <c r="AM1" s="172">
        <f t="shared" si="0"/>
        <v>46113</v>
      </c>
      <c r="AN1" s="172">
        <f t="shared" si="0"/>
        <v>46114</v>
      </c>
      <c r="AO1" s="172">
        <f t="shared" si="0"/>
        <v>46115</v>
      </c>
      <c r="AP1" s="172">
        <f t="shared" si="0"/>
        <v>46116</v>
      </c>
      <c r="AQ1" s="172">
        <f t="shared" si="0"/>
        <v>46117</v>
      </c>
      <c r="AR1" s="172">
        <f t="shared" si="0"/>
        <v>46118</v>
      </c>
      <c r="AS1" s="172">
        <f t="shared" si="0"/>
        <v>46119</v>
      </c>
      <c r="AT1" s="172">
        <f t="shared" si="0"/>
        <v>46120</v>
      </c>
      <c r="AU1" s="172">
        <f t="shared" si="0"/>
        <v>46121</v>
      </c>
      <c r="AV1" s="172">
        <f t="shared" si="0"/>
        <v>46122</v>
      </c>
      <c r="AW1" s="172">
        <f t="shared" si="0"/>
        <v>46123</v>
      </c>
      <c r="AX1" s="172">
        <f t="shared" si="0"/>
        <v>46124</v>
      </c>
      <c r="AY1" s="172">
        <f t="shared" si="0"/>
        <v>46125</v>
      </c>
      <c r="AZ1" s="172">
        <f t="shared" si="0"/>
        <v>46126</v>
      </c>
      <c r="BA1" s="172">
        <f t="shared" si="0"/>
        <v>46127</v>
      </c>
      <c r="BB1" s="172">
        <f t="shared" si="0"/>
        <v>46128</v>
      </c>
      <c r="BC1" s="172">
        <f t="shared" si="0"/>
        <v>46129</v>
      </c>
      <c r="BD1" s="172">
        <f t="shared" si="0"/>
        <v>46130</v>
      </c>
      <c r="BE1" s="172">
        <f t="shared" si="0"/>
        <v>46131</v>
      </c>
      <c r="BF1" s="172">
        <f t="shared" si="0"/>
        <v>46132</v>
      </c>
      <c r="BG1" s="172">
        <f t="shared" si="0"/>
        <v>46133</v>
      </c>
      <c r="BH1" s="172">
        <f t="shared" si="0"/>
        <v>46134</v>
      </c>
      <c r="BI1" s="172">
        <f t="shared" si="0"/>
        <v>46135</v>
      </c>
      <c r="BJ1" s="172">
        <f t="shared" si="0"/>
        <v>46136</v>
      </c>
      <c r="BK1" s="172">
        <f t="shared" si="0"/>
        <v>46137</v>
      </c>
      <c r="BL1" s="172">
        <f t="shared" si="0"/>
        <v>46138</v>
      </c>
      <c r="BM1" s="172">
        <f t="shared" si="0"/>
        <v>46139</v>
      </c>
      <c r="BN1" s="172">
        <f t="shared" si="0"/>
        <v>46140</v>
      </c>
      <c r="BO1" s="172">
        <f t="shared" si="0"/>
        <v>46141</v>
      </c>
      <c r="BP1" s="172">
        <f t="shared" ref="BP1:CY1" si="1">BO1+1</f>
        <v>46142</v>
      </c>
      <c r="BQ1" s="172">
        <f t="shared" si="1"/>
        <v>46143</v>
      </c>
      <c r="BR1" s="172">
        <f t="shared" si="1"/>
        <v>46144</v>
      </c>
      <c r="BS1" s="172">
        <f t="shared" si="1"/>
        <v>46145</v>
      </c>
      <c r="BT1" s="172">
        <f t="shared" si="1"/>
        <v>46146</v>
      </c>
      <c r="BU1" s="172">
        <f t="shared" si="1"/>
        <v>46147</v>
      </c>
      <c r="BV1" s="172">
        <f t="shared" si="1"/>
        <v>46148</v>
      </c>
      <c r="BW1" s="172">
        <f t="shared" si="1"/>
        <v>46149</v>
      </c>
      <c r="BX1" s="172">
        <f t="shared" si="1"/>
        <v>46150</v>
      </c>
      <c r="BY1" s="172">
        <f t="shared" si="1"/>
        <v>46151</v>
      </c>
      <c r="BZ1" s="172">
        <f t="shared" si="1"/>
        <v>46152</v>
      </c>
      <c r="CA1" s="172">
        <f t="shared" si="1"/>
        <v>46153</v>
      </c>
      <c r="CB1" s="172">
        <f t="shared" si="1"/>
        <v>46154</v>
      </c>
      <c r="CC1" s="172">
        <f t="shared" si="1"/>
        <v>46155</v>
      </c>
      <c r="CD1" s="172">
        <f t="shared" si="1"/>
        <v>46156</v>
      </c>
      <c r="CE1" s="172">
        <f t="shared" si="1"/>
        <v>46157</v>
      </c>
      <c r="CF1" s="172">
        <f t="shared" si="1"/>
        <v>46158</v>
      </c>
      <c r="CG1" s="172">
        <f t="shared" si="1"/>
        <v>46159</v>
      </c>
      <c r="CH1" s="172">
        <f t="shared" si="1"/>
        <v>46160</v>
      </c>
      <c r="CI1" s="172">
        <f t="shared" si="1"/>
        <v>46161</v>
      </c>
      <c r="CJ1" s="172">
        <f t="shared" si="1"/>
        <v>46162</v>
      </c>
      <c r="CK1" s="172">
        <f t="shared" si="1"/>
        <v>46163</v>
      </c>
      <c r="CL1" s="172">
        <f t="shared" si="1"/>
        <v>46164</v>
      </c>
      <c r="CM1" s="172">
        <f t="shared" si="1"/>
        <v>46165</v>
      </c>
      <c r="CN1" s="172">
        <f t="shared" si="1"/>
        <v>46166</v>
      </c>
      <c r="CO1" s="172">
        <f t="shared" si="1"/>
        <v>46167</v>
      </c>
      <c r="CP1" s="172">
        <f t="shared" si="1"/>
        <v>46168</v>
      </c>
      <c r="CQ1" s="172">
        <f t="shared" si="1"/>
        <v>46169</v>
      </c>
      <c r="CR1" s="172">
        <f t="shared" si="1"/>
        <v>46170</v>
      </c>
      <c r="CS1" s="172">
        <f t="shared" si="1"/>
        <v>46171</v>
      </c>
      <c r="CT1" s="172">
        <f t="shared" si="1"/>
        <v>46172</v>
      </c>
      <c r="CU1" s="172">
        <f t="shared" si="1"/>
        <v>46173</v>
      </c>
      <c r="CV1" s="172">
        <f t="shared" si="1"/>
        <v>46174</v>
      </c>
      <c r="CW1" s="172">
        <f t="shared" si="1"/>
        <v>46175</v>
      </c>
      <c r="CX1" s="172">
        <f t="shared" si="1"/>
        <v>46176</v>
      </c>
      <c r="CY1" s="172">
        <f t="shared" si="1"/>
        <v>46177</v>
      </c>
    </row>
    <row r="2" spans="1:103" ht="16.5">
      <c r="A2" t="s">
        <v>141</v>
      </c>
      <c r="B2" s="80">
        <f>內容!L5</f>
        <v>10.35</v>
      </c>
      <c r="C2" s="80">
        <f>內容!M5</f>
        <v>12.39</v>
      </c>
      <c r="D2" s="80">
        <f>內容!N5</f>
        <v>14.43</v>
      </c>
      <c r="E2" s="80">
        <f>內容!O5</f>
        <v>15.379999999999999</v>
      </c>
      <c r="F2" s="80">
        <f>內容!P5</f>
        <v>16.72</v>
      </c>
      <c r="G2" s="80">
        <f>內容!Q5</f>
        <v>16.72</v>
      </c>
      <c r="H2" s="80">
        <f>內容!R5</f>
        <v>16.72</v>
      </c>
      <c r="I2" s="80">
        <f>內容!S5</f>
        <v>24.57</v>
      </c>
      <c r="J2" s="80">
        <f>內容!T5</f>
        <v>24.57</v>
      </c>
      <c r="K2" s="80">
        <f>內容!U5</f>
        <v>24.57</v>
      </c>
      <c r="L2" s="80">
        <f>內容!V5</f>
        <v>24.57</v>
      </c>
      <c r="M2" s="80">
        <f>內容!W5</f>
        <v>24.57</v>
      </c>
      <c r="N2" s="80">
        <f>內容!X5</f>
        <v>24.57</v>
      </c>
      <c r="O2" s="80">
        <f>內容!Y5</f>
        <v>24.57</v>
      </c>
      <c r="P2" s="80">
        <f>內容!Z5</f>
        <v>24.72</v>
      </c>
      <c r="Q2" s="80">
        <f>內容!AA5</f>
        <v>24.72</v>
      </c>
      <c r="R2" s="80">
        <f>內容!AB5</f>
        <v>24.869999999999997</v>
      </c>
      <c r="S2" s="80">
        <f>內容!AC5</f>
        <v>25.229999999999997</v>
      </c>
      <c r="T2" s="80">
        <f>內容!AD5</f>
        <v>25.229999999999997</v>
      </c>
      <c r="U2" s="80">
        <f>內容!AE5</f>
        <v>25.589999999999996</v>
      </c>
      <c r="V2" s="80">
        <f>內容!AF5</f>
        <v>25.589999999999996</v>
      </c>
      <c r="W2" s="80">
        <f>內容!AG5</f>
        <v>25.949999999999996</v>
      </c>
      <c r="X2" s="80">
        <f>內容!AH5</f>
        <v>26.279999999999994</v>
      </c>
      <c r="Y2" s="80">
        <f>內容!AI5</f>
        <v>26.279999999999994</v>
      </c>
      <c r="Z2" s="80">
        <f>內容!AJ5</f>
        <v>28.219999999999995</v>
      </c>
      <c r="AA2" s="80">
        <f>內容!AK5</f>
        <v>31.619999999999994</v>
      </c>
      <c r="AB2" s="80">
        <f>內容!AL5</f>
        <v>35.019999999999996</v>
      </c>
      <c r="AC2" s="80">
        <f>內容!AM5</f>
        <v>35.019999999999996</v>
      </c>
      <c r="AD2" s="80">
        <f>內容!AN5</f>
        <v>37.349999999999994</v>
      </c>
      <c r="AE2" s="80">
        <f>內容!AO5</f>
        <v>38.639999999999993</v>
      </c>
      <c r="AF2" s="80">
        <f>內容!AP5</f>
        <v>43.55</v>
      </c>
      <c r="AG2" s="80">
        <f>內容!AQ5</f>
        <v>49.64</v>
      </c>
      <c r="AH2" s="80">
        <f>內容!AR5</f>
        <v>54.74</v>
      </c>
      <c r="AI2" s="80">
        <f>內容!AS5</f>
        <v>54.9</v>
      </c>
      <c r="AJ2" s="80">
        <f>內容!AT5</f>
        <v>54.9</v>
      </c>
      <c r="AK2" s="80">
        <f>內容!AU5</f>
        <v>55.44</v>
      </c>
      <c r="AL2" s="80">
        <f>內容!AV5</f>
        <v>55.44</v>
      </c>
      <c r="AM2" s="80">
        <f>內容!AW5</f>
        <v>55.44</v>
      </c>
      <c r="AN2" s="80">
        <f>內容!AX5</f>
        <v>55.44</v>
      </c>
      <c r="AO2" s="80">
        <f>內容!AY5</f>
        <v>55.44</v>
      </c>
      <c r="AP2" s="80">
        <f>內容!AZ5</f>
        <v>55.44</v>
      </c>
      <c r="AQ2" s="80">
        <f>內容!BA5</f>
        <v>55.44</v>
      </c>
      <c r="AR2" s="80">
        <f>內容!BB5</f>
        <v>55.44</v>
      </c>
      <c r="AS2" s="80">
        <f>內容!BC5</f>
        <v>55.44</v>
      </c>
      <c r="AT2" s="80">
        <f>內容!BD5</f>
        <v>55.44</v>
      </c>
      <c r="AU2" s="80">
        <f>內容!BE5</f>
        <v>55.44</v>
      </c>
      <c r="AV2" s="80">
        <f>內容!BF5</f>
        <v>55.44</v>
      </c>
      <c r="AW2" s="80">
        <f>內容!BG5</f>
        <v>55.44</v>
      </c>
      <c r="AX2" s="80">
        <f>內容!BH5</f>
        <v>55.44</v>
      </c>
      <c r="AY2" s="80">
        <f>內容!BI5</f>
        <v>55.44</v>
      </c>
      <c r="AZ2" s="80">
        <f>內容!BJ5</f>
        <v>55.44</v>
      </c>
      <c r="BA2" s="80">
        <f>內容!BK5</f>
        <v>55.44</v>
      </c>
      <c r="BB2" s="80">
        <f>內容!BL5</f>
        <v>55.44</v>
      </c>
      <c r="BC2" s="80">
        <f>內容!BM5</f>
        <v>55.44</v>
      </c>
      <c r="BD2" s="80">
        <f>內容!BN5</f>
        <v>55.44</v>
      </c>
      <c r="BE2" s="80">
        <f>內容!BO5</f>
        <v>55.44</v>
      </c>
      <c r="BF2" s="80">
        <f>內容!BP5</f>
        <v>55.44</v>
      </c>
      <c r="BG2" s="80">
        <f>內容!BQ5</f>
        <v>55.44</v>
      </c>
      <c r="BH2" s="80">
        <f>內容!BR5</f>
        <v>55.44</v>
      </c>
      <c r="BI2" s="80">
        <f>內容!BS5</f>
        <v>55.44</v>
      </c>
      <c r="BJ2" s="80">
        <f>內容!BT5</f>
        <v>55.44</v>
      </c>
      <c r="BK2" s="80">
        <f>內容!BU5</f>
        <v>55.44</v>
      </c>
      <c r="BL2" s="80">
        <f>內容!BV5</f>
        <v>55.44</v>
      </c>
      <c r="BM2" s="80">
        <f>內容!BW5</f>
        <v>55.44</v>
      </c>
      <c r="BN2" s="80">
        <f>內容!BX5</f>
        <v>55.44</v>
      </c>
      <c r="BO2" s="80">
        <f>內容!BY5</f>
        <v>55.44</v>
      </c>
      <c r="BP2" s="80">
        <f>內容!BZ5</f>
        <v>55.44</v>
      </c>
      <c r="BQ2" s="80">
        <f>內容!CA5</f>
        <v>55.44</v>
      </c>
      <c r="BR2" s="80">
        <f>內容!CB5</f>
        <v>55.44</v>
      </c>
      <c r="BS2" s="80">
        <f>內容!CC5</f>
        <v>55.44</v>
      </c>
      <c r="BT2" s="80">
        <f>內容!CD5</f>
        <v>55.44</v>
      </c>
      <c r="BU2" s="80">
        <f>內容!CE5</f>
        <v>55.44</v>
      </c>
      <c r="BV2" s="80">
        <f>內容!CF5</f>
        <v>55.44</v>
      </c>
      <c r="BW2" s="80">
        <f>內容!CG5</f>
        <v>55.44</v>
      </c>
      <c r="BX2" s="80">
        <f>內容!CH5</f>
        <v>55.44</v>
      </c>
      <c r="BY2" s="80">
        <f>內容!CI5</f>
        <v>55.44</v>
      </c>
      <c r="BZ2" s="80">
        <f>內容!CJ5</f>
        <v>55.44</v>
      </c>
      <c r="CA2" s="80">
        <f>內容!CK5</f>
        <v>55.44</v>
      </c>
      <c r="CB2" s="80">
        <f>內容!CL5</f>
        <v>55.44</v>
      </c>
      <c r="CC2" s="80">
        <f>內容!CM5</f>
        <v>55.44</v>
      </c>
      <c r="CD2" s="80">
        <f>內容!CN5</f>
        <v>55.44</v>
      </c>
      <c r="CE2" s="80">
        <f>內容!CO5</f>
        <v>55.44</v>
      </c>
      <c r="CF2" s="80">
        <f>內容!CP5</f>
        <v>55.44</v>
      </c>
      <c r="CG2" s="80">
        <f>內容!CQ5</f>
        <v>55.44</v>
      </c>
      <c r="CH2" s="80">
        <f>內容!CR5</f>
        <v>55.44</v>
      </c>
      <c r="CI2" s="80">
        <f>內容!CS5</f>
        <v>55.44</v>
      </c>
      <c r="CJ2" s="80">
        <f>內容!CT5</f>
        <v>55.44</v>
      </c>
      <c r="CK2" s="80">
        <f>內容!CU5</f>
        <v>55.44</v>
      </c>
      <c r="CL2" s="80">
        <f>內容!CV5</f>
        <v>55.44</v>
      </c>
      <c r="CM2" s="80">
        <f>內容!CW5</f>
        <v>55.44</v>
      </c>
      <c r="CN2" s="80">
        <f>內容!CX5</f>
        <v>55.44</v>
      </c>
      <c r="CO2" s="80">
        <f>內容!CY5</f>
        <v>55.44</v>
      </c>
      <c r="CP2" s="80">
        <f>內容!CZ5</f>
        <v>55.44</v>
      </c>
      <c r="CQ2" s="80">
        <f>內容!DA5</f>
        <v>55.44</v>
      </c>
      <c r="CR2" s="80">
        <f>內容!DB5</f>
        <v>55.44</v>
      </c>
      <c r="CS2" s="80">
        <f>內容!DC5</f>
        <v>55.44</v>
      </c>
      <c r="CT2" s="80">
        <f>內容!DD5</f>
        <v>55.44</v>
      </c>
      <c r="CU2" s="80">
        <f>內容!DE5</f>
        <v>55.44</v>
      </c>
      <c r="CV2" s="80">
        <f>內容!DF5</f>
        <v>55.44</v>
      </c>
      <c r="CW2" s="80">
        <f>內容!DG5</f>
        <v>55.44</v>
      </c>
      <c r="CX2" s="80">
        <f>內容!DH5</f>
        <v>55.44</v>
      </c>
      <c r="CY2" s="80">
        <f>內容!DI5</f>
        <v>55.44</v>
      </c>
    </row>
    <row r="3" spans="1:103" ht="16.5">
      <c r="A3" s="171" t="s">
        <v>140</v>
      </c>
      <c r="B3" s="81">
        <f>內容!L6</f>
        <v>0.13999999999999999</v>
      </c>
      <c r="C3" s="81">
        <f>內容!M6</f>
        <v>0.27999999999999997</v>
      </c>
      <c r="D3" s="81">
        <f>內容!N6</f>
        <v>0.41999999999999993</v>
      </c>
      <c r="E3" s="81">
        <f>內容!O6</f>
        <v>0.55999999999999994</v>
      </c>
      <c r="F3" s="81">
        <f>內容!P6</f>
        <v>0.7</v>
      </c>
      <c r="G3" s="81">
        <f>內容!Q6</f>
        <v>0.84</v>
      </c>
      <c r="H3" s="81">
        <f>內容!R6</f>
        <v>0.98</v>
      </c>
      <c r="I3" s="81">
        <f>內容!S6</f>
        <v>1.1199999999999999</v>
      </c>
      <c r="J3" s="81">
        <f>內容!T6</f>
        <v>1.1199999999999999</v>
      </c>
      <c r="K3" s="81">
        <f>內容!U6</f>
        <v>1.2599999999999998</v>
      </c>
      <c r="L3" s="81">
        <f>內容!V6</f>
        <v>1.2599999999999998</v>
      </c>
      <c r="M3" s="81">
        <f>內容!W6</f>
        <v>1.3999999999999997</v>
      </c>
      <c r="N3" s="81">
        <f>內容!X6</f>
        <v>1.5399999999999996</v>
      </c>
      <c r="O3" s="81">
        <f>內容!Y6</f>
        <v>1.6799999999999995</v>
      </c>
      <c r="P3" s="81">
        <f>內容!Z6</f>
        <v>1.8199999999999994</v>
      </c>
      <c r="Q3" s="81">
        <f>內容!AA6</f>
        <v>1.9599999999999993</v>
      </c>
      <c r="R3" s="81">
        <f>內容!AB6</f>
        <v>2.0999999999999992</v>
      </c>
      <c r="S3" s="81">
        <f>內容!AC6</f>
        <v>4.0999999999999996</v>
      </c>
      <c r="T3" s="81">
        <f>內容!AD6</f>
        <v>6.1</v>
      </c>
      <c r="U3" s="81">
        <f>內容!AE6</f>
        <v>8.1</v>
      </c>
      <c r="V3" s="81">
        <f>內容!AF6</f>
        <v>10.1</v>
      </c>
      <c r="W3" s="81">
        <f>內容!AG6</f>
        <v>12.1</v>
      </c>
      <c r="X3" s="81">
        <f>內容!AH6</f>
        <v>14.1</v>
      </c>
      <c r="Y3" s="81">
        <f>內容!AI6</f>
        <v>16.100000000000001</v>
      </c>
      <c r="Z3" s="81">
        <f>內容!AJ6</f>
        <v>18.100000000000001</v>
      </c>
      <c r="AA3" s="81">
        <f>內容!AK6</f>
        <v>20.100000000000001</v>
      </c>
      <c r="AB3" s="81">
        <f>內容!AL6</f>
        <v>22.1</v>
      </c>
      <c r="AC3" s="81">
        <f>內容!AM6</f>
        <v>23.386000000000003</v>
      </c>
      <c r="AD3" s="81">
        <f>內容!AN6</f>
        <v>24.672000000000004</v>
      </c>
      <c r="AE3" s="81">
        <f>內容!AO6</f>
        <v>25.958000000000006</v>
      </c>
      <c r="AF3" s="81">
        <f>內容!AP6</f>
        <v>27.244000000000007</v>
      </c>
      <c r="AG3" s="81">
        <f>內容!AQ6</f>
        <v>28.530000000000008</v>
      </c>
      <c r="AH3" s="81">
        <f>內容!AR6</f>
        <v>29.81600000000001</v>
      </c>
      <c r="AI3" s="81">
        <f>內容!AS6</f>
        <v>31.102000000000011</v>
      </c>
      <c r="AJ3" s="81">
        <f>內容!AT6</f>
        <v>32.388000000000012</v>
      </c>
      <c r="AK3" s="81">
        <f>內容!AU6</f>
        <v>33.674000000000014</v>
      </c>
      <c r="AL3" s="81">
        <f>內容!AV6</f>
        <v>34.960000000000015</v>
      </c>
      <c r="AM3" s="81">
        <f>內容!AW6</f>
        <v>36.246000000000016</v>
      </c>
      <c r="AN3" s="81">
        <f>內容!AX6</f>
        <v>37.532000000000018</v>
      </c>
      <c r="AO3" s="81">
        <f>內容!AY6</f>
        <v>38.818000000000019</v>
      </c>
      <c r="AP3" s="81">
        <f>內容!AZ6</f>
        <v>40.104000000000021</v>
      </c>
      <c r="AQ3" s="81">
        <f>內容!BA6</f>
        <v>41.390000000000022</v>
      </c>
      <c r="AR3" s="81">
        <f>內容!BB6</f>
        <v>42.110000000000021</v>
      </c>
      <c r="AS3" s="81">
        <f>內容!BC6</f>
        <v>42.83000000000002</v>
      </c>
      <c r="AT3" s="81">
        <f>內容!BD6</f>
        <v>43.550000000000018</v>
      </c>
      <c r="AU3" s="81">
        <f>內容!BE6</f>
        <v>44.270000000000017</v>
      </c>
      <c r="AV3" s="81">
        <f>內容!BF6</f>
        <v>44.990000000000016</v>
      </c>
      <c r="AW3" s="81">
        <f>內容!BG6</f>
        <v>45.710000000000015</v>
      </c>
      <c r="AX3" s="81">
        <f>內容!BH6</f>
        <v>46.430000000000014</v>
      </c>
      <c r="AY3" s="81">
        <f>內容!BI6</f>
        <v>47.150000000000013</v>
      </c>
      <c r="AZ3" s="81">
        <f>內容!BJ6</f>
        <v>47.870000000000012</v>
      </c>
      <c r="BA3" s="81">
        <f>內容!BK6</f>
        <v>48.590000000000011</v>
      </c>
      <c r="BB3" s="81">
        <f>內容!BL6</f>
        <v>49.474000000000011</v>
      </c>
      <c r="BC3" s="81">
        <f>內容!BM6</f>
        <v>50.358000000000011</v>
      </c>
      <c r="BD3" s="81">
        <f>內容!BN6</f>
        <v>51.242000000000012</v>
      </c>
      <c r="BE3" s="81">
        <f>內容!BO6</f>
        <v>52.126000000000012</v>
      </c>
      <c r="BF3" s="81">
        <f>內容!BP6</f>
        <v>53.010000000000012</v>
      </c>
      <c r="BG3" s="81">
        <f>內容!BQ6</f>
        <v>53.894000000000013</v>
      </c>
      <c r="BH3" s="81">
        <f>內容!BR6</f>
        <v>54.778000000000013</v>
      </c>
      <c r="BI3" s="81">
        <f>內容!BS6</f>
        <v>55.662000000000013</v>
      </c>
      <c r="BJ3" s="81">
        <f>內容!BT6</f>
        <v>56.546000000000014</v>
      </c>
      <c r="BK3" s="81">
        <f>內容!BU6</f>
        <v>57.430000000000014</v>
      </c>
      <c r="BL3" s="81">
        <f>內容!BV6</f>
        <v>58.724000000000011</v>
      </c>
      <c r="BM3" s="81">
        <f>內容!BW6</f>
        <v>60.018000000000008</v>
      </c>
      <c r="BN3" s="81">
        <f>內容!BX6</f>
        <v>61.312000000000005</v>
      </c>
      <c r="BO3" s="81">
        <f>內容!BY6</f>
        <v>62.606000000000002</v>
      </c>
      <c r="BP3" s="81">
        <f>內容!BZ6</f>
        <v>63.9</v>
      </c>
      <c r="BQ3" s="81">
        <f>內容!CA6</f>
        <v>64.783999999999992</v>
      </c>
      <c r="BR3" s="81">
        <f>內容!CB6</f>
        <v>65.667999999999992</v>
      </c>
      <c r="BS3" s="81">
        <f>內容!CC6</f>
        <v>66.551999999999992</v>
      </c>
      <c r="BT3" s="81">
        <f>內容!CD6</f>
        <v>67.435999999999993</v>
      </c>
      <c r="BU3" s="81">
        <f>內容!CE6</f>
        <v>68.319999999999993</v>
      </c>
      <c r="BV3" s="81">
        <f>內容!CF6</f>
        <v>69.203999999999994</v>
      </c>
      <c r="BW3" s="81">
        <f>內容!CG6</f>
        <v>70.087999999999994</v>
      </c>
      <c r="BX3" s="81">
        <f>內容!CH6</f>
        <v>70.971999999999994</v>
      </c>
      <c r="BY3" s="81">
        <f>內容!CI6</f>
        <v>71.855999999999995</v>
      </c>
      <c r="BZ3" s="81">
        <f>內容!CJ6</f>
        <v>72.739999999999995</v>
      </c>
      <c r="CA3" s="81">
        <f>內容!CK6</f>
        <v>74.24799999999999</v>
      </c>
      <c r="CB3" s="81">
        <f>內容!CL6</f>
        <v>75.755999999999986</v>
      </c>
      <c r="CC3" s="81">
        <f>內容!CM6</f>
        <v>77.263999999999982</v>
      </c>
      <c r="CD3" s="81">
        <f>內容!CN6</f>
        <v>78.771999999999977</v>
      </c>
      <c r="CE3" s="81">
        <f>內容!CO6</f>
        <v>80.279999999999973</v>
      </c>
      <c r="CF3" s="81">
        <f>內容!CP6</f>
        <v>81.787999999999968</v>
      </c>
      <c r="CG3" s="81">
        <f>內容!CQ6</f>
        <v>83.295999999999964</v>
      </c>
      <c r="CH3" s="81">
        <f>內容!CR6</f>
        <v>84.803999999999959</v>
      </c>
      <c r="CI3" s="81">
        <f>內容!CS6</f>
        <v>86.311999999999955</v>
      </c>
      <c r="CJ3" s="81">
        <f>內容!CT6</f>
        <v>87.819999999999951</v>
      </c>
      <c r="CK3" s="81">
        <f>內容!CU6</f>
        <v>88.915999999999954</v>
      </c>
      <c r="CL3" s="81">
        <f>內容!CV6</f>
        <v>90.011999999999958</v>
      </c>
      <c r="CM3" s="81">
        <f>內容!CW6</f>
        <v>91.107999999999961</v>
      </c>
      <c r="CN3" s="81">
        <f>內容!CX6</f>
        <v>92.203999999999965</v>
      </c>
      <c r="CO3" s="81">
        <f>內容!CY6</f>
        <v>93.299999999999969</v>
      </c>
      <c r="CP3" s="81">
        <f>內容!CZ6</f>
        <v>93.96999999999997</v>
      </c>
      <c r="CQ3" s="81">
        <f>內容!DA6</f>
        <v>94.639999999999972</v>
      </c>
      <c r="CR3" s="81">
        <f>內容!DB6</f>
        <v>95.309999999999974</v>
      </c>
      <c r="CS3" s="81">
        <f>內容!DC6</f>
        <v>95.979999999999976</v>
      </c>
      <c r="CT3" s="81">
        <f>內容!DD6</f>
        <v>96.649999999999977</v>
      </c>
      <c r="CU3" s="81">
        <f>內容!DE6</f>
        <v>97.319999999999979</v>
      </c>
      <c r="CV3" s="81">
        <f>內容!DF6</f>
        <v>97.989999999999981</v>
      </c>
      <c r="CW3" s="81">
        <f>內容!DG6</f>
        <v>98.659999999999982</v>
      </c>
      <c r="CX3" s="81">
        <f>內容!DH6</f>
        <v>99.329999999999984</v>
      </c>
      <c r="CY3" s="81">
        <f>內容!DI6</f>
        <v>99.999999999999986</v>
      </c>
    </row>
    <row r="4" spans="1:103">
      <c r="A4" t="s">
        <v>207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</row>
    <row r="8" spans="1:103">
      <c r="AS8" s="174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封面</vt:lpstr>
      <vt:lpstr>內容</vt:lpstr>
      <vt:lpstr>公共工程施工日誌</vt:lpstr>
      <vt:lpstr>監造日報(有才印)</vt:lpstr>
      <vt:lpstr>進度曲線(查核可用)</vt:lpstr>
      <vt:lpstr>公共工程施工日誌!Print_Area</vt:lpstr>
      <vt:lpstr>'監造日報(有才印)'!Print_Area</vt:lpstr>
      <vt:lpstr>日期</vt:lpstr>
      <vt:lpstr>本日完成</vt:lpstr>
      <vt:lpstr>累計工期</vt:lpstr>
      <vt:lpstr>累計完成</vt:lpstr>
      <vt:lpstr>剩餘工期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USER02</dc:creator>
  <cp:lastModifiedBy>KM LU</cp:lastModifiedBy>
  <cp:lastPrinted>2026-03-30T06:28:40Z</cp:lastPrinted>
  <dcterms:created xsi:type="dcterms:W3CDTF">2015-06-05T18:19:34Z</dcterms:created>
  <dcterms:modified xsi:type="dcterms:W3CDTF">2026-03-30T10:42:42Z</dcterms:modified>
</cp:coreProperties>
</file>