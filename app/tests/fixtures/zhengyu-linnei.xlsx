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2026標\雲林縣立林內國民中學_林內國中多功能教室裝修工程_01_00\"/>
    </mc:Choice>
  </mc:AlternateContent>
  <xr:revisionPtr revIDLastSave="0" documentId="13_ncr:1_{A628872B-CAC4-410C-BB46-32E081B0F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月 " sheetId="6" r:id="rId1"/>
  </sheets>
  <definedNames>
    <definedName name="_xlnm.Print_Area" localSheetId="0">'1月 '!$A$1:$J$438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3" i="6" l="1"/>
  <c r="C300" i="6"/>
  <c r="C227" i="6"/>
  <c r="C154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34" i="6"/>
  <c r="H34" i="6"/>
  <c r="N34" i="6" s="1"/>
  <c r="H107" i="6" l="1"/>
  <c r="L34" i="6"/>
  <c r="H180" i="6" l="1"/>
  <c r="N107" i="6"/>
  <c r="L107" i="6"/>
  <c r="N180" i="6" l="1"/>
  <c r="L180" i="6"/>
  <c r="H253" i="6"/>
  <c r="N253" i="6" l="1"/>
  <c r="H326" i="6"/>
  <c r="L253" i="6"/>
  <c r="L326" i="6" l="1"/>
  <c r="H399" i="6"/>
  <c r="N326" i="6"/>
  <c r="C81" i="6"/>
  <c r="C8" i="6"/>
  <c r="G6" i="6"/>
  <c r="N399" i="6" l="1"/>
  <c r="L399" i="6"/>
  <c r="M35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H20" i="6"/>
  <c r="H19" i="6"/>
  <c r="H18" i="6"/>
  <c r="H17" i="6"/>
  <c r="H16" i="6"/>
  <c r="H15" i="6"/>
  <c r="L15" i="6" l="1"/>
  <c r="H88" i="6"/>
  <c r="L16" i="6"/>
  <c r="H89" i="6"/>
  <c r="L18" i="6"/>
  <c r="H91" i="6"/>
  <c r="L19" i="6"/>
  <c r="H92" i="6"/>
  <c r="L17" i="6"/>
  <c r="H90" i="6"/>
  <c r="L20" i="6"/>
  <c r="H93" i="6"/>
  <c r="N18" i="6"/>
  <c r="N19" i="6"/>
  <c r="N16" i="6"/>
  <c r="N20" i="6"/>
  <c r="N15" i="6"/>
  <c r="N17" i="6"/>
  <c r="H35" i="6"/>
  <c r="H108" i="6" s="1"/>
  <c r="H33" i="6"/>
  <c r="H106" i="6" s="1"/>
  <c r="H32" i="6"/>
  <c r="H105" i="6" s="1"/>
  <c r="H31" i="6"/>
  <c r="H104" i="6" s="1"/>
  <c r="H30" i="6"/>
  <c r="H103" i="6" s="1"/>
  <c r="H29" i="6"/>
  <c r="H102" i="6" s="1"/>
  <c r="H28" i="6"/>
  <c r="H101" i="6" s="1"/>
  <c r="H27" i="6"/>
  <c r="H100" i="6" s="1"/>
  <c r="H26" i="6"/>
  <c r="H99" i="6" s="1"/>
  <c r="H25" i="6"/>
  <c r="H98" i="6" s="1"/>
  <c r="H24" i="6"/>
  <c r="H97" i="6" s="1"/>
  <c r="H23" i="6"/>
  <c r="H96" i="6" s="1"/>
  <c r="H22" i="6"/>
  <c r="H95" i="6" s="1"/>
  <c r="H21" i="6"/>
  <c r="H94" i="6" s="1"/>
  <c r="H14" i="6"/>
  <c r="H87" i="6" s="1"/>
  <c r="H13" i="6"/>
  <c r="H86" i="6" s="1"/>
  <c r="H12" i="6"/>
  <c r="H85" i="6" s="1"/>
  <c r="H171" i="6" l="1"/>
  <c r="L98" i="6"/>
  <c r="N98" i="6"/>
  <c r="N106" i="6"/>
  <c r="H179" i="6"/>
  <c r="L106" i="6"/>
  <c r="N92" i="6"/>
  <c r="H165" i="6"/>
  <c r="L92" i="6"/>
  <c r="H181" i="6"/>
  <c r="L108" i="6"/>
  <c r="N108" i="6"/>
  <c r="N100" i="6"/>
  <c r="H173" i="6"/>
  <c r="L100" i="6"/>
  <c r="N91" i="6"/>
  <c r="H164" i="6"/>
  <c r="L91" i="6"/>
  <c r="N99" i="6"/>
  <c r="H172" i="6"/>
  <c r="L99" i="6"/>
  <c r="N94" i="6"/>
  <c r="H167" i="6"/>
  <c r="L94" i="6"/>
  <c r="N95" i="6"/>
  <c r="H168" i="6"/>
  <c r="L95" i="6"/>
  <c r="L85" i="6"/>
  <c r="H158" i="6"/>
  <c r="N85" i="6"/>
  <c r="N87" i="6"/>
  <c r="H160" i="6"/>
  <c r="L87" i="6"/>
  <c r="H162" i="6"/>
  <c r="N89" i="6"/>
  <c r="L89" i="6"/>
  <c r="N103" i="6"/>
  <c r="H176" i="6"/>
  <c r="L103" i="6"/>
  <c r="H169" i="6"/>
  <c r="N96" i="6"/>
  <c r="L96" i="6"/>
  <c r="H177" i="6"/>
  <c r="L104" i="6"/>
  <c r="N104" i="6"/>
  <c r="H163" i="6"/>
  <c r="N90" i="6"/>
  <c r="L90" i="6"/>
  <c r="H161" i="6"/>
  <c r="L88" i="6"/>
  <c r="N88" i="6"/>
  <c r="H166" i="6"/>
  <c r="N93" i="6"/>
  <c r="L93" i="6"/>
  <c r="H170" i="6"/>
  <c r="N97" i="6"/>
  <c r="L97" i="6"/>
  <c r="N105" i="6"/>
  <c r="H178" i="6"/>
  <c r="L105" i="6"/>
  <c r="H174" i="6"/>
  <c r="N101" i="6"/>
  <c r="L101" i="6"/>
  <c r="N102" i="6"/>
  <c r="H175" i="6"/>
  <c r="L102" i="6"/>
  <c r="N86" i="6"/>
  <c r="H159" i="6"/>
  <c r="L86" i="6"/>
  <c r="N12" i="6"/>
  <c r="N13" i="6"/>
  <c r="N14" i="6"/>
  <c r="N31" i="6"/>
  <c r="N32" i="6"/>
  <c r="N33" i="6"/>
  <c r="N35" i="6"/>
  <c r="N29" i="6"/>
  <c r="N30" i="6"/>
  <c r="N26" i="6"/>
  <c r="N27" i="6"/>
  <c r="N24" i="6"/>
  <c r="N28" i="6"/>
  <c r="N21" i="6"/>
  <c r="N22" i="6"/>
  <c r="N23" i="6"/>
  <c r="N25" i="6"/>
  <c r="L24" i="6"/>
  <c r="L25" i="6"/>
  <c r="L14" i="6"/>
  <c r="L28" i="6"/>
  <c r="L29" i="6"/>
  <c r="L35" i="6"/>
  <c r="L21" i="6"/>
  <c r="L30" i="6"/>
  <c r="L22" i="6"/>
  <c r="L23" i="6"/>
  <c r="L12" i="6"/>
  <c r="L26" i="6"/>
  <c r="L32" i="6"/>
  <c r="L13" i="6"/>
  <c r="L27" i="6"/>
  <c r="L33" i="6"/>
  <c r="L31" i="6"/>
  <c r="N169" i="6" l="1"/>
  <c r="H242" i="6"/>
  <c r="L169" i="6"/>
  <c r="N160" i="6"/>
  <c r="L160" i="6"/>
  <c r="H233" i="6"/>
  <c r="N165" i="6"/>
  <c r="H238" i="6"/>
  <c r="L165" i="6"/>
  <c r="N170" i="6"/>
  <c r="H243" i="6"/>
  <c r="L170" i="6"/>
  <c r="L167" i="6"/>
  <c r="H240" i="6"/>
  <c r="N167" i="6"/>
  <c r="N163" i="6"/>
  <c r="H236" i="6"/>
  <c r="L163" i="6"/>
  <c r="N176" i="6"/>
  <c r="H249" i="6"/>
  <c r="L176" i="6"/>
  <c r="N173" i="6"/>
  <c r="H246" i="6"/>
  <c r="L173" i="6"/>
  <c r="N158" i="6"/>
  <c r="H231" i="6"/>
  <c r="L158" i="6"/>
  <c r="N179" i="6"/>
  <c r="H252" i="6"/>
  <c r="L179" i="6"/>
  <c r="N166" i="6"/>
  <c r="L166" i="6"/>
  <c r="H239" i="6"/>
  <c r="N172" i="6"/>
  <c r="L172" i="6"/>
  <c r="H245" i="6"/>
  <c r="N178" i="6"/>
  <c r="H251" i="6"/>
  <c r="L178" i="6"/>
  <c r="N177" i="6"/>
  <c r="H250" i="6"/>
  <c r="L177" i="6"/>
  <c r="N162" i="6"/>
  <c r="L162" i="6"/>
  <c r="H235" i="6"/>
  <c r="N168" i="6"/>
  <c r="L168" i="6"/>
  <c r="H241" i="6"/>
  <c r="N181" i="6"/>
  <c r="H254" i="6"/>
  <c r="L181" i="6"/>
  <c r="N161" i="6"/>
  <c r="H234" i="6"/>
  <c r="L161" i="6"/>
  <c r="N164" i="6"/>
  <c r="H237" i="6"/>
  <c r="L164" i="6"/>
  <c r="N171" i="6"/>
  <c r="H244" i="6"/>
  <c r="L171" i="6"/>
  <c r="L109" i="6"/>
  <c r="H81" i="6" s="1"/>
  <c r="N174" i="6"/>
  <c r="L174" i="6"/>
  <c r="H247" i="6"/>
  <c r="N175" i="6"/>
  <c r="H248" i="6"/>
  <c r="L175" i="6"/>
  <c r="N159" i="6"/>
  <c r="H232" i="6"/>
  <c r="L159" i="6"/>
  <c r="L36" i="6"/>
  <c r="H8" i="6" s="1"/>
  <c r="C80" i="6"/>
  <c r="C153" i="6" s="1"/>
  <c r="C226" i="6" s="1"/>
  <c r="C299" i="6" s="1"/>
  <c r="C372" i="6" s="1"/>
  <c r="N237" i="6" l="1"/>
  <c r="H310" i="6"/>
  <c r="L237" i="6"/>
  <c r="N241" i="6"/>
  <c r="H314" i="6"/>
  <c r="L241" i="6"/>
  <c r="H311" i="6"/>
  <c r="L238" i="6"/>
  <c r="N238" i="6"/>
  <c r="N246" i="6"/>
  <c r="H319" i="6"/>
  <c r="L246" i="6"/>
  <c r="H325" i="6"/>
  <c r="N252" i="6"/>
  <c r="L252" i="6"/>
  <c r="H313" i="6"/>
  <c r="N240" i="6"/>
  <c r="L240" i="6"/>
  <c r="N245" i="6"/>
  <c r="H318" i="6"/>
  <c r="L245" i="6"/>
  <c r="N249" i="6"/>
  <c r="H322" i="6"/>
  <c r="L249" i="6"/>
  <c r="N251" i="6"/>
  <c r="L251" i="6"/>
  <c r="H324" i="6"/>
  <c r="H308" i="6"/>
  <c r="L235" i="6"/>
  <c r="N235" i="6"/>
  <c r="N243" i="6"/>
  <c r="H316" i="6"/>
  <c r="L243" i="6"/>
  <c r="L234" i="6"/>
  <c r="H307" i="6"/>
  <c r="N234" i="6"/>
  <c r="L254" i="6"/>
  <c r="H327" i="6"/>
  <c r="N254" i="6"/>
  <c r="N231" i="6"/>
  <c r="H304" i="6"/>
  <c r="L231" i="6"/>
  <c r="L242" i="6"/>
  <c r="N242" i="6"/>
  <c r="H315" i="6"/>
  <c r="N233" i="6"/>
  <c r="H306" i="6"/>
  <c r="L233" i="6"/>
  <c r="N244" i="6"/>
  <c r="H317" i="6"/>
  <c r="L244" i="6"/>
  <c r="N250" i="6"/>
  <c r="H323" i="6"/>
  <c r="L250" i="6"/>
  <c r="N239" i="6"/>
  <c r="L239" i="6"/>
  <c r="H312" i="6"/>
  <c r="H309" i="6"/>
  <c r="L236" i="6"/>
  <c r="N236" i="6"/>
  <c r="N247" i="6"/>
  <c r="H320" i="6"/>
  <c r="L247" i="6"/>
  <c r="L182" i="6"/>
  <c r="H154" i="6" s="1"/>
  <c r="N248" i="6"/>
  <c r="L248" i="6"/>
  <c r="H321" i="6"/>
  <c r="N232" i="6"/>
  <c r="H305" i="6"/>
  <c r="L232" i="6"/>
  <c r="J3" i="6"/>
  <c r="H76" i="6"/>
  <c r="H149" i="6" s="1"/>
  <c r="C77" i="6"/>
  <c r="C150" i="6" s="1"/>
  <c r="C223" i="6" s="1"/>
  <c r="C296" i="6" s="1"/>
  <c r="C369" i="6" s="1"/>
  <c r="H77" i="6"/>
  <c r="H150" i="6" s="1"/>
  <c r="H223" i="6" s="1"/>
  <c r="H296" i="6" s="1"/>
  <c r="H369" i="6" s="1"/>
  <c r="B79" i="6"/>
  <c r="B152" i="6" s="1"/>
  <c r="B225" i="6" s="1"/>
  <c r="B298" i="6" s="1"/>
  <c r="B371" i="6" s="1"/>
  <c r="E79" i="6"/>
  <c r="E152" i="6" s="1"/>
  <c r="J79" i="6"/>
  <c r="J152" i="6" s="1"/>
  <c r="J225" i="6" s="1"/>
  <c r="J298" i="6" s="1"/>
  <c r="J371" i="6" s="1"/>
  <c r="H80" i="6"/>
  <c r="H153" i="6" s="1"/>
  <c r="H226" i="6" s="1"/>
  <c r="H299" i="6" s="1"/>
  <c r="H372" i="6" s="1"/>
  <c r="L316" i="6" l="1"/>
  <c r="H389" i="6"/>
  <c r="N316" i="6"/>
  <c r="N313" i="6"/>
  <c r="H386" i="6"/>
  <c r="L313" i="6"/>
  <c r="L306" i="6"/>
  <c r="H379" i="6"/>
  <c r="N306" i="6"/>
  <c r="L322" i="6"/>
  <c r="H395" i="6"/>
  <c r="N322" i="6"/>
  <c r="L311" i="6"/>
  <c r="H384" i="6"/>
  <c r="N311" i="6"/>
  <c r="J149" i="6"/>
  <c r="H222" i="6"/>
  <c r="N327" i="6"/>
  <c r="H400" i="6"/>
  <c r="L327" i="6"/>
  <c r="L323" i="6"/>
  <c r="H396" i="6"/>
  <c r="N323" i="6"/>
  <c r="N315" i="6"/>
  <c r="H388" i="6"/>
  <c r="L315" i="6"/>
  <c r="N325" i="6"/>
  <c r="L325" i="6"/>
  <c r="H398" i="6"/>
  <c r="L314" i="6"/>
  <c r="H387" i="6"/>
  <c r="N314" i="6"/>
  <c r="L308" i="6"/>
  <c r="H381" i="6"/>
  <c r="N308" i="6"/>
  <c r="L318" i="6"/>
  <c r="H391" i="6"/>
  <c r="N318" i="6"/>
  <c r="H380" i="6"/>
  <c r="L307" i="6"/>
  <c r="N307" i="6"/>
  <c r="L324" i="6"/>
  <c r="H397" i="6"/>
  <c r="N324" i="6"/>
  <c r="H392" i="6"/>
  <c r="L319" i="6"/>
  <c r="N319" i="6"/>
  <c r="G152" i="6"/>
  <c r="B148" i="6"/>
  <c r="E225" i="6"/>
  <c r="H382" i="6"/>
  <c r="N309" i="6"/>
  <c r="L309" i="6"/>
  <c r="H390" i="6"/>
  <c r="L317" i="6"/>
  <c r="N317" i="6"/>
  <c r="L310" i="6"/>
  <c r="H383" i="6"/>
  <c r="N310" i="6"/>
  <c r="L312" i="6"/>
  <c r="H385" i="6"/>
  <c r="N312" i="6"/>
  <c r="L304" i="6"/>
  <c r="H377" i="6"/>
  <c r="N304" i="6"/>
  <c r="L255" i="6"/>
  <c r="H227" i="6" s="1"/>
  <c r="L320" i="6"/>
  <c r="H393" i="6"/>
  <c r="N320" i="6"/>
  <c r="H394" i="6"/>
  <c r="N321" i="6"/>
  <c r="L321" i="6"/>
  <c r="N305" i="6"/>
  <c r="L305" i="6"/>
  <c r="H378" i="6"/>
  <c r="G79" i="6"/>
  <c r="J76" i="6"/>
  <c r="B75" i="6"/>
  <c r="N379" i="6" l="1"/>
  <c r="L379" i="6"/>
  <c r="N377" i="6"/>
  <c r="L377" i="6"/>
  <c r="L380" i="6"/>
  <c r="N380" i="6"/>
  <c r="N387" i="6"/>
  <c r="L387" i="6"/>
  <c r="L328" i="6"/>
  <c r="H300" i="6" s="1"/>
  <c r="N390" i="6"/>
  <c r="L390" i="6"/>
  <c r="N396" i="6"/>
  <c r="L396" i="6"/>
  <c r="N384" i="6"/>
  <c r="L384" i="6"/>
  <c r="N392" i="6"/>
  <c r="L392" i="6"/>
  <c r="N391" i="6"/>
  <c r="L391" i="6"/>
  <c r="N398" i="6"/>
  <c r="L398" i="6"/>
  <c r="N386" i="6"/>
  <c r="L386" i="6"/>
  <c r="N385" i="6"/>
  <c r="L385" i="6"/>
  <c r="N382" i="6"/>
  <c r="L382" i="6"/>
  <c r="N397" i="6"/>
  <c r="L397" i="6"/>
  <c r="N400" i="6"/>
  <c r="L400" i="6"/>
  <c r="N395" i="6"/>
  <c r="L395" i="6"/>
  <c r="N383" i="6"/>
  <c r="L383" i="6"/>
  <c r="B221" i="6"/>
  <c r="E298" i="6"/>
  <c r="G225" i="6"/>
  <c r="L381" i="6"/>
  <c r="N381" i="6"/>
  <c r="N389" i="6"/>
  <c r="L389" i="6"/>
  <c r="N388" i="6"/>
  <c r="L388" i="6"/>
  <c r="J222" i="6"/>
  <c r="H295" i="6"/>
  <c r="N393" i="6"/>
  <c r="L393" i="6"/>
  <c r="N394" i="6"/>
  <c r="L394" i="6"/>
  <c r="N378" i="6"/>
  <c r="L378" i="6"/>
  <c r="L401" i="6" l="1"/>
  <c r="H373" i="6" s="1"/>
  <c r="B294" i="6"/>
  <c r="E371" i="6"/>
  <c r="G298" i="6"/>
  <c r="J295" i="6"/>
  <c r="H368" i="6"/>
  <c r="J368" i="6" l="1"/>
  <c r="G371" i="6"/>
  <c r="B367" i="6"/>
</calcChain>
</file>

<file path=xl/sharedStrings.xml><?xml version="1.0" encoding="utf-8"?>
<sst xmlns="http://schemas.openxmlformats.org/spreadsheetml/2006/main" count="657" uniqueCount="100">
  <si>
    <t>公共工程施工日誌</t>
    <phoneticPr fontId="2" type="noConversion"/>
  </si>
  <si>
    <t>表報編號：</t>
    <phoneticPr fontId="2" type="noConversion"/>
  </si>
  <si>
    <t>本日天氣：上午：晴天 　下午：晴天</t>
    <phoneticPr fontId="2" type="noConversion"/>
  </si>
  <si>
    <t>填表日期：</t>
    <phoneticPr fontId="2" type="noConversion"/>
  </si>
  <si>
    <t>工程名稱</t>
    <phoneticPr fontId="2" type="noConversion"/>
  </si>
  <si>
    <t>承攬商名稱</t>
    <phoneticPr fontId="2" type="noConversion"/>
  </si>
  <si>
    <t>正郁室內裝修</t>
    <phoneticPr fontId="2" type="noConversion"/>
  </si>
  <si>
    <t>核定工期</t>
    <phoneticPr fontId="2" type="noConversion"/>
  </si>
  <si>
    <t>累計工期</t>
    <phoneticPr fontId="2" type="noConversion"/>
  </si>
  <si>
    <t>剩餘工期</t>
    <phoneticPr fontId="2" type="noConversion"/>
  </si>
  <si>
    <t>工期展延天數</t>
    <phoneticPr fontId="2" type="noConversion"/>
  </si>
  <si>
    <t>0天</t>
    <phoneticPr fontId="2" type="noConversion"/>
  </si>
  <si>
    <t>開工日期</t>
    <phoneticPr fontId="2" type="noConversion"/>
  </si>
  <si>
    <t>完工日期</t>
    <phoneticPr fontId="2" type="noConversion"/>
  </si>
  <si>
    <t>預定進度(%)</t>
    <phoneticPr fontId="2" type="noConversion"/>
  </si>
  <si>
    <t>實際進度(%)</t>
    <phoneticPr fontId="2" type="noConversion"/>
  </si>
  <si>
    <t>一、依施工計畫書執行按圖施工概況（含約定之重要施工項目及完成數量等）：</t>
    <phoneticPr fontId="2" type="noConversion"/>
  </si>
  <si>
    <t>施工項目</t>
    <phoneticPr fontId="2" type="noConversion"/>
  </si>
  <si>
    <t>單位</t>
    <phoneticPr fontId="2" type="noConversion"/>
  </si>
  <si>
    <t>契約數量</t>
    <phoneticPr fontId="2" type="noConversion"/>
  </si>
  <si>
    <t>本日完成數量</t>
    <phoneticPr fontId="2" type="noConversion"/>
  </si>
  <si>
    <t>累計完成數量</t>
    <phoneticPr fontId="2" type="noConversion"/>
  </si>
  <si>
    <t>備註</t>
    <phoneticPr fontId="2" type="noConversion"/>
  </si>
  <si>
    <t>二、工地材料管理概況（含約定之重要材料使用狀況及數量等）：</t>
    <phoneticPr fontId="2" type="noConversion"/>
  </si>
  <si>
    <t>材料名稱</t>
    <phoneticPr fontId="2" type="noConversion"/>
  </si>
  <si>
    <t>設計數量</t>
    <phoneticPr fontId="2" type="noConversion"/>
  </si>
  <si>
    <t>本日使用數量</t>
    <phoneticPr fontId="2" type="noConversion"/>
  </si>
  <si>
    <t>累計使用數量</t>
    <phoneticPr fontId="2" type="noConversion"/>
  </si>
  <si>
    <t>三、工地人員及機具管理（含約定之出工人數及機具使用情形及數量）：</t>
    <phoneticPr fontId="2" type="noConversion"/>
  </si>
  <si>
    <t>工別</t>
    <phoneticPr fontId="2" type="noConversion"/>
  </si>
  <si>
    <t>本日人數</t>
    <phoneticPr fontId="2" type="noConversion"/>
  </si>
  <si>
    <t>累計人數</t>
    <phoneticPr fontId="2" type="noConversion"/>
  </si>
  <si>
    <t>機具名稱</t>
    <phoneticPr fontId="2" type="noConversion"/>
  </si>
  <si>
    <t>六、施工取樣試驗紀錄：</t>
    <phoneticPr fontId="2" type="noConversion"/>
  </si>
  <si>
    <t>七、通知協力廠商辦理事項：</t>
    <phoneticPr fontId="2" type="noConversion"/>
  </si>
  <si>
    <t>簽章：【工地主任】（註3）：</t>
    <phoneticPr fontId="2" type="noConversion"/>
  </si>
  <si>
    <t xml:space="preserve">註：
</t>
    <phoneticPr fontId="2" type="noConversion"/>
  </si>
  <si>
    <t>1.依營造業法第32條第1項第2款規定，工地主任應按日填報施工日誌</t>
    <phoneticPr fontId="2" type="noConversion"/>
  </si>
  <si>
    <t>2.本施工日誌格式僅供參考，惟原則應包含上開欄位，各機關亦得依工程性質及契約約定事項自行增訂之。</t>
    <phoneticPr fontId="2" type="noConversion"/>
  </si>
  <si>
    <t>3.本工程依營造業法第30條規定須置工地主任者，由工地主任簽章；依上開規定免置工地主任者，則由營造業法第32條第2項</t>
    <phoneticPr fontId="2" type="noConversion"/>
  </si>
  <si>
    <t>　所定之人員簽章。廠商非屬營造業者，由工地負責人簽章。</t>
    <phoneticPr fontId="2" type="noConversion"/>
  </si>
  <si>
    <t>4.契約工期如有修正，應填修正後之契約工期，含展延工期及不計工期天數；如有依契約變更設計，預定進度及實際進度應填</t>
    <phoneticPr fontId="2" type="noConversion"/>
  </si>
  <si>
    <t>　變更設計後計算之進度。</t>
    <phoneticPr fontId="2" type="noConversion"/>
  </si>
  <si>
    <t>5.上開重要事項記錄包含（1）主辦機關及監造單位指示（2）工地遇緊急異常狀況之通報處理情形（3）本日是否由專任工程</t>
    <phoneticPr fontId="2" type="noConversion"/>
  </si>
  <si>
    <t>　人員督察按圖施工、解決施工技術問題等。</t>
    <phoneticPr fontId="2" type="noConversion"/>
  </si>
  <si>
    <t>四、本日施工項目是否有須依「營造業專業工程特定施工項目應置之技術士種類、比率或人數標準表」規定應設置技術士之專業工程：□有 □無（此項如勾選”有”，則應填寫後附「公共工程施工日誌之技術士簽章表」）</t>
    <phoneticPr fontId="2" type="noConversion"/>
  </si>
  <si>
    <t>營造業專業工程特定施工項目</t>
    <phoneticPr fontId="2" type="noConversion"/>
  </si>
  <si>
    <t xml:space="preserve">A.     </t>
    <phoneticPr fontId="2" type="noConversion"/>
  </si>
  <si>
    <t>B.</t>
    <phoneticPr fontId="2" type="noConversion"/>
  </si>
  <si>
    <t>7.公共工程屬建築物者，請依內政部最新訂頒之「建築物施工日誌」填寫。</t>
    <phoneticPr fontId="2" type="noConversion"/>
  </si>
  <si>
    <t>1天</t>
    <phoneticPr fontId="2" type="noConversion"/>
  </si>
  <si>
    <t>6.上開施工前檢查事項所列工作應由職業安全衛生管理辦法第3條規定所置職業安全衛生人員於每日施工前辦理(檢查紀錄參考範例如附工地職業安全衛生施工前檢查紀錄表)，工地主任負責督導及確認該事項完成後於施工日誌填載。</t>
    <phoneticPr fontId="2" type="noConversion"/>
  </si>
  <si>
    <t>GD-001</t>
    <phoneticPr fontId="2" type="noConversion"/>
  </si>
  <si>
    <t>式</t>
    <phoneticPr fontId="72" type="noConversion"/>
  </si>
  <si>
    <t>粗工</t>
    <phoneticPr fontId="2" type="noConversion"/>
  </si>
  <si>
    <t>實際進度=本日完成金額/發包金額+前1天累積進度</t>
    <phoneticPr fontId="2" type="noConversion"/>
  </si>
  <si>
    <t>本日完成合計:</t>
    <phoneticPr fontId="2" type="noConversion"/>
  </si>
  <si>
    <t>發包金額:</t>
    <phoneticPr fontId="2" type="noConversion"/>
  </si>
  <si>
    <t>式</t>
  </si>
  <si>
    <t>組</t>
  </si>
  <si>
    <t>M2</t>
  </si>
  <si>
    <t>木工</t>
    <phoneticPr fontId="2" type="noConversion"/>
  </si>
  <si>
    <t>林內國中多功能教室裝修工程</t>
    <phoneticPr fontId="2" type="noConversion"/>
  </si>
  <si>
    <t>60天</t>
    <phoneticPr fontId="2" type="noConversion"/>
  </si>
  <si>
    <t>壹、直接工程費</t>
    <phoneticPr fontId="2" type="noConversion"/>
  </si>
  <si>
    <t>1 平釘PVC耐磨夾板底木地板(含防潮布與平釘夾板整平，連工帶料)</t>
    <phoneticPr fontId="2" type="noConversion"/>
  </si>
  <si>
    <t>2 原講台拆除(含運棄)，1:3水泥砂漿粉刷粉光與鄰地順平；切割打除教室門口既有地坪面層，抿石子斜坡順平；拆除清運教室內既有燈具、門、窗簾、設備、吊扇、所有木作構造物與桌椅;合法清運證明;環境保護與清潔費</t>
    <phoneticPr fontId="2" type="noConversion"/>
  </si>
  <si>
    <t>3 科技白板裝設配電(含電子雲相框*6與電子畫框*1)</t>
    <phoneticPr fontId="2" type="noConversion"/>
  </si>
  <si>
    <t>4 科技白板牆面裝修(含造型牆A、造型牆B與茶水間牆面)</t>
    <phoneticPr fontId="2" type="noConversion"/>
  </si>
  <si>
    <t>5 天花板裝修與吊扇</t>
    <phoneticPr fontId="2" type="noConversion"/>
  </si>
  <si>
    <t>6 室內油漆(壁面清潔，刷水泥漆1底2度)</t>
    <phoneticPr fontId="2" type="noConversion"/>
  </si>
  <si>
    <t>7 安裝系統櫃A(茶水間安裝電器系統櫃，連工帶料)</t>
    <phoneticPr fontId="2" type="noConversion"/>
  </si>
  <si>
    <t>8 安裝喇叭設備低櫃(安裝層板架組方格櫃與置物籃，連工帶料)</t>
    <phoneticPr fontId="2" type="noConversion"/>
  </si>
  <si>
    <t>9 安裝系統櫃B(茶水間安裝一字型流理台與系統櫃，連工帶料)</t>
    <phoneticPr fontId="2" type="noConversion"/>
  </si>
  <si>
    <t>10 會議椅</t>
    <phoneticPr fontId="2" type="noConversion"/>
  </si>
  <si>
    <t>11 20人會議桌</t>
    <phoneticPr fontId="2" type="noConversion"/>
  </si>
  <si>
    <t>12 安裝軌道與窗簾(連工帶料)</t>
    <phoneticPr fontId="2" type="noConversion"/>
  </si>
  <si>
    <t>13 安裝不鏽鋼玻璃門與三合一鋁門</t>
    <phoneticPr fontId="2" type="noConversion"/>
  </si>
  <si>
    <t>14 配電費(安裝開關迴路、插座、軌道燈具(連工帶料);既有分離式冷氣室內機調整位置，重新配管線與灌冷媒)</t>
    <phoneticPr fontId="2" type="noConversion"/>
  </si>
  <si>
    <r>
      <t>15 安裝PH5藝術吊燈(</t>
    </r>
    <r>
      <rPr>
        <sz val="10"/>
        <color theme="1"/>
        <rFont val="Calibri"/>
        <family val="4"/>
        <charset val="161"/>
      </rPr>
      <t>Φ</t>
    </r>
    <r>
      <rPr>
        <sz val="10"/>
        <color theme="1"/>
        <rFont val="標楷體"/>
        <family val="4"/>
        <charset val="136"/>
      </rPr>
      <t>40cm，含吊燈改軌道燈轉接器)</t>
    </r>
    <phoneticPr fontId="2" type="noConversion"/>
  </si>
  <si>
    <t>16 安裝LED崁燈(9.5cm洗孔,15W,12燈珠,自然光)</t>
    <phoneticPr fontId="2" type="noConversion"/>
  </si>
  <si>
    <t>17 工程告示牌與職安告示牌(租用)</t>
    <phoneticPr fontId="2" type="noConversion"/>
  </si>
  <si>
    <t>18 乙種圍籬等施工管制措施(租用)</t>
    <phoneticPr fontId="2" type="noConversion"/>
  </si>
  <si>
    <t>19 入口校名招牌立體字燈箱(含圍牆欄杆除鏽刷漆，安裝"雲林縣立林內國中"金屬烤漆LED立體字燈箱，配管配線鄰近電源並設置專用開關與定時控制器)</t>
    <phoneticPr fontId="2" type="noConversion"/>
  </si>
  <si>
    <t>貳、職業安全衛生管理費（壹*0.8%）</t>
    <phoneticPr fontId="2" type="noConversion"/>
  </si>
  <si>
    <t>參、公共工程品質管制作業費（壹*2%）</t>
    <phoneticPr fontId="2" type="noConversion"/>
  </si>
  <si>
    <t>肆、包商管理費及利潤（壹*7%）</t>
    <phoneticPr fontId="2" type="noConversion"/>
  </si>
  <si>
    <t>伍、營造業綜合保險費</t>
    <phoneticPr fontId="2" type="noConversion"/>
  </si>
  <si>
    <t>陸、營業稅（(壹~伍)*5％）</t>
    <phoneticPr fontId="2" type="noConversion"/>
  </si>
  <si>
    <t>張</t>
  </si>
  <si>
    <t>才</t>
  </si>
  <si>
    <t>盞</t>
  </si>
  <si>
    <t>八、重要事項記錄：1.申報開工  2.拆除工程 3.假設工程</t>
    <phoneticPr fontId="2" type="noConversion"/>
  </si>
  <si>
    <t>水電</t>
    <phoneticPr fontId="2" type="noConversion"/>
  </si>
  <si>
    <t>八、重要事項記錄：1.木作工程-科技白板牆面裝修 2.科技白板配電</t>
    <phoneticPr fontId="2" type="noConversion"/>
  </si>
  <si>
    <t>八、重要事項記錄：1.木作工程-科技白板牆面裝修</t>
    <phoneticPr fontId="2" type="noConversion"/>
  </si>
  <si>
    <t>八、重要事項記錄：1.木作工程-天花板裝修</t>
    <phoneticPr fontId="2" type="noConversion"/>
  </si>
  <si>
    <r>
      <t>五、工地職業安全衛生事項之督導、公共環境與安全之維護及其他工地行政事務：
  (ㄧ)施工前檢查事項：
   1.實施勤前教育(含工地預防災變及危害告知)：</t>
    </r>
    <r>
      <rPr>
        <sz val="10"/>
        <color theme="1"/>
        <rFont val="Segoe UI Symbol"/>
        <family val="2"/>
      </rPr>
      <t>☑</t>
    </r>
    <r>
      <rPr>
        <sz val="10"/>
        <color theme="1"/>
        <rFont val="標楷體"/>
        <family val="4"/>
        <charset val="136"/>
      </rPr>
      <t xml:space="preserve">有 □無
   2.確認新進勞工是否提報勞工保險(或其他商業保險)資料及安全衛生教育訓練紀錄：□有 □無 </t>
    </r>
    <r>
      <rPr>
        <sz val="10"/>
        <color theme="1"/>
        <rFont val="Segoe UI Symbol"/>
        <family val="2"/>
      </rPr>
      <t>☑</t>
    </r>
    <r>
      <rPr>
        <sz val="10"/>
        <color theme="1"/>
        <rFont val="標楷體"/>
        <family val="4"/>
        <charset val="136"/>
      </rPr>
      <t>無新進勞工
   3.檢查勞工個人防護具：</t>
    </r>
    <r>
      <rPr>
        <sz val="10"/>
        <color theme="1"/>
        <rFont val="Segoe UI Symbol"/>
        <family val="2"/>
      </rPr>
      <t>☑</t>
    </r>
    <r>
      <rPr>
        <sz val="10"/>
        <color theme="1"/>
        <rFont val="標楷體"/>
        <family val="4"/>
        <charset val="136"/>
      </rPr>
      <t>有 □無
  (二)其他事項：</t>
    </r>
    <phoneticPr fontId="2" type="noConversion"/>
  </si>
  <si>
    <t>115年3月26日</t>
    <phoneticPr fontId="2" type="noConversion"/>
  </si>
  <si>
    <t>115年01月26日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</si>
</sst>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[$-404]e&quot;年&quot;m&quot;月&quot;d&quot;日&quot;;@"/>
    <numFmt numFmtId="177" formatCode="#,##0.0;[Red]#,##0.0"/>
    <numFmt numFmtId="178" formatCode="#,##0.0_);\(#,##0.0\)"/>
    <numFmt numFmtId="179" formatCode="General_)"/>
    <numFmt numFmtId="180" formatCode="0.00_)"/>
    <numFmt numFmtId="181" formatCode="\300.00"/>
    <numFmt numFmtId="182" formatCode="\300"/>
    <numFmt numFmtId="183" formatCode="_-* #,##0.00\ &quot;ден.&quot;_-;\-* #,##0.00\ &quot;ден.&quot;_-;_-* &quot;-&quot;??\ &quot;ден.&quot;_-;_-@_-"/>
    <numFmt numFmtId="184" formatCode="_-* #,##0\ &quot;ден.&quot;_-;\-* #,##0\ &quot;ден.&quot;_-;_-* &quot;-&quot;\ &quot;ден.&quot;_-;_-@_-"/>
    <numFmt numFmtId="185" formatCode="0.0"/>
    <numFmt numFmtId="186" formatCode="&quot; &quot;#,##0&quot; &quot;;&quot;-&quot;#,##0&quot; &quot;;&quot; -&quot;#&quot; &quot;;&quot; &quot;@&quot; &quot;"/>
    <numFmt numFmtId="187" formatCode="#,##0_);[Red]\(#,##0\)"/>
  </numFmts>
  <fonts count="78">
    <font>
      <sz val="12"/>
      <color theme="1"/>
      <name val="新細明體"/>
      <family val="2"/>
      <scheme val="minor"/>
    </font>
    <font>
      <b/>
      <sz val="12"/>
      <name val="標楷體"/>
      <family val="4"/>
      <charset val="136"/>
    </font>
    <font>
      <sz val="9"/>
      <name val="新細明體"/>
      <family val="3"/>
      <charset val="136"/>
      <scheme val="minor"/>
    </font>
    <font>
      <sz val="10"/>
      <color theme="1"/>
      <name val="標楷體"/>
      <family val="4"/>
      <charset val="136"/>
    </font>
    <font>
      <sz val="10"/>
      <name val="標楷體"/>
      <family val="4"/>
      <charset val="136"/>
    </font>
    <font>
      <b/>
      <sz val="10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b/>
      <sz val="10"/>
      <color theme="1"/>
      <name val="Adobe 繁黑體 Std B"/>
      <family val="2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Helv"/>
      <family val="2"/>
    </font>
    <font>
      <sz val="12"/>
      <name val="Courier"/>
      <family val="3"/>
    </font>
    <font>
      <u/>
      <sz val="12"/>
      <color indexed="36"/>
      <name val="Times New Roman"/>
      <family val="1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19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1"/>
      <name val=""/>
      <family val="1"/>
      <charset val="136"/>
    </font>
    <font>
      <sz val="12"/>
      <name val="標楷體"/>
      <family val="4"/>
      <charset val="136"/>
    </font>
    <font>
      <sz val="12"/>
      <name val="細明體"/>
      <family val="3"/>
      <charset val="136"/>
    </font>
    <font>
      <sz val="8"/>
      <name val="Times"/>
      <family val="1"/>
    </font>
    <font>
      <b/>
      <sz val="8.3000000000000007"/>
      <name val="Helv"/>
      <family val="2"/>
    </font>
    <font>
      <sz val="9"/>
      <name val="Times New Roman"/>
      <family val="1"/>
    </font>
    <font>
      <sz val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name val="Times New Roman"/>
      <family val="1"/>
    </font>
    <font>
      <u/>
      <sz val="10"/>
      <color indexed="14"/>
      <name val="MS Sans Serif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Times"/>
      <family val="1"/>
    </font>
    <font>
      <sz val="9"/>
      <name val="CG Times (W1)"/>
      <family val="1"/>
    </font>
    <font>
      <i/>
      <sz val="8"/>
      <name val="Times"/>
      <family val="1"/>
    </font>
    <font>
      <sz val="7"/>
      <name val="Small Fonts"/>
      <family val="2"/>
    </font>
    <font>
      <b/>
      <i/>
      <sz val="16"/>
      <name val="Helv"/>
      <family val="2"/>
    </font>
    <font>
      <sz val="12"/>
      <color indexed="8"/>
      <name val="Times New Roman"/>
      <family val="1"/>
    </font>
    <font>
      <b/>
      <sz val="24"/>
      <name val="AngsanaUPC"/>
      <family val="1"/>
    </font>
    <font>
      <sz val="10"/>
      <name val="微軟細明"/>
      <family val="2"/>
    </font>
    <font>
      <sz val="12"/>
      <name val="華康中楷體"/>
      <family val="3"/>
      <charset val="136"/>
    </font>
    <font>
      <sz val="12"/>
      <color indexed="60"/>
      <name val="新細明體"/>
      <family val="1"/>
      <charset val="136"/>
    </font>
    <font>
      <sz val="11"/>
      <name val="DLC-KM"/>
      <family val="2"/>
    </font>
    <font>
      <sz val="24"/>
      <name val="DLC-KM"/>
      <family val="2"/>
    </font>
    <font>
      <sz val="16"/>
      <name val="華康中楷體"/>
      <family val="3"/>
      <charset val="136"/>
    </font>
    <font>
      <sz val="11"/>
      <name val="元易細明體"/>
      <family val="3"/>
      <charset val="136"/>
    </font>
    <font>
      <sz val="12"/>
      <name val="Arial Narrow"/>
      <family val="2"/>
    </font>
    <font>
      <sz val="9"/>
      <name val="華康仿宋體"/>
      <family val="3"/>
      <charset val="136"/>
    </font>
    <font>
      <sz val="10"/>
      <name val="華康中楷體"/>
      <family val="3"/>
      <charset val="136"/>
    </font>
    <font>
      <i/>
      <sz val="24"/>
      <color indexed="14"/>
      <name val="DLC-KM"/>
      <family val="2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2"/>
      <color indexed="52"/>
      <name val="新細明體"/>
      <family val="1"/>
      <charset val="136"/>
    </font>
    <font>
      <sz val="24"/>
      <name val="細明體"/>
      <family val="3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0"/>
      <color indexed="12"/>
      <name val="華康中楷體"/>
      <family val="3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rgb="FF000000"/>
      <name val="標楷體"/>
      <family val="4"/>
      <charset val="136"/>
    </font>
    <font>
      <sz val="10"/>
      <color theme="1"/>
      <name val="Calibri"/>
      <family val="4"/>
      <charset val="161"/>
    </font>
    <font>
      <sz val="12"/>
      <color theme="1"/>
      <name val="標楷體"/>
      <family val="4"/>
      <charset val="136"/>
    </font>
    <font>
      <sz val="10"/>
      <color theme="1"/>
      <name val="Segoe UI Symbol"/>
      <family val="2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gray0625">
        <fgColor indexed="12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32">
    <xf numFmtId="0" fontId="0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0" fillId="0" borderId="0"/>
    <xf numFmtId="0" fontId="15" fillId="0" borderId="0"/>
    <xf numFmtId="3" fontId="32" fillId="0" borderId="0">
      <alignment horizontal="left" vertical="center"/>
    </xf>
    <xf numFmtId="0" fontId="15" fillId="0" borderId="0"/>
    <xf numFmtId="0" fontId="15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>
      <alignment vertical="center" shrinkToFit="1"/>
    </xf>
    <xf numFmtId="0" fontId="15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9" fillId="0" borderId="0"/>
    <xf numFmtId="0" fontId="33" fillId="0" borderId="0"/>
    <xf numFmtId="0" fontId="9" fillId="0" borderId="0"/>
    <xf numFmtId="0" fontId="9" fillId="0" borderId="0"/>
    <xf numFmtId="0" fontId="9" fillId="2" borderId="7" applyBorder="0">
      <alignment horizontal="center"/>
    </xf>
    <xf numFmtId="0" fontId="12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35" fillId="20" borderId="27" applyNumberFormat="0" applyAlignment="0"/>
    <xf numFmtId="0" fontId="16" fillId="0" borderId="0" applyFill="0" applyBorder="0" applyAlignment="0"/>
    <xf numFmtId="0" fontId="36" fillId="0" borderId="0" applyFill="0" applyBorder="0" applyAlignment="0"/>
    <xf numFmtId="0" fontId="36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6" fillId="0" borderId="0" applyFill="0" applyBorder="0" applyAlignment="0"/>
    <xf numFmtId="0" fontId="10" fillId="0" borderId="0" applyFill="0" applyBorder="0" applyAlignment="0"/>
    <xf numFmtId="0" fontId="36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 applyFont="0" applyFill="0" applyBorder="0" applyAlignment="0" applyProtection="0"/>
    <xf numFmtId="0" fontId="16" fillId="0" borderId="0" applyFont="0" applyFill="0" applyBorder="0" applyAlignment="0" applyProtection="0"/>
    <xf numFmtId="37" fontId="37" fillId="0" borderId="0" applyFill="0" applyBorder="0" applyAlignment="0" applyProtection="0"/>
    <xf numFmtId="178" fontId="37" fillId="0" borderId="0" applyFill="0" applyBorder="0" applyAlignment="0" applyProtection="0"/>
    <xf numFmtId="0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 applyFont="0" applyFill="0" applyBorder="0" applyAlignment="0" applyProtection="0"/>
    <xf numFmtId="14" fontId="38" fillId="0" borderId="0" applyFill="0" applyBorder="0" applyAlignment="0"/>
    <xf numFmtId="38" fontId="39" fillId="0" borderId="28">
      <alignment vertical="center"/>
    </xf>
    <xf numFmtId="38" fontId="40" fillId="0" borderId="0" applyBorder="0" applyAlignment="0"/>
    <xf numFmtId="0" fontId="16" fillId="0" borderId="0" applyFill="0" applyBorder="0" applyAlignment="0"/>
    <xf numFmtId="0" fontId="36" fillId="0" borderId="0" applyFill="0" applyBorder="0" applyAlignment="0"/>
    <xf numFmtId="0" fontId="16" fillId="0" borderId="0" applyFill="0" applyBorder="0" applyAlignment="0"/>
    <xf numFmtId="0" fontId="10" fillId="0" borderId="0" applyFill="0" applyBorder="0" applyAlignment="0"/>
    <xf numFmtId="0" fontId="36" fillId="0" borderId="0" applyFill="0" applyBorder="0" applyAlignment="0"/>
    <xf numFmtId="0" fontId="41" fillId="0" borderId="0" applyNumberFormat="0" applyFill="0" applyBorder="0" applyAlignment="0" applyProtection="0"/>
    <xf numFmtId="38" fontId="37" fillId="21" borderId="0" applyNumberFormat="0" applyBorder="0" applyAlignment="0" applyProtection="0"/>
    <xf numFmtId="0" fontId="42" fillId="0" borderId="29" applyNumberFormat="0" applyAlignment="0" applyProtection="0">
      <alignment horizontal="left" vertical="center"/>
    </xf>
    <xf numFmtId="0" fontId="42" fillId="0" borderId="8">
      <alignment horizontal="left" vertical="center"/>
    </xf>
    <xf numFmtId="0" fontId="43" fillId="0" borderId="0" applyNumberFormat="0" applyFill="0" applyBorder="0" applyAlignment="0" applyProtection="0"/>
    <xf numFmtId="10" fontId="37" fillId="22" borderId="2" applyNumberFormat="0" applyBorder="0" applyAlignment="0" applyProtection="0"/>
    <xf numFmtId="0" fontId="16" fillId="0" borderId="0" applyFill="0" applyBorder="0" applyAlignment="0"/>
    <xf numFmtId="0" fontId="36" fillId="0" borderId="0" applyFill="0" applyBorder="0" applyAlignment="0"/>
    <xf numFmtId="0" fontId="16" fillId="0" borderId="0" applyFill="0" applyBorder="0" applyAlignment="0"/>
    <xf numFmtId="0" fontId="10" fillId="0" borderId="0" applyFill="0" applyBorder="0" applyAlignment="0"/>
    <xf numFmtId="0" fontId="36" fillId="0" borderId="0" applyFill="0" applyBorder="0" applyAlignment="0"/>
    <xf numFmtId="179" fontId="16" fillId="23" borderId="2" applyNumberFormat="0" applyFont="0" applyFill="0" applyBorder="0">
      <alignment horizontal="center" vertical="center"/>
    </xf>
    <xf numFmtId="0" fontId="44" fillId="0" borderId="0"/>
    <xf numFmtId="0" fontId="45" fillId="0" borderId="30" applyNumberFormat="0">
      <alignment horizontal="left" vertical="center"/>
    </xf>
    <xf numFmtId="0" fontId="46" fillId="0" borderId="0"/>
    <xf numFmtId="37" fontId="47" fillId="0" borderId="0"/>
    <xf numFmtId="180" fontId="48" fillId="0" borderId="0"/>
    <xf numFmtId="0" fontId="8" fillId="0" borderId="0"/>
    <xf numFmtId="0" fontId="8" fillId="0" borderId="0"/>
    <xf numFmtId="0" fontId="10" fillId="0" borderId="0"/>
    <xf numFmtId="0" fontId="49" fillId="23" borderId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ill="0" applyBorder="0" applyAlignment="0"/>
    <xf numFmtId="0" fontId="36" fillId="0" borderId="0" applyFill="0" applyBorder="0" applyAlignment="0"/>
    <xf numFmtId="0" fontId="16" fillId="0" borderId="0" applyFill="0" applyBorder="0" applyAlignment="0"/>
    <xf numFmtId="0" fontId="10" fillId="0" borderId="0" applyFill="0" applyBorder="0" applyAlignment="0"/>
    <xf numFmtId="0" fontId="36" fillId="0" borderId="0" applyFill="0" applyBorder="0" applyAlignment="0"/>
    <xf numFmtId="4" fontId="37" fillId="0" borderId="0"/>
    <xf numFmtId="0" fontId="10" fillId="0" borderId="0"/>
    <xf numFmtId="3" fontId="37" fillId="0" borderId="0" applyNumberFormat="0" applyFont="0" applyAlignment="0"/>
    <xf numFmtId="0" fontId="8" fillId="24" borderId="0"/>
    <xf numFmtId="0" fontId="45" fillId="0" borderId="31">
      <alignment horizontal="left" vertical="center"/>
    </xf>
    <xf numFmtId="49" fontId="3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45" fillId="0" borderId="32" applyNumberFormat="0" applyFill="0" applyProtection="0">
      <alignment horizontal="left" vertical="center"/>
    </xf>
    <xf numFmtId="3" fontId="50" fillId="0" borderId="33">
      <alignment horizont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8" fillId="0" borderId="0"/>
    <xf numFmtId="0" fontId="71" fillId="0" borderId="0"/>
    <xf numFmtId="0" fontId="9" fillId="0" borderId="0"/>
    <xf numFmtId="0" fontId="9" fillId="0" borderId="0"/>
    <xf numFmtId="0" fontId="9" fillId="0" borderId="0">
      <alignment vertical="center"/>
    </xf>
    <xf numFmtId="0" fontId="8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12" fillId="0" borderId="0">
      <alignment vertical="center"/>
    </xf>
    <xf numFmtId="178" fontId="16" fillId="0" borderId="0"/>
    <xf numFmtId="0" fontId="12" fillId="0" borderId="0"/>
    <xf numFmtId="178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16" fillId="0" borderId="0"/>
    <xf numFmtId="178" fontId="16" fillId="0" borderId="0"/>
    <xf numFmtId="0" fontId="9" fillId="0" borderId="0"/>
    <xf numFmtId="0" fontId="9" fillId="0" borderId="0">
      <alignment vertical="center"/>
    </xf>
    <xf numFmtId="0" fontId="8" fillId="0" borderId="0"/>
    <xf numFmtId="178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>
      <alignment vertical="center"/>
    </xf>
    <xf numFmtId="0" fontId="71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7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/>
    <xf numFmtId="0" fontId="9" fillId="0" borderId="0"/>
    <xf numFmtId="0" fontId="71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32" fillId="0" borderId="0" applyNumberFormat="0">
      <alignment vertical="center"/>
    </xf>
    <xf numFmtId="181" fontId="5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8" fillId="0" borderId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8" fillId="0" borderId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54" fillId="0" borderId="0" applyNumberFormat="0" applyFont="0" applyBorder="0" applyAlignment="0">
      <alignment horizontal="left" vertical="center"/>
    </xf>
    <xf numFmtId="0" fontId="55" fillId="0" borderId="0">
      <alignment vertical="center"/>
    </xf>
    <xf numFmtId="0" fontId="56" fillId="0" borderId="0">
      <alignment vertical="center"/>
    </xf>
    <xf numFmtId="0" fontId="16" fillId="0" borderId="0"/>
    <xf numFmtId="0" fontId="18" fillId="0" borderId="35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7" fillId="0" borderId="36" applyAlignment="0">
      <alignment horizontal="center" vertical="center" wrapText="1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8" fillId="0" borderId="2">
      <alignment vertical="center"/>
    </xf>
    <xf numFmtId="0" fontId="59" fillId="0" borderId="2">
      <alignment vertical="center" wrapText="1"/>
    </xf>
    <xf numFmtId="0" fontId="59" fillId="0" borderId="2">
      <alignment vertical="center" wrapText="1"/>
    </xf>
    <xf numFmtId="182" fontId="60" fillId="0" borderId="37">
      <alignment vertical="center"/>
    </xf>
    <xf numFmtId="0" fontId="61" fillId="0" borderId="0">
      <alignment vertical="center"/>
    </xf>
    <xf numFmtId="0" fontId="62" fillId="26" borderId="38" applyNumberFormat="0" applyAlignment="0" applyProtection="0">
      <alignment vertical="center"/>
    </xf>
    <xf numFmtId="0" fontId="21" fillId="25" borderId="38" applyNumberFormat="0" applyAlignment="0" applyProtection="0">
      <alignment vertical="center"/>
    </xf>
    <xf numFmtId="0" fontId="62" fillId="26" borderId="38" applyNumberFormat="0" applyAlignment="0" applyProtection="0">
      <alignment vertical="center"/>
    </xf>
    <xf numFmtId="0" fontId="21" fillId="25" borderId="38" applyNumberFormat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8">
      <alignment horizontal="center" vertical="center"/>
    </xf>
    <xf numFmtId="0" fontId="63" fillId="0" borderId="0"/>
    <xf numFmtId="44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64" fillId="0" borderId="40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9" fillId="7" borderId="4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65" fillId="0" borderId="0"/>
    <xf numFmtId="0" fontId="8" fillId="0" borderId="0"/>
    <xf numFmtId="0" fontId="66" fillId="0" borderId="43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66" fillId="0" borderId="43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67" fillId="0" borderId="45" applyNumberFormat="0" applyFill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67" fillId="0" borderId="45" applyNumberFormat="0" applyFill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68" fillId="0" borderId="47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68" fillId="0" borderId="47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/>
    <xf numFmtId="39" fontId="70" fillId="0" borderId="5">
      <alignment horizontal="right"/>
    </xf>
    <xf numFmtId="0" fontId="28" fillId="9" borderId="38" applyNumberFormat="0" applyAlignment="0" applyProtection="0">
      <alignment vertical="center"/>
    </xf>
    <xf numFmtId="0" fontId="28" fillId="12" borderId="38" applyNumberFormat="0" applyAlignment="0" applyProtection="0">
      <alignment vertical="center"/>
    </xf>
    <xf numFmtId="0" fontId="28" fillId="9" borderId="38" applyNumberFormat="0" applyAlignment="0" applyProtection="0">
      <alignment vertical="center"/>
    </xf>
    <xf numFmtId="0" fontId="28" fillId="12" borderId="38" applyNumberFormat="0" applyAlignment="0" applyProtection="0">
      <alignment vertical="center"/>
    </xf>
    <xf numFmtId="0" fontId="29" fillId="26" borderId="48" applyNumberFormat="0" applyAlignment="0" applyProtection="0">
      <alignment vertical="center"/>
    </xf>
    <xf numFmtId="0" fontId="29" fillId="25" borderId="48" applyNumberFormat="0" applyAlignment="0" applyProtection="0">
      <alignment vertical="center"/>
    </xf>
    <xf numFmtId="0" fontId="29" fillId="26" borderId="48" applyNumberFormat="0" applyAlignment="0" applyProtection="0">
      <alignment vertical="center"/>
    </xf>
    <xf numFmtId="0" fontId="29" fillId="25" borderId="4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30" fillId="32" borderId="49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10" fillId="0" borderId="0"/>
  </cellStyleXfs>
  <cellXfs count="11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0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7" fontId="4" fillId="0" borderId="24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0" fontId="3" fillId="0" borderId="0" xfId="728" applyNumberFormat="1" applyFont="1" applyAlignment="1">
      <alignment horizontal="center" vertical="center"/>
    </xf>
    <xf numFmtId="10" fontId="3" fillId="0" borderId="0" xfId="728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85" fontId="4" fillId="33" borderId="2" xfId="356" applyNumberFormat="1" applyFont="1" applyFill="1" applyBorder="1" applyAlignment="1">
      <alignment horizontal="center" vertical="center"/>
    </xf>
    <xf numFmtId="0" fontId="3" fillId="33" borderId="2" xfId="0" applyFont="1" applyFill="1" applyBorder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185" fontId="4" fillId="33" borderId="2" xfId="0" applyNumberFormat="1" applyFont="1" applyFill="1" applyBorder="1" applyAlignment="1">
      <alignment horizontal="center" vertical="center" shrinkToFit="1"/>
    </xf>
    <xf numFmtId="0" fontId="3" fillId="33" borderId="2" xfId="0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728" applyNumberFormat="1" applyFont="1" applyAlignment="1">
      <alignment horizontal="center" vertical="center"/>
    </xf>
    <xf numFmtId="0" fontId="9" fillId="0" borderId="0" xfId="255">
      <alignment vertical="center"/>
    </xf>
    <xf numFmtId="185" fontId="3" fillId="0" borderId="0" xfId="0" applyNumberFormat="1" applyFont="1" applyAlignment="1">
      <alignment horizontal="center" vertical="center"/>
    </xf>
    <xf numFmtId="3" fontId="32" fillId="0" borderId="0" xfId="255" applyNumberFormat="1" applyFont="1">
      <alignment vertical="center"/>
    </xf>
    <xf numFmtId="186" fontId="74" fillId="34" borderId="0" xfId="335" applyNumberFormat="1" applyFont="1" applyFill="1" applyAlignment="1">
      <alignment horizontal="right" vertical="center" shrinkToFit="1"/>
    </xf>
    <xf numFmtId="0" fontId="32" fillId="33" borderId="2" xfId="729" applyFont="1" applyFill="1" applyBorder="1" applyAlignment="1">
      <alignment horizontal="center" vertical="center"/>
    </xf>
    <xf numFmtId="0" fontId="32" fillId="33" borderId="12" xfId="729" applyFont="1" applyFill="1" applyBorder="1" applyAlignment="1">
      <alignment horizontal="center" vertical="center"/>
    </xf>
    <xf numFmtId="185" fontId="4" fillId="33" borderId="12" xfId="356" applyNumberFormat="1" applyFont="1" applyFill="1" applyBorder="1" applyAlignment="1">
      <alignment horizontal="center" vertical="center"/>
    </xf>
    <xf numFmtId="0" fontId="3" fillId="33" borderId="1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87" fontId="4" fillId="0" borderId="2" xfId="730" applyNumberFormat="1" applyFont="1" applyBorder="1" applyAlignment="1">
      <alignment horizontal="center" vertical="center"/>
    </xf>
    <xf numFmtId="187" fontId="32" fillId="0" borderId="0" xfId="731" applyNumberFormat="1" applyFont="1" applyAlignment="1">
      <alignment horizontal="right" vertical="center" shrinkToFit="1"/>
    </xf>
    <xf numFmtId="187" fontId="76" fillId="0" borderId="0" xfId="731" applyNumberFormat="1" applyFont="1" applyAlignment="1">
      <alignment horizontal="right" vertical="center" shrinkToFit="1"/>
    </xf>
    <xf numFmtId="0" fontId="3" fillId="0" borderId="3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85" fontId="3" fillId="0" borderId="2" xfId="0" applyNumberFormat="1" applyFont="1" applyBorder="1" applyAlignment="1">
      <alignment horizontal="center" vertical="center"/>
    </xf>
    <xf numFmtId="0" fontId="3" fillId="33" borderId="2" xfId="0" applyFont="1" applyFill="1" applyBorder="1" applyAlignment="1">
      <alignment horizontal="left" vertical="center" wrapText="1"/>
    </xf>
    <xf numFmtId="0" fontId="3" fillId="33" borderId="2" xfId="0" applyFont="1" applyFill="1" applyBorder="1" applyAlignment="1">
      <alignment horizontal="center" vertical="center"/>
    </xf>
    <xf numFmtId="185" fontId="3" fillId="33" borderId="2" xfId="0" applyNumberFormat="1" applyFont="1" applyFill="1" applyBorder="1" applyAlignment="1">
      <alignment horizontal="center" vertical="center"/>
    </xf>
    <xf numFmtId="0" fontId="3" fillId="33" borderId="2" xfId="0" applyFont="1" applyFill="1" applyBorder="1" applyAlignment="1">
      <alignment horizontal="left" vertical="center"/>
    </xf>
    <xf numFmtId="0" fontId="3" fillId="33" borderId="12" xfId="0" applyFont="1" applyFill="1" applyBorder="1" applyAlignment="1">
      <alignment horizontal="left" vertical="center"/>
    </xf>
    <xf numFmtId="185" fontId="3" fillId="33" borderId="12" xfId="0" applyNumberFormat="1" applyFont="1" applyFill="1" applyBorder="1" applyAlignment="1">
      <alignment horizontal="center" vertical="center"/>
    </xf>
    <xf numFmtId="0" fontId="3" fillId="3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732">
    <cellStyle name="_x000a_386grabber=s" xfId="3" xr:uid="{E6C76019-D09A-42F3-A956-75D5892FB340}"/>
    <cellStyle name="_1000425-定案預算" xfId="4" xr:uid="{31EF7369-CAB6-49D3-ABB5-4F4CE2792C30}"/>
    <cellStyle name="_1000515-鹿中活動中心定案預算" xfId="5" xr:uid="{BE37CF3E-0A01-467B-A94C-E62EE5FFB979}"/>
    <cellStyle name="_1000621-和美國小體育館地板-預算書" xfId="6" xr:uid="{379D8CD4-A50A-47C0-904B-0F10EAD94597}"/>
    <cellStyle name="_1000803第一次變更設計(正確板-2元修正1)" xfId="7" xr:uid="{3DD12156-FD37-4FB3-9816-C0BD0DD8B331}"/>
    <cellStyle name="_1000820--泳池鋼構屋頂預算" xfId="8" xr:uid="{8B7C60AB-B1E4-4CFC-A764-ECCE493E8A87}"/>
    <cellStyle name="_1000902預算" xfId="9" xr:uid="{8E11A1FA-8543-449E-AC66-28169C192DCC}"/>
    <cellStyle name="_1001001-擋球網預算" xfId="10" xr:uid="{125ECE54-66A9-44F7-BBA0-0410B312E025}"/>
    <cellStyle name="_1001212預算" xfId="11" xr:uid="{EFE3FCE3-17E0-40A8-9E96-BE1F258524BB}"/>
    <cellStyle name="_100年桌球場地廁所整修工程(預算)" xfId="12" xr:uid="{EA171D4C-FA80-463F-A254-D8CE17E0BDC3}"/>
    <cellStyle name="_1010619-五光國小" xfId="13" xr:uid="{0158C825-82ED-4F03-940E-DF3F3A7E6923}"/>
    <cellStyle name="_1010623-五光國小" xfId="14" xr:uid="{C97A01DE-B929-4B91-B14A-3CF3A171BBD8}"/>
    <cellStyle name="_1010720預算" xfId="15" xr:uid="{2CC755AE-C6ED-48DF-B73B-25494DE7A9D4}"/>
    <cellStyle name="_1020808-1-跑道概算" xfId="16" xr:uid="{D45281FE-E501-4E2B-BF58-CE9DDE489750}"/>
    <cellStyle name="_1021022-線西跑道" xfId="17" xr:uid="{01B5057D-CCCD-4564-B1D1-BADA6FC8F3A5}"/>
    <cellStyle name="_970129田徑跑道及周邊環境預算(二次發包金額)-1" xfId="18" xr:uid="{F58299B3-5967-45FC-9B61-7E6A9F08F6A7}"/>
    <cellStyle name="_970421規劃預算-修正" xfId="19" xr:uid="{342E1194-082F-4979-A6CE-516FB4F30FDD}"/>
    <cellStyle name="_970521內部預算" xfId="20" xr:uid="{881B05BE-5D5C-4E0F-9B8E-5867962154F9}"/>
    <cellStyle name="_970811知行樓門窗更新工程預算+" xfId="21" xr:uid="{C128D159-8ED7-4530-BAE9-F75CFF6EF20D}"/>
    <cellStyle name="_970912植櫻計畫" xfId="22" xr:uid="{0B998CB9-82B8-4D0C-AF75-3E2919A2B25A}"/>
    <cellStyle name="_970930形象商圈預算" xfId="23" xr:uid="{7465B944-676F-43A8-8A1D-DDA5ABDF2F54}"/>
    <cellStyle name="_971007平林預算" xfId="24" xr:uid="{09B3B4CC-9C66-4500-8D3A-AD05A41DEF23}"/>
    <cellStyle name="_97年改善校園無障礙環境工程－無障礙樓梯" xfId="25" xr:uid="{E894ECC9-7BD3-4148-BD94-6B7D2213CA27}"/>
    <cellStyle name="_980602圖書館預算" xfId="26" xr:uid="{49648232-DF24-4E98-AA5B-AE8400D299D6}"/>
    <cellStyle name="_98年改善校園無障礙環境計畫(經費概算)" xfId="27" xr:uid="{5F97C3B4-8710-478D-AE48-15FCB9A607DB}"/>
    <cellStyle name="_991210預算" xfId="28" xr:uid="{5304A278-66EF-4CEA-84EA-8A95F475BD0F}"/>
    <cellStyle name="_Book2" xfId="29" xr:uid="{B2346E05-E38C-47A0-8337-CB2D15838B29}"/>
    <cellStyle name="_台南市立醫院-工程估價單" xfId="30" xr:uid="{D79A1A5E-9D91-492B-996A-4B0BFE856148}"/>
    <cellStyle name="_伸港國民中學零星整修工程-預算" xfId="31" xr:uid="{77562433-ED87-418C-A1D4-A55CAC8005C3}"/>
    <cellStyle name="_和仁風雨操場競圖概算" xfId="32" xr:uid="{555EF8F3-97A0-40E2-9EE1-D229444FFF4D}"/>
    <cellStyle name="_和仁預算" xfId="33" xr:uid="{9C30B663-DCF5-4474-A1B6-8625A9CE5C69}"/>
    <cellStyle name="_和美國小行動不便者廁所預算" xfId="34" xr:uid="{85C33A06-C31E-4651-BC0C-32FCE80C6120}"/>
    <cellStyle name="_和美國小教室及走廊油漆-預算" xfId="35" xr:uid="{9FF4412B-8077-4C74-80A1-33608B6350AC}"/>
    <cellStyle name="_和美國中體育館整修(預算)" xfId="36" xr:uid="{76BA7784-7B70-4A52-94FB-D329652387B4}"/>
    <cellStyle name="_和美鎮公有零售市場建築風貌整修工程(預算)" xfId="37" xr:uid="{69A046B0-FE2A-4025-88BE-9FF98283EABD}"/>
    <cellStyle name="_美群國小預算" xfId="38" xr:uid="{3AB91B4E-81C1-4954-9A85-04F75F974CFE}"/>
    <cellStyle name="_神腦國際-成本(消防追加)1014" xfId="39" xr:uid="{FEFB1E00-D47D-42D6-9E2C-0CDE502AA1A9}"/>
    <cellStyle name="_神腦國際-成本1013" xfId="40" xr:uid="{5040D146-FA01-4AAD-A2B2-9EEE5254610C}"/>
    <cellStyle name="_宿舍閒置空間再利用工程預算-1" xfId="41" xr:uid="{93F19D20-DF8D-4681-BC45-9135C66637E4}"/>
    <cellStyle name="_單價分析" xfId="42" xr:uid="{35A21A91-F31A-40E9-B914-F22E2C2C7A4C}"/>
    <cellStyle name="_單價分析 2" xfId="43" xr:uid="{90CC266F-57E8-40F5-BF83-2E5EA061B4FC}"/>
    <cellStyle name="_單價分析 3" xfId="44" xr:uid="{5016176C-2B03-4A31-A1ED-49D7989F08FE}"/>
    <cellStyle name="_單價分析 4" xfId="45" xr:uid="{3C5D27BB-4443-4245-A777-A7733EC18614}"/>
    <cellStyle name="_單價分析_1021005-競圖預算" xfId="46" xr:uid="{0C883BA0-6530-497B-8152-9E0AA5A45E59}"/>
    <cellStyle name="_單價分析_單價分析" xfId="47" xr:uid="{B09B9741-91D4-46A7-ADAD-8F71835935F2}"/>
    <cellStyle name="_單價分析_預算書" xfId="48" xr:uid="{8483E474-685B-46DC-913F-B4F9CCB0807C}"/>
    <cellStyle name="_單價分析_預算書 " xfId="49" xr:uid="{45B69F8E-B2B2-4B90-AD7E-A701959AF5C1}"/>
    <cellStyle name="_單價分析表" xfId="50" xr:uid="{1F87BD27-9EC4-4AE6-85DE-92EBBBECFE8C}"/>
    <cellStyle name="_圍牆塌陷及週邊修復工程2" xfId="51" xr:uid="{51243E58-6126-45D3-A0FE-98348E4ED190}"/>
    <cellStyle name="_運動場跑道整建工程(預算書)C970104_ap_bdgt" xfId="52" xr:uid="{45295636-7E32-4BC6-9D89-D593A4DFAC16}"/>
    <cellStyle name="_預算" xfId="53" xr:uid="{BA083F9A-08C6-4897-822C-EC554C93DA89}"/>
    <cellStyle name="_預算 (2)" xfId="54" xr:uid="{F67A0225-B2CE-443F-A271-F832A12AB299}"/>
    <cellStyle name="_預算 2" xfId="55" xr:uid="{84F1EDD7-DAC7-40BA-B0F9-2878909CD07B}"/>
    <cellStyle name="_預算 2 2" xfId="56" xr:uid="{9C75EC85-AD68-48D8-B99D-63DB887C42EE}"/>
    <cellStyle name="_預算 3" xfId="57" xr:uid="{42B2E67D-90FD-43B8-B1E7-592842A17541}"/>
    <cellStyle name="_預算 4" xfId="58" xr:uid="{01D50DB0-51D2-4EBA-9F71-42A7738BE4C7}"/>
    <cellStyle name="_預算 5" xfId="59" xr:uid="{281A5D99-8D1C-4BAB-BB93-2A87316A2BC6}"/>
    <cellStyle name="_預算 6" xfId="60" xr:uid="{316D694A-3C7B-475C-B3F6-B82F600CBF1E}"/>
    <cellStyle name="_預算 7" xfId="61" xr:uid="{8A157194-90F1-4E01-87E2-5BD4BAA4EF1F}"/>
    <cellStyle name="_預算 8" xfId="62" xr:uid="{F6D032EA-6B08-49F3-B5C5-222D5270C4AF}"/>
    <cellStyle name="_預算 9" xfId="63" xr:uid="{C227CE23-DB70-480E-BF76-C1D815349D79}"/>
    <cellStyle name="_預算_1031124-北斗家商跑道預算" xfId="64" xr:uid="{E79825AD-25E3-4FC8-BF68-4C3B11D49629}"/>
    <cellStyle name="_預算_競圖概算" xfId="65" xr:uid="{4563D3B4-114B-4D74-9CFA-4C8D4F314B4C}"/>
    <cellStyle name="_預算0" xfId="66" xr:uid="{E9F02433-F22E-46B5-A2BF-EA0C3268D8DA}"/>
    <cellStyle name="_預算書" xfId="67" xr:uid="{8A29B9B8-0004-4534-BC9E-FA47E9EC93E8}"/>
    <cellStyle name="_預算書_1" xfId="68" xr:uid="{1ADE04FD-F073-4C06-8635-2A63BB1E547A}"/>
    <cellStyle name="_彰師大預算書961226" xfId="69" xr:uid="{ED8236F1-30EF-43EB-B906-BC6094EEBA8C}"/>
    <cellStyle name="_禮堂(體育館)整修(預算)-420" xfId="70" xr:uid="{EBDCE957-D8A8-4854-8FEE-17FE7F1CF1A6}"/>
    <cellStyle name="_競圖預算" xfId="71" xr:uid="{D75BCAA5-6B94-42D8-916A-DEC71FB18C31}"/>
    <cellStyle name="0,0_x000d__x000a_NA_x000d__x000a_" xfId="72" xr:uid="{1CB5B807-A9D1-4160-BCD0-0FFB755B6AA4}"/>
    <cellStyle name="0,0_x000d__x000a_NA_x000d__x000a_ 2" xfId="73" xr:uid="{E6D598F6-EC6C-4087-927D-4C161E8E1F18}"/>
    <cellStyle name="0,0_x000d__x000a_NA_x000d__x000a_ 2 2" xfId="74" xr:uid="{7C16270D-6995-485B-8A52-712EF5092DD5}"/>
    <cellStyle name="0,0_x000d__x000a_NA_x000d__x000a__980813-笠豐食品" xfId="75" xr:uid="{90F82488-B494-4C83-A7A7-6B6BCFCD534F}"/>
    <cellStyle name="120948713" xfId="76" xr:uid="{2FD4B772-B94E-49F5-8AB3-802833771DE5}"/>
    <cellStyle name="20% - 輔色1 2" xfId="77" xr:uid="{C690FEFF-878C-492E-8704-D48AA1F91384}"/>
    <cellStyle name="20% - 輔色1 2 2" xfId="78" xr:uid="{DC879C5C-6847-4330-BA8C-F636574C0ECF}"/>
    <cellStyle name="20% - 輔色1 2 3" xfId="79" xr:uid="{0D64D3C0-92E0-4BB0-AA1D-ED568AFD7889}"/>
    <cellStyle name="20% - 輔色1 3" xfId="80" xr:uid="{05BB7DAC-FE49-42EE-BFF5-853C5EA2360D}"/>
    <cellStyle name="20% - 輔色1 4" xfId="81" xr:uid="{DA802A0D-F30F-4B90-8D40-33A6117AF5C7}"/>
    <cellStyle name="20% - 輔色2 2" xfId="82" xr:uid="{9BFEF29B-9862-4B80-8151-962883D60B08}"/>
    <cellStyle name="20% - 輔色2 2 2" xfId="83" xr:uid="{A9ACA115-4B62-43CA-B519-33B2FAF8A36C}"/>
    <cellStyle name="20% - 輔色2 2 3" xfId="84" xr:uid="{06A2892E-89CF-4D4A-8CDE-53800F5319F8}"/>
    <cellStyle name="20% - 輔色2 3" xfId="85" xr:uid="{DE5A9ED1-FAAE-4A7F-B367-6A8444DFED9D}"/>
    <cellStyle name="20% - 輔色2 4" xfId="86" xr:uid="{F5E679A7-0E02-4BC8-9BAD-FA37AF65D734}"/>
    <cellStyle name="20% - 輔色3 2" xfId="87" xr:uid="{C7CB5F57-F174-4142-A752-BA272E14787A}"/>
    <cellStyle name="20% - 輔色3 2 2" xfId="88" xr:uid="{509297FC-98CF-4899-B4CA-B6255EF189D0}"/>
    <cellStyle name="20% - 輔色3 2 3" xfId="89" xr:uid="{E5929E00-EFE4-43D7-89E9-210E3CAA8D52}"/>
    <cellStyle name="20% - 輔色3 3" xfId="90" xr:uid="{1A64FE85-6F40-402B-8402-EFC36C698487}"/>
    <cellStyle name="20% - 輔色3 4" xfId="91" xr:uid="{90E4ADC5-FD81-4FBC-BA6E-626FAB6DD4DE}"/>
    <cellStyle name="20% - 輔色4 2" xfId="92" xr:uid="{83390466-1C56-430A-A8C9-B68E5F17F218}"/>
    <cellStyle name="20% - 輔色4 2 2" xfId="93" xr:uid="{A65C7200-6931-448B-A44A-71E7A9512732}"/>
    <cellStyle name="20% - 輔色4 2 3" xfId="94" xr:uid="{7AF63920-EAB5-4AF8-B6A4-6DB8255F2564}"/>
    <cellStyle name="20% - 輔色4 3" xfId="95" xr:uid="{8E8E3509-D2F1-49F6-857F-27F3F56965A4}"/>
    <cellStyle name="20% - 輔色4 4" xfId="96" xr:uid="{BA68A571-9B86-4010-B323-AAA5F45730B1}"/>
    <cellStyle name="20% - 輔色5 2" xfId="97" xr:uid="{4F46D2CA-4A04-4DAB-99BD-EB2ACC2F720A}"/>
    <cellStyle name="20% - 輔色5 3" xfId="98" xr:uid="{7CF74A9D-3157-4EA1-A95E-0C995B81AE5A}"/>
    <cellStyle name="20% - 輔色6 2" xfId="99" xr:uid="{162ECA0E-15F6-41BB-B459-AB6187394B7C}"/>
    <cellStyle name="20% - 輔色6 2 2" xfId="100" xr:uid="{D2FF397D-396C-43BD-82E1-E27FB53522CF}"/>
    <cellStyle name="20% - 輔色6 2 3" xfId="101" xr:uid="{7F751195-6BB5-4DF5-93AE-426AB7C3AB1A}"/>
    <cellStyle name="20% - 輔色6 3" xfId="102" xr:uid="{1CAE7FA0-B13A-446B-BC1D-1228B8BFA1A9}"/>
    <cellStyle name="20% - 輔色6 4" xfId="103" xr:uid="{DF4906DB-D051-4349-A981-F197403E92DF}"/>
    <cellStyle name="40% - 輔色1 2" xfId="104" xr:uid="{2D6E91AD-C41C-41BE-BD0C-7B7087111F1D}"/>
    <cellStyle name="40% - 輔色1 2 2" xfId="105" xr:uid="{79F18745-A9A3-40F1-87F6-9E56241E876B}"/>
    <cellStyle name="40% - 輔色1 2 3" xfId="106" xr:uid="{55C7AFAD-E121-4557-913B-10346EA2E581}"/>
    <cellStyle name="40% - 輔色1 3" xfId="107" xr:uid="{1B3A6430-9ABA-4A66-AB2F-CEE6138D8A14}"/>
    <cellStyle name="40% - 輔色1 4" xfId="108" xr:uid="{3B146B48-3BFF-4083-AA6B-DCCD3F1B94EE}"/>
    <cellStyle name="40% - 輔色2 2" xfId="109" xr:uid="{C5F8A2C5-0D66-4A7F-A7AA-9D81650AE0D4}"/>
    <cellStyle name="40% - 輔色2 3" xfId="110" xr:uid="{801A03E8-AD64-4A57-A564-FD2ADC648B1C}"/>
    <cellStyle name="40% - 輔色3 2" xfId="111" xr:uid="{79FFECFC-682B-48ED-A08A-7DACF1E57A80}"/>
    <cellStyle name="40% - 輔色3 2 2" xfId="112" xr:uid="{7500F636-56D0-4167-B902-31786C54C6E1}"/>
    <cellStyle name="40% - 輔色3 2 3" xfId="113" xr:uid="{69804DA5-6F1B-4C66-87AF-19056D37E509}"/>
    <cellStyle name="40% - 輔色3 3" xfId="114" xr:uid="{5AC55706-6FCC-4E51-AF45-8FAE375C2C89}"/>
    <cellStyle name="40% - 輔色3 4" xfId="115" xr:uid="{0D425487-F92A-469C-874A-180CA39D5D9A}"/>
    <cellStyle name="40% - 輔色4 2" xfId="116" xr:uid="{8C5601FC-3725-4343-9F07-65B1C5D53CCB}"/>
    <cellStyle name="40% - 輔色4 2 2" xfId="117" xr:uid="{59380350-6C06-4F31-A69C-97A9B6655126}"/>
    <cellStyle name="40% - 輔色4 2 3" xfId="118" xr:uid="{5B2C4A01-54DE-4B82-B71E-75CF6CFCA109}"/>
    <cellStyle name="40% - 輔色4 3" xfId="119" xr:uid="{881AB324-03C3-47BD-A469-8C90136FCDBF}"/>
    <cellStyle name="40% - 輔色4 4" xfId="120" xr:uid="{F1332FD6-353E-4DF5-9DDD-48EBEE6546F6}"/>
    <cellStyle name="40% - 輔色5 2" xfId="121" xr:uid="{81A87793-BEB1-4D88-9A3E-0263014EF958}"/>
    <cellStyle name="40% - 輔色5 2 2" xfId="122" xr:uid="{582C8752-10D5-490A-8C18-ED35188964AB}"/>
    <cellStyle name="40% - 輔色5 2 3" xfId="123" xr:uid="{B5A2FD2E-E69C-4D12-911C-A4A3A0AB4669}"/>
    <cellStyle name="40% - 輔色5 3" xfId="124" xr:uid="{1C9F1CEE-A214-4B72-9F9F-252BC9401BCB}"/>
    <cellStyle name="40% - 輔色5 4" xfId="125" xr:uid="{A7562DD5-55EA-4B60-ADA6-B2D442503C55}"/>
    <cellStyle name="40% - 輔色6 2" xfId="126" xr:uid="{682E4BD8-D542-481A-ABEA-DA4FB6BF3B35}"/>
    <cellStyle name="40% - 輔色6 2 2" xfId="127" xr:uid="{1C9C7EA9-3238-4869-962E-6718F7969F27}"/>
    <cellStyle name="40% - 輔色6 2 3" xfId="128" xr:uid="{4A681FE7-B2B4-4A55-92A8-26054C4F216F}"/>
    <cellStyle name="40% - 輔色6 3" xfId="129" xr:uid="{907FC103-9001-44F6-AFE6-875FF3D69436}"/>
    <cellStyle name="40% - 輔色6 4" xfId="130" xr:uid="{9BF49F8F-5CD2-463A-9388-B3B026616B02}"/>
    <cellStyle name="60% - 輔色1 2" xfId="131" xr:uid="{2AC363AB-B5ED-4DD5-A6B0-5AD0C4DE2450}"/>
    <cellStyle name="60% - 輔色1 2 2" xfId="132" xr:uid="{C04F1A70-5E76-4018-9CE7-D049776C3492}"/>
    <cellStyle name="60% - 輔色1 2 3" xfId="133" xr:uid="{DF0A3C8A-5102-4457-9225-C7933AE8EA5A}"/>
    <cellStyle name="60% - 輔色1 3" xfId="134" xr:uid="{4A8FE4C8-ED0D-4837-858A-A5548848FB2E}"/>
    <cellStyle name="60% - 輔色2 2" xfId="135" xr:uid="{FB2FF42F-069F-4978-9837-FF3D590BFB65}"/>
    <cellStyle name="60% - 輔色2 2 2" xfId="136" xr:uid="{6B3483F8-8A5D-4851-9E5F-0600B931BC94}"/>
    <cellStyle name="60% - 輔色2 2 3" xfId="137" xr:uid="{40CC1D7C-8311-4923-A32E-184E07AC27C9}"/>
    <cellStyle name="60% - 輔色2 3" xfId="138" xr:uid="{E8A31478-28B3-49E7-B154-0980688A4382}"/>
    <cellStyle name="60% - 輔色3 2" xfId="139" xr:uid="{B75193DB-1952-487C-AAED-60EB36D2927B}"/>
    <cellStyle name="60% - 輔色3 2 2" xfId="140" xr:uid="{F12F891E-71C1-4590-A5C2-666517DFB980}"/>
    <cellStyle name="60% - 輔色3 2 3" xfId="141" xr:uid="{755CF1CB-1A31-4FC1-AE8F-68DB432DC057}"/>
    <cellStyle name="60% - 輔色3 3" xfId="142" xr:uid="{6AB27EF1-3E5A-4B33-A077-6A422DF76285}"/>
    <cellStyle name="60% - 輔色4 2" xfId="143" xr:uid="{DBCB98EE-5033-40A7-8289-D848A1FD3326}"/>
    <cellStyle name="60% - 輔色4 2 2" xfId="144" xr:uid="{8DCAF4C5-75F6-40BC-9591-7F81F2B1A7D5}"/>
    <cellStyle name="60% - 輔色4 2 3" xfId="145" xr:uid="{A8017D33-963E-4C91-BBDA-2F0ADCDDE3ED}"/>
    <cellStyle name="60% - 輔色4 3" xfId="146" xr:uid="{86462063-DF62-4434-AB32-CA87E22C8B2C}"/>
    <cellStyle name="60% - 輔色5 2" xfId="147" xr:uid="{C7B03CBD-8A9B-4439-9291-3D94D63B10DC}"/>
    <cellStyle name="60% - 輔色5 2 2" xfId="148" xr:uid="{EB6A527C-66EE-4D42-995E-CD99AD80845A}"/>
    <cellStyle name="60% - 輔色5 2 3" xfId="149" xr:uid="{7AFB8F48-33BB-4C75-8F8C-7CA9631E1987}"/>
    <cellStyle name="60% - 輔色5 3" xfId="150" xr:uid="{129F594D-8249-4DFD-B767-4CBB44E689EA}"/>
    <cellStyle name="60% - 輔色6 2" xfId="151" xr:uid="{344ABC90-6DB8-486F-B68F-D0B0DC9FA47D}"/>
    <cellStyle name="60% - 輔色6 2 2" xfId="152" xr:uid="{D6D5BB82-5DDF-40E5-8D62-BE78CC4CBF53}"/>
    <cellStyle name="60% - 輔色6 2 3" xfId="153" xr:uid="{E68C397E-93AF-4856-B63B-A10566A8FFE8}"/>
    <cellStyle name="60% - 輔色6 3" xfId="154" xr:uid="{9046AB7B-A68A-42B5-AB54-B67BC0F3EDE9}"/>
    <cellStyle name="aa" xfId="155" xr:uid="{0E23B9A3-340E-4198-8887-42495CDCF6AE}"/>
    <cellStyle name="BROAD SCOPE" xfId="156" xr:uid="{7A9CB309-F085-4807-8423-9770AA57C3DC}"/>
    <cellStyle name="BROAD_SCOPE" xfId="157" xr:uid="{6248CD29-4D82-4B46-B582-44946C75F689}"/>
    <cellStyle name="Calc Currency (0)" xfId="158" xr:uid="{312DFBC2-E248-4C3C-B990-2F67417104C9}"/>
    <cellStyle name="Calc Currency (2)" xfId="159" xr:uid="{3F08BF97-1FA4-483A-9EB8-E44AD876F940}"/>
    <cellStyle name="Calc Percent (0)" xfId="160" xr:uid="{68E1CDA9-77BC-4178-97D7-9033BB3FC556}"/>
    <cellStyle name="Calc Percent (1)" xfId="161" xr:uid="{A7D6FC86-CCD0-4CE8-A49A-565F51B67EA5}"/>
    <cellStyle name="Calc Percent (2)" xfId="162" xr:uid="{3F11F206-ED3C-4181-8B77-278366E8D7C2}"/>
    <cellStyle name="Calc Units (0)" xfId="163" xr:uid="{2ED71A78-4E62-40D7-BAD6-14EA39332A89}"/>
    <cellStyle name="Calc Units (1)" xfId="164" xr:uid="{A8CC75F2-C458-43CD-9955-6041811F2F4C}"/>
    <cellStyle name="Calc Units (2)" xfId="165" xr:uid="{9F670488-BB19-4B6D-B0D1-DE49184997FE}"/>
    <cellStyle name="Comma  - Style1" xfId="166" xr:uid="{38A14D76-4343-427D-9370-4490E83C334E}"/>
    <cellStyle name="Comma  - Style2" xfId="167" xr:uid="{C0AC297B-1E73-4B94-A29C-3C0836F25A94}"/>
    <cellStyle name="Comma  - Style3" xfId="168" xr:uid="{3D3C6EFB-B719-4BA7-85DD-8E8CB75F916F}"/>
    <cellStyle name="Comma  - Style4" xfId="169" xr:uid="{89D58EAC-A476-4CD4-93DF-36C1C6175B85}"/>
    <cellStyle name="Comma  - Style5" xfId="170" xr:uid="{F9B6ECBD-EED7-4DE5-8407-3C832483B371}"/>
    <cellStyle name="Comma  - Style6" xfId="171" xr:uid="{E9180A8C-F06D-436C-93C4-78154DD89F50}"/>
    <cellStyle name="Comma  - Style7" xfId="172" xr:uid="{18DE4EFF-4DB6-4518-9DB0-7A16F8CF4737}"/>
    <cellStyle name="Comma  - Style8" xfId="173" xr:uid="{D5539FD3-C90B-4CCF-8406-49485C767042}"/>
    <cellStyle name="Comma [0]_#6 Temps &amp; Contractors" xfId="174" xr:uid="{BF9B0370-ABED-4830-9542-939F96D5DA3B}"/>
    <cellStyle name="Comma [00]" xfId="175" xr:uid="{B8F2F1E4-CB22-4958-996D-20DC5106867B}"/>
    <cellStyle name="Comma(0)" xfId="176" xr:uid="{44C73122-3603-4341-BDC3-0FA96501C18E}"/>
    <cellStyle name="Comma(1)" xfId="177" xr:uid="{8365C5BB-EB8C-4E96-B898-567D5A2ABA6B}"/>
    <cellStyle name="Comma_#6 Temps &amp; Contractors" xfId="178" xr:uid="{CAE1C124-F4A4-40EF-9C70-FE5394CD8F7F}"/>
    <cellStyle name="Currency [0]_#6 Temps &amp; Contractors" xfId="179" xr:uid="{3D587EB2-FEB3-4475-97C2-D013E6E974B3}"/>
    <cellStyle name="Currency [00]" xfId="180" xr:uid="{D4821F82-4F38-48E4-AF02-92EEE15BE3BA}"/>
    <cellStyle name="Currency_#6 Temps &amp; Contractors" xfId="181" xr:uid="{3B2E715A-3A22-46A6-AFD1-E903CFD04850}"/>
    <cellStyle name="Date Short" xfId="182" xr:uid="{3D83A27F-FDCC-423B-97A0-CC86EFF47C7A}"/>
    <cellStyle name="DELTA" xfId="183" xr:uid="{DB15B35A-8CB8-4348-A47B-D295AD184B57}"/>
    <cellStyle name="eng" xfId="184" xr:uid="{C69DBD99-888D-491A-8C9B-41948AF158C5}"/>
    <cellStyle name="Enter Currency (0)" xfId="185" xr:uid="{9C4C57CF-EC18-4BB3-BCBF-F5EBECAAFB06}"/>
    <cellStyle name="Enter Currency (2)" xfId="186" xr:uid="{F38AEC00-001E-49BC-9400-D9ED63D99245}"/>
    <cellStyle name="Enter Units (0)" xfId="187" xr:uid="{15628D24-74D7-4BC3-966C-3762CEF2683C}"/>
    <cellStyle name="Enter Units (1)" xfId="188" xr:uid="{B47614C1-0D73-4DA1-9084-38CAA05AF077}"/>
    <cellStyle name="Enter Units (2)" xfId="189" xr:uid="{F9FE1DCD-2C0D-4449-A50A-64B953BBE2F0}"/>
    <cellStyle name="Followed Hyperlink_0331longsht" xfId="190" xr:uid="{BA2146E9-CD69-4697-AC98-0DE7A98D7E19}"/>
    <cellStyle name="Grey" xfId="191" xr:uid="{45586B16-952C-4558-A3E6-177ADC46AFBD}"/>
    <cellStyle name="Header1" xfId="192" xr:uid="{3096876F-72B6-450F-820C-4602F718F096}"/>
    <cellStyle name="Header2" xfId="193" xr:uid="{6047C935-2B22-4F2B-A3B7-932F97F504B7}"/>
    <cellStyle name="Hyperlink_0331ytd_cal" xfId="194" xr:uid="{0BFE61C9-67F4-4EDF-897F-058675915B6B}"/>
    <cellStyle name="Input [yellow]" xfId="195" xr:uid="{B469D0ED-4EFF-447C-A195-1F53935D8DA1}"/>
    <cellStyle name="Link Currency (0)" xfId="196" xr:uid="{DEB23F4D-A03F-47BC-8BFC-E237E9E12598}"/>
    <cellStyle name="Link Currency (2)" xfId="197" xr:uid="{61D04804-D5DC-4FDF-A08A-537F8198E8C4}"/>
    <cellStyle name="Link Units (0)" xfId="198" xr:uid="{BEB9FDA2-D91A-43EF-89B6-9E309E259418}"/>
    <cellStyle name="Link Units (1)" xfId="199" xr:uid="{E4980270-DCE1-4BDB-9556-AB0AB226EE8B}"/>
    <cellStyle name="Link Units (2)" xfId="200" xr:uid="{FCA6F75F-2476-4C20-B07D-77E5BE833A5D}"/>
    <cellStyle name="lu" xfId="201" xr:uid="{E4A681F4-C22C-415A-A460-FAE9D22152E9}"/>
    <cellStyle name="MEDIUM SCOPE" xfId="202" xr:uid="{038313CA-10ED-4EAA-9283-E417CDC78DBE}"/>
    <cellStyle name="name" xfId="203" xr:uid="{228659CE-9AD8-4C13-8EFB-FBB8C91AB175}"/>
    <cellStyle name="NARROW SCOPE" xfId="204" xr:uid="{D13029C0-7C84-4CA3-87E3-21B39D20778F}"/>
    <cellStyle name="no dec" xfId="205" xr:uid="{98189B56-BC21-4227-999D-D434E9582ED1}"/>
    <cellStyle name="Normal - Style1" xfId="206" xr:uid="{E0AFCC07-A6F6-4CF7-A1C3-CEEBF0DB3C22}"/>
    <cellStyle name="Normal_# 41-Market &amp;Trends" xfId="207" xr:uid="{258A3D29-19F0-4158-A289-EBA9AD818B07}"/>
    <cellStyle name="oft Excel]_x000d__x000a_Comment=The open=/f lines load custom functions into the Paste Function list._x000d__x000a_Maximized=3_x000d__x000a_AutoFormat=" xfId="208" xr:uid="{81488B96-E3EE-44D8-B84E-3BC2182B1D94}"/>
    <cellStyle name="oft Excel]_x000d__x000a_Comment=The open=/f lines load custom functions into the Paste Function list._x000d__x000a_Maximized=3_x000d__x000a_AutoFormat= 2" xfId="209" xr:uid="{4A5A3A6D-CB17-4B11-B35F-B08D98504203}"/>
    <cellStyle name="paint" xfId="210" xr:uid="{EB4E5F63-C4B8-4116-8ABC-0F246E3A04E3}"/>
    <cellStyle name="Percent [0]" xfId="211" xr:uid="{3EE10D16-33B4-4974-949B-F50D9750637A}"/>
    <cellStyle name="Percent [00]" xfId="212" xr:uid="{05DBAFAA-B813-4992-9E02-FC98AC048FEA}"/>
    <cellStyle name="Percent [2]" xfId="213" xr:uid="{58D8DD35-7807-4A1B-9131-1BA53D37BC4F}"/>
    <cellStyle name="Percent_#6 Temps &amp; Contractors" xfId="214" xr:uid="{6230ABB9-71FF-422A-8575-CB484790E6D5}"/>
    <cellStyle name="PrePop Currency (0)" xfId="215" xr:uid="{052C7E88-6790-4B80-BD83-E9CA9EE69BA2}"/>
    <cellStyle name="PrePop Currency (2)" xfId="216" xr:uid="{B9C14EBD-535C-428E-A927-04F140B53980}"/>
    <cellStyle name="PrePop Units (0)" xfId="217" xr:uid="{A73167DC-32B3-4365-84A4-3D42DEAD70FE}"/>
    <cellStyle name="PrePop Units (1)" xfId="218" xr:uid="{0B1B97F8-7B0D-43F4-970E-566F8C90119B}"/>
    <cellStyle name="PrePop Units (2)" xfId="219" xr:uid="{26868A00-1913-4F72-BE2C-BD9FF7D00AB8}"/>
    <cellStyle name="Rate_1" xfId="220" xr:uid="{3A5967D3-8B90-48D6-A7CD-393DAC8D32F9}"/>
    <cellStyle name="s]_x000d__x000a_spooler=no_x000d__x000a_load=C:\MEDIAPRO\vi_grm.exe C:\GNET31\NETMOUSE.EXE Essdaemn.exe_x000d__x000a_run=_x000d__x000a_Beep=yes_x000d__x000a_NullPort=None_x000d__x000a_BorderW" xfId="221" xr:uid="{1D2B7916-BCDF-4280-9A50-8F5D069B1D43}"/>
    <cellStyle name="Schedule" xfId="222" xr:uid="{4867DE3C-632D-4BB3-A745-868E9C00BC44}"/>
    <cellStyle name="Standard_Anpassen der Amortisation" xfId="223" xr:uid="{E4A60DCB-7051-47F2-932A-213E68061CF8}"/>
    <cellStyle name="t1" xfId="224" xr:uid="{2338F4F4-1F9B-442D-BAF3-D5EDD077C7FD}"/>
    <cellStyle name="Text Indent A" xfId="225" xr:uid="{88C8AF01-DBBB-435A-B546-DE3347C3CCD4}"/>
    <cellStyle name="Text Indent B" xfId="226" xr:uid="{AC8D4535-13D5-492F-ABC3-7A0B5141B5B1}"/>
    <cellStyle name="Text Indent C" xfId="227" xr:uid="{72390ADD-F7D2-4E69-94A7-21E3F06DED6F}"/>
    <cellStyle name="title" xfId="228" xr:uid="{B5BF90D6-8EAA-4D52-AD5E-A018AAE4DFA8}"/>
    <cellStyle name="Total" xfId="229" xr:uid="{9E47C4EF-D663-40F7-9B25-E64FBF66C75C}"/>
    <cellStyle name="Währung [0]_Compiling Utility Macros" xfId="230" xr:uid="{E03B8AE6-1877-4AFB-9D9A-6A30C3769709}"/>
    <cellStyle name="Währung_Compiling Utility Macros" xfId="231" xr:uid="{9AB8E75D-71FD-4AD7-9306-8D684BC371C4}"/>
    <cellStyle name="一舨_第59次會議表" xfId="232" xr:uid="{63FA4951-6D72-4F97-B536-4AEBBA8FFA95}"/>
    <cellStyle name="一般" xfId="0" builtinId="0"/>
    <cellStyle name="一般 10" xfId="233" xr:uid="{D21201A4-7BAE-4B8A-A085-4836F92A09F2}"/>
    <cellStyle name="一般 10 2" xfId="234" xr:uid="{AA7981D9-0C21-4D98-94A0-760750BEE791}"/>
    <cellStyle name="一般 10 3" xfId="235" xr:uid="{67A1A84B-D6F9-4B44-BD79-F89CB21B5B66}"/>
    <cellStyle name="一般 10 4" xfId="236" xr:uid="{A99E0C6E-0731-4EB9-9943-8738DBEAD9DD}"/>
    <cellStyle name="一般 10 5" xfId="237" xr:uid="{C3B6490F-CEA7-4EB5-8CB9-0A72AA6A78B8}"/>
    <cellStyle name="一般 11" xfId="238" xr:uid="{F5717815-D043-4400-B364-400038BF7EBF}"/>
    <cellStyle name="一般 11 2" xfId="239" xr:uid="{BDF60959-D661-4ABD-B617-27F2D6558D4A}"/>
    <cellStyle name="一般 11 3" xfId="240" xr:uid="{DC960354-57FD-404B-827D-85418CBAB013}"/>
    <cellStyle name="一般 11 4" xfId="241" xr:uid="{44B57372-A664-46B6-8107-678D3594906A}"/>
    <cellStyle name="一般 12" xfId="242" xr:uid="{F2B6CF98-616B-425A-9A41-AFE6DADB0C90}"/>
    <cellStyle name="一般 12 2" xfId="243" xr:uid="{915998F8-2AE2-475F-A7BD-9124AE468959}"/>
    <cellStyle name="一般 12 3" xfId="244" xr:uid="{FD90B9B7-B22B-4650-9065-6DA4AB13E631}"/>
    <cellStyle name="一般 13" xfId="245" xr:uid="{20BD81D9-8CD1-4C0C-BBC5-E181B5AFA045}"/>
    <cellStyle name="一般 13 2" xfId="246" xr:uid="{4EA70CE5-0CD0-4457-9463-7C232EDD09BE}"/>
    <cellStyle name="一般 13 3" xfId="247" xr:uid="{D596AFA4-9989-4C7A-8697-8F3B15139A2B}"/>
    <cellStyle name="一般 13 4" xfId="248" xr:uid="{BEF63D08-E254-44FF-B084-46911E641C83}"/>
    <cellStyle name="一般 14" xfId="249" xr:uid="{76BE3F66-90C6-45B0-B6F5-F3F4C449283C}"/>
    <cellStyle name="一般 14 2" xfId="250" xr:uid="{ABDF4DB8-D026-4036-B4B0-660985FD2844}"/>
    <cellStyle name="一般 14 3" xfId="251" xr:uid="{373E5C59-3827-4212-80ED-329543404CA9}"/>
    <cellStyle name="一般 15" xfId="252" xr:uid="{2B0D8125-953C-4454-B653-53A8990E48E3}"/>
    <cellStyle name="一般 15 2" xfId="253" xr:uid="{BAA8E949-4A08-4260-B0B4-3F6E6327656F}"/>
    <cellStyle name="一般 15 3" xfId="254" xr:uid="{11257E45-1E88-4E42-9EB2-8D2C00FB0942}"/>
    <cellStyle name="一般 16" xfId="255" xr:uid="{2611AB64-BECC-4746-A052-D55AF9453E29}"/>
    <cellStyle name="一般 16 2" xfId="256" xr:uid="{7015EC27-C3A7-474A-8D48-2CCA85F94029}"/>
    <cellStyle name="一般 16 3" xfId="257" xr:uid="{0199DB93-8767-4E5F-96E3-8D4E4834A5C6}"/>
    <cellStyle name="一般 17" xfId="258" xr:uid="{CE1C208A-D26A-4241-AE22-D94F610F1E70}"/>
    <cellStyle name="一般 18" xfId="2" xr:uid="{7D20BA69-9E28-4A39-ADAF-8BF0FE3440C7}"/>
    <cellStyle name="一般 18 2" xfId="259" xr:uid="{395DE68B-96A5-4AE9-827F-AE611852AD88}"/>
    <cellStyle name="一般 18 3" xfId="260" xr:uid="{B1732017-670D-4C40-87AF-CB089E9607B2}"/>
    <cellStyle name="一般 19 2" xfId="261" xr:uid="{ACE98F39-D643-41BD-A822-D599C0736F3D}"/>
    <cellStyle name="一般 19 3" xfId="262" xr:uid="{97D66EAE-1756-4648-AD59-0790D3883F10}"/>
    <cellStyle name="一般 2" xfId="1" xr:uid="{63575378-AF40-4B88-AF2A-461536251FD4}"/>
    <cellStyle name="一般 2 2" xfId="264" xr:uid="{832F8544-6270-4976-BE4B-0060786ED6E0}"/>
    <cellStyle name="一般 2 2 2" xfId="265" xr:uid="{C5150BE8-91A5-4E3C-999F-ECD70EA254C6}"/>
    <cellStyle name="一般 2 3" xfId="266" xr:uid="{ACF63E6C-7B3B-4972-8E78-2165DA72C0E4}"/>
    <cellStyle name="一般 2 3 2" xfId="267" xr:uid="{B3C1CC60-17AB-498D-9AFD-EA03C626D797}"/>
    <cellStyle name="一般 2 4" xfId="268" xr:uid="{0044B4B8-7A9A-47E9-9FCD-6F3C16B24173}"/>
    <cellStyle name="一般 2 5" xfId="269" xr:uid="{2458CA29-578C-4E15-83A4-51D3ECC78283}"/>
    <cellStyle name="一般 2 6" xfId="263" xr:uid="{FF417851-1CD7-4303-85E1-0F3B08A4B999}"/>
    <cellStyle name="一般 2_1000515-鹿中活動中心定案預算" xfId="270" xr:uid="{EE79F74D-D3E1-4613-9224-9D5C16D642D8}"/>
    <cellStyle name="一般 20 2" xfId="271" xr:uid="{FCD12AE2-5B5E-4A78-BBF5-3CD8B459B1DE}"/>
    <cellStyle name="一般 20 3" xfId="272" xr:uid="{4872DC46-7647-46E4-BA4B-EFA123594D78}"/>
    <cellStyle name="一般 21 2" xfId="273" xr:uid="{EC3F27B4-C1C7-48B8-B316-A0F6CA94F888}"/>
    <cellStyle name="一般 21 3" xfId="274" xr:uid="{534E385F-33E4-4A32-8430-4D408A9D8E23}"/>
    <cellStyle name="一般 22 2" xfId="275" xr:uid="{8B25291F-C1CF-4A0D-A7C6-92A57A0E1562}"/>
    <cellStyle name="一般 22 3" xfId="276" xr:uid="{B2B88C22-3B6E-4871-8F21-9053BA4E251E}"/>
    <cellStyle name="一般 29 2" xfId="277" xr:uid="{B8C14894-97D0-44BF-BB4A-1285EFD035A0}"/>
    <cellStyle name="一般 29 3" xfId="278" xr:uid="{37717642-BCC8-400A-A64A-AE7904E52A66}"/>
    <cellStyle name="一般 3" xfId="279" xr:uid="{5017D0F3-C99B-4D19-B1D0-089A5CF4DFB5}"/>
    <cellStyle name="一般 3 2" xfId="280" xr:uid="{4DFAC495-7616-4DB5-A8AE-CF21EAAF9C85}"/>
    <cellStyle name="一般 3 3" xfId="281" xr:uid="{158547AB-684B-4A6F-8969-D468363DBB39}"/>
    <cellStyle name="一般 3 4" xfId="282" xr:uid="{B1BD0183-34D4-4559-B4F2-DB6F8D7E90A6}"/>
    <cellStyle name="一般 3 5" xfId="283" xr:uid="{27ABE009-6439-4C7E-887A-12034D15141D}"/>
    <cellStyle name="一般 3_1030902-大同球場概算" xfId="284" xr:uid="{9ABFD842-5766-47B1-9C55-D7E6D9EDB099}"/>
    <cellStyle name="一般 30 2" xfId="285" xr:uid="{96C5DBF2-DD09-4481-8841-CDF7E5623537}"/>
    <cellStyle name="一般 30 3" xfId="286" xr:uid="{DB3D9C8C-F0FE-4942-BF44-A09B34A93B53}"/>
    <cellStyle name="一般 31 2" xfId="287" xr:uid="{70FA00F7-1706-49FD-811B-E70EBEB36756}"/>
    <cellStyle name="一般 31 3" xfId="288" xr:uid="{1768A3C7-0569-47EF-8250-9654DAD38448}"/>
    <cellStyle name="一般 32 2" xfId="289" xr:uid="{0DAC6B1E-BA00-4448-9906-6BAD0671F48D}"/>
    <cellStyle name="一般 32 3" xfId="290" xr:uid="{AA2BCB03-DB16-4766-9ED4-CFBFB395B25C}"/>
    <cellStyle name="一般 33 2" xfId="291" xr:uid="{E1415B68-81F5-4571-A03C-C454E8966331}"/>
    <cellStyle name="一般 33 3" xfId="292" xr:uid="{3466F89D-C902-41C5-9CDE-FA29B1E0D75E}"/>
    <cellStyle name="一般 34 2" xfId="293" xr:uid="{9942FB33-0368-47B6-BA70-3AB7D78F09D7}"/>
    <cellStyle name="一般 34 3" xfId="294" xr:uid="{8EF7E49C-5BB2-49C2-B537-C6011E00CAD3}"/>
    <cellStyle name="一般 35 2" xfId="295" xr:uid="{E3093EA4-55CA-4983-BAB5-F0FB8A00B961}"/>
    <cellStyle name="一般 35 3" xfId="296" xr:uid="{624A1B50-AD9F-42B5-9BE4-C6ABC0CB8E26}"/>
    <cellStyle name="一般 36 2" xfId="297" xr:uid="{8559DF6D-608F-46BC-9762-8F3CFD320B38}"/>
    <cellStyle name="一般 36 3" xfId="298" xr:uid="{222CF298-CA20-457F-B5B4-7EB02AB05ED6}"/>
    <cellStyle name="一般 37 2" xfId="299" xr:uid="{D62A77D8-8A5E-4C17-B092-9B69432AE314}"/>
    <cellStyle name="一般 37 3" xfId="300" xr:uid="{9CB703A1-A2B6-41B2-9C9D-A6CA13A434E3}"/>
    <cellStyle name="一般 38 2" xfId="301" xr:uid="{5EC0B064-C83F-43F0-9450-14E551787D23}"/>
    <cellStyle name="一般 38 3" xfId="302" xr:uid="{340DDB5A-1D1A-4E26-8EA0-78259C76EECE}"/>
    <cellStyle name="一般 39 2" xfId="303" xr:uid="{4CEF13B9-78E7-4447-9AB6-6322ABAFB4D9}"/>
    <cellStyle name="一般 39 3" xfId="304" xr:uid="{1D3FE1A6-316A-4762-BD9F-B3785435C0CC}"/>
    <cellStyle name="一般 4" xfId="305" xr:uid="{E897444E-25A9-4157-95DB-14DAC17E05EF}"/>
    <cellStyle name="一般 4 2" xfId="306" xr:uid="{7D2E9B36-1F17-4B1C-97DE-978FF12B7AD5}"/>
    <cellStyle name="一般 40 2" xfId="307" xr:uid="{7A5CBC31-02CB-4191-8961-2B22DE655C4A}"/>
    <cellStyle name="一般 40 3" xfId="308" xr:uid="{E7478555-3283-42AC-AF60-F6820D8444D9}"/>
    <cellStyle name="一般 41 2" xfId="309" xr:uid="{C20CAE1D-08B7-4CD9-A28B-85BDAB03714C}"/>
    <cellStyle name="一般 41 3" xfId="310" xr:uid="{75E440ED-A23D-4608-8A33-360B38A6E148}"/>
    <cellStyle name="一般 47 2" xfId="311" xr:uid="{3471A2C0-09FC-4226-B85C-5F0272EAD5E7}"/>
    <cellStyle name="一般 47 3" xfId="312" xr:uid="{5559B54B-1A40-4144-834D-1A43AC3D8F4D}"/>
    <cellStyle name="一般 48 2" xfId="313" xr:uid="{BC3A6A27-269F-462E-AD2F-9669748A569B}"/>
    <cellStyle name="一般 48 3" xfId="314" xr:uid="{1B346ACD-5A14-4FC4-8A1E-F2616788FD97}"/>
    <cellStyle name="一般 49 2" xfId="315" xr:uid="{0A5A51BA-F9A9-4A2C-89BF-822969918129}"/>
    <cellStyle name="一般 49 3" xfId="316" xr:uid="{10ECDEE8-96F9-4189-8769-ED4224AB99BE}"/>
    <cellStyle name="一般 5" xfId="317" xr:uid="{EA3882B7-7D76-44B2-8965-1F60D7CBF8A4}"/>
    <cellStyle name="一般 5 2" xfId="318" xr:uid="{0F674C9D-D466-402E-B34F-4D97BD7AB29C}"/>
    <cellStyle name="一般 5 2 2" xfId="319" xr:uid="{6723C0F0-69F0-4E07-8E8A-E9F61A02C366}"/>
    <cellStyle name="一般 5 3" xfId="320" xr:uid="{D233DEC7-7995-4EB5-B2D2-2D4E32087176}"/>
    <cellStyle name="一般 50 2" xfId="321" xr:uid="{B55AF92F-35BF-4F38-95C5-77312C4D2459}"/>
    <cellStyle name="一般 50 3" xfId="322" xr:uid="{F15CC926-0A9A-4CAA-83F3-5E987AAA290E}"/>
    <cellStyle name="一般 51 2" xfId="323" xr:uid="{9AAD1977-D702-494A-ADE0-C451FD8E3D52}"/>
    <cellStyle name="一般 51 3" xfId="324" xr:uid="{058885DD-2E4C-4790-AC46-76CD36480514}"/>
    <cellStyle name="一般 52 2" xfId="325" xr:uid="{925E5F53-3022-4F79-9638-7BF1D2C32AEC}"/>
    <cellStyle name="一般 52 3" xfId="326" xr:uid="{F2D675B4-8559-409A-90F6-84CBA35DAA2F}"/>
    <cellStyle name="一般 53 2" xfId="327" xr:uid="{A4D40BB1-3DB2-4767-A1B7-B5B9F406EFD1}"/>
    <cellStyle name="一般 53 3" xfId="328" xr:uid="{65FA78E6-2DC2-4F59-911D-36E5C8B2F1A0}"/>
    <cellStyle name="一般 54 2" xfId="329" xr:uid="{81795D6E-CA1E-4890-A18B-671516A8F283}"/>
    <cellStyle name="一般 54 3" xfId="330" xr:uid="{8CF1ADBF-7226-404C-9C97-CDD83809F8AC}"/>
    <cellStyle name="一般 55 2" xfId="331" xr:uid="{E10C5E9B-CC7A-4BC2-B790-538A0A750051}"/>
    <cellStyle name="一般 55 3" xfId="332" xr:uid="{DC3D6ED1-0154-4A80-A20F-8AF1696FD3D7}"/>
    <cellStyle name="一般 56 2" xfId="333" xr:uid="{F9B1D898-53BC-4C28-8332-5350A92CD717}"/>
    <cellStyle name="一般 56 3" xfId="334" xr:uid="{E1094D55-3F26-447C-B539-0E59AC51C21D}"/>
    <cellStyle name="一般 57" xfId="335" xr:uid="{59486998-6E18-4956-BE1D-331C91815989}"/>
    <cellStyle name="一般 6" xfId="336" xr:uid="{AAEC1DA5-B4A2-4C43-9173-2440F00E179F}"/>
    <cellStyle name="一般 7" xfId="337" xr:uid="{67EDF296-CE50-49C7-AE80-5757465304CE}"/>
    <cellStyle name="一般 7 2" xfId="338" xr:uid="{BF8EED30-62E7-4561-8862-3A825F2BB593}"/>
    <cellStyle name="一般 7 3" xfId="339" xr:uid="{DCF677AB-4E67-48AF-899C-03A1C1813F96}"/>
    <cellStyle name="一般 7 4" xfId="340" xr:uid="{A67D51AD-B917-4E3E-915B-9E9BD68D6886}"/>
    <cellStyle name="一般 7 4 2" xfId="341" xr:uid="{F4F93AEE-0D5A-4799-9CC6-98A2345AB106}"/>
    <cellStyle name="一般 7 5" xfId="342" xr:uid="{5F647268-D073-4635-B348-CF7BD43D86C0}"/>
    <cellStyle name="一般 8" xfId="343" xr:uid="{7BC7A25F-2EEE-4EA7-909F-0DAC2A434710}"/>
    <cellStyle name="一般 8 2" xfId="344" xr:uid="{FAB2AEDA-4FB4-478C-8EFB-A4D117883A58}"/>
    <cellStyle name="一般 8 3" xfId="345" xr:uid="{655258D8-9CE0-4EEF-9E7A-15C6EF381E80}"/>
    <cellStyle name="一般 8 4" xfId="346" xr:uid="{FB657985-A1C6-413D-BBC7-6F9266164755}"/>
    <cellStyle name="一般 8 5" xfId="347" xr:uid="{A8113649-DE6C-401F-8DD0-A887AA405B16}"/>
    <cellStyle name="一般 83" xfId="348" xr:uid="{36D25679-6E1E-40E1-A9FC-003FD2B0AC5D}"/>
    <cellStyle name="一般 9" xfId="349" xr:uid="{8F3B8A5C-6A9C-4ACA-BA30-FC7E5D75F1BC}"/>
    <cellStyle name="一般 9 2" xfId="350" xr:uid="{A2832FD2-CBB1-45BA-8571-5162596D6CA3}"/>
    <cellStyle name="一般 9 3" xfId="351" xr:uid="{4FC3118A-BD89-4ACC-8EBF-6FF286AE98DC}"/>
    <cellStyle name="一般 9 4" xfId="352" xr:uid="{FC984A60-1799-4EAF-8F24-38E60FBE5F54}"/>
    <cellStyle name="一般_台中科技大學外牆工程預算_1050807" xfId="730" xr:uid="{4D8FE511-BB87-4F94-8C69-84E15A71E122}"/>
    <cellStyle name="一般_雄鉅-公司1" xfId="729" xr:uid="{7F9A82F5-7460-4F88-A299-0DC962798C27}"/>
    <cellStyle name="一般_預算書-1" xfId="731" xr:uid="{73D793A9-8BF6-47A3-AC5E-D12F464EFCB1}"/>
    <cellStyle name="一般2" xfId="353" xr:uid="{49172F6C-5A29-4A02-B933-7B1759411116}"/>
    <cellStyle name="人工挖方" xfId="354" xr:uid="{AA4B16B9-1F21-414D-855F-0BA60581321F}"/>
    <cellStyle name="千分位 10" xfId="356" xr:uid="{D66B8D53-2661-4264-AA45-FBC870E40A9B}"/>
    <cellStyle name="千分位 10 2" xfId="357" xr:uid="{1826BBBF-CC5C-4A91-99F3-3CF63255E2BC}"/>
    <cellStyle name="千分位 11" xfId="358" xr:uid="{D5BC9D38-0C33-405A-A2B5-4173A509C4D2}"/>
    <cellStyle name="千分位 11 2" xfId="359" xr:uid="{3A2DCFF2-F9BF-48CC-9CD7-1A1ED1353478}"/>
    <cellStyle name="千分位 11 2 2" xfId="360" xr:uid="{88154A1E-ECDC-4A38-B3F2-CFA24D983B17}"/>
    <cellStyle name="千分位 11 3" xfId="361" xr:uid="{1C89E0AB-D751-4EA2-A85D-2BDBAAD48CE7}"/>
    <cellStyle name="千分位 12" xfId="362" xr:uid="{27F1DC1B-B7B8-40B9-A39F-ACFFD7C0D068}"/>
    <cellStyle name="千分位 12 2" xfId="363" xr:uid="{C917C3D8-8607-43C7-9ACF-F4A1B48AA5DC}"/>
    <cellStyle name="千分位 12 2 2" xfId="364" xr:uid="{78465683-A01F-498C-BC7D-6082A66D6047}"/>
    <cellStyle name="千分位 12 3" xfId="365" xr:uid="{8E5B3E4F-BBEE-4948-8486-460EA5DF52B3}"/>
    <cellStyle name="千分位 13" xfId="366" xr:uid="{C43B8E09-A904-4288-95C1-8B9E09BB73FA}"/>
    <cellStyle name="千分位 14" xfId="355" xr:uid="{583BB678-2145-4295-8222-FEC17A8EBCBC}"/>
    <cellStyle name="千分位 2" xfId="367" xr:uid="{FC80CE16-DF83-43FD-9B27-FEDB366933F7}"/>
    <cellStyle name="千分位 2 2" xfId="368" xr:uid="{8CA6066D-35AF-40AC-96AA-8B3E0A70D4EB}"/>
    <cellStyle name="千分位 2 2 2" xfId="369" xr:uid="{C164C8A8-4976-4B3E-B5EF-8C0E5B0F5B91}"/>
    <cellStyle name="千分位 2 2 2 2" xfId="370" xr:uid="{B917C6C9-A25E-42AF-B5AA-8EA1323F1C07}"/>
    <cellStyle name="千分位 2 2 3" xfId="371" xr:uid="{AC0DE3BF-2D8C-4049-A151-84FBE3BEF7CD}"/>
    <cellStyle name="千分位 2 2 3 2" xfId="372" xr:uid="{1030E891-2098-4364-9E42-F8887EA6AF66}"/>
    <cellStyle name="千分位 2 2 3 2 2" xfId="373" xr:uid="{D18D97D0-2415-48EC-8B7D-F38ACA175B2E}"/>
    <cellStyle name="千分位 2 2 4" xfId="374" xr:uid="{89FADAAC-3B57-431E-A900-8E4A5C5DCB44}"/>
    <cellStyle name="千分位 2 2 4 2" xfId="375" xr:uid="{6672C904-EFA8-4A0D-A291-BBFF89D35D02}"/>
    <cellStyle name="千分位 2 2 4 2 2" xfId="376" xr:uid="{C11147C6-726E-44C6-A803-8A22F7D6A651}"/>
    <cellStyle name="千分位 2 2 4 3" xfId="377" xr:uid="{FCCBE94A-464A-42C6-AA20-8CAF886A004C}"/>
    <cellStyle name="千分位 2 2 5" xfId="378" xr:uid="{74AD7482-F73A-4541-A8C6-BAEE07862688}"/>
    <cellStyle name="千分位 2 2 5 2" xfId="379" xr:uid="{5FD74FC5-DE96-49CC-8353-0F5C781BC538}"/>
    <cellStyle name="千分位 2 2 6" xfId="380" xr:uid="{9B537BDD-921F-414A-9180-7C0EE94C0230}"/>
    <cellStyle name="千分位 2 2 6 2" xfId="381" xr:uid="{316248B3-77A1-4A37-A552-343AE7FF40DF}"/>
    <cellStyle name="千分位 2 2 7" xfId="382" xr:uid="{B6F6A322-53E1-47AB-A487-325920C9C189}"/>
    <cellStyle name="千分位 2 3" xfId="383" xr:uid="{20515085-0A2F-408E-B57A-E12774156132}"/>
    <cellStyle name="千分位 2 3 2" xfId="384" xr:uid="{A86E4876-80D6-4931-AC3D-F7C9C6F8E963}"/>
    <cellStyle name="千分位 2 3 2 2" xfId="385" xr:uid="{72B18ED3-76DE-4A5C-A1AA-E04716D9C5A1}"/>
    <cellStyle name="千分位 2 3 2 2 2" xfId="386" xr:uid="{E892D935-F51C-466C-B1D5-D32837587A7E}"/>
    <cellStyle name="千分位 2 3 2 3" xfId="387" xr:uid="{659316F0-2CF1-4C15-A254-E66BFA29145E}"/>
    <cellStyle name="千分位 2 3 3" xfId="388" xr:uid="{060FCFBD-13DF-4815-9D87-1C98CAFB219E}"/>
    <cellStyle name="千分位 2 3 3 2" xfId="389" xr:uid="{ACB575A1-8CDE-4B4C-B9E0-42F2BC865262}"/>
    <cellStyle name="千分位 2 3 4" xfId="390" xr:uid="{770404D7-9634-4341-9580-E107D4977376}"/>
    <cellStyle name="千分位 2 3 4 2" xfId="391" xr:uid="{ED70E931-6FEA-411A-A57E-53B5183FA2A6}"/>
    <cellStyle name="千分位 2 3 5" xfId="392" xr:uid="{0BB4F2E0-8FAE-45BA-8B46-392609E64306}"/>
    <cellStyle name="千分位 2 4" xfId="393" xr:uid="{8EABC971-0DF1-42D8-BD54-2E3DAFD0F4DC}"/>
    <cellStyle name="千分位 2 4 2" xfId="394" xr:uid="{5726D401-6634-432B-9E4C-22F38D00F39C}"/>
    <cellStyle name="千分位 2 5" xfId="395" xr:uid="{AB7F2B94-8CFC-4121-B79E-5EB7D33217A9}"/>
    <cellStyle name="千分位 2 5 2" xfId="396" xr:uid="{50AF42B1-A78B-420D-8FF1-77858DAD7A0A}"/>
    <cellStyle name="千分位 2 6" xfId="397" xr:uid="{4971052B-1781-44D9-BE3A-E5AEF9524307}"/>
    <cellStyle name="千分位 2_1010720預算" xfId="398" xr:uid="{41CEAF55-A752-4324-B032-C5FBD07B2700}"/>
    <cellStyle name="千分位 3" xfId="399" xr:uid="{D968EAF7-DF86-4411-ADEF-15036B73E5C4}"/>
    <cellStyle name="千分位 3 2" xfId="400" xr:uid="{899612EA-FCE6-4A27-A6CE-8891B4B6B34E}"/>
    <cellStyle name="千分位 3 2 2" xfId="401" xr:uid="{62492C7A-61B8-456F-986A-482938FD4E52}"/>
    <cellStyle name="千分位 3 3" xfId="402" xr:uid="{94926EBF-8FF5-4C20-8B50-5395019DF5B9}"/>
    <cellStyle name="千分位 3 3 2" xfId="403" xr:uid="{E06AB930-0A1D-451B-887E-86BADBBD1E80}"/>
    <cellStyle name="千分位 3 4" xfId="404" xr:uid="{D06102A8-EFD9-4AF9-A8FE-14048D1B844C}"/>
    <cellStyle name="千分位 3 4 2" xfId="405" xr:uid="{B5FC1C5A-5F0F-4FF8-9C94-680732FEDB24}"/>
    <cellStyle name="千分位 3 5" xfId="406" xr:uid="{5766B70F-6346-4A23-91AA-D37D23B67759}"/>
    <cellStyle name="千分位 3_1030902-大同球場概算" xfId="407" xr:uid="{5714FC92-7EA3-4289-A500-F5F62B61E08B}"/>
    <cellStyle name="千分位 36" xfId="408" xr:uid="{DB485163-9B89-4EAE-BE0B-89745016AD96}"/>
    <cellStyle name="千分位 36 2" xfId="409" xr:uid="{DDB298E7-60CD-469A-82BF-E29BFA95E2AB}"/>
    <cellStyle name="千分位 4" xfId="410" xr:uid="{D1562FB0-76EF-4F6A-AB11-AAF983CB2E5A}"/>
    <cellStyle name="千分位 4 2" xfId="411" xr:uid="{214B520E-1172-4FB6-A874-53385F14166B}"/>
    <cellStyle name="千分位 4 2 2" xfId="412" xr:uid="{74A53AF3-2B9B-4D9E-85DF-91C21882BF57}"/>
    <cellStyle name="千分位 4 3" xfId="413" xr:uid="{F97D8D22-6554-4265-9FB6-5291712BDCCE}"/>
    <cellStyle name="千分位 5" xfId="414" xr:uid="{3380FA73-BCAF-499D-8D71-E36D006E39E1}"/>
    <cellStyle name="千分位 5 2" xfId="415" xr:uid="{D9855AB2-9A59-4D1E-932F-86D43959117B}"/>
    <cellStyle name="千分位 5 2 2" xfId="416" xr:uid="{1C191A56-D8DD-4AE3-A036-4B1202B6D22E}"/>
    <cellStyle name="千分位 5 3" xfId="417" xr:uid="{69DC6696-52BC-45C9-A545-A7AB66822623}"/>
    <cellStyle name="千分位 5 3 2" xfId="418" xr:uid="{0D0BB0AD-AFDF-427E-8A1E-A3997161B064}"/>
    <cellStyle name="千分位 5 3 2 2" xfId="419" xr:uid="{95567405-ACAA-4855-AA22-3FCEC8386007}"/>
    <cellStyle name="千分位 5 3 3" xfId="420" xr:uid="{59C2156F-6716-43A7-A9C1-812FD62E7665}"/>
    <cellStyle name="千分位 5 4" xfId="421" xr:uid="{07E95791-7A7B-485C-8057-2C07ADCFEE67}"/>
    <cellStyle name="千分位 5 4 2" xfId="422" xr:uid="{681A870E-6F97-4F04-96A5-398024C43DFD}"/>
    <cellStyle name="千分位 5 5" xfId="423" xr:uid="{535AB3A7-E290-4A6B-A41E-7EBF67761697}"/>
    <cellStyle name="千分位 6" xfId="424" xr:uid="{7ECBDA10-F25C-40C1-9962-DBA68985428F}"/>
    <cellStyle name="千分位 6 2" xfId="425" xr:uid="{3296C950-FA54-47AE-86BF-3C7566098563}"/>
    <cellStyle name="千分位 7" xfId="426" xr:uid="{26649093-D1A6-42D5-810F-4E8B66A20220}"/>
    <cellStyle name="千分位 7 2" xfId="427" xr:uid="{380CE6D7-AE9F-4B1C-9D7A-AA043F33F4C5}"/>
    <cellStyle name="千分位 7 2 2" xfId="428" xr:uid="{0F3EFDEF-537C-498E-AEC7-9E499DD57B45}"/>
    <cellStyle name="千分位 7 3" xfId="429" xr:uid="{B3F25DC7-40C1-4D8D-B13D-408BB871420B}"/>
    <cellStyle name="千分位 7 3 2" xfId="430" xr:uid="{02F34B17-1722-4904-A644-B70020198BAA}"/>
    <cellStyle name="千分位 7 4" xfId="431" xr:uid="{65AA7405-F3B7-464C-ABB5-6A83345A0557}"/>
    <cellStyle name="千分位 7 4 2" xfId="432" xr:uid="{BBBEB650-00F9-4D03-97B9-FB1FE46C8CB3}"/>
    <cellStyle name="千分位 7 4 2 2" xfId="433" xr:uid="{DBCB44C5-0FC9-411C-8707-8EEEF6F18D64}"/>
    <cellStyle name="千分位 7 4 3" xfId="434" xr:uid="{60DE9F74-C1F8-4E97-8942-6BF85E6FCEFE}"/>
    <cellStyle name="千分位 7 5" xfId="435" xr:uid="{CCB57550-5F6D-4595-B797-C6EBC1D2EDFF}"/>
    <cellStyle name="千分位 8" xfId="436" xr:uid="{0B845211-1AAC-45BD-9A81-EC8E08FB2D3F}"/>
    <cellStyle name="千分位 8 2" xfId="437" xr:uid="{C246FF0C-9F88-4358-9BFA-8392F1C16E43}"/>
    <cellStyle name="千分位 9" xfId="438" xr:uid="{6882DF0C-BEC4-4195-B72D-F4FACEA851C2}"/>
    <cellStyle name="千分位 9 2" xfId="439" xr:uid="{2338E9A7-087B-460B-B8BF-A5AD3B969492}"/>
    <cellStyle name="千分位[0] 10" xfId="440" xr:uid="{8A01CB2D-C64F-4399-9903-784E13528244}"/>
    <cellStyle name="千分位[0] 10 2" xfId="441" xr:uid="{77A61456-503E-4E64-A300-A0CA87A1FA4D}"/>
    <cellStyle name="千分位[0] 11" xfId="442" xr:uid="{8F6C991B-CF02-473A-AB96-1C7A554D907B}"/>
    <cellStyle name="千分位[0] 11 2" xfId="443" xr:uid="{410770CB-3A15-4029-84E0-EEECC026372C}"/>
    <cellStyle name="千分位[0] 12" xfId="444" xr:uid="{AC78797F-F259-46BE-A26A-CCAD26260308}"/>
    <cellStyle name="千分位[0] 12 2" xfId="445" xr:uid="{1CEBAD79-C629-44CF-A424-66DDC21A8586}"/>
    <cellStyle name="千分位[0] 13" xfId="446" xr:uid="{D5E5E3F0-8E58-4737-A194-1C75F078FA1D}"/>
    <cellStyle name="千分位[0] 13 2" xfId="447" xr:uid="{9882671D-D3B6-4806-9A21-1719013B3772}"/>
    <cellStyle name="千分位[0] 14" xfId="448" xr:uid="{C827C432-7AFA-4FBA-993B-452C92BF78FE}"/>
    <cellStyle name="千分位[0] 14 2" xfId="449" xr:uid="{5B8D532C-AD38-4B95-8E11-0D902C630310}"/>
    <cellStyle name="千分位[0] 15" xfId="450" xr:uid="{740C47B4-04B9-499B-BC09-A42434A8C126}"/>
    <cellStyle name="千分位[0] 15 2" xfId="451" xr:uid="{65A1FA0A-28DF-47F1-A74F-90A17CE2F20A}"/>
    <cellStyle name="千分位[0] 16" xfId="452" xr:uid="{1A6F5C0F-BC44-44FA-9504-5A47494A19A2}"/>
    <cellStyle name="千分位[0] 16 2" xfId="453" xr:uid="{8DBC6E99-C558-434F-B7AF-DB72E1C85809}"/>
    <cellStyle name="千分位[0] 17" xfId="454" xr:uid="{8C37B038-A79A-4F8E-A609-20C6BA86CA58}"/>
    <cellStyle name="千分位[0] 17 2" xfId="455" xr:uid="{BAA86510-8090-4FCD-9DE6-0E96DEDE23ED}"/>
    <cellStyle name="千分位[0] 18" xfId="456" xr:uid="{4F2CCBA3-58B2-465F-B908-34CBBCA12878}"/>
    <cellStyle name="千分位[0] 18 2" xfId="457" xr:uid="{17A0953B-93B9-47FD-A393-2E156F396D49}"/>
    <cellStyle name="千分位[0] 19" xfId="458" xr:uid="{E483D62B-EB5D-4745-8D21-1AF6DA97690A}"/>
    <cellStyle name="千分位[0] 19 2" xfId="459" xr:uid="{4C826ACD-1093-49B5-8A30-FD079B5A2053}"/>
    <cellStyle name="千分位[0] 2" xfId="460" xr:uid="{A408D74D-7EAA-4AD0-9D07-C7EE6282E596}"/>
    <cellStyle name="千分位[0] 2 2" xfId="461" xr:uid="{B99E11EB-DB07-4DBE-9832-B1D4C5CD2158}"/>
    <cellStyle name="千分位[0] 2 2 2" xfId="462" xr:uid="{97F97324-26A2-41E3-9C70-089FD92B7152}"/>
    <cellStyle name="千分位[0] 2 2 3" xfId="463" xr:uid="{F82DA421-9429-400B-BD7D-7EE40A640CF5}"/>
    <cellStyle name="千分位[0] 2 2 3 2" xfId="464" xr:uid="{1C4E114D-F656-44B9-B4EB-94621F55DB77}"/>
    <cellStyle name="千分位[0] 2 2 4" xfId="465" xr:uid="{123E602F-3E72-4AE2-A823-EA19A13E66DA}"/>
    <cellStyle name="千分位[0] 2 2 4 2" xfId="466" xr:uid="{945117AD-D07A-4FA1-AEAA-3D0D324A2EE0}"/>
    <cellStyle name="千分位[0] 2 2 5" xfId="467" xr:uid="{18DBBE5C-B342-497E-A3FD-F211801B80CB}"/>
    <cellStyle name="千分位[0] 2 3" xfId="468" xr:uid="{E4DF860F-3048-4183-A488-B8A90E9E5AFF}"/>
    <cellStyle name="千分位[0] 2 3 2" xfId="469" xr:uid="{20E63289-C95B-4AE7-9E2B-865C22AFD25F}"/>
    <cellStyle name="千分位[0] 2 3 2 2" xfId="470" xr:uid="{ECC0B51B-F2A5-4374-B199-1E24B54CEA01}"/>
    <cellStyle name="千分位[0] 2 3 2 2 2" xfId="471" xr:uid="{199C7D89-26C3-42FF-9736-1BA7AA7AE6F7}"/>
    <cellStyle name="千分位[0] 2 3 3" xfId="472" xr:uid="{D1F287FE-628C-4952-AD81-6F04249D3486}"/>
    <cellStyle name="千分位[0] 2 3 3 2" xfId="473" xr:uid="{244F6E0A-4848-4D36-875C-41F0A998A426}"/>
    <cellStyle name="千分位[0] 2 3 4" xfId="474" xr:uid="{375CE463-6D5C-47D6-A201-C2E3A0D8A9C1}"/>
    <cellStyle name="千分位[0] 2 3 4 2" xfId="475" xr:uid="{B88B5E73-9B7F-4500-86AE-9AAD74BE4490}"/>
    <cellStyle name="千分位[0] 2 3 5" xfId="476" xr:uid="{32049E8D-4E6E-451F-B90C-4D52255E30E3}"/>
    <cellStyle name="千分位[0] 2 4" xfId="477" xr:uid="{E862233B-18BA-4F56-BC38-5BE2D27CB4F3}"/>
    <cellStyle name="千分位[0] 2 4 2" xfId="478" xr:uid="{9AFF6496-8505-4244-BC6B-B4A1BBCFB29C}"/>
    <cellStyle name="千分位[0] 2 4 2 2" xfId="479" xr:uid="{18AB7B60-7C73-461B-8F8F-91516E1263C9}"/>
    <cellStyle name="千分位[0] 2 5" xfId="480" xr:uid="{8BB3D007-0C68-43CC-9934-D41E66330C09}"/>
    <cellStyle name="千分位[0] 2_1020521-東興跑道預算" xfId="481" xr:uid="{522A5EEB-8C31-43C5-A9DB-39797F0615B5}"/>
    <cellStyle name="千分位[0] 20" xfId="482" xr:uid="{F41AAAD4-08FE-4925-9D54-E4B0BD14E753}"/>
    <cellStyle name="千分位[0] 20 2" xfId="483" xr:uid="{E22E0EA5-8350-4E5B-A559-75D8C2705FAA}"/>
    <cellStyle name="千分位[0] 21" xfId="484" xr:uid="{4A20DE09-23D5-492A-91F6-788F7C06C8B5}"/>
    <cellStyle name="千分位[0] 21 2" xfId="485" xr:uid="{07E411C5-4E4A-49DF-9479-D524F86031EB}"/>
    <cellStyle name="千分位[0] 22" xfId="486" xr:uid="{2F5C0851-4956-4B8E-B349-A8E3043646B2}"/>
    <cellStyle name="千分位[0] 22 2" xfId="487" xr:uid="{C75484E7-CD90-4A44-BF76-253FCC4B2221}"/>
    <cellStyle name="千分位[0] 29" xfId="488" xr:uid="{97F8DC61-B43B-4FAB-8153-78908A2860C2}"/>
    <cellStyle name="千分位[0] 29 2" xfId="489" xr:uid="{536C6E3D-2BAD-4514-82B7-5FF188310370}"/>
    <cellStyle name="千分位[0] 3" xfId="490" xr:uid="{586CADB6-4F94-46FE-B2C4-25F0DFE782AB}"/>
    <cellStyle name="千分位[0] 3 2" xfId="491" xr:uid="{49F69998-1B1E-4B2F-AB5E-53D942CF58D9}"/>
    <cellStyle name="千分位[0] 3 2 2" xfId="492" xr:uid="{7B431044-C648-4DF1-93EB-ED80781C4592}"/>
    <cellStyle name="千分位[0] 3 3" xfId="493" xr:uid="{4A9127B7-18FF-4715-85D1-CA24C654B181}"/>
    <cellStyle name="千分位[0] 30" xfId="494" xr:uid="{0A3A07D5-2077-402F-8E61-0F2A9716124B}"/>
    <cellStyle name="千分位[0] 30 2" xfId="495" xr:uid="{FB7277C7-50D8-45DF-82EA-4195C3CABE9D}"/>
    <cellStyle name="千分位[0] 31" xfId="496" xr:uid="{508789F2-84ED-4788-9CC9-27264B2BBBD1}"/>
    <cellStyle name="千分位[0] 31 2" xfId="497" xr:uid="{51A7CABF-1181-4E80-87E4-F24BF66518D5}"/>
    <cellStyle name="千分位[0] 4" xfId="498" xr:uid="{36710BB1-F774-4CC2-AC48-4304270404C4}"/>
    <cellStyle name="千分位[0] 4 2" xfId="499" xr:uid="{35EE9938-4AFC-4DE2-9C6A-D11274C7AFCE}"/>
    <cellStyle name="千分位[0] 5" xfId="500" xr:uid="{9423EDE4-FC6A-4459-9A9F-5DF000948B61}"/>
    <cellStyle name="千分位[0] 5 2" xfId="501" xr:uid="{61EE6778-ADDF-458A-A0DC-6E1601653DAF}"/>
    <cellStyle name="千分位[0] 6" xfId="502" xr:uid="{EB178B07-1140-4EFB-90D7-9FCDC1FDE148}"/>
    <cellStyle name="千分位[0] 6 2" xfId="503" xr:uid="{35BC64BA-F14D-4EE0-9713-BF067B601A73}"/>
    <cellStyle name="千分位[0] 7" xfId="504" xr:uid="{9E5F90A7-42A5-4D6E-8538-7846A25A29D0}"/>
    <cellStyle name="千分位[0] 7 2" xfId="505" xr:uid="{DDEDBF0F-14C8-48A0-8743-4BD3BD3313D2}"/>
    <cellStyle name="千分位[0] 8" xfId="506" xr:uid="{F096A1C5-A608-460E-BBA5-0C058505609B}"/>
    <cellStyle name="千分位[0] 8 2" xfId="507" xr:uid="{B8B64198-644F-4003-B8B2-F2FD99012599}"/>
    <cellStyle name="千分位[0] 84" xfId="508" xr:uid="{771324A0-6F28-49AA-A7A3-CFCF914E018E}"/>
    <cellStyle name="千分位[0] 84 2" xfId="509" xr:uid="{81D65FF2-E895-48E6-844A-DA245FCB0573}"/>
    <cellStyle name="千分位[0] 9" xfId="510" xr:uid="{078980D6-27D2-4297-B882-B153C0F94474}"/>
    <cellStyle name="千分位[0] 9 2" xfId="511" xr:uid="{1F0A4745-1440-4486-992D-AFAC966A6F5A}"/>
    <cellStyle name="中等 2" xfId="512" xr:uid="{94B9E05B-C602-4A99-939A-99989921406F}"/>
    <cellStyle name="中等 2 2" xfId="513" xr:uid="{FD4DE299-6109-48D7-B45D-495FA3FDAB46}"/>
    <cellStyle name="中等 2 3" xfId="514" xr:uid="{5AA11502-E776-4020-984C-1E942229BADB}"/>
    <cellStyle name="中等 3" xfId="515" xr:uid="{411C4489-5377-45E8-BDC1-A48E8CE223F1}"/>
    <cellStyle name="內文" xfId="516" xr:uid="{CB8EA6FB-F580-4164-82DC-74C49D10D3BC}"/>
    <cellStyle name="公司標題" xfId="517" xr:uid="{34E92226-FF22-40FF-AFF8-B837C9D7E117}"/>
    <cellStyle name="水保計畫書" xfId="518" xr:uid="{F3AB9E9D-DBF0-462B-942C-28CA8A47B37D}"/>
    <cellStyle name="未定義" xfId="519" xr:uid="{21EFB54F-CBCC-41A6-B320-6D53B6336518}"/>
    <cellStyle name="合計 2" xfId="520" xr:uid="{2C70B8C8-9770-4625-8CE3-61E6F1584C3F}"/>
    <cellStyle name="合計 2 2" xfId="521" xr:uid="{58687E2D-4776-4E3F-BDFD-3A5469F7E594}"/>
    <cellStyle name="合計 2 3" xfId="522" xr:uid="{F6864999-8E18-4729-A0A8-BDBD4522A884}"/>
    <cellStyle name="合計 3" xfId="523" xr:uid="{12107FF0-FB0C-4632-809F-F0C2942C42E3}"/>
    <cellStyle name="好 2" xfId="524" xr:uid="{F2CF7546-8A80-4798-8224-CE37594FE0A8}"/>
    <cellStyle name="好 2 2" xfId="525" xr:uid="{A29FD78C-721E-4D49-BBF3-9C84796881BB}"/>
    <cellStyle name="好 2 3" xfId="526" xr:uid="{0BB28899-4F36-4378-AF19-B67E7DFA27F1}"/>
    <cellStyle name="好 3" xfId="527" xr:uid="{98A810A1-2A10-47AF-A785-4663775A2209}"/>
    <cellStyle name="好_1001111-9" xfId="528" xr:uid="{59DAFE8C-B50B-40BD-ACE2-A763F8B10B3A}"/>
    <cellStyle name="好_1010628-475萬-6.65%計算" xfId="529" xr:uid="{31DEC27E-E8AE-49B7-BD43-64E2AFE3A0BE}"/>
    <cellStyle name="好_1010723宜蘭大學跑道球場整修工程-競圖預算-B案(人工草皮)" xfId="530" xr:uid="{DB383961-0746-4991-AA0B-E31605E6525B}"/>
    <cellStyle name="好_1010801宜蘭大學跑道球場整修工程-預算" xfId="531" xr:uid="{547B3339-6A84-408F-8643-B5DC206A78DA}"/>
    <cellStyle name="好_1020108桃園縣立田徑場整修工程-後續擴充工程預算書1" xfId="532" xr:uid="{F31678CD-315A-48D9-9C17-93C9D7D4516B}"/>
    <cellStyle name="好_1020521-東興跑道預算" xfId="533" xr:uid="{E6D50C95-6FED-47B9-A872-004D33925951}"/>
    <cellStyle name="好_1020819-中華跑道預算" xfId="534" xr:uid="{DFC591A6-D1E6-4FF4-B269-85BBF1766B69}"/>
    <cellStyle name="好_1021025預算" xfId="535" xr:uid="{01469697-9624-45EA-93A9-288DDC3640BB}"/>
    <cellStyle name="好_1021106預算" xfId="536" xr:uid="{E6E32CD8-7E2F-4EB2-86D0-181CBB8FF205}"/>
    <cellStyle name="好_1021115-3預算" xfId="537" xr:uid="{E678FEFA-AB83-4DBA-BB13-720B742A1026}"/>
    <cellStyle name="好_1030825-明倫體育場修繕競圖" xfId="538" xr:uid="{4CA6D74A-3EA1-45CE-A667-D72907A30544}"/>
    <cellStyle name="好_1030902-大同球場概算" xfId="539" xr:uid="{FC11D59F-F3C7-401C-993F-172D47CA9560}"/>
    <cellStyle name="好_1031124-北斗家商跑道預算" xfId="540" xr:uid="{713DDEB4-8DC7-468B-AC2D-0FC68FD78458}"/>
    <cellStyle name="好_1040203-跑道、籃球場、遊戲區整修工程整修概算" xfId="541" xr:uid="{ABB5CEE1-7082-476D-A610-115BD9ED25ED}"/>
    <cellStyle name="好_1040811-跑道整修及新增跳遠砂坑工程整修概算" xfId="542" xr:uid="{4A603966-4A95-4FA6-A00B-7789C4431D06}"/>
    <cellStyle name="好_1041109預算" xfId="543" xr:uid="{7FF9B4BA-7C6E-4F58-ADAC-464E42907521}"/>
    <cellStyle name="好_1041208-潮州競圖概算1" xfId="544" xr:uid="{EDF4EEA9-F4CF-46CA-A369-3B5E50646947}"/>
    <cellStyle name="好_160萬-預算1010702" xfId="545" xr:uid="{32CBC79D-4938-469D-ACAC-2CFFE9104207}"/>
    <cellStyle name="好_WC及AC及外牆刷漆案" xfId="546" xr:uid="{58D257E5-6AA8-45D3-8316-EBC7648E742A}"/>
    <cellStyle name="好_大城第1次變更設計-20101122定稿" xfId="547" xr:uid="{7D4C8C6B-19E3-4924-BEA8-FF4D15757143}"/>
    <cellStyle name="好_工程預算(草稿)-6調成83000000" xfId="548" xr:uid="{DB4A3EC3-FEC2-455D-A404-E52D420D5641}"/>
    <cellStyle name="好_半圓草皮" xfId="549" xr:uid="{A21F2A60-3EAE-4F0C-A1DB-E2D18D836C4E}"/>
    <cellStyle name="好_田徑場" xfId="550" xr:uid="{5E3922A0-75D3-4659-BAAA-009BC6A10347}"/>
    <cellStyle name="好_田徑場變更設計" xfId="551" xr:uid="{6BB49A82-781B-4F02-9630-CA8E743530E4}"/>
    <cellStyle name="好_后里" xfId="552" xr:uid="{510605D6-49E7-4DBE-9360-5FE278CB0C24}"/>
    <cellStyle name="好_和仁風雨操場競圖概算" xfId="553" xr:uid="{F9FF1E26-6EBD-4451-B8A4-B28DD523E26D}"/>
    <cellStyle name="好_宜蘭大學跑道球場整修工程-競圖預算-B案(人工草皮)" xfId="554" xr:uid="{526CF466-8153-4A55-AE5E-8532272B2AD0}"/>
    <cellStyle name="好_虎尾" xfId="555" xr:uid="{702101DD-AB8B-4B7A-84F0-AD6F86234372}"/>
    <cellStyle name="好_封面及數量計算" xfId="556" xr:uid="{0E713325-5802-48BE-8B02-767625431068}"/>
    <cellStyle name="好_計算式" xfId="557" xr:uid="{FDCCE5A3-4CF9-4028-A257-D0E37C72005C}"/>
    <cellStyle name="好_桃園體育場- 競圖" xfId="558" xr:uid="{3B1C65DF-7BEE-469C-92BB-9226BDE23291}"/>
    <cellStyle name="好_單價分析" xfId="559" xr:uid="{4F6F7F38-4940-4D61-8207-198487DACEDD}"/>
    <cellStyle name="好_單價分析表" xfId="560" xr:uid="{CD8FF99D-510F-446B-8B80-36D874AD8008}"/>
    <cellStyle name="好_預算" xfId="561" xr:uid="{2368DC8C-6441-4576-9C05-629C4F9C7B99}"/>
    <cellStyle name="好_預算 2" xfId="562" xr:uid="{CDD06636-165D-41A8-8519-D22E10FFD6AC}"/>
    <cellStyle name="好_預算 2 2" xfId="563" xr:uid="{B82F01C5-9B02-40FA-A5F6-F15EDFA98AE6}"/>
    <cellStyle name="好_預算 2 2 2" xfId="564" xr:uid="{C27AB739-E37B-47D9-98D0-A2A9A1822F07}"/>
    <cellStyle name="好_預算 2 3" xfId="565" xr:uid="{FB670503-D5A6-4C00-9079-35EF8DA5A573}"/>
    <cellStyle name="好_預算 3" xfId="566" xr:uid="{B4CD9992-8DA7-4CA0-833F-CB1060FDAC5C}"/>
    <cellStyle name="好_預算_1" xfId="567" xr:uid="{564EAD5E-56F0-407A-B1C1-A95EEC862297}"/>
    <cellStyle name="好_預算_1031124-北斗家商跑道預算" xfId="568" xr:uid="{423F7D9E-0C91-4F3C-A924-B0F022CF2927}"/>
    <cellStyle name="好_預算0" xfId="569" xr:uid="{DBD7DA4D-82DD-4675-B39A-75FE22790B71}"/>
    <cellStyle name="好_預算封面" xfId="570" xr:uid="{703C9F24-F6DE-4C4C-AF19-D215D44AB3F1}"/>
    <cellStyle name="好_預算書" xfId="571" xr:uid="{BC7D104B-FE1F-4DCE-8B60-9AD0F536E745}"/>
    <cellStyle name="好_預算書 " xfId="572" xr:uid="{3D85C4AF-1201-4483-9255-7674B7E0691C}"/>
    <cellStyle name="好_預算詳細表" xfId="573" xr:uid="{32BFB700-2B35-4352-A1DB-7B3617122F28}"/>
    <cellStyle name="好_彰化縣立體育場、體育館、游泳池及其周邊空間修繕整建工程(預算書100.01.07" xfId="574" xr:uid="{6A447D4C-9D7C-45EB-BC88-7339057974C7}"/>
    <cellStyle name="好_廠商調整-高工網場預算" xfId="575" xr:uid="{364B56CF-D452-4083-B863-2A761FDADDD6}"/>
    <cellStyle name="好_競圖" xfId="576" xr:uid="{B2D8BC58-C245-4DEB-A44D-2C4037E4964F}"/>
    <cellStyle name="好_競圖-設計費" xfId="577" xr:uid="{F9C7E518-42C7-4084-8A8F-595AF3753197}"/>
    <cellStyle name="好_競圖概算" xfId="578" xr:uid="{E3EF41F6-190D-4AF5-9788-22AC9DDF9380}"/>
    <cellStyle name="好_競圖概算-1" xfId="579" xr:uid="{F778BCCF-017D-47BC-897C-418B3543640F}"/>
    <cellStyle name="好_警衛室概算" xfId="580" xr:uid="{9AE28EA6-1366-45EE-96BE-E40C9ABC6025}"/>
    <cellStyle name="次表" xfId="581" xr:uid="{16BF2317-01CB-478E-8B85-B101E4BF77DA}"/>
    <cellStyle name="百分比" xfId="728" builtinId="5"/>
    <cellStyle name="百分比 2" xfId="582" xr:uid="{D32BDCDA-A516-41A0-8593-56DC4C51B418}"/>
    <cellStyle name="百分比 2 2" xfId="583" xr:uid="{20FA575A-EE6E-46A8-BB71-AE63D2F5E7DC}"/>
    <cellStyle name="百分比 2 3" xfId="584" xr:uid="{805E001D-7CE9-456A-805E-978DD3C82EE8}"/>
    <cellStyle name="百分比 6 2" xfId="585" xr:uid="{8A0C9BF1-9B79-499F-9CD4-DB0EFE18F245}"/>
    <cellStyle name="百分比 6 3" xfId="586" xr:uid="{CA467DFA-8957-4BBD-B177-58EB7FFD844D}"/>
    <cellStyle name="金額" xfId="587" xr:uid="{EEFFBBA0-A75F-4735-80A1-6652DDEE652D}"/>
    <cellStyle name="附註" xfId="588" xr:uid="{A19B8789-7A00-4DD0-9EE6-B92D27439EB8}"/>
    <cellStyle name="附註 2" xfId="589" xr:uid="{1059F35E-4763-4D3E-8710-2ADEC2DA2438}"/>
    <cellStyle name="挖方" xfId="590" xr:uid="{4A3FD64B-2168-4A68-8BBB-9445773E6F2B}"/>
    <cellStyle name="紅" xfId="591" xr:uid="{F0C67698-F7BA-46FE-9E9F-368B747B20F0}"/>
    <cellStyle name="計算方式 2" xfId="592" xr:uid="{6FBC0A0F-DBBD-4728-BBED-779438D8151E}"/>
    <cellStyle name="計算方式 2 2" xfId="593" xr:uid="{77C5FD1A-7328-4FB7-914B-53FE1F4A258F}"/>
    <cellStyle name="計算方式 2 3" xfId="594" xr:uid="{28665D27-5311-4601-984D-9D36E1F7A833}"/>
    <cellStyle name="計算方式 3" xfId="595" xr:uid="{0750C24C-DF6B-4DB1-84D0-35A6CE77451B}"/>
    <cellStyle name="桁?切? [0.00]_PERSONAL" xfId="596" xr:uid="{DC1B805C-C4CE-4AC6-B3C4-B618F5E0244C}"/>
    <cellStyle name="桁?切?_PERSONAL" xfId="597" xr:uid="{91010923-26D6-40A9-BE1D-BE889FEDC776}"/>
    <cellStyle name="基本單價" xfId="598" xr:uid="{C8B7D10F-199F-40FB-A045-8391E1D886EE}"/>
    <cellStyle name="常规_HE0411" xfId="599" xr:uid="{F228FA13-93A0-4376-8CCD-2DF05E4CF794}"/>
    <cellStyle name="貨幣 2" xfId="600" xr:uid="{F6B15BF5-65A1-4BEC-BEF2-3B4CF2D0163A}"/>
    <cellStyle name="貨幣 2 2" xfId="601" xr:uid="{CCDED2AC-AE15-482A-8109-670553E87FB9}"/>
    <cellStyle name="貨幣 3" xfId="602" xr:uid="{D15E1FCB-3B9D-4C42-BB52-A8D17280C753}"/>
    <cellStyle name="貨幣 3 2" xfId="603" xr:uid="{EFE4777F-78D8-4E78-ACF2-BD6E848911D7}"/>
    <cellStyle name="貨幣[0]" xfId="604" xr:uid="{64860C90-4FEC-4181-B9B1-9EE6557B8DBF}"/>
    <cellStyle name="貨幣[0] 2" xfId="605" xr:uid="{499DB9C9-4811-4E07-8B11-C0322049A78A}"/>
    <cellStyle name="通貨 [0.00]_PERSONAL" xfId="606" xr:uid="{4944BA4C-4524-434B-858C-CC53BF70519C}"/>
    <cellStyle name="通貨_PERSONAL" xfId="607" xr:uid="{23069E04-434B-45DC-8F94-7469BA6CDAAD}"/>
    <cellStyle name="連結的儲存格 2" xfId="608" xr:uid="{1B977549-B9F1-4778-8AF3-2FAE14273BD1}"/>
    <cellStyle name="連結的儲存格 2 2" xfId="609" xr:uid="{6AC17870-0712-4B70-B1BB-4522EAC0CE94}"/>
    <cellStyle name="連結的儲存格 2 3" xfId="610" xr:uid="{C65315C7-8755-40BB-AEAB-140CD6AAE54F}"/>
    <cellStyle name="連結的儲存格 3" xfId="611" xr:uid="{03855E12-8EC9-42EB-AB01-281FF4532C48}"/>
    <cellStyle name="備註 2" xfId="612" xr:uid="{959C393A-FE73-4CC0-B107-2EB8351063D0}"/>
    <cellStyle name="超連結 2" xfId="613" xr:uid="{52D4522D-8852-445F-8027-056C3553E622}"/>
    <cellStyle name="說明文字 2" xfId="614" xr:uid="{28246510-9FDA-4679-9174-C694C3801495}"/>
    <cellStyle name="輔色1 2" xfId="615" xr:uid="{58423035-3941-469B-8AAB-789EA10EA916}"/>
    <cellStyle name="輔色1 2 2" xfId="616" xr:uid="{4DBF911F-7F3D-48FC-AC63-87C17F9AD10B}"/>
    <cellStyle name="輔色1 2 3" xfId="617" xr:uid="{8A2AE8C6-B8E5-4EC2-86B9-BA5E057F0CFB}"/>
    <cellStyle name="輔色1 3" xfId="618" xr:uid="{71AB29E4-957A-486E-8664-0BF45EC04C9D}"/>
    <cellStyle name="輔色2 2" xfId="619" xr:uid="{82119A9F-423A-4F65-86DA-2F347C911F23}"/>
    <cellStyle name="輔色2 2 2" xfId="620" xr:uid="{DD478542-81B3-41D4-91CE-A29485DCAEEA}"/>
    <cellStyle name="輔色2 2 3" xfId="621" xr:uid="{031001BF-A32F-4F9B-B261-382EECDA26B2}"/>
    <cellStyle name="輔色2 3" xfId="622" xr:uid="{92D4DE04-023E-4F1F-9F28-A622ABE0B35E}"/>
    <cellStyle name="輔色3 2" xfId="623" xr:uid="{0D40FDF9-7388-4020-9512-533EAE11E3D7}"/>
    <cellStyle name="輔色3 2 2" xfId="624" xr:uid="{F18DD0E6-F53E-468D-8B78-E029EDCC2505}"/>
    <cellStyle name="輔色3 2 3" xfId="625" xr:uid="{371744ED-ADC7-4CC1-A4B0-646F151807D2}"/>
    <cellStyle name="輔色3 3" xfId="626" xr:uid="{E6CD3655-F70B-484B-A7FA-914B58AB3317}"/>
    <cellStyle name="輔色4 2" xfId="627" xr:uid="{EFFFBE6B-5204-4D3F-9421-939D65CEC410}"/>
    <cellStyle name="輔色4 2 2" xfId="628" xr:uid="{3AA17731-FB5B-4291-A7BA-961A2F384D8E}"/>
    <cellStyle name="輔色4 2 3" xfId="629" xr:uid="{27883BE9-C985-42FA-A7C4-3F53369ED8F0}"/>
    <cellStyle name="輔色4 3" xfId="630" xr:uid="{630F9504-F3F1-49E3-B610-94807D71BF2A}"/>
    <cellStyle name="輔色5 2" xfId="631" xr:uid="{B9EB78FB-6F4C-459E-A68E-30AB81606D77}"/>
    <cellStyle name="輔色6 2" xfId="632" xr:uid="{F0602F85-330D-4749-A36A-F807E9C33A2D}"/>
    <cellStyle name="輔色6 2 2" xfId="633" xr:uid="{FEF45255-7DCE-43E9-8A94-F3D9E8A5CDB0}"/>
    <cellStyle name="輔色6 2 3" xfId="634" xr:uid="{AECE6162-367D-459D-AB90-D9DED2DFBD80}"/>
    <cellStyle name="輔色6 3" xfId="635" xr:uid="{BF76943F-2626-430C-97BA-F6233F6D4123}"/>
    <cellStyle name="數量計算表" xfId="636" xr:uid="{DA649C6E-D6E6-4792-A3B0-9398629E2ABD}"/>
    <cellStyle name="標準_PERSONAL" xfId="637" xr:uid="{2644A67B-9484-4B37-A3C6-C341BB97B4B6}"/>
    <cellStyle name="標題 1 2" xfId="638" xr:uid="{945A6D63-B336-4B8F-A3AE-1E26F2F8E259}"/>
    <cellStyle name="標題 1 2 2" xfId="639" xr:uid="{223F2717-C602-48E0-B45E-FE2955A8ED2C}"/>
    <cellStyle name="標題 1 2 3" xfId="640" xr:uid="{49D9D0E1-D5DB-4626-8664-1E49FED5A901}"/>
    <cellStyle name="標題 1 3" xfId="641" xr:uid="{5F5C6F48-AC37-4050-ADF1-A17C7EFFCAD3}"/>
    <cellStyle name="標題 2 2" xfId="642" xr:uid="{FB7ED446-6CDA-40BD-BC65-C2CE999160FD}"/>
    <cellStyle name="標題 2 2 2" xfId="643" xr:uid="{E7561EED-6130-43A3-AAB8-883C5379BE2A}"/>
    <cellStyle name="標題 2 2 3" xfId="644" xr:uid="{729FD763-5103-4E49-BD05-8C4A6B2A08F2}"/>
    <cellStyle name="標題 2 3" xfId="645" xr:uid="{52BABD48-C387-41F3-A54D-9A0C5647A472}"/>
    <cellStyle name="標題 3 2" xfId="646" xr:uid="{F7313199-76F7-43D6-B6A9-324AC9C188D7}"/>
    <cellStyle name="標題 3 2 2" xfId="647" xr:uid="{0E93AC94-8544-4B8E-8070-F5678C9B28E4}"/>
    <cellStyle name="標題 3 2 3" xfId="648" xr:uid="{C23F474D-5451-44B3-BAFF-9C844C81DB78}"/>
    <cellStyle name="標題 3 3" xfId="649" xr:uid="{6879D185-1C7A-4186-8F7F-67BFEB7C9144}"/>
    <cellStyle name="標題 4 2" xfId="650" xr:uid="{0F2D5D15-8FFD-4B1C-A677-0B3C8208FC8F}"/>
    <cellStyle name="標題 4 2 2" xfId="651" xr:uid="{117A6E75-66D1-44C9-A5A4-4F792516CB70}"/>
    <cellStyle name="標題 4 2 3" xfId="652" xr:uid="{37A7FC53-5FEF-4FA5-9AC6-F58F7606FBA1}"/>
    <cellStyle name="標題 4 3" xfId="653" xr:uid="{3C6C5612-9933-4B1C-AC8F-E846DCF7E9CE}"/>
    <cellStyle name="標題 5" xfId="654" xr:uid="{EFCAF00F-14B1-4CF2-89C2-33AA3C6B8741}"/>
    <cellStyle name="標題 5 2" xfId="655" xr:uid="{F563951D-1EE9-4EC9-B741-35D9976893FC}"/>
    <cellStyle name="標題 5 3" xfId="656" xr:uid="{3921B131-48B5-4544-AB67-97E4A11D0EA1}"/>
    <cellStyle name="標題 6" xfId="657" xr:uid="{B2C6C9FF-C980-4736-B88F-762C95E2303B}"/>
    <cellStyle name="樣式 1" xfId="658" xr:uid="{F317C432-0D0B-404C-B058-C4D870B1A09C}"/>
    <cellStyle name="機械挖方" xfId="659" xr:uid="{2EC28634-C9DD-416F-8CC4-DB0D2ECD50FF}"/>
    <cellStyle name="輸入 2" xfId="660" xr:uid="{F2EDC7F9-FAD5-4597-A731-B3D4BD5316DC}"/>
    <cellStyle name="輸入 2 2" xfId="661" xr:uid="{3C4C3290-749A-4F6B-9C7E-DBE510CC2129}"/>
    <cellStyle name="輸入 2 3" xfId="662" xr:uid="{1FD4E2DF-FCFA-4DC3-BBB3-98689EA61283}"/>
    <cellStyle name="輸入 3" xfId="663" xr:uid="{6CFF33E4-507A-4872-8A29-719FB2C54380}"/>
    <cellStyle name="輸出 2" xfId="664" xr:uid="{8464EC70-67B0-4899-8C1D-FF4AE8817749}"/>
    <cellStyle name="輸出 2 2" xfId="665" xr:uid="{48474AF7-C6BD-4448-A0A0-91FE5C5F56A7}"/>
    <cellStyle name="輸出 2 3" xfId="666" xr:uid="{A6FAF20F-282F-4CD8-91A9-01ED5365599E}"/>
    <cellStyle name="輸出 3" xfId="667" xr:uid="{151451C9-3605-4D92-8601-939989B120B4}"/>
    <cellStyle name="隨後的超連結" xfId="668" xr:uid="{D3F8898C-98C9-43D5-ADC7-CF078176C512}"/>
    <cellStyle name="檢查儲存格 2" xfId="669" xr:uid="{043806E4-B380-4FCB-9F13-7C23C9401EA2}"/>
    <cellStyle name="壞 2" xfId="670" xr:uid="{5981FD1C-9C16-4023-B52B-E898E60F5B4A}"/>
    <cellStyle name="壞 2 2" xfId="671" xr:uid="{F228ABE1-8C96-42DD-AD21-71EE38A4CA00}"/>
    <cellStyle name="壞 2 3" xfId="672" xr:uid="{115C2C6A-C77A-449F-9C6F-C20DE68F88B3}"/>
    <cellStyle name="壞 3" xfId="673" xr:uid="{0CB52374-F532-4E17-A721-3FDA05561C5D}"/>
    <cellStyle name="壞_1001111-9" xfId="674" xr:uid="{80D78CAF-CC45-4B9E-AAEB-737E21018A63}"/>
    <cellStyle name="壞_1010628-475萬-6.65%計算" xfId="675" xr:uid="{F058E021-AB9C-46D4-B7CB-137757CBFC37}"/>
    <cellStyle name="壞_1010723宜蘭大學跑道球場整修工程-競圖預算-B案(人工草皮)" xfId="676" xr:uid="{F2EA1534-9934-488E-9F0F-4550E9BE3AC9}"/>
    <cellStyle name="壞_1010801宜蘭大學跑道球場整修工程-預算" xfId="677" xr:uid="{64DF62BA-85BD-496A-8497-1605380DB682}"/>
    <cellStyle name="壞_1020108桃園縣立田徑場整修工程-後續擴充工程預算書1" xfId="678" xr:uid="{5FCC2E19-889B-4AED-96F8-E449C514015E}"/>
    <cellStyle name="壞_1020521-東興跑道預算" xfId="679" xr:uid="{85B4F134-7A2A-4AAC-8CE4-797DC7EE0A3C}"/>
    <cellStyle name="壞_1020819-中華跑道預算" xfId="680" xr:uid="{C7F7E45E-179C-4982-88E8-433F4F606D3F}"/>
    <cellStyle name="壞_1021025預算" xfId="681" xr:uid="{A7804B18-A26B-4E4D-BE67-D3C0A7E972B8}"/>
    <cellStyle name="壞_1021106預算" xfId="682" xr:uid="{231A5E99-3341-48F4-BD15-F81B3EF839CD}"/>
    <cellStyle name="壞_1021115-3預算" xfId="683" xr:uid="{5054B32D-DC33-4A05-BA00-A37945B51DE6}"/>
    <cellStyle name="壞_1030825-明倫體育場修繕競圖" xfId="684" xr:uid="{8FB9757C-1B59-4176-82F2-6F2332F39F15}"/>
    <cellStyle name="壞_1030902-大同球場概算" xfId="685" xr:uid="{09A6E957-373B-40C2-BC81-12F9E6D8F476}"/>
    <cellStyle name="壞_1031124-北斗家商跑道預算" xfId="686" xr:uid="{9C0D209A-69AA-4EF8-9133-5F93D3B4F2B4}"/>
    <cellStyle name="壞_1040203-跑道、籃球場、遊戲區整修工程整修概算" xfId="687" xr:uid="{88F5CEFB-1C97-485E-A580-0561BF5ABA54}"/>
    <cellStyle name="壞_1040811-跑道整修及新增跳遠砂坑工程整修概算" xfId="688" xr:uid="{64BAC0BF-1A7E-425B-8FA7-E72E9B7D4EDB}"/>
    <cellStyle name="壞_1041109預算" xfId="689" xr:uid="{195DA57E-B137-400F-A841-060149C515F2}"/>
    <cellStyle name="壞_1041208-潮州競圖概算1" xfId="690" xr:uid="{5B44B358-1A18-44E4-8133-7FBB421971FF}"/>
    <cellStyle name="壞_160萬-預算1010702" xfId="691" xr:uid="{DB0F5864-4874-4416-9A90-F85671E4C7CC}"/>
    <cellStyle name="壞_WC及AC及外牆刷漆案" xfId="692" xr:uid="{A1EE55A3-490D-477A-A844-42E5875D8749}"/>
    <cellStyle name="壞_大城第1次變更設計-20101122定稿" xfId="693" xr:uid="{7E0E633A-4324-4B32-BDA2-9DD7C1F5AFA8}"/>
    <cellStyle name="壞_工程預算(草稿)-6調成83000000" xfId="694" xr:uid="{4EA37EE7-10BE-4094-B78F-42FE15F7EC6D}"/>
    <cellStyle name="壞_半圓草皮" xfId="695" xr:uid="{5CC0EF4E-C59D-416B-81B6-9358D672C406}"/>
    <cellStyle name="壞_田徑場" xfId="696" xr:uid="{45B5FF0B-E482-4457-986C-98E7C682DCEA}"/>
    <cellStyle name="壞_田徑場變更設計" xfId="697" xr:uid="{2F5C9A6D-90B4-49F0-A753-2AA573D0A926}"/>
    <cellStyle name="壞_后里" xfId="698" xr:uid="{8CA44A03-7FF2-4AAC-9612-4B5F1DF7F2A2}"/>
    <cellStyle name="壞_和仁風雨操場競圖概算" xfId="699" xr:uid="{6D4FC598-BC9B-422C-A2F7-64EFE90BD4BE}"/>
    <cellStyle name="壞_宜蘭大學跑道球場整修工程-競圖預算-B案(人工草皮)" xfId="700" xr:uid="{BC0F0B53-B4B6-422E-860B-D657BC45B2A7}"/>
    <cellStyle name="壞_虎尾" xfId="701" xr:uid="{6358937F-8C1D-42D3-A1FB-C06EDB9E2A7D}"/>
    <cellStyle name="壞_封面及數量計算" xfId="702" xr:uid="{FF6283EA-62E2-47F0-9EC0-79F7360588D0}"/>
    <cellStyle name="壞_計算式" xfId="703" xr:uid="{AA2B23E8-AF6D-4E01-889C-E32D863A92F4}"/>
    <cellStyle name="壞_桃園體育場- 競圖" xfId="704" xr:uid="{880EDE47-5F56-4519-99C2-9734CFD77670}"/>
    <cellStyle name="壞_單價分析" xfId="705" xr:uid="{575687C0-C47C-43C0-92D0-0A570DF8843C}"/>
    <cellStyle name="壞_單價分析表" xfId="706" xr:uid="{65EAB286-740D-4C39-8212-B138A99D06BD}"/>
    <cellStyle name="壞_預算" xfId="707" xr:uid="{0A99D230-015A-46C8-A372-DEB6A3DC43B8}"/>
    <cellStyle name="壞_預算 2" xfId="708" xr:uid="{ADA56280-60C9-439F-9110-ECF4F697F1C8}"/>
    <cellStyle name="壞_預算 2 2" xfId="709" xr:uid="{F45AE3C8-2B6D-4A27-9815-86A601CF8C68}"/>
    <cellStyle name="壞_預算 2 2 2" xfId="710" xr:uid="{D351D0CE-6565-4BBB-A550-3C31097D4579}"/>
    <cellStyle name="壞_預算 2 3" xfId="711" xr:uid="{54EDDF62-05D5-4DFE-9E75-4F493C89B73D}"/>
    <cellStyle name="壞_預算 3" xfId="712" xr:uid="{F4B41E24-55E8-4BB7-99A9-D06DD6133C1B}"/>
    <cellStyle name="壞_預算_1" xfId="713" xr:uid="{76EAEC95-7054-46DF-BE55-AA167153DCCB}"/>
    <cellStyle name="壞_預算_1031124-北斗家商跑道預算" xfId="714" xr:uid="{08C57364-3C76-4567-A218-420C03EBECA1}"/>
    <cellStyle name="壞_預算0" xfId="715" xr:uid="{BEA9E727-3FCB-4127-972C-3B8D8A4ED37B}"/>
    <cellStyle name="壞_預算封面" xfId="716" xr:uid="{A369B35E-BC2A-45F8-97C6-325D8C5787C0}"/>
    <cellStyle name="壞_預算書" xfId="717" xr:uid="{D75B86C5-F7E3-4A45-A523-D06B73A694BC}"/>
    <cellStyle name="壞_預算書 " xfId="718" xr:uid="{B94F394E-80B5-48EC-BD63-56B16F7FE787}"/>
    <cellStyle name="壞_預算詳細表" xfId="719" xr:uid="{347B1519-5CF2-4156-8704-65CD0D18BC5C}"/>
    <cellStyle name="壞_彰化縣立體育場、體育館、游泳池及其周邊空間修繕整建工程(預算書100.01.07" xfId="720" xr:uid="{765F652F-C131-4A02-8768-62867DB37C7E}"/>
    <cellStyle name="壞_廠商調整-高工網場預算" xfId="721" xr:uid="{79770011-B2FF-4842-9089-421C1462AAE3}"/>
    <cellStyle name="壞_競圖" xfId="722" xr:uid="{E6DAD368-4FD4-4ACF-BC21-A1F7C6D7FC6C}"/>
    <cellStyle name="壞_競圖-設計費" xfId="723" xr:uid="{47CB895F-19BB-4453-AF29-3A5F22F2376F}"/>
    <cellStyle name="壞_競圖概算" xfId="724" xr:uid="{D6BC61A9-62BF-40BC-8967-E834E9909FF9}"/>
    <cellStyle name="壞_競圖概算-1" xfId="725" xr:uid="{D8021D6E-3BCF-4AC9-A676-DFE2A6B92209}"/>
    <cellStyle name="壞_警衛室概算" xfId="726" xr:uid="{86484AD3-7F05-42F9-9A3B-DB4E8E8684F2}"/>
    <cellStyle name="警告文字 2" xfId="727" xr:uid="{8A0321A0-E197-4621-B8E8-E97CBD43B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BF68-E195-4B25-A8E4-FDBB6C266972}">
  <dimension ref="A1:AA439"/>
  <sheetViews>
    <sheetView showZeros="0" tabSelected="1" view="pageBreakPreview" topLeftCell="A365" zoomScale="98" zoomScaleNormal="100" zoomScaleSheetLayoutView="98" zoomScalePageLayoutView="106" workbookViewId="0">
      <selection activeCell="F381" sqref="F381:G381"/>
    </sheetView>
  </sheetViews>
  <sheetFormatPr defaultRowHeight="14.25"/>
  <cols>
    <col min="1" max="1" width="22.875" style="1" customWidth="1"/>
    <col min="2" max="2" width="15.5" style="1" customWidth="1"/>
    <col min="3" max="3" width="24.5" style="1" customWidth="1"/>
    <col min="4" max="4" width="8" style="1" customWidth="1"/>
    <col min="5" max="5" width="7.75" style="1" customWidth="1"/>
    <col min="6" max="6" width="7.875" style="1" customWidth="1"/>
    <col min="7" max="7" width="5.625" style="1" customWidth="1"/>
    <col min="8" max="8" width="5.75" style="1" customWidth="1"/>
    <col min="9" max="9" width="10.625" style="1" customWidth="1"/>
    <col min="10" max="10" width="9.375" style="1" customWidth="1"/>
    <col min="11" max="11" width="9" style="1"/>
    <col min="12" max="12" width="13.625" style="19" bestFit="1" customWidth="1"/>
    <col min="13" max="14" width="9.125" style="1" bestFit="1" customWidth="1"/>
    <col min="15" max="15" width="13.25" style="1" bestFit="1" customWidth="1"/>
    <col min="16" max="18" width="4.125" style="1" customWidth="1"/>
    <col min="19" max="19" width="13.25" style="1" bestFit="1" customWidth="1"/>
    <col min="20" max="22" width="4.125" style="1" customWidth="1"/>
    <col min="23" max="23" width="13.625" style="1" bestFit="1" customWidth="1"/>
    <col min="24" max="26" width="4.125" style="1" customWidth="1"/>
    <col min="27" max="27" width="13.625" style="1" bestFit="1" customWidth="1"/>
    <col min="28" max="30" width="3.875" style="1" customWidth="1"/>
    <col min="31" max="16384" width="9" style="1"/>
  </cols>
  <sheetData>
    <row r="1" spans="1:27" ht="14.25" customHeight="1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</row>
    <row r="2" spans="1:27">
      <c r="A2" s="2" t="s">
        <v>1</v>
      </c>
      <c r="B2" s="3" t="s">
        <v>52</v>
      </c>
      <c r="C2" s="2"/>
      <c r="D2" s="2"/>
      <c r="E2" s="2"/>
      <c r="F2" s="2"/>
      <c r="G2" s="2"/>
      <c r="H2" s="2"/>
      <c r="I2" s="2"/>
      <c r="J2" s="2"/>
      <c r="L2" s="20"/>
      <c r="M2" s="4"/>
      <c r="N2" s="5"/>
      <c r="O2" s="6"/>
      <c r="S2" s="6"/>
      <c r="W2" s="6"/>
      <c r="AA2" s="6"/>
    </row>
    <row r="3" spans="1:27" ht="14.25" customHeight="1">
      <c r="A3" s="86" t="s">
        <v>2</v>
      </c>
      <c r="B3" s="86"/>
      <c r="C3" s="86"/>
      <c r="D3" s="86"/>
      <c r="E3" s="86"/>
      <c r="F3" s="93" t="s">
        <v>3</v>
      </c>
      <c r="G3" s="93"/>
      <c r="H3" s="94">
        <v>46048</v>
      </c>
      <c r="I3" s="94"/>
      <c r="J3" s="7" t="str">
        <f>"("&amp;TEXT(H3,"[$-404]aaaa;@")&amp;")"</f>
        <v>(星期一)</v>
      </c>
      <c r="L3" s="20"/>
      <c r="M3" s="4"/>
      <c r="N3" s="5"/>
      <c r="O3" s="6"/>
      <c r="S3" s="6"/>
      <c r="W3" s="6"/>
      <c r="AA3" s="6"/>
    </row>
    <row r="4" spans="1:27" ht="14.25" customHeight="1">
      <c r="A4" s="108" t="s">
        <v>4</v>
      </c>
      <c r="B4" s="109"/>
      <c r="C4" s="101" t="s">
        <v>62</v>
      </c>
      <c r="D4" s="102"/>
      <c r="E4" s="103"/>
      <c r="F4" s="108" t="s">
        <v>5</v>
      </c>
      <c r="G4" s="109"/>
      <c r="H4" s="108" t="s">
        <v>6</v>
      </c>
      <c r="I4" s="112"/>
      <c r="J4" s="109"/>
      <c r="L4" s="20"/>
      <c r="M4" s="4"/>
      <c r="N4" s="5"/>
      <c r="O4" s="6"/>
      <c r="S4" s="6"/>
      <c r="W4" s="6"/>
      <c r="AA4" s="6"/>
    </row>
    <row r="5" spans="1:27" ht="14.25" customHeight="1">
      <c r="A5" s="110"/>
      <c r="B5" s="111"/>
      <c r="C5" s="104"/>
      <c r="D5" s="105"/>
      <c r="E5" s="106"/>
      <c r="F5" s="110"/>
      <c r="G5" s="111"/>
      <c r="H5" s="110"/>
      <c r="I5" s="113"/>
      <c r="J5" s="111"/>
      <c r="L5" s="20"/>
      <c r="M5" s="4"/>
      <c r="N5" s="5"/>
      <c r="O5" s="6"/>
      <c r="S5" s="6"/>
      <c r="W5" s="6"/>
      <c r="AA5" s="6"/>
    </row>
    <row r="6" spans="1:27" ht="14.25" customHeight="1">
      <c r="A6" s="8" t="s">
        <v>7</v>
      </c>
      <c r="B6" s="8" t="s">
        <v>63</v>
      </c>
      <c r="C6" s="74" t="s">
        <v>8</v>
      </c>
      <c r="D6" s="75"/>
      <c r="E6" s="8" t="s">
        <v>50</v>
      </c>
      <c r="F6" s="8" t="s">
        <v>9</v>
      </c>
      <c r="G6" s="8" t="str">
        <f>IF(LEN(E6)&gt;2,LEFT(B6,2)-LEFT(E6,2),LEFT(B6,2)-LEFT(E6,1))&amp;"天"</f>
        <v>59天</v>
      </c>
      <c r="H6" s="74" t="s">
        <v>10</v>
      </c>
      <c r="I6" s="75"/>
      <c r="J6" s="8" t="s">
        <v>11</v>
      </c>
      <c r="L6" s="20"/>
      <c r="M6" s="4"/>
      <c r="N6" s="5"/>
      <c r="O6" s="6"/>
      <c r="S6" s="6"/>
      <c r="W6" s="6"/>
      <c r="AA6" s="6"/>
    </row>
    <row r="7" spans="1:27" ht="14.25" customHeight="1">
      <c r="A7" s="74" t="s">
        <v>12</v>
      </c>
      <c r="B7" s="75"/>
      <c r="C7" s="74" t="s">
        <v>99</v>
      </c>
      <c r="D7" s="100"/>
      <c r="E7" s="75"/>
      <c r="F7" s="74" t="s">
        <v>13</v>
      </c>
      <c r="G7" s="75"/>
      <c r="H7" s="74" t="s">
        <v>98</v>
      </c>
      <c r="I7" s="100"/>
      <c r="J7" s="75"/>
      <c r="L7" s="20"/>
      <c r="M7" s="4"/>
      <c r="N7" s="5"/>
      <c r="O7" s="6"/>
      <c r="S7" s="6"/>
      <c r="W7" s="6"/>
      <c r="AA7" s="6"/>
    </row>
    <row r="8" spans="1:27" ht="14.25" customHeight="1">
      <c r="A8" s="74" t="s">
        <v>14</v>
      </c>
      <c r="B8" s="75"/>
      <c r="C8" s="96">
        <f>(5%/15)*1</f>
        <v>3.3333333333333335E-3</v>
      </c>
      <c r="D8" s="97"/>
      <c r="E8" s="98"/>
      <c r="F8" s="74" t="s">
        <v>15</v>
      </c>
      <c r="G8" s="75"/>
      <c r="H8" s="96">
        <f>ROUND(L36/L37,5)</f>
        <v>2.5360000000000001E-2</v>
      </c>
      <c r="I8" s="97"/>
      <c r="J8" s="98"/>
      <c r="L8" s="20"/>
      <c r="M8" s="4"/>
      <c r="N8" s="5"/>
      <c r="O8" s="6"/>
      <c r="S8" s="6"/>
      <c r="W8" s="6"/>
      <c r="AA8" s="6"/>
    </row>
    <row r="9" spans="1:27" ht="14.25" customHeight="1">
      <c r="A9" s="76" t="s">
        <v>16</v>
      </c>
      <c r="B9" s="77"/>
      <c r="C9" s="77"/>
      <c r="D9" s="77"/>
      <c r="E9" s="77"/>
      <c r="F9" s="77"/>
      <c r="G9" s="77"/>
      <c r="H9" s="77"/>
      <c r="I9" s="77"/>
      <c r="J9" s="78"/>
      <c r="L9" s="20"/>
      <c r="M9" s="4"/>
      <c r="N9" s="5"/>
      <c r="O9" s="6"/>
      <c r="S9" s="6"/>
      <c r="W9" s="6"/>
      <c r="AA9" s="6"/>
    </row>
    <row r="10" spans="1:27" ht="14.25" customHeight="1">
      <c r="A10" s="54" t="s">
        <v>17</v>
      </c>
      <c r="B10" s="54"/>
      <c r="C10" s="54"/>
      <c r="D10" s="8" t="s">
        <v>18</v>
      </c>
      <c r="E10" s="8" t="s">
        <v>19</v>
      </c>
      <c r="F10" s="54" t="s">
        <v>20</v>
      </c>
      <c r="G10" s="54"/>
      <c r="H10" s="54" t="s">
        <v>21</v>
      </c>
      <c r="I10" s="54"/>
      <c r="J10" s="8" t="s">
        <v>22</v>
      </c>
      <c r="K10" s="21" t="s">
        <v>55</v>
      </c>
      <c r="L10" s="20"/>
      <c r="M10" s="4"/>
      <c r="N10" s="5"/>
      <c r="O10" s="6"/>
      <c r="S10" s="6"/>
      <c r="W10" s="6"/>
      <c r="AA10" s="6"/>
    </row>
    <row r="11" spans="1:27" ht="14.25" customHeight="1">
      <c r="A11" s="53" t="s">
        <v>64</v>
      </c>
      <c r="B11" s="53"/>
      <c r="C11" s="53"/>
      <c r="D11" s="53"/>
      <c r="E11" s="53"/>
      <c r="F11" s="53"/>
      <c r="G11" s="53"/>
      <c r="H11" s="53"/>
      <c r="I11" s="53"/>
      <c r="J11" s="53"/>
    </row>
    <row r="12" spans="1:27" ht="14.25" customHeight="1">
      <c r="A12" s="52" t="s">
        <v>65</v>
      </c>
      <c r="B12" s="52"/>
      <c r="C12" s="52"/>
      <c r="D12" s="38" t="s">
        <v>60</v>
      </c>
      <c r="E12" s="39">
        <v>71</v>
      </c>
      <c r="F12" s="55"/>
      <c r="G12" s="55"/>
      <c r="H12" s="55">
        <f>F12</f>
        <v>0</v>
      </c>
      <c r="I12" s="54"/>
      <c r="J12" s="15"/>
      <c r="K12" s="40">
        <v>2200</v>
      </c>
      <c r="L12" s="28">
        <f>ROUND(K12*H12,0)</f>
        <v>0</v>
      </c>
      <c r="N12" s="30">
        <f>H12</f>
        <v>0</v>
      </c>
    </row>
    <row r="13" spans="1:27" ht="45" customHeight="1">
      <c r="A13" s="52" t="s">
        <v>66</v>
      </c>
      <c r="B13" s="52"/>
      <c r="C13" s="52"/>
      <c r="D13" s="38" t="s">
        <v>58</v>
      </c>
      <c r="E13" s="39">
        <v>1</v>
      </c>
      <c r="F13" s="55">
        <v>0.5</v>
      </c>
      <c r="G13" s="55"/>
      <c r="H13" s="55">
        <f t="shared" ref="H13:H14" si="0">F13</f>
        <v>0.5</v>
      </c>
      <c r="I13" s="54"/>
      <c r="J13" s="8"/>
      <c r="K13" s="40">
        <v>50000</v>
      </c>
      <c r="L13" s="28">
        <f>ROUND(K13*H13,0)</f>
        <v>25000</v>
      </c>
      <c r="M13" s="30">
        <f t="shared" ref="M13:M35" si="1">G13</f>
        <v>0</v>
      </c>
      <c r="N13" s="30">
        <f t="shared" ref="N13:N35" si="2">H13</f>
        <v>0.5</v>
      </c>
    </row>
    <row r="14" spans="1:27" ht="14.25" customHeight="1">
      <c r="A14" s="53" t="s">
        <v>67</v>
      </c>
      <c r="B14" s="53"/>
      <c r="C14" s="53"/>
      <c r="D14" s="37" t="s">
        <v>58</v>
      </c>
      <c r="E14" s="39">
        <v>1</v>
      </c>
      <c r="F14" s="55"/>
      <c r="G14" s="55"/>
      <c r="H14" s="55">
        <f t="shared" si="0"/>
        <v>0</v>
      </c>
      <c r="I14" s="54"/>
      <c r="J14" s="8"/>
      <c r="K14" s="41">
        <v>65000</v>
      </c>
      <c r="L14" s="28">
        <f t="shared" ref="L14" si="3">ROUND(K14*H14,0)</f>
        <v>0</v>
      </c>
      <c r="M14" s="30">
        <f t="shared" si="1"/>
        <v>0</v>
      </c>
      <c r="N14" s="30">
        <f t="shared" si="2"/>
        <v>0</v>
      </c>
    </row>
    <row r="15" spans="1:27" ht="14.25" customHeight="1">
      <c r="A15" s="52" t="s">
        <v>68</v>
      </c>
      <c r="B15" s="52"/>
      <c r="C15" s="52"/>
      <c r="D15" s="37" t="s">
        <v>58</v>
      </c>
      <c r="E15" s="39">
        <v>1</v>
      </c>
      <c r="F15" s="55"/>
      <c r="G15" s="55"/>
      <c r="H15" s="55">
        <f>F15</f>
        <v>0</v>
      </c>
      <c r="I15" s="54"/>
      <c r="J15" s="15"/>
      <c r="K15" s="41">
        <v>98000</v>
      </c>
      <c r="L15" s="28">
        <f>ROUND(K15*H15,0)</f>
        <v>0</v>
      </c>
      <c r="M15" s="30">
        <f t="shared" si="1"/>
        <v>0</v>
      </c>
      <c r="N15" s="30">
        <f t="shared" si="2"/>
        <v>0</v>
      </c>
    </row>
    <row r="16" spans="1:27" ht="14.25" customHeight="1">
      <c r="A16" s="52" t="s">
        <v>69</v>
      </c>
      <c r="B16" s="52"/>
      <c r="C16" s="52"/>
      <c r="D16" s="38" t="s">
        <v>58</v>
      </c>
      <c r="E16" s="39">
        <v>1</v>
      </c>
      <c r="F16" s="73"/>
      <c r="G16" s="73"/>
      <c r="H16" s="55">
        <f t="shared" ref="H16:H17" si="4">F16</f>
        <v>0</v>
      </c>
      <c r="I16" s="54"/>
      <c r="J16" s="8"/>
      <c r="K16" s="40">
        <v>120000</v>
      </c>
      <c r="L16" s="28">
        <f>ROUND(K16*H16,0)</f>
        <v>0</v>
      </c>
      <c r="M16" s="30">
        <f t="shared" si="1"/>
        <v>0</v>
      </c>
      <c r="N16" s="30">
        <f t="shared" si="2"/>
        <v>0</v>
      </c>
    </row>
    <row r="17" spans="1:14" ht="14.25" customHeight="1">
      <c r="A17" s="53" t="s">
        <v>70</v>
      </c>
      <c r="B17" s="53"/>
      <c r="C17" s="53"/>
      <c r="D17" s="38" t="s">
        <v>60</v>
      </c>
      <c r="E17" s="39">
        <v>179</v>
      </c>
      <c r="F17" s="55"/>
      <c r="G17" s="55"/>
      <c r="H17" s="55">
        <f t="shared" si="4"/>
        <v>0</v>
      </c>
      <c r="I17" s="54"/>
      <c r="J17" s="8"/>
      <c r="K17" s="40">
        <v>300</v>
      </c>
      <c r="L17" s="28">
        <f t="shared" ref="L17" si="5">ROUND(K17*H17,0)</f>
        <v>0</v>
      </c>
      <c r="M17" s="30">
        <f t="shared" si="1"/>
        <v>0</v>
      </c>
      <c r="N17" s="30">
        <f t="shared" si="2"/>
        <v>0</v>
      </c>
    </row>
    <row r="18" spans="1:14" ht="14.25" customHeight="1">
      <c r="A18" s="52" t="s">
        <v>71</v>
      </c>
      <c r="B18" s="52"/>
      <c r="C18" s="52"/>
      <c r="D18" s="38" t="s">
        <v>59</v>
      </c>
      <c r="E18" s="39">
        <v>1</v>
      </c>
      <c r="F18" s="55"/>
      <c r="G18" s="55"/>
      <c r="H18" s="55">
        <f>F18</f>
        <v>0</v>
      </c>
      <c r="I18" s="54"/>
      <c r="J18" s="15"/>
      <c r="K18" s="40">
        <v>32000</v>
      </c>
      <c r="L18" s="28">
        <f>ROUND(K18*H18,0)</f>
        <v>0</v>
      </c>
      <c r="M18" s="30">
        <f t="shared" si="1"/>
        <v>0</v>
      </c>
      <c r="N18" s="30">
        <f t="shared" si="2"/>
        <v>0</v>
      </c>
    </row>
    <row r="19" spans="1:14" ht="14.25" customHeight="1">
      <c r="A19" s="52" t="s">
        <v>72</v>
      </c>
      <c r="B19" s="52"/>
      <c r="C19" s="52"/>
      <c r="D19" s="38" t="s">
        <v>58</v>
      </c>
      <c r="E19" s="39">
        <v>1</v>
      </c>
      <c r="F19" s="55"/>
      <c r="G19" s="55"/>
      <c r="H19" s="55">
        <f t="shared" ref="H19:H20" si="6">F19</f>
        <v>0</v>
      </c>
      <c r="I19" s="54"/>
      <c r="J19" s="8"/>
      <c r="K19" s="40">
        <v>66000</v>
      </c>
      <c r="L19" s="28">
        <f>ROUND(K19*H19,0)</f>
        <v>0</v>
      </c>
      <c r="M19" s="30">
        <f t="shared" si="1"/>
        <v>0</v>
      </c>
      <c r="N19" s="30">
        <f t="shared" si="2"/>
        <v>0</v>
      </c>
    </row>
    <row r="20" spans="1:14" ht="14.25" customHeight="1">
      <c r="A20" s="52" t="s">
        <v>73</v>
      </c>
      <c r="B20" s="53"/>
      <c r="C20" s="53"/>
      <c r="D20" s="38" t="s">
        <v>59</v>
      </c>
      <c r="E20" s="39">
        <v>1</v>
      </c>
      <c r="F20" s="55"/>
      <c r="G20" s="55"/>
      <c r="H20" s="55">
        <f t="shared" si="6"/>
        <v>0</v>
      </c>
      <c r="I20" s="54"/>
      <c r="J20" s="8"/>
      <c r="K20" s="40">
        <v>47000</v>
      </c>
      <c r="L20" s="28">
        <f t="shared" ref="L20" si="7">ROUND(K20*H20,0)</f>
        <v>0</v>
      </c>
      <c r="M20" s="30">
        <f t="shared" si="1"/>
        <v>0</v>
      </c>
      <c r="N20" s="30">
        <f t="shared" si="2"/>
        <v>0</v>
      </c>
    </row>
    <row r="21" spans="1:14" ht="14.25" customHeight="1">
      <c r="A21" s="53" t="s">
        <v>74</v>
      </c>
      <c r="B21" s="53"/>
      <c r="C21" s="53"/>
      <c r="D21" s="38" t="s">
        <v>89</v>
      </c>
      <c r="E21" s="39">
        <v>20</v>
      </c>
      <c r="F21" s="54"/>
      <c r="G21" s="54"/>
      <c r="H21" s="55">
        <f t="shared" ref="H21:H28" si="8">F21</f>
        <v>0</v>
      </c>
      <c r="I21" s="54"/>
      <c r="J21" s="8"/>
      <c r="K21" s="40">
        <v>3000</v>
      </c>
      <c r="L21" s="28">
        <f t="shared" ref="L21:L28" si="9">ROUND(K21*H21,0)</f>
        <v>0</v>
      </c>
      <c r="M21" s="30">
        <f t="shared" si="1"/>
        <v>0</v>
      </c>
      <c r="N21" s="30">
        <f t="shared" si="2"/>
        <v>0</v>
      </c>
    </row>
    <row r="22" spans="1:14" ht="14.25" customHeight="1">
      <c r="A22" s="53" t="s">
        <v>75</v>
      </c>
      <c r="B22" s="53"/>
      <c r="C22" s="53"/>
      <c r="D22" s="38" t="s">
        <v>59</v>
      </c>
      <c r="E22" s="39">
        <v>1</v>
      </c>
      <c r="F22" s="54"/>
      <c r="G22" s="54"/>
      <c r="H22" s="55">
        <f t="shared" si="8"/>
        <v>0</v>
      </c>
      <c r="I22" s="54"/>
      <c r="J22" s="8"/>
      <c r="K22" s="40">
        <v>95000</v>
      </c>
      <c r="L22" s="28">
        <f t="shared" si="9"/>
        <v>0</v>
      </c>
      <c r="M22" s="30">
        <f t="shared" si="1"/>
        <v>0</v>
      </c>
      <c r="N22" s="30">
        <f t="shared" si="2"/>
        <v>0</v>
      </c>
    </row>
    <row r="23" spans="1:14" ht="14.25" customHeight="1">
      <c r="A23" s="53" t="s">
        <v>76</v>
      </c>
      <c r="B23" s="53"/>
      <c r="C23" s="53"/>
      <c r="D23" s="38" t="s">
        <v>90</v>
      </c>
      <c r="E23" s="39">
        <v>345</v>
      </c>
      <c r="F23" s="54"/>
      <c r="G23" s="54"/>
      <c r="H23" s="55">
        <f t="shared" si="8"/>
        <v>0</v>
      </c>
      <c r="I23" s="54"/>
      <c r="J23" s="8"/>
      <c r="K23" s="40">
        <v>100</v>
      </c>
      <c r="L23" s="28">
        <f t="shared" si="9"/>
        <v>0</v>
      </c>
      <c r="M23" s="30">
        <f t="shared" si="1"/>
        <v>0</v>
      </c>
      <c r="N23" s="30">
        <f t="shared" si="2"/>
        <v>0</v>
      </c>
    </row>
    <row r="24" spans="1:14" ht="14.25" customHeight="1">
      <c r="A24" s="53" t="s">
        <v>77</v>
      </c>
      <c r="B24" s="53"/>
      <c r="C24" s="53"/>
      <c r="D24" s="38" t="s">
        <v>58</v>
      </c>
      <c r="E24" s="39">
        <v>1</v>
      </c>
      <c r="F24" s="54"/>
      <c r="G24" s="54"/>
      <c r="H24" s="55">
        <f t="shared" si="8"/>
        <v>0</v>
      </c>
      <c r="I24" s="54"/>
      <c r="J24" s="8"/>
      <c r="K24" s="40">
        <v>56000</v>
      </c>
      <c r="L24" s="28">
        <f t="shared" si="9"/>
        <v>0</v>
      </c>
      <c r="M24" s="30">
        <f t="shared" si="1"/>
        <v>0</v>
      </c>
      <c r="N24" s="30">
        <f t="shared" si="2"/>
        <v>0</v>
      </c>
    </row>
    <row r="25" spans="1:14" ht="28.5" customHeight="1">
      <c r="A25" s="52" t="s">
        <v>78</v>
      </c>
      <c r="B25" s="53"/>
      <c r="C25" s="53"/>
      <c r="D25" s="38" t="s">
        <v>58</v>
      </c>
      <c r="E25" s="39">
        <v>1</v>
      </c>
      <c r="F25" s="54"/>
      <c r="G25" s="54"/>
      <c r="H25" s="55">
        <f t="shared" si="8"/>
        <v>0</v>
      </c>
      <c r="I25" s="54"/>
      <c r="J25" s="8"/>
      <c r="K25" s="40">
        <v>67500</v>
      </c>
      <c r="L25" s="28">
        <f t="shared" si="9"/>
        <v>0</v>
      </c>
      <c r="M25" s="30">
        <f t="shared" si="1"/>
        <v>0</v>
      </c>
      <c r="N25" s="30">
        <f t="shared" si="2"/>
        <v>0</v>
      </c>
    </row>
    <row r="26" spans="1:14" ht="14.25" customHeight="1">
      <c r="A26" s="53" t="s">
        <v>79</v>
      </c>
      <c r="B26" s="53"/>
      <c r="C26" s="53"/>
      <c r="D26" s="38" t="s">
        <v>91</v>
      </c>
      <c r="E26" s="39">
        <v>3</v>
      </c>
      <c r="F26" s="54"/>
      <c r="G26" s="54"/>
      <c r="H26" s="55">
        <f t="shared" si="8"/>
        <v>0</v>
      </c>
      <c r="I26" s="54"/>
      <c r="J26" s="8"/>
      <c r="K26" s="40">
        <v>6000</v>
      </c>
      <c r="L26" s="28">
        <f t="shared" si="9"/>
        <v>0</v>
      </c>
      <c r="M26" s="30">
        <f t="shared" si="1"/>
        <v>0</v>
      </c>
      <c r="N26" s="30">
        <f t="shared" si="2"/>
        <v>0</v>
      </c>
    </row>
    <row r="27" spans="1:14" ht="14.25" customHeight="1">
      <c r="A27" s="53" t="s">
        <v>80</v>
      </c>
      <c r="B27" s="53"/>
      <c r="C27" s="53"/>
      <c r="D27" s="38" t="s">
        <v>91</v>
      </c>
      <c r="E27" s="39">
        <v>26</v>
      </c>
      <c r="F27" s="54"/>
      <c r="G27" s="54"/>
      <c r="H27" s="55">
        <f t="shared" si="8"/>
        <v>0</v>
      </c>
      <c r="I27" s="54"/>
      <c r="J27" s="8"/>
      <c r="K27" s="40">
        <v>1200</v>
      </c>
      <c r="L27" s="28">
        <f t="shared" si="9"/>
        <v>0</v>
      </c>
      <c r="M27" s="30">
        <f t="shared" si="1"/>
        <v>0</v>
      </c>
      <c r="N27" s="30">
        <f t="shared" si="2"/>
        <v>0</v>
      </c>
    </row>
    <row r="28" spans="1:14" ht="14.25" customHeight="1">
      <c r="A28" s="53" t="s">
        <v>81</v>
      </c>
      <c r="B28" s="53"/>
      <c r="C28" s="53"/>
      <c r="D28" s="38" t="s">
        <v>58</v>
      </c>
      <c r="E28" s="39">
        <v>1</v>
      </c>
      <c r="F28" s="54">
        <v>1</v>
      </c>
      <c r="G28" s="54"/>
      <c r="H28" s="55">
        <f t="shared" si="8"/>
        <v>1</v>
      </c>
      <c r="I28" s="54"/>
      <c r="J28" s="8"/>
      <c r="K28" s="40">
        <v>1600</v>
      </c>
      <c r="L28" s="28">
        <f t="shared" si="9"/>
        <v>1600</v>
      </c>
      <c r="M28" s="30">
        <f t="shared" si="1"/>
        <v>0</v>
      </c>
      <c r="N28" s="30">
        <f t="shared" si="2"/>
        <v>1</v>
      </c>
    </row>
    <row r="29" spans="1:14" ht="14.25" customHeight="1">
      <c r="A29" s="53" t="s">
        <v>82</v>
      </c>
      <c r="B29" s="53"/>
      <c r="C29" s="53"/>
      <c r="D29" s="38" t="s">
        <v>58</v>
      </c>
      <c r="E29" s="39">
        <v>1</v>
      </c>
      <c r="F29" s="54">
        <v>1</v>
      </c>
      <c r="G29" s="54"/>
      <c r="H29" s="55">
        <f t="shared" ref="H29:H30" si="10">F29</f>
        <v>1</v>
      </c>
      <c r="I29" s="54"/>
      <c r="J29" s="8"/>
      <c r="K29" s="40">
        <v>1000</v>
      </c>
      <c r="L29" s="28">
        <f t="shared" ref="L29:L30" si="11">ROUND(K29*H29,0)</f>
        <v>1000</v>
      </c>
      <c r="M29" s="30">
        <f t="shared" si="1"/>
        <v>0</v>
      </c>
      <c r="N29" s="30">
        <f t="shared" si="2"/>
        <v>1</v>
      </c>
    </row>
    <row r="30" spans="1:14" ht="28.5" customHeight="1">
      <c r="A30" s="52" t="s">
        <v>83</v>
      </c>
      <c r="B30" s="53"/>
      <c r="C30" s="53"/>
      <c r="D30" s="38" t="s">
        <v>59</v>
      </c>
      <c r="E30" s="39">
        <v>1</v>
      </c>
      <c r="F30" s="54"/>
      <c r="G30" s="54"/>
      <c r="H30" s="55">
        <f t="shared" si="10"/>
        <v>0</v>
      </c>
      <c r="I30" s="54"/>
      <c r="J30" s="8"/>
      <c r="K30" s="40">
        <v>70000</v>
      </c>
      <c r="L30" s="28">
        <f t="shared" si="11"/>
        <v>0</v>
      </c>
      <c r="M30" s="30">
        <f t="shared" si="1"/>
        <v>0</v>
      </c>
      <c r="N30" s="30">
        <f t="shared" si="2"/>
        <v>0</v>
      </c>
    </row>
    <row r="31" spans="1:14" s="24" customFormat="1" ht="14.25" customHeight="1">
      <c r="A31" s="56" t="s">
        <v>84</v>
      </c>
      <c r="B31" s="56"/>
      <c r="C31" s="56"/>
      <c r="D31" s="33" t="s">
        <v>53</v>
      </c>
      <c r="E31" s="25">
        <v>1</v>
      </c>
      <c r="F31" s="57"/>
      <c r="G31" s="57"/>
      <c r="H31" s="58">
        <f>F31</f>
        <v>0</v>
      </c>
      <c r="I31" s="57"/>
      <c r="J31" s="26"/>
      <c r="K31" s="32">
        <v>8982</v>
      </c>
      <c r="L31" s="28">
        <f t="shared" ref="L31:L35" si="12">ROUND(K31*H31,0)</f>
        <v>0</v>
      </c>
      <c r="M31" s="30">
        <f t="shared" si="1"/>
        <v>0</v>
      </c>
      <c r="N31" s="30">
        <f t="shared" si="2"/>
        <v>0</v>
      </c>
    </row>
    <row r="32" spans="1:14" s="24" customFormat="1" ht="14.25" customHeight="1">
      <c r="A32" s="59" t="s">
        <v>85</v>
      </c>
      <c r="B32" s="59"/>
      <c r="C32" s="59"/>
      <c r="D32" s="33" t="s">
        <v>53</v>
      </c>
      <c r="E32" s="25">
        <v>1</v>
      </c>
      <c r="F32" s="57"/>
      <c r="G32" s="57"/>
      <c r="H32" s="58">
        <f t="shared" ref="H32:H35" si="13">F32</f>
        <v>0</v>
      </c>
      <c r="I32" s="57"/>
      <c r="J32" s="26"/>
      <c r="K32" s="32">
        <v>22454</v>
      </c>
      <c r="L32" s="28">
        <f t="shared" si="12"/>
        <v>0</v>
      </c>
      <c r="M32" s="30">
        <f t="shared" si="1"/>
        <v>0</v>
      </c>
      <c r="N32" s="30">
        <f t="shared" si="2"/>
        <v>0</v>
      </c>
    </row>
    <row r="33" spans="1:27" s="24" customFormat="1" ht="14.25" customHeight="1">
      <c r="A33" s="59" t="s">
        <v>86</v>
      </c>
      <c r="B33" s="59"/>
      <c r="C33" s="59"/>
      <c r="D33" s="33" t="s">
        <v>53</v>
      </c>
      <c r="E33" s="22">
        <v>1</v>
      </c>
      <c r="F33" s="57"/>
      <c r="G33" s="57"/>
      <c r="H33" s="58">
        <f t="shared" si="13"/>
        <v>0</v>
      </c>
      <c r="I33" s="57"/>
      <c r="J33" s="23"/>
      <c r="K33" s="32">
        <v>78589</v>
      </c>
      <c r="L33" s="28">
        <f t="shared" si="12"/>
        <v>0</v>
      </c>
      <c r="M33" s="30">
        <f t="shared" si="1"/>
        <v>0</v>
      </c>
      <c r="N33" s="30">
        <f t="shared" si="2"/>
        <v>0</v>
      </c>
    </row>
    <row r="34" spans="1:27" s="24" customFormat="1" ht="14.25" customHeight="1">
      <c r="A34" s="60" t="s">
        <v>87</v>
      </c>
      <c r="B34" s="60"/>
      <c r="C34" s="60"/>
      <c r="D34" s="34" t="s">
        <v>53</v>
      </c>
      <c r="E34" s="35">
        <v>1</v>
      </c>
      <c r="F34" s="62">
        <v>1</v>
      </c>
      <c r="G34" s="62"/>
      <c r="H34" s="61">
        <f t="shared" ref="H34" si="14">F34</f>
        <v>1</v>
      </c>
      <c r="I34" s="62"/>
      <c r="J34" s="36"/>
      <c r="K34" s="32">
        <v>5370</v>
      </c>
      <c r="L34" s="28">
        <f t="shared" ref="L34" si="15">ROUND(K34*H34,0)</f>
        <v>5370</v>
      </c>
      <c r="M34" s="30">
        <f t="shared" ref="M34" si="16">G34</f>
        <v>0</v>
      </c>
      <c r="N34" s="30">
        <f t="shared" ref="N34" si="17">H34</f>
        <v>1</v>
      </c>
    </row>
    <row r="35" spans="1:27" s="24" customFormat="1" ht="14.25" customHeight="1" thickBot="1">
      <c r="A35" s="60" t="s">
        <v>88</v>
      </c>
      <c r="B35" s="60"/>
      <c r="C35" s="60"/>
      <c r="D35" s="34" t="s">
        <v>53</v>
      </c>
      <c r="E35" s="35">
        <v>1</v>
      </c>
      <c r="F35" s="62"/>
      <c r="G35" s="62"/>
      <c r="H35" s="61">
        <f t="shared" si="13"/>
        <v>0</v>
      </c>
      <c r="I35" s="62"/>
      <c r="J35" s="36"/>
      <c r="K35" s="32">
        <v>61905</v>
      </c>
      <c r="L35" s="28">
        <f t="shared" si="12"/>
        <v>0</v>
      </c>
      <c r="M35" s="30">
        <f t="shared" si="1"/>
        <v>0</v>
      </c>
      <c r="N35" s="30">
        <f t="shared" si="2"/>
        <v>0</v>
      </c>
    </row>
    <row r="36" spans="1:27" ht="14.25" customHeight="1">
      <c r="A36" s="63" t="s">
        <v>46</v>
      </c>
      <c r="B36" s="64"/>
      <c r="C36" s="65"/>
      <c r="D36" s="10"/>
      <c r="E36" s="16"/>
      <c r="F36" s="66"/>
      <c r="G36" s="67"/>
      <c r="H36" s="66"/>
      <c r="I36" s="67"/>
      <c r="J36" s="11"/>
      <c r="K36" s="21" t="s">
        <v>56</v>
      </c>
      <c r="L36" s="29">
        <f>SUM(L12:L35)</f>
        <v>32970</v>
      </c>
      <c r="M36" s="4"/>
      <c r="N36" s="5"/>
      <c r="O36" s="6"/>
      <c r="S36" s="6"/>
      <c r="W36" s="6"/>
      <c r="AA36" s="6"/>
    </row>
    <row r="37" spans="1:27" ht="14.25" customHeight="1">
      <c r="A37" s="88" t="s">
        <v>47</v>
      </c>
      <c r="B37" s="89"/>
      <c r="C37" s="90"/>
      <c r="D37" s="9"/>
      <c r="E37" s="17"/>
      <c r="F37" s="74"/>
      <c r="G37" s="91"/>
      <c r="H37" s="74"/>
      <c r="I37" s="91"/>
      <c r="J37" s="12"/>
      <c r="K37" s="27" t="s">
        <v>57</v>
      </c>
      <c r="L37" s="31">
        <v>1300000</v>
      </c>
      <c r="M37" s="4"/>
      <c r="N37" s="5"/>
      <c r="O37" s="6"/>
      <c r="S37" s="6"/>
      <c r="W37" s="6"/>
      <c r="AA37" s="6"/>
    </row>
    <row r="38" spans="1:27" ht="14.25" customHeight="1" thickBot="1">
      <c r="A38" s="68" t="s">
        <v>48</v>
      </c>
      <c r="B38" s="69"/>
      <c r="C38" s="70"/>
      <c r="D38" s="13"/>
      <c r="E38" s="18"/>
      <c r="F38" s="71"/>
      <c r="G38" s="72"/>
      <c r="H38" s="71"/>
      <c r="I38" s="72"/>
      <c r="J38" s="14"/>
      <c r="M38" s="4"/>
      <c r="N38" s="5"/>
      <c r="O38" s="6"/>
      <c r="S38" s="6"/>
      <c r="W38" s="6"/>
      <c r="AA38" s="6"/>
    </row>
    <row r="39" spans="1:27" ht="14.25" customHeight="1">
      <c r="A39" s="99" t="s">
        <v>23</v>
      </c>
      <c r="B39" s="64"/>
      <c r="C39" s="64"/>
      <c r="D39" s="64"/>
      <c r="E39" s="64"/>
      <c r="F39" s="64"/>
      <c r="G39" s="64"/>
      <c r="H39" s="64"/>
      <c r="I39" s="64"/>
      <c r="J39" s="65"/>
      <c r="M39" s="4"/>
      <c r="N39" s="5"/>
      <c r="O39" s="6"/>
      <c r="S39" s="6"/>
      <c r="W39" s="6"/>
      <c r="AA39" s="6"/>
    </row>
    <row r="40" spans="1:27" ht="14.25" customHeight="1">
      <c r="A40" s="74" t="s">
        <v>24</v>
      </c>
      <c r="B40" s="100"/>
      <c r="C40" s="75"/>
      <c r="D40" s="8" t="s">
        <v>18</v>
      </c>
      <c r="E40" s="8" t="s">
        <v>25</v>
      </c>
      <c r="F40" s="74" t="s">
        <v>26</v>
      </c>
      <c r="G40" s="75"/>
      <c r="H40" s="74" t="s">
        <v>27</v>
      </c>
      <c r="I40" s="75"/>
      <c r="J40" s="8" t="s">
        <v>22</v>
      </c>
      <c r="M40" s="4"/>
      <c r="N40" s="5"/>
      <c r="O40" s="6"/>
      <c r="S40" s="6"/>
      <c r="W40" s="6"/>
      <c r="AA40" s="6"/>
    </row>
    <row r="41" spans="1:27" ht="14.25" customHeight="1">
      <c r="A41" s="76"/>
      <c r="B41" s="77"/>
      <c r="C41" s="78"/>
      <c r="D41" s="8"/>
      <c r="E41" s="8"/>
      <c r="F41" s="74"/>
      <c r="G41" s="75"/>
      <c r="H41" s="74"/>
      <c r="I41" s="75"/>
      <c r="J41" s="8"/>
      <c r="M41" s="4"/>
      <c r="N41" s="5"/>
      <c r="O41" s="6"/>
      <c r="S41" s="6"/>
      <c r="W41" s="6"/>
      <c r="AA41" s="6"/>
    </row>
    <row r="42" spans="1:27" ht="14.25" customHeight="1">
      <c r="A42" s="76"/>
      <c r="B42" s="77"/>
      <c r="C42" s="78"/>
      <c r="D42" s="8"/>
      <c r="E42" s="8"/>
      <c r="F42" s="74"/>
      <c r="G42" s="75"/>
      <c r="H42" s="74"/>
      <c r="I42" s="75"/>
      <c r="J42" s="8"/>
      <c r="M42" s="4"/>
      <c r="N42" s="5"/>
      <c r="O42" s="6"/>
      <c r="S42" s="6"/>
      <c r="W42" s="6"/>
      <c r="AA42" s="6"/>
    </row>
    <row r="43" spans="1:27" ht="14.25" customHeight="1">
      <c r="A43" s="76" t="s">
        <v>28</v>
      </c>
      <c r="B43" s="77"/>
      <c r="C43" s="77"/>
      <c r="D43" s="77"/>
      <c r="E43" s="77"/>
      <c r="F43" s="77"/>
      <c r="G43" s="77"/>
      <c r="H43" s="77"/>
      <c r="I43" s="77"/>
      <c r="J43" s="78"/>
      <c r="M43" s="4"/>
      <c r="N43" s="5"/>
      <c r="O43" s="6"/>
      <c r="S43" s="6"/>
      <c r="W43" s="6"/>
      <c r="AA43" s="6"/>
    </row>
    <row r="44" spans="1:27" ht="14.25" customHeight="1">
      <c r="A44" s="74" t="s">
        <v>29</v>
      </c>
      <c r="B44" s="75"/>
      <c r="C44" s="8" t="s">
        <v>30</v>
      </c>
      <c r="D44" s="8" t="s">
        <v>31</v>
      </c>
      <c r="E44" s="74" t="s">
        <v>32</v>
      </c>
      <c r="F44" s="75"/>
      <c r="G44" s="74" t="s">
        <v>26</v>
      </c>
      <c r="H44" s="75"/>
      <c r="I44" s="74" t="s">
        <v>27</v>
      </c>
      <c r="J44" s="75"/>
      <c r="M44" s="4"/>
      <c r="N44" s="5"/>
      <c r="O44" s="6"/>
      <c r="S44" s="6"/>
      <c r="W44" s="6"/>
      <c r="AA44" s="6"/>
    </row>
    <row r="45" spans="1:27" ht="14.25" customHeight="1">
      <c r="A45" s="76" t="s">
        <v>54</v>
      </c>
      <c r="B45" s="78"/>
      <c r="C45" s="8">
        <v>2</v>
      </c>
      <c r="D45" s="8">
        <v>2</v>
      </c>
      <c r="E45" s="74"/>
      <c r="F45" s="75"/>
      <c r="G45" s="74"/>
      <c r="H45" s="75"/>
      <c r="I45" s="74"/>
      <c r="J45" s="75"/>
      <c r="M45" s="4"/>
      <c r="N45" s="5"/>
      <c r="O45" s="6"/>
      <c r="S45" s="6"/>
      <c r="W45" s="6"/>
      <c r="AA45" s="6"/>
    </row>
    <row r="46" spans="1:27" ht="14.25" customHeight="1">
      <c r="A46" s="76"/>
      <c r="B46" s="78"/>
      <c r="C46" s="8"/>
      <c r="D46" s="8"/>
      <c r="E46" s="74"/>
      <c r="F46" s="75"/>
      <c r="G46" s="74"/>
      <c r="H46" s="75"/>
      <c r="I46" s="74"/>
      <c r="J46" s="75"/>
      <c r="M46" s="4"/>
      <c r="N46" s="5"/>
      <c r="O46" s="6"/>
      <c r="S46" s="6"/>
      <c r="W46" s="6"/>
      <c r="AA46" s="6"/>
    </row>
    <row r="47" spans="1:27" ht="14.25" customHeight="1">
      <c r="A47" s="101" t="s">
        <v>45</v>
      </c>
      <c r="B47" s="102"/>
      <c r="C47" s="102"/>
      <c r="D47" s="102"/>
      <c r="E47" s="102"/>
      <c r="F47" s="102"/>
      <c r="G47" s="102"/>
      <c r="H47" s="102"/>
      <c r="I47" s="102"/>
      <c r="J47" s="103"/>
      <c r="M47" s="4"/>
      <c r="N47" s="5"/>
      <c r="O47" s="6"/>
      <c r="S47" s="6"/>
      <c r="W47" s="6"/>
      <c r="AA47" s="6"/>
    </row>
    <row r="48" spans="1:27" ht="14.25" customHeight="1">
      <c r="A48" s="104"/>
      <c r="B48" s="105"/>
      <c r="C48" s="105"/>
      <c r="D48" s="105"/>
      <c r="E48" s="105"/>
      <c r="F48" s="105"/>
      <c r="G48" s="105"/>
      <c r="H48" s="105"/>
      <c r="I48" s="105"/>
      <c r="J48" s="106"/>
      <c r="M48" s="4"/>
      <c r="N48" s="5"/>
      <c r="O48" s="6"/>
      <c r="S48" s="6"/>
      <c r="W48" s="6"/>
      <c r="AA48" s="6"/>
    </row>
    <row r="49" spans="1:27" ht="14.25" customHeight="1">
      <c r="A49" s="79" t="s">
        <v>97</v>
      </c>
      <c r="B49" s="80"/>
      <c r="C49" s="80"/>
      <c r="D49" s="80"/>
      <c r="E49" s="80"/>
      <c r="F49" s="80"/>
      <c r="G49" s="80"/>
      <c r="H49" s="80"/>
      <c r="I49" s="80"/>
      <c r="J49" s="81"/>
      <c r="M49" s="4"/>
      <c r="N49" s="5"/>
      <c r="O49" s="6"/>
      <c r="S49" s="6"/>
      <c r="W49" s="6"/>
      <c r="AA49" s="6"/>
    </row>
    <row r="50" spans="1:27" ht="14.25" customHeight="1">
      <c r="A50" s="82"/>
      <c r="B50" s="83"/>
      <c r="C50" s="83"/>
      <c r="D50" s="83"/>
      <c r="E50" s="83"/>
      <c r="F50" s="83"/>
      <c r="G50" s="83"/>
      <c r="H50" s="83"/>
      <c r="I50" s="83"/>
      <c r="J50" s="84"/>
    </row>
    <row r="51" spans="1:27" ht="14.25" customHeight="1">
      <c r="A51" s="82"/>
      <c r="B51" s="83"/>
      <c r="C51" s="83"/>
      <c r="D51" s="83"/>
      <c r="E51" s="83"/>
      <c r="F51" s="83"/>
      <c r="G51" s="83"/>
      <c r="H51" s="83"/>
      <c r="I51" s="83"/>
      <c r="J51" s="84"/>
    </row>
    <row r="52" spans="1:27" ht="14.25" customHeight="1">
      <c r="A52" s="82"/>
      <c r="B52" s="83"/>
      <c r="C52" s="83"/>
      <c r="D52" s="83"/>
      <c r="E52" s="83"/>
      <c r="F52" s="83"/>
      <c r="G52" s="83"/>
      <c r="H52" s="83"/>
      <c r="I52" s="83"/>
      <c r="J52" s="84"/>
    </row>
    <row r="53" spans="1:27" ht="14.25" customHeight="1">
      <c r="A53" s="82"/>
      <c r="B53" s="83"/>
      <c r="C53" s="83"/>
      <c r="D53" s="83"/>
      <c r="E53" s="83"/>
      <c r="F53" s="83"/>
      <c r="G53" s="83"/>
      <c r="H53" s="83"/>
      <c r="I53" s="83"/>
      <c r="J53" s="84"/>
    </row>
    <row r="54" spans="1:27" ht="14.25" customHeight="1">
      <c r="A54" s="82"/>
      <c r="B54" s="83"/>
      <c r="C54" s="83"/>
      <c r="D54" s="83"/>
      <c r="E54" s="83"/>
      <c r="F54" s="83"/>
      <c r="G54" s="83"/>
      <c r="H54" s="83"/>
      <c r="I54" s="83"/>
      <c r="J54" s="84"/>
    </row>
    <row r="55" spans="1:27" ht="14.25" customHeight="1">
      <c r="A55" s="42" t="s">
        <v>33</v>
      </c>
      <c r="B55" s="43"/>
      <c r="C55" s="43"/>
      <c r="D55" s="43"/>
      <c r="E55" s="43"/>
      <c r="F55" s="43"/>
      <c r="G55" s="43"/>
      <c r="H55" s="43"/>
      <c r="I55" s="43"/>
      <c r="J55" s="44"/>
    </row>
    <row r="56" spans="1:27" ht="14.25" customHeight="1">
      <c r="A56" s="45"/>
      <c r="B56" s="46"/>
      <c r="C56" s="46"/>
      <c r="D56" s="46"/>
      <c r="E56" s="46"/>
      <c r="F56" s="46"/>
      <c r="G56" s="46"/>
      <c r="H56" s="46"/>
      <c r="I56" s="46"/>
      <c r="J56" s="47"/>
    </row>
    <row r="57" spans="1:27" ht="14.25" customHeight="1">
      <c r="A57" s="42" t="s">
        <v>34</v>
      </c>
      <c r="B57" s="43"/>
      <c r="C57" s="43"/>
      <c r="D57" s="43"/>
      <c r="E57" s="43"/>
      <c r="F57" s="43"/>
      <c r="G57" s="43"/>
      <c r="H57" s="43"/>
      <c r="I57" s="43"/>
      <c r="J57" s="44"/>
    </row>
    <row r="58" spans="1:27" ht="14.25" customHeight="1">
      <c r="A58" s="45"/>
      <c r="B58" s="46"/>
      <c r="C58" s="46"/>
      <c r="D58" s="46"/>
      <c r="E58" s="46"/>
      <c r="F58" s="46"/>
      <c r="G58" s="46"/>
      <c r="H58" s="46"/>
      <c r="I58" s="46"/>
      <c r="J58" s="47"/>
    </row>
    <row r="59" spans="1:27" ht="14.25" customHeight="1">
      <c r="A59" s="42" t="s">
        <v>92</v>
      </c>
      <c r="B59" s="43"/>
      <c r="C59" s="43"/>
      <c r="D59" s="43"/>
      <c r="E59" s="43"/>
      <c r="F59" s="43"/>
      <c r="G59" s="43"/>
      <c r="H59" s="43"/>
      <c r="I59" s="43"/>
      <c r="J59" s="44"/>
    </row>
    <row r="60" spans="1:27" ht="14.25" customHeight="1">
      <c r="A60" s="45"/>
      <c r="B60" s="46"/>
      <c r="C60" s="46"/>
      <c r="D60" s="46"/>
      <c r="E60" s="46"/>
      <c r="F60" s="46"/>
      <c r="G60" s="46"/>
      <c r="H60" s="46"/>
      <c r="I60" s="46"/>
      <c r="J60" s="47"/>
    </row>
    <row r="61" spans="1:27" ht="14.25" customHeight="1">
      <c r="A61" s="42" t="s">
        <v>35</v>
      </c>
      <c r="B61" s="43"/>
      <c r="C61" s="43"/>
      <c r="D61" s="43"/>
      <c r="E61" s="43"/>
      <c r="F61" s="43"/>
      <c r="G61" s="43"/>
      <c r="H61" s="43"/>
      <c r="I61" s="43"/>
      <c r="J61" s="44"/>
    </row>
    <row r="62" spans="1:27" ht="14.25" customHeight="1">
      <c r="A62" s="45"/>
      <c r="B62" s="46"/>
      <c r="C62" s="46"/>
      <c r="D62" s="46"/>
      <c r="E62" s="46"/>
      <c r="F62" s="46"/>
      <c r="G62" s="46"/>
      <c r="H62" s="46"/>
      <c r="I62" s="46"/>
      <c r="J62" s="47"/>
    </row>
    <row r="63" spans="1:27" ht="14.25" customHeight="1">
      <c r="A63" s="107" t="s">
        <v>36</v>
      </c>
      <c r="B63" s="107"/>
      <c r="C63" s="107"/>
      <c r="D63" s="107"/>
      <c r="E63" s="107"/>
      <c r="F63" s="107"/>
      <c r="G63" s="107"/>
      <c r="H63" s="107"/>
      <c r="I63" s="107"/>
      <c r="J63" s="107"/>
    </row>
    <row r="64" spans="1:27" ht="14.25" customHeight="1">
      <c r="A64" s="48" t="s">
        <v>37</v>
      </c>
      <c r="B64" s="48"/>
      <c r="C64" s="48"/>
      <c r="D64" s="48"/>
      <c r="E64" s="48"/>
      <c r="F64" s="48"/>
      <c r="G64" s="48"/>
      <c r="H64" s="48"/>
      <c r="I64" s="48"/>
      <c r="J64" s="48"/>
    </row>
    <row r="65" spans="1:10" ht="14.25" customHeight="1">
      <c r="A65" s="48" t="s">
        <v>38</v>
      </c>
      <c r="B65" s="48"/>
      <c r="C65" s="48"/>
      <c r="D65" s="48"/>
      <c r="E65" s="48"/>
      <c r="F65" s="48"/>
      <c r="G65" s="48"/>
      <c r="H65" s="48"/>
      <c r="I65" s="48"/>
      <c r="J65" s="48"/>
    </row>
    <row r="66" spans="1:10" ht="14.25" customHeight="1">
      <c r="A66" s="48" t="s">
        <v>39</v>
      </c>
      <c r="B66" s="48"/>
      <c r="C66" s="48"/>
      <c r="D66" s="48"/>
      <c r="E66" s="48"/>
      <c r="F66" s="48"/>
      <c r="G66" s="48"/>
      <c r="H66" s="48"/>
      <c r="I66" s="48"/>
      <c r="J66" s="48"/>
    </row>
    <row r="67" spans="1:10" ht="14.25" customHeight="1">
      <c r="A67" s="48" t="s">
        <v>40</v>
      </c>
      <c r="B67" s="48"/>
      <c r="C67" s="48"/>
      <c r="D67" s="48"/>
      <c r="E67" s="48"/>
      <c r="F67" s="48"/>
      <c r="G67" s="48"/>
      <c r="H67" s="48"/>
      <c r="I67" s="48"/>
      <c r="J67" s="48"/>
    </row>
    <row r="68" spans="1:10" ht="14.25" customHeight="1">
      <c r="A68" s="48" t="s">
        <v>41</v>
      </c>
      <c r="B68" s="48"/>
      <c r="C68" s="48"/>
      <c r="D68" s="48"/>
      <c r="E68" s="48"/>
      <c r="F68" s="48"/>
      <c r="G68" s="48"/>
      <c r="H68" s="48"/>
      <c r="I68" s="48"/>
      <c r="J68" s="48"/>
    </row>
    <row r="69" spans="1:10" ht="14.25" customHeight="1">
      <c r="A69" s="48" t="s">
        <v>42</v>
      </c>
      <c r="B69" s="48"/>
      <c r="C69" s="48"/>
      <c r="D69" s="48"/>
      <c r="E69" s="48"/>
      <c r="F69" s="48"/>
      <c r="G69" s="48"/>
      <c r="H69" s="48"/>
      <c r="I69" s="48"/>
      <c r="J69" s="48"/>
    </row>
    <row r="70" spans="1:10" ht="14.25" customHeight="1">
      <c r="A70" s="48" t="s">
        <v>43</v>
      </c>
      <c r="B70" s="48"/>
      <c r="C70" s="48"/>
      <c r="D70" s="48"/>
      <c r="E70" s="48"/>
      <c r="F70" s="48"/>
      <c r="G70" s="48"/>
      <c r="H70" s="48"/>
      <c r="I70" s="48"/>
      <c r="J70" s="48"/>
    </row>
    <row r="71" spans="1:10" ht="14.25" customHeight="1">
      <c r="A71" s="48" t="s">
        <v>44</v>
      </c>
      <c r="B71" s="48"/>
      <c r="C71" s="48"/>
      <c r="D71" s="48"/>
      <c r="E71" s="48"/>
      <c r="F71" s="48"/>
      <c r="G71" s="48"/>
      <c r="H71" s="48"/>
      <c r="I71" s="48"/>
      <c r="J71" s="48"/>
    </row>
    <row r="72" spans="1:10" ht="29.25" customHeight="1">
      <c r="A72" s="50" t="s">
        <v>51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0" ht="14.25" customHeight="1">
      <c r="A73" s="114" t="s">
        <v>49</v>
      </c>
      <c r="B73" s="114"/>
      <c r="C73" s="114"/>
      <c r="D73" s="114"/>
      <c r="E73" s="114"/>
      <c r="F73" s="114"/>
      <c r="G73" s="114"/>
      <c r="H73" s="114"/>
      <c r="I73" s="114"/>
      <c r="J73" s="114"/>
    </row>
    <row r="74" spans="1:10" ht="14.25" customHeight="1">
      <c r="A74" s="92" t="s">
        <v>0</v>
      </c>
      <c r="B74" s="92"/>
      <c r="C74" s="92"/>
      <c r="D74" s="92"/>
      <c r="E74" s="92"/>
      <c r="F74" s="92"/>
      <c r="G74" s="92"/>
      <c r="H74" s="92"/>
      <c r="I74" s="92"/>
      <c r="J74" s="92"/>
    </row>
    <row r="75" spans="1:10">
      <c r="A75" s="2" t="s">
        <v>1</v>
      </c>
      <c r="B75" s="3" t="str">
        <f>"GD-"&amp;IF(LEN(E79)=2,TEXT(LEFT(E79,1),"000"),IF(LEN(E79)=3,TEXT(LEFT(E79,2),"000"),TEXT(LEFT(E79,3),"000")))</f>
        <v>GD-002</v>
      </c>
      <c r="C75" s="2"/>
      <c r="D75" s="2"/>
      <c r="E75" s="2"/>
      <c r="F75" s="2"/>
      <c r="G75" s="2"/>
      <c r="H75" s="2"/>
      <c r="I75" s="2"/>
      <c r="J75" s="2"/>
    </row>
    <row r="76" spans="1:10" ht="14.25" customHeight="1">
      <c r="A76" s="86" t="s">
        <v>2</v>
      </c>
      <c r="B76" s="86"/>
      <c r="C76" s="86"/>
      <c r="D76" s="86"/>
      <c r="E76" s="86"/>
      <c r="F76" s="93" t="s">
        <v>3</v>
      </c>
      <c r="G76" s="93"/>
      <c r="H76" s="94">
        <f>H3+1</f>
        <v>46049</v>
      </c>
      <c r="I76" s="94"/>
      <c r="J76" s="7" t="str">
        <f>"("&amp;TEXT(H76,"[$-404]aaaa;@")&amp;")"</f>
        <v>(星期二)</v>
      </c>
    </row>
    <row r="77" spans="1:10" ht="14.25" customHeight="1">
      <c r="A77" s="54" t="s">
        <v>4</v>
      </c>
      <c r="B77" s="54"/>
      <c r="C77" s="87" t="str">
        <f>C4</f>
        <v>林內國中多功能教室裝修工程</v>
      </c>
      <c r="D77" s="87"/>
      <c r="E77" s="87"/>
      <c r="F77" s="54" t="s">
        <v>5</v>
      </c>
      <c r="G77" s="54"/>
      <c r="H77" s="54" t="str">
        <f>H4</f>
        <v>正郁室內裝修</v>
      </c>
      <c r="I77" s="54"/>
      <c r="J77" s="54"/>
    </row>
    <row r="78" spans="1:10" ht="14.25" customHeight="1">
      <c r="A78" s="54"/>
      <c r="B78" s="54"/>
      <c r="C78" s="87"/>
      <c r="D78" s="87"/>
      <c r="E78" s="87"/>
      <c r="F78" s="54"/>
      <c r="G78" s="54"/>
      <c r="H78" s="54"/>
      <c r="I78" s="54"/>
      <c r="J78" s="54"/>
    </row>
    <row r="79" spans="1:10" ht="14.25" customHeight="1">
      <c r="A79" s="8" t="s">
        <v>7</v>
      </c>
      <c r="B79" s="8" t="str">
        <f>B6</f>
        <v>60天</v>
      </c>
      <c r="C79" s="54" t="s">
        <v>8</v>
      </c>
      <c r="D79" s="54"/>
      <c r="E79" s="8" t="str">
        <f>IF(LEN(E6)&gt;2,(LEFT(E6,2)+1),(LEFT(E6,1)+1))&amp;"天"</f>
        <v>2天</v>
      </c>
      <c r="F79" s="8" t="s">
        <v>9</v>
      </c>
      <c r="G79" s="8" t="str">
        <f>IF(LEN(E79)&gt;2,LEFT(B79,2)-LEFT(E79,2),LEFT(B79,2)-LEFT(E79,1))&amp;"天"</f>
        <v>58天</v>
      </c>
      <c r="H79" s="54" t="s">
        <v>10</v>
      </c>
      <c r="I79" s="54"/>
      <c r="J79" s="8" t="str">
        <f>J6</f>
        <v>0天</v>
      </c>
    </row>
    <row r="80" spans="1:10" ht="14.25" customHeight="1">
      <c r="A80" s="54" t="s">
        <v>12</v>
      </c>
      <c r="B80" s="54"/>
      <c r="C80" s="54" t="str">
        <f>C7</f>
        <v>115年01月26日</v>
      </c>
      <c r="D80" s="54"/>
      <c r="E80" s="54"/>
      <c r="F80" s="54" t="s">
        <v>13</v>
      </c>
      <c r="G80" s="54"/>
      <c r="H80" s="54" t="str">
        <f>H7</f>
        <v>115年3月26日</v>
      </c>
      <c r="I80" s="54"/>
      <c r="J80" s="54"/>
    </row>
    <row r="81" spans="1:27" ht="14.25" customHeight="1">
      <c r="A81" s="54" t="s">
        <v>14</v>
      </c>
      <c r="B81" s="54"/>
      <c r="C81" s="95">
        <f>(5%/15)*2</f>
        <v>6.6666666666666671E-3</v>
      </c>
      <c r="D81" s="95"/>
      <c r="E81" s="95"/>
      <c r="F81" s="54" t="s">
        <v>15</v>
      </c>
      <c r="G81" s="54"/>
      <c r="H81" s="96">
        <f>ROUND(L109/L110,5)</f>
        <v>4.3819999999999998E-2</v>
      </c>
      <c r="I81" s="97"/>
      <c r="J81" s="98"/>
    </row>
    <row r="82" spans="1:27" ht="14.25" customHeight="1">
      <c r="A82" s="53" t="s">
        <v>16</v>
      </c>
      <c r="B82" s="53"/>
      <c r="C82" s="53"/>
      <c r="D82" s="53"/>
      <c r="E82" s="53"/>
      <c r="F82" s="53"/>
      <c r="G82" s="53"/>
      <c r="H82" s="53"/>
      <c r="I82" s="53"/>
      <c r="J82" s="53"/>
    </row>
    <row r="83" spans="1:27" ht="14.25" customHeight="1">
      <c r="A83" s="54" t="s">
        <v>17</v>
      </c>
      <c r="B83" s="54"/>
      <c r="C83" s="54"/>
      <c r="D83" s="8" t="s">
        <v>18</v>
      </c>
      <c r="E83" s="8" t="s">
        <v>19</v>
      </c>
      <c r="F83" s="54" t="s">
        <v>20</v>
      </c>
      <c r="G83" s="54"/>
      <c r="H83" s="54" t="s">
        <v>21</v>
      </c>
      <c r="I83" s="54"/>
      <c r="J83" s="8" t="s">
        <v>22</v>
      </c>
      <c r="K83" s="21" t="s">
        <v>55</v>
      </c>
      <c r="L83" s="20"/>
      <c r="M83" s="4"/>
      <c r="N83" s="5"/>
      <c r="O83" s="6"/>
      <c r="S83" s="6"/>
      <c r="W83" s="6"/>
      <c r="AA83" s="6"/>
    </row>
    <row r="84" spans="1:27" ht="14.25" customHeight="1">
      <c r="A84" s="53" t="s">
        <v>64</v>
      </c>
      <c r="B84" s="53"/>
      <c r="C84" s="53"/>
      <c r="D84" s="53"/>
      <c r="E84" s="53"/>
      <c r="F84" s="53"/>
      <c r="G84" s="53"/>
      <c r="H84" s="53"/>
      <c r="I84" s="53"/>
      <c r="J84" s="53"/>
    </row>
    <row r="85" spans="1:27" ht="14.25" customHeight="1">
      <c r="A85" s="52" t="s">
        <v>65</v>
      </c>
      <c r="B85" s="52"/>
      <c r="C85" s="52"/>
      <c r="D85" s="38" t="s">
        <v>60</v>
      </c>
      <c r="E85" s="39">
        <v>71</v>
      </c>
      <c r="F85" s="55"/>
      <c r="G85" s="55"/>
      <c r="H85" s="55">
        <f t="shared" ref="H85:H108" si="18">F85+H12</f>
        <v>0</v>
      </c>
      <c r="I85" s="54"/>
      <c r="J85" s="15"/>
      <c r="K85" s="40">
        <v>2200</v>
      </c>
      <c r="L85" s="28">
        <f>ROUND(K85*H85,0)</f>
        <v>0</v>
      </c>
      <c r="N85" s="30">
        <f>H85</f>
        <v>0</v>
      </c>
    </row>
    <row r="86" spans="1:27" ht="45" customHeight="1">
      <c r="A86" s="52" t="s">
        <v>66</v>
      </c>
      <c r="B86" s="52"/>
      <c r="C86" s="52"/>
      <c r="D86" s="38" t="s">
        <v>58</v>
      </c>
      <c r="E86" s="39">
        <v>1</v>
      </c>
      <c r="F86" s="55"/>
      <c r="G86" s="55"/>
      <c r="H86" s="55">
        <f t="shared" si="18"/>
        <v>0.5</v>
      </c>
      <c r="I86" s="54"/>
      <c r="J86" s="8"/>
      <c r="K86" s="40">
        <v>50000</v>
      </c>
      <c r="L86" s="28">
        <f>ROUND(K86*H86,0)</f>
        <v>25000</v>
      </c>
      <c r="M86" s="30">
        <f t="shared" ref="M86:M108" si="19">G86</f>
        <v>0</v>
      </c>
      <c r="N86" s="30">
        <f t="shared" ref="N86:N108" si="20">H86</f>
        <v>0.5</v>
      </c>
    </row>
    <row r="87" spans="1:27" ht="14.25" customHeight="1">
      <c r="A87" s="53" t="s">
        <v>67</v>
      </c>
      <c r="B87" s="53"/>
      <c r="C87" s="53"/>
      <c r="D87" s="37" t="s">
        <v>58</v>
      </c>
      <c r="E87" s="39">
        <v>1</v>
      </c>
      <c r="F87" s="55"/>
      <c r="G87" s="55"/>
      <c r="H87" s="55">
        <f t="shared" si="18"/>
        <v>0</v>
      </c>
      <c r="I87" s="54"/>
      <c r="J87" s="8"/>
      <c r="K87" s="41">
        <v>65000</v>
      </c>
      <c r="L87" s="28">
        <f t="shared" ref="L87" si="21">ROUND(K87*H87,0)</f>
        <v>0</v>
      </c>
      <c r="M87" s="30">
        <f t="shared" si="19"/>
        <v>0</v>
      </c>
      <c r="N87" s="30">
        <f t="shared" si="20"/>
        <v>0</v>
      </c>
    </row>
    <row r="88" spans="1:27" ht="14.25" customHeight="1">
      <c r="A88" s="52" t="s">
        <v>68</v>
      </c>
      <c r="B88" s="52"/>
      <c r="C88" s="52"/>
      <c r="D88" s="37" t="s">
        <v>58</v>
      </c>
      <c r="E88" s="39">
        <v>1</v>
      </c>
      <c r="F88" s="55"/>
      <c r="G88" s="55"/>
      <c r="H88" s="55">
        <f t="shared" si="18"/>
        <v>0</v>
      </c>
      <c r="I88" s="54"/>
      <c r="J88" s="15"/>
      <c r="K88" s="41">
        <v>98000</v>
      </c>
      <c r="L88" s="28">
        <f>ROUND(K88*H88,0)</f>
        <v>0</v>
      </c>
      <c r="M88" s="30">
        <f t="shared" si="19"/>
        <v>0</v>
      </c>
      <c r="N88" s="30">
        <f t="shared" si="20"/>
        <v>0</v>
      </c>
    </row>
    <row r="89" spans="1:27" ht="14.25" customHeight="1">
      <c r="A89" s="52" t="s">
        <v>69</v>
      </c>
      <c r="B89" s="52"/>
      <c r="C89" s="52"/>
      <c r="D89" s="38" t="s">
        <v>58</v>
      </c>
      <c r="E89" s="39">
        <v>1</v>
      </c>
      <c r="F89" s="73">
        <v>0.2</v>
      </c>
      <c r="G89" s="73"/>
      <c r="H89" s="55">
        <f t="shared" si="18"/>
        <v>0.2</v>
      </c>
      <c r="I89" s="54"/>
      <c r="J89" s="8"/>
      <c r="K89" s="40">
        <v>120000</v>
      </c>
      <c r="L89" s="28">
        <f>ROUND(K89*H89,0)</f>
        <v>24000</v>
      </c>
      <c r="M89" s="30">
        <f t="shared" si="19"/>
        <v>0</v>
      </c>
      <c r="N89" s="30">
        <f t="shared" si="20"/>
        <v>0.2</v>
      </c>
    </row>
    <row r="90" spans="1:27" ht="14.25" customHeight="1">
      <c r="A90" s="53" t="s">
        <v>70</v>
      </c>
      <c r="B90" s="53"/>
      <c r="C90" s="53"/>
      <c r="D90" s="38" t="s">
        <v>60</v>
      </c>
      <c r="E90" s="39">
        <v>179</v>
      </c>
      <c r="F90" s="55"/>
      <c r="G90" s="55"/>
      <c r="H90" s="55">
        <f t="shared" si="18"/>
        <v>0</v>
      </c>
      <c r="I90" s="54"/>
      <c r="J90" s="8"/>
      <c r="K90" s="40">
        <v>300</v>
      </c>
      <c r="L90" s="28">
        <f t="shared" ref="L90" si="22">ROUND(K90*H90,0)</f>
        <v>0</v>
      </c>
      <c r="M90" s="30">
        <f t="shared" si="19"/>
        <v>0</v>
      </c>
      <c r="N90" s="30">
        <f t="shared" si="20"/>
        <v>0</v>
      </c>
    </row>
    <row r="91" spans="1:27" ht="14.25" customHeight="1">
      <c r="A91" s="52" t="s">
        <v>71</v>
      </c>
      <c r="B91" s="52"/>
      <c r="C91" s="52"/>
      <c r="D91" s="38" t="s">
        <v>59</v>
      </c>
      <c r="E91" s="39">
        <v>1</v>
      </c>
      <c r="F91" s="55"/>
      <c r="G91" s="55"/>
      <c r="H91" s="55">
        <f t="shared" si="18"/>
        <v>0</v>
      </c>
      <c r="I91" s="54"/>
      <c r="J91" s="15"/>
      <c r="K91" s="40">
        <v>32000</v>
      </c>
      <c r="L91" s="28">
        <f>ROUND(K91*H91,0)</f>
        <v>0</v>
      </c>
      <c r="M91" s="30">
        <f t="shared" si="19"/>
        <v>0</v>
      </c>
      <c r="N91" s="30">
        <f t="shared" si="20"/>
        <v>0</v>
      </c>
    </row>
    <row r="92" spans="1:27" ht="14.25" customHeight="1">
      <c r="A92" s="52" t="s">
        <v>72</v>
      </c>
      <c r="B92" s="52"/>
      <c r="C92" s="52"/>
      <c r="D92" s="38" t="s">
        <v>58</v>
      </c>
      <c r="E92" s="39">
        <v>1</v>
      </c>
      <c r="F92" s="55"/>
      <c r="G92" s="55"/>
      <c r="H92" s="55">
        <f t="shared" si="18"/>
        <v>0</v>
      </c>
      <c r="I92" s="54"/>
      <c r="J92" s="8"/>
      <c r="K92" s="40">
        <v>66000</v>
      </c>
      <c r="L92" s="28">
        <f>ROUND(K92*H92,0)</f>
        <v>0</v>
      </c>
      <c r="M92" s="30">
        <f t="shared" si="19"/>
        <v>0</v>
      </c>
      <c r="N92" s="30">
        <f t="shared" si="20"/>
        <v>0</v>
      </c>
    </row>
    <row r="93" spans="1:27" ht="14.25" customHeight="1">
      <c r="A93" s="52" t="s">
        <v>73</v>
      </c>
      <c r="B93" s="53"/>
      <c r="C93" s="53"/>
      <c r="D93" s="38" t="s">
        <v>59</v>
      </c>
      <c r="E93" s="39">
        <v>1</v>
      </c>
      <c r="F93" s="55"/>
      <c r="G93" s="55"/>
      <c r="H93" s="55">
        <f t="shared" si="18"/>
        <v>0</v>
      </c>
      <c r="I93" s="54"/>
      <c r="J93" s="8"/>
      <c r="K93" s="40">
        <v>47000</v>
      </c>
      <c r="L93" s="28">
        <f t="shared" ref="L93:L108" si="23">ROUND(K93*H93,0)</f>
        <v>0</v>
      </c>
      <c r="M93" s="30">
        <f t="shared" si="19"/>
        <v>0</v>
      </c>
      <c r="N93" s="30">
        <f t="shared" si="20"/>
        <v>0</v>
      </c>
    </row>
    <row r="94" spans="1:27" ht="14.25" customHeight="1">
      <c r="A94" s="53" t="s">
        <v>74</v>
      </c>
      <c r="B94" s="53"/>
      <c r="C94" s="53"/>
      <c r="D94" s="38" t="s">
        <v>89</v>
      </c>
      <c r="E94" s="39">
        <v>20</v>
      </c>
      <c r="F94" s="54"/>
      <c r="G94" s="54"/>
      <c r="H94" s="55">
        <f t="shared" si="18"/>
        <v>0</v>
      </c>
      <c r="I94" s="54"/>
      <c r="J94" s="8"/>
      <c r="K94" s="40">
        <v>3000</v>
      </c>
      <c r="L94" s="28">
        <f t="shared" si="23"/>
        <v>0</v>
      </c>
      <c r="M94" s="30">
        <f t="shared" si="19"/>
        <v>0</v>
      </c>
      <c r="N94" s="30">
        <f t="shared" si="20"/>
        <v>0</v>
      </c>
    </row>
    <row r="95" spans="1:27" ht="14.25" customHeight="1">
      <c r="A95" s="53" t="s">
        <v>75</v>
      </c>
      <c r="B95" s="53"/>
      <c r="C95" s="53"/>
      <c r="D95" s="38" t="s">
        <v>59</v>
      </c>
      <c r="E95" s="39">
        <v>1</v>
      </c>
      <c r="F95" s="54"/>
      <c r="G95" s="54"/>
      <c r="H95" s="55">
        <f t="shared" si="18"/>
        <v>0</v>
      </c>
      <c r="I95" s="54"/>
      <c r="J95" s="8"/>
      <c r="K95" s="40">
        <v>95000</v>
      </c>
      <c r="L95" s="28">
        <f t="shared" si="23"/>
        <v>0</v>
      </c>
      <c r="M95" s="30">
        <f t="shared" si="19"/>
        <v>0</v>
      </c>
      <c r="N95" s="30">
        <f t="shared" si="20"/>
        <v>0</v>
      </c>
    </row>
    <row r="96" spans="1:27" ht="14.25" customHeight="1">
      <c r="A96" s="53" t="s">
        <v>76</v>
      </c>
      <c r="B96" s="53"/>
      <c r="C96" s="53"/>
      <c r="D96" s="38" t="s">
        <v>90</v>
      </c>
      <c r="E96" s="39">
        <v>345</v>
      </c>
      <c r="F96" s="54"/>
      <c r="G96" s="54"/>
      <c r="H96" s="55">
        <f t="shared" si="18"/>
        <v>0</v>
      </c>
      <c r="I96" s="54"/>
      <c r="J96" s="8"/>
      <c r="K96" s="40">
        <v>100</v>
      </c>
      <c r="L96" s="28">
        <f t="shared" si="23"/>
        <v>0</v>
      </c>
      <c r="M96" s="30">
        <f t="shared" si="19"/>
        <v>0</v>
      </c>
      <c r="N96" s="30">
        <f t="shared" si="20"/>
        <v>0</v>
      </c>
    </row>
    <row r="97" spans="1:27" ht="14.25" customHeight="1">
      <c r="A97" s="53" t="s">
        <v>77</v>
      </c>
      <c r="B97" s="53"/>
      <c r="C97" s="53"/>
      <c r="D97" s="38" t="s">
        <v>58</v>
      </c>
      <c r="E97" s="39">
        <v>1</v>
      </c>
      <c r="F97" s="54"/>
      <c r="G97" s="54"/>
      <c r="H97" s="55">
        <f t="shared" si="18"/>
        <v>0</v>
      </c>
      <c r="I97" s="54"/>
      <c r="J97" s="8"/>
      <c r="K97" s="40">
        <v>56000</v>
      </c>
      <c r="L97" s="28">
        <f t="shared" si="23"/>
        <v>0</v>
      </c>
      <c r="M97" s="30">
        <f t="shared" si="19"/>
        <v>0</v>
      </c>
      <c r="N97" s="30">
        <f t="shared" si="20"/>
        <v>0</v>
      </c>
    </row>
    <row r="98" spans="1:27" ht="28.5" customHeight="1">
      <c r="A98" s="52" t="s">
        <v>78</v>
      </c>
      <c r="B98" s="53"/>
      <c r="C98" s="53"/>
      <c r="D98" s="38" t="s">
        <v>58</v>
      </c>
      <c r="E98" s="39">
        <v>1</v>
      </c>
      <c r="F98" s="54"/>
      <c r="G98" s="54"/>
      <c r="H98" s="55">
        <f t="shared" si="18"/>
        <v>0</v>
      </c>
      <c r="I98" s="54"/>
      <c r="J98" s="8"/>
      <c r="K98" s="40">
        <v>67500</v>
      </c>
      <c r="L98" s="28">
        <f t="shared" si="23"/>
        <v>0</v>
      </c>
      <c r="M98" s="30">
        <f t="shared" si="19"/>
        <v>0</v>
      </c>
      <c r="N98" s="30">
        <f t="shared" si="20"/>
        <v>0</v>
      </c>
    </row>
    <row r="99" spans="1:27" ht="14.25" customHeight="1">
      <c r="A99" s="53" t="s">
        <v>79</v>
      </c>
      <c r="B99" s="53"/>
      <c r="C99" s="53"/>
      <c r="D99" s="38" t="s">
        <v>91</v>
      </c>
      <c r="E99" s="39">
        <v>3</v>
      </c>
      <c r="F99" s="54"/>
      <c r="G99" s="54"/>
      <c r="H99" s="55">
        <f t="shared" si="18"/>
        <v>0</v>
      </c>
      <c r="I99" s="54"/>
      <c r="J99" s="8"/>
      <c r="K99" s="40">
        <v>6000</v>
      </c>
      <c r="L99" s="28">
        <f t="shared" si="23"/>
        <v>0</v>
      </c>
      <c r="M99" s="30">
        <f t="shared" si="19"/>
        <v>0</v>
      </c>
      <c r="N99" s="30">
        <f t="shared" si="20"/>
        <v>0</v>
      </c>
    </row>
    <row r="100" spans="1:27" ht="14.25" customHeight="1">
      <c r="A100" s="53" t="s">
        <v>80</v>
      </c>
      <c r="B100" s="53"/>
      <c r="C100" s="53"/>
      <c r="D100" s="38" t="s">
        <v>91</v>
      </c>
      <c r="E100" s="39">
        <v>26</v>
      </c>
      <c r="F100" s="54"/>
      <c r="G100" s="54"/>
      <c r="H100" s="55">
        <f t="shared" si="18"/>
        <v>0</v>
      </c>
      <c r="I100" s="54"/>
      <c r="J100" s="8"/>
      <c r="K100" s="40">
        <v>1200</v>
      </c>
      <c r="L100" s="28">
        <f t="shared" si="23"/>
        <v>0</v>
      </c>
      <c r="M100" s="30">
        <f t="shared" si="19"/>
        <v>0</v>
      </c>
      <c r="N100" s="30">
        <f t="shared" si="20"/>
        <v>0</v>
      </c>
    </row>
    <row r="101" spans="1:27" ht="14.25" customHeight="1">
      <c r="A101" s="53" t="s">
        <v>81</v>
      </c>
      <c r="B101" s="53"/>
      <c r="C101" s="53"/>
      <c r="D101" s="38" t="s">
        <v>58</v>
      </c>
      <c r="E101" s="39">
        <v>1</v>
      </c>
      <c r="F101" s="54"/>
      <c r="G101" s="54"/>
      <c r="H101" s="55">
        <f t="shared" si="18"/>
        <v>1</v>
      </c>
      <c r="I101" s="54"/>
      <c r="J101" s="8"/>
      <c r="K101" s="40">
        <v>1600</v>
      </c>
      <c r="L101" s="28">
        <f t="shared" si="23"/>
        <v>1600</v>
      </c>
      <c r="M101" s="30">
        <f t="shared" si="19"/>
        <v>0</v>
      </c>
      <c r="N101" s="30">
        <f t="shared" si="20"/>
        <v>1</v>
      </c>
    </row>
    <row r="102" spans="1:27" ht="14.25" customHeight="1">
      <c r="A102" s="53" t="s">
        <v>82</v>
      </c>
      <c r="B102" s="53"/>
      <c r="C102" s="53"/>
      <c r="D102" s="38" t="s">
        <v>58</v>
      </c>
      <c r="E102" s="39">
        <v>1</v>
      </c>
      <c r="F102" s="54"/>
      <c r="G102" s="54"/>
      <c r="H102" s="55">
        <f t="shared" si="18"/>
        <v>1</v>
      </c>
      <c r="I102" s="54"/>
      <c r="J102" s="8"/>
      <c r="K102" s="40">
        <v>1000</v>
      </c>
      <c r="L102" s="28">
        <f t="shared" si="23"/>
        <v>1000</v>
      </c>
      <c r="M102" s="30">
        <f t="shared" si="19"/>
        <v>0</v>
      </c>
      <c r="N102" s="30">
        <f t="shared" si="20"/>
        <v>1</v>
      </c>
    </row>
    <row r="103" spans="1:27" ht="28.5" customHeight="1">
      <c r="A103" s="52" t="s">
        <v>83</v>
      </c>
      <c r="B103" s="53"/>
      <c r="C103" s="53"/>
      <c r="D103" s="38" t="s">
        <v>59</v>
      </c>
      <c r="E103" s="39">
        <v>1</v>
      </c>
      <c r="F103" s="54"/>
      <c r="G103" s="54"/>
      <c r="H103" s="55">
        <f t="shared" si="18"/>
        <v>0</v>
      </c>
      <c r="I103" s="54"/>
      <c r="J103" s="8"/>
      <c r="K103" s="40">
        <v>70000</v>
      </c>
      <c r="L103" s="28">
        <f t="shared" si="23"/>
        <v>0</v>
      </c>
      <c r="M103" s="30">
        <f t="shared" si="19"/>
        <v>0</v>
      </c>
      <c r="N103" s="30">
        <f t="shared" si="20"/>
        <v>0</v>
      </c>
    </row>
    <row r="104" spans="1:27" s="24" customFormat="1" ht="14.25" customHeight="1">
      <c r="A104" s="56" t="s">
        <v>84</v>
      </c>
      <c r="B104" s="56"/>
      <c r="C104" s="56"/>
      <c r="D104" s="33" t="s">
        <v>53</v>
      </c>
      <c r="E104" s="25">
        <v>1</v>
      </c>
      <c r="F104" s="57"/>
      <c r="G104" s="57"/>
      <c r="H104" s="58">
        <f t="shared" si="18"/>
        <v>0</v>
      </c>
      <c r="I104" s="57"/>
      <c r="J104" s="26"/>
      <c r="K104" s="32">
        <v>8982</v>
      </c>
      <c r="L104" s="28">
        <f t="shared" si="23"/>
        <v>0</v>
      </c>
      <c r="M104" s="30">
        <f t="shared" si="19"/>
        <v>0</v>
      </c>
      <c r="N104" s="30">
        <f t="shared" si="20"/>
        <v>0</v>
      </c>
    </row>
    <row r="105" spans="1:27" s="24" customFormat="1" ht="14.25" customHeight="1">
      <c r="A105" s="59" t="s">
        <v>85</v>
      </c>
      <c r="B105" s="59"/>
      <c r="C105" s="59"/>
      <c r="D105" s="33" t="s">
        <v>53</v>
      </c>
      <c r="E105" s="25">
        <v>1</v>
      </c>
      <c r="F105" s="57"/>
      <c r="G105" s="57"/>
      <c r="H105" s="58">
        <f t="shared" si="18"/>
        <v>0</v>
      </c>
      <c r="I105" s="57"/>
      <c r="J105" s="26"/>
      <c r="K105" s="32">
        <v>22454</v>
      </c>
      <c r="L105" s="28">
        <f t="shared" si="23"/>
        <v>0</v>
      </c>
      <c r="M105" s="30">
        <f t="shared" si="19"/>
        <v>0</v>
      </c>
      <c r="N105" s="30">
        <f t="shared" si="20"/>
        <v>0</v>
      </c>
    </row>
    <row r="106" spans="1:27" s="24" customFormat="1" ht="14.25" customHeight="1">
      <c r="A106" s="59" t="s">
        <v>86</v>
      </c>
      <c r="B106" s="59"/>
      <c r="C106" s="59"/>
      <c r="D106" s="33" t="s">
        <v>53</v>
      </c>
      <c r="E106" s="22">
        <v>1</v>
      </c>
      <c r="F106" s="57"/>
      <c r="G106" s="57"/>
      <c r="H106" s="58">
        <f t="shared" si="18"/>
        <v>0</v>
      </c>
      <c r="I106" s="57"/>
      <c r="J106" s="23"/>
      <c r="K106" s="32">
        <v>78589</v>
      </c>
      <c r="L106" s="28">
        <f t="shared" si="23"/>
        <v>0</v>
      </c>
      <c r="M106" s="30">
        <f t="shared" si="19"/>
        <v>0</v>
      </c>
      <c r="N106" s="30">
        <f t="shared" si="20"/>
        <v>0</v>
      </c>
    </row>
    <row r="107" spans="1:27" s="24" customFormat="1" ht="14.25" customHeight="1">
      <c r="A107" s="60" t="s">
        <v>87</v>
      </c>
      <c r="B107" s="60"/>
      <c r="C107" s="60"/>
      <c r="D107" s="34" t="s">
        <v>53</v>
      </c>
      <c r="E107" s="35">
        <v>1</v>
      </c>
      <c r="F107" s="62"/>
      <c r="G107" s="62"/>
      <c r="H107" s="58">
        <f t="shared" si="18"/>
        <v>1</v>
      </c>
      <c r="I107" s="57"/>
      <c r="J107" s="36"/>
      <c r="K107" s="32">
        <v>5370</v>
      </c>
      <c r="L107" s="28">
        <f t="shared" si="23"/>
        <v>5370</v>
      </c>
      <c r="M107" s="30">
        <f t="shared" si="19"/>
        <v>0</v>
      </c>
      <c r="N107" s="30">
        <f t="shared" si="20"/>
        <v>1</v>
      </c>
    </row>
    <row r="108" spans="1:27" s="24" customFormat="1" ht="14.25" customHeight="1" thickBot="1">
      <c r="A108" s="60" t="s">
        <v>88</v>
      </c>
      <c r="B108" s="60"/>
      <c r="C108" s="60"/>
      <c r="D108" s="34" t="s">
        <v>53</v>
      </c>
      <c r="E108" s="35">
        <v>1</v>
      </c>
      <c r="F108" s="62"/>
      <c r="G108" s="62"/>
      <c r="H108" s="61">
        <f t="shared" si="18"/>
        <v>0</v>
      </c>
      <c r="I108" s="62"/>
      <c r="J108" s="36"/>
      <c r="K108" s="32">
        <v>61905</v>
      </c>
      <c r="L108" s="28">
        <f t="shared" si="23"/>
        <v>0</v>
      </c>
      <c r="M108" s="30">
        <f t="shared" si="19"/>
        <v>0</v>
      </c>
      <c r="N108" s="30">
        <f t="shared" si="20"/>
        <v>0</v>
      </c>
    </row>
    <row r="109" spans="1:27" ht="14.25" customHeight="1">
      <c r="A109" s="63" t="s">
        <v>46</v>
      </c>
      <c r="B109" s="64"/>
      <c r="C109" s="65"/>
      <c r="D109" s="10"/>
      <c r="E109" s="16"/>
      <c r="F109" s="66"/>
      <c r="G109" s="67"/>
      <c r="H109" s="66"/>
      <c r="I109" s="67"/>
      <c r="J109" s="11"/>
      <c r="K109" s="21" t="s">
        <v>56</v>
      </c>
      <c r="L109" s="29">
        <f>SUM(L85:L108)</f>
        <v>56970</v>
      </c>
      <c r="M109" s="4"/>
      <c r="N109" s="5"/>
      <c r="O109" s="6"/>
      <c r="S109" s="6"/>
      <c r="W109" s="6"/>
      <c r="AA109" s="6"/>
    </row>
    <row r="110" spans="1:27" ht="14.25" customHeight="1">
      <c r="A110" s="88" t="s">
        <v>47</v>
      </c>
      <c r="B110" s="89"/>
      <c r="C110" s="90"/>
      <c r="D110" s="9"/>
      <c r="E110" s="17"/>
      <c r="F110" s="74"/>
      <c r="G110" s="91"/>
      <c r="H110" s="74"/>
      <c r="I110" s="91"/>
      <c r="J110" s="12"/>
      <c r="K110" s="27" t="s">
        <v>57</v>
      </c>
      <c r="L110" s="31">
        <v>1300000</v>
      </c>
      <c r="M110" s="4"/>
      <c r="N110" s="5"/>
      <c r="O110" s="6"/>
      <c r="S110" s="6"/>
      <c r="W110" s="6"/>
      <c r="AA110" s="6"/>
    </row>
    <row r="111" spans="1:27" ht="14.25" customHeight="1" thickBot="1">
      <c r="A111" s="68" t="s">
        <v>48</v>
      </c>
      <c r="B111" s="69"/>
      <c r="C111" s="70"/>
      <c r="D111" s="13"/>
      <c r="E111" s="18"/>
      <c r="F111" s="71"/>
      <c r="G111" s="72"/>
      <c r="H111" s="71"/>
      <c r="I111" s="72"/>
      <c r="J111" s="14"/>
      <c r="M111" s="4"/>
      <c r="N111" s="5"/>
      <c r="O111" s="6"/>
      <c r="S111" s="6"/>
      <c r="W111" s="6"/>
      <c r="AA111" s="6"/>
    </row>
    <row r="112" spans="1:27" ht="14.25" customHeight="1">
      <c r="A112" s="99" t="s">
        <v>23</v>
      </c>
      <c r="B112" s="64"/>
      <c r="C112" s="64"/>
      <c r="D112" s="64"/>
      <c r="E112" s="64"/>
      <c r="F112" s="64"/>
      <c r="G112" s="64"/>
      <c r="H112" s="64"/>
      <c r="I112" s="64"/>
      <c r="J112" s="65"/>
    </row>
    <row r="113" spans="1:27" ht="14.25" customHeight="1">
      <c r="A113" s="74" t="s">
        <v>24</v>
      </c>
      <c r="B113" s="100"/>
      <c r="C113" s="75"/>
      <c r="D113" s="8" t="s">
        <v>18</v>
      </c>
      <c r="E113" s="8" t="s">
        <v>25</v>
      </c>
      <c r="F113" s="74" t="s">
        <v>26</v>
      </c>
      <c r="G113" s="75"/>
      <c r="H113" s="74" t="s">
        <v>27</v>
      </c>
      <c r="I113" s="75"/>
      <c r="J113" s="8" t="s">
        <v>22</v>
      </c>
    </row>
    <row r="114" spans="1:27" ht="14.25" customHeight="1">
      <c r="A114" s="76"/>
      <c r="B114" s="77"/>
      <c r="C114" s="78"/>
      <c r="D114" s="8"/>
      <c r="E114" s="8"/>
      <c r="F114" s="74"/>
      <c r="G114" s="75"/>
      <c r="H114" s="74"/>
      <c r="I114" s="75"/>
      <c r="J114" s="8"/>
    </row>
    <row r="115" spans="1:27" ht="14.25" customHeight="1">
      <c r="A115" s="76"/>
      <c r="B115" s="77"/>
      <c r="C115" s="78"/>
      <c r="D115" s="8"/>
      <c r="E115" s="8"/>
      <c r="F115" s="74"/>
      <c r="G115" s="75"/>
      <c r="H115" s="74"/>
      <c r="I115" s="75"/>
      <c r="J115" s="8"/>
    </row>
    <row r="116" spans="1:27" ht="14.25" customHeight="1">
      <c r="A116" s="76" t="s">
        <v>28</v>
      </c>
      <c r="B116" s="77"/>
      <c r="C116" s="77"/>
      <c r="D116" s="77"/>
      <c r="E116" s="77"/>
      <c r="F116" s="77"/>
      <c r="G116" s="77"/>
      <c r="H116" s="77"/>
      <c r="I116" s="77"/>
      <c r="J116" s="78"/>
    </row>
    <row r="117" spans="1:27" ht="14.25" customHeight="1">
      <c r="A117" s="74" t="s">
        <v>29</v>
      </c>
      <c r="B117" s="75"/>
      <c r="C117" s="8" t="s">
        <v>30</v>
      </c>
      <c r="D117" s="8" t="s">
        <v>31</v>
      </c>
      <c r="E117" s="74" t="s">
        <v>32</v>
      </c>
      <c r="F117" s="75"/>
      <c r="G117" s="74" t="s">
        <v>26</v>
      </c>
      <c r="H117" s="75"/>
      <c r="I117" s="74" t="s">
        <v>27</v>
      </c>
      <c r="J117" s="75"/>
    </row>
    <row r="118" spans="1:27" ht="14.25" customHeight="1">
      <c r="A118" s="76" t="s">
        <v>61</v>
      </c>
      <c r="B118" s="78"/>
      <c r="C118" s="8">
        <v>3</v>
      </c>
      <c r="D118" s="8">
        <v>3</v>
      </c>
      <c r="E118" s="74"/>
      <c r="F118" s="75"/>
      <c r="G118" s="74"/>
      <c r="H118" s="75"/>
      <c r="I118" s="74"/>
      <c r="J118" s="75"/>
    </row>
    <row r="119" spans="1:27" ht="14.25" customHeight="1">
      <c r="A119" s="76"/>
      <c r="B119" s="78"/>
      <c r="C119" s="8"/>
      <c r="D119" s="8"/>
      <c r="E119" s="74"/>
      <c r="F119" s="75"/>
      <c r="G119" s="74"/>
      <c r="H119" s="75"/>
      <c r="I119" s="74"/>
      <c r="J119" s="75"/>
    </row>
    <row r="120" spans="1:27" ht="14.25" customHeight="1">
      <c r="A120" s="101" t="s">
        <v>45</v>
      </c>
      <c r="B120" s="102"/>
      <c r="C120" s="102"/>
      <c r="D120" s="102"/>
      <c r="E120" s="102"/>
      <c r="F120" s="102"/>
      <c r="G120" s="102"/>
      <c r="H120" s="102"/>
      <c r="I120" s="102"/>
      <c r="J120" s="103"/>
    </row>
    <row r="121" spans="1:27" ht="14.25" customHeight="1">
      <c r="A121" s="104"/>
      <c r="B121" s="105"/>
      <c r="C121" s="105"/>
      <c r="D121" s="105"/>
      <c r="E121" s="105"/>
      <c r="F121" s="105"/>
      <c r="G121" s="105"/>
      <c r="H121" s="105"/>
      <c r="I121" s="105"/>
      <c r="J121" s="106"/>
    </row>
    <row r="122" spans="1:27" ht="14.25" customHeight="1">
      <c r="A122" s="79" t="s">
        <v>97</v>
      </c>
      <c r="B122" s="80"/>
      <c r="C122" s="80"/>
      <c r="D122" s="80"/>
      <c r="E122" s="80"/>
      <c r="F122" s="80"/>
      <c r="G122" s="80"/>
      <c r="H122" s="80"/>
      <c r="I122" s="80"/>
      <c r="J122" s="81"/>
      <c r="M122" s="4"/>
      <c r="N122" s="5"/>
      <c r="O122" s="6"/>
      <c r="S122" s="6"/>
      <c r="W122" s="6"/>
      <c r="AA122" s="6"/>
    </row>
    <row r="123" spans="1:27" ht="14.25" customHeight="1">
      <c r="A123" s="82"/>
      <c r="B123" s="83"/>
      <c r="C123" s="83"/>
      <c r="D123" s="83"/>
      <c r="E123" s="83"/>
      <c r="F123" s="83"/>
      <c r="G123" s="83"/>
      <c r="H123" s="83"/>
      <c r="I123" s="83"/>
      <c r="J123" s="84"/>
    </row>
    <row r="124" spans="1:27" ht="14.25" customHeight="1">
      <c r="A124" s="82"/>
      <c r="B124" s="83"/>
      <c r="C124" s="83"/>
      <c r="D124" s="83"/>
      <c r="E124" s="83"/>
      <c r="F124" s="83"/>
      <c r="G124" s="83"/>
      <c r="H124" s="83"/>
      <c r="I124" s="83"/>
      <c r="J124" s="84"/>
    </row>
    <row r="125" spans="1:27" ht="14.25" customHeight="1">
      <c r="A125" s="82"/>
      <c r="B125" s="83"/>
      <c r="C125" s="83"/>
      <c r="D125" s="83"/>
      <c r="E125" s="83"/>
      <c r="F125" s="83"/>
      <c r="G125" s="83"/>
      <c r="H125" s="83"/>
      <c r="I125" s="83"/>
      <c r="J125" s="84"/>
    </row>
    <row r="126" spans="1:27" ht="14.25" customHeight="1">
      <c r="A126" s="82"/>
      <c r="B126" s="83"/>
      <c r="C126" s="83"/>
      <c r="D126" s="83"/>
      <c r="E126" s="83"/>
      <c r="F126" s="83"/>
      <c r="G126" s="83"/>
      <c r="H126" s="83"/>
      <c r="I126" s="83"/>
      <c r="J126" s="84"/>
    </row>
    <row r="127" spans="1:27" ht="14.25" customHeight="1">
      <c r="A127" s="82"/>
      <c r="B127" s="83"/>
      <c r="C127" s="83"/>
      <c r="D127" s="83"/>
      <c r="E127" s="83"/>
      <c r="F127" s="83"/>
      <c r="G127" s="83"/>
      <c r="H127" s="83"/>
      <c r="I127" s="83"/>
      <c r="J127" s="84"/>
    </row>
    <row r="128" spans="1:27" ht="14.25" customHeight="1">
      <c r="A128" s="42" t="s">
        <v>33</v>
      </c>
      <c r="B128" s="43"/>
      <c r="C128" s="43"/>
      <c r="D128" s="43"/>
      <c r="E128" s="43"/>
      <c r="F128" s="43"/>
      <c r="G128" s="43"/>
      <c r="H128" s="43"/>
      <c r="I128" s="43"/>
      <c r="J128" s="44"/>
    </row>
    <row r="129" spans="1:10" ht="14.25" customHeight="1">
      <c r="A129" s="45"/>
      <c r="B129" s="46"/>
      <c r="C129" s="46"/>
      <c r="D129" s="46"/>
      <c r="E129" s="46"/>
      <c r="F129" s="46"/>
      <c r="G129" s="46"/>
      <c r="H129" s="46"/>
      <c r="I129" s="46"/>
      <c r="J129" s="47"/>
    </row>
    <row r="130" spans="1:10" ht="14.25" customHeight="1">
      <c r="A130" s="42" t="s">
        <v>34</v>
      </c>
      <c r="B130" s="43"/>
      <c r="C130" s="43"/>
      <c r="D130" s="43"/>
      <c r="E130" s="43"/>
      <c r="F130" s="43"/>
      <c r="G130" s="43"/>
      <c r="H130" s="43"/>
      <c r="I130" s="43"/>
      <c r="J130" s="44"/>
    </row>
    <row r="131" spans="1:10" ht="14.25" customHeight="1">
      <c r="A131" s="45"/>
      <c r="B131" s="46"/>
      <c r="C131" s="46"/>
      <c r="D131" s="46"/>
      <c r="E131" s="46"/>
      <c r="F131" s="46"/>
      <c r="G131" s="46"/>
      <c r="H131" s="46"/>
      <c r="I131" s="46"/>
      <c r="J131" s="47"/>
    </row>
    <row r="132" spans="1:10" ht="14.25" customHeight="1">
      <c r="A132" s="42" t="s">
        <v>96</v>
      </c>
      <c r="B132" s="43"/>
      <c r="C132" s="43"/>
      <c r="D132" s="43"/>
      <c r="E132" s="43"/>
      <c r="F132" s="43"/>
      <c r="G132" s="43"/>
      <c r="H132" s="43"/>
      <c r="I132" s="43"/>
      <c r="J132" s="44"/>
    </row>
    <row r="133" spans="1:10" ht="14.25" customHeight="1">
      <c r="A133" s="45"/>
      <c r="B133" s="46"/>
      <c r="C133" s="46"/>
      <c r="D133" s="46"/>
      <c r="E133" s="46"/>
      <c r="F133" s="46"/>
      <c r="G133" s="46"/>
      <c r="H133" s="46"/>
      <c r="I133" s="46"/>
      <c r="J133" s="47"/>
    </row>
    <row r="134" spans="1:10" ht="14.25" customHeight="1">
      <c r="A134" s="42" t="s">
        <v>35</v>
      </c>
      <c r="B134" s="43"/>
      <c r="C134" s="43"/>
      <c r="D134" s="43"/>
      <c r="E134" s="43"/>
      <c r="F134" s="43"/>
      <c r="G134" s="43"/>
      <c r="H134" s="43"/>
      <c r="I134" s="43"/>
      <c r="J134" s="44"/>
    </row>
    <row r="135" spans="1:10" ht="14.25" customHeight="1">
      <c r="A135" s="45"/>
      <c r="B135" s="46"/>
      <c r="C135" s="46"/>
      <c r="D135" s="46"/>
      <c r="E135" s="46"/>
      <c r="F135" s="46"/>
      <c r="G135" s="46"/>
      <c r="H135" s="46"/>
      <c r="I135" s="46"/>
      <c r="J135" s="47"/>
    </row>
    <row r="136" spans="1:10" ht="14.25" customHeight="1">
      <c r="A136" s="85" t="s">
        <v>36</v>
      </c>
      <c r="B136" s="85"/>
      <c r="C136" s="85"/>
      <c r="D136" s="85"/>
      <c r="E136" s="85"/>
      <c r="F136" s="85"/>
      <c r="G136" s="85"/>
      <c r="H136" s="85"/>
      <c r="I136" s="85"/>
      <c r="J136" s="85"/>
    </row>
    <row r="137" spans="1:10" ht="14.25" customHeight="1">
      <c r="A137" s="48" t="s">
        <v>37</v>
      </c>
      <c r="B137" s="48"/>
      <c r="C137" s="48"/>
      <c r="D137" s="48"/>
      <c r="E137" s="48"/>
      <c r="F137" s="48"/>
      <c r="G137" s="48"/>
      <c r="H137" s="48"/>
      <c r="I137" s="48"/>
      <c r="J137" s="48"/>
    </row>
    <row r="138" spans="1:10" ht="14.25" customHeight="1">
      <c r="A138" s="48" t="s">
        <v>38</v>
      </c>
      <c r="B138" s="48"/>
      <c r="C138" s="48"/>
      <c r="D138" s="48"/>
      <c r="E138" s="48"/>
      <c r="F138" s="48"/>
      <c r="G138" s="48"/>
      <c r="H138" s="48"/>
      <c r="I138" s="48"/>
      <c r="J138" s="48"/>
    </row>
    <row r="139" spans="1:10" ht="14.25" customHeight="1">
      <c r="A139" s="48" t="s">
        <v>39</v>
      </c>
      <c r="B139" s="48"/>
      <c r="C139" s="48"/>
      <c r="D139" s="48"/>
      <c r="E139" s="48"/>
      <c r="F139" s="48"/>
      <c r="G139" s="48"/>
      <c r="H139" s="48"/>
      <c r="I139" s="48"/>
      <c r="J139" s="48"/>
    </row>
    <row r="140" spans="1:10" ht="14.25" customHeight="1">
      <c r="A140" s="48" t="s">
        <v>40</v>
      </c>
      <c r="B140" s="48"/>
      <c r="C140" s="48"/>
      <c r="D140" s="48"/>
      <c r="E140" s="48"/>
      <c r="F140" s="48"/>
      <c r="G140" s="48"/>
      <c r="H140" s="48"/>
      <c r="I140" s="48"/>
      <c r="J140" s="48"/>
    </row>
    <row r="141" spans="1:10" ht="14.25" customHeight="1">
      <c r="A141" s="48" t="s">
        <v>41</v>
      </c>
      <c r="B141" s="48"/>
      <c r="C141" s="48"/>
      <c r="D141" s="48"/>
      <c r="E141" s="48"/>
      <c r="F141" s="48"/>
      <c r="G141" s="48"/>
      <c r="H141" s="48"/>
      <c r="I141" s="48"/>
      <c r="J141" s="48"/>
    </row>
    <row r="142" spans="1:10" ht="14.25" customHeight="1">
      <c r="A142" s="48" t="s">
        <v>42</v>
      </c>
      <c r="B142" s="48"/>
      <c r="C142" s="48"/>
      <c r="D142" s="48"/>
      <c r="E142" s="48"/>
      <c r="F142" s="48"/>
      <c r="G142" s="48"/>
      <c r="H142" s="48"/>
      <c r="I142" s="48"/>
      <c r="J142" s="48"/>
    </row>
    <row r="143" spans="1:10" ht="14.25" customHeight="1">
      <c r="A143" s="49" t="s">
        <v>43</v>
      </c>
      <c r="B143" s="49"/>
      <c r="C143" s="49"/>
      <c r="D143" s="49"/>
      <c r="E143" s="49"/>
      <c r="F143" s="49"/>
      <c r="G143" s="49"/>
      <c r="H143" s="49"/>
      <c r="I143" s="49"/>
      <c r="J143" s="49"/>
    </row>
    <row r="144" spans="1:10" ht="14.25" customHeight="1">
      <c r="A144" s="48" t="s">
        <v>44</v>
      </c>
      <c r="B144" s="48"/>
      <c r="C144" s="48"/>
      <c r="D144" s="48"/>
      <c r="E144" s="48"/>
      <c r="F144" s="48"/>
      <c r="G144" s="48"/>
      <c r="H144" s="48"/>
      <c r="I144" s="48"/>
      <c r="J144" s="48"/>
    </row>
    <row r="145" spans="1:27" ht="29.25" customHeight="1">
      <c r="A145" s="50" t="s">
        <v>51</v>
      </c>
      <c r="B145" s="50"/>
      <c r="C145" s="50"/>
      <c r="D145" s="50"/>
      <c r="E145" s="50"/>
      <c r="F145" s="50"/>
      <c r="G145" s="50"/>
      <c r="H145" s="50"/>
      <c r="I145" s="50"/>
      <c r="J145" s="50"/>
    </row>
    <row r="146" spans="1:27" ht="14.25" customHeight="1">
      <c r="A146" s="51" t="s">
        <v>49</v>
      </c>
      <c r="B146" s="51"/>
      <c r="C146" s="51"/>
      <c r="D146" s="51"/>
      <c r="E146" s="51"/>
      <c r="F146" s="51"/>
      <c r="G146" s="51"/>
      <c r="H146" s="51"/>
      <c r="I146" s="51"/>
      <c r="J146" s="51"/>
    </row>
    <row r="147" spans="1:27" ht="14.25" customHeight="1">
      <c r="A147" s="92" t="s">
        <v>0</v>
      </c>
      <c r="B147" s="92"/>
      <c r="C147" s="92"/>
      <c r="D147" s="92"/>
      <c r="E147" s="92"/>
      <c r="F147" s="92"/>
      <c r="G147" s="92"/>
      <c r="H147" s="92"/>
      <c r="I147" s="92"/>
      <c r="J147" s="92"/>
    </row>
    <row r="148" spans="1:27">
      <c r="A148" s="2" t="s">
        <v>1</v>
      </c>
      <c r="B148" s="3" t="str">
        <f>"GD-"&amp;IF(LEN(E152)=2,TEXT(LEFT(E152,1),"000"),IF(LEN(E152)=3,TEXT(LEFT(E152,2),"000"),TEXT(LEFT(E152,3),"000")))</f>
        <v>GD-003</v>
      </c>
      <c r="C148" s="2"/>
      <c r="D148" s="2"/>
      <c r="E148" s="2"/>
      <c r="F148" s="2"/>
      <c r="G148" s="2"/>
      <c r="H148" s="2"/>
      <c r="I148" s="2"/>
      <c r="J148" s="2"/>
    </row>
    <row r="149" spans="1:27" ht="14.25" customHeight="1">
      <c r="A149" s="86" t="s">
        <v>2</v>
      </c>
      <c r="B149" s="86"/>
      <c r="C149" s="86"/>
      <c r="D149" s="86"/>
      <c r="E149" s="86"/>
      <c r="F149" s="93" t="s">
        <v>3</v>
      </c>
      <c r="G149" s="93"/>
      <c r="H149" s="94">
        <f>H76+1</f>
        <v>46050</v>
      </c>
      <c r="I149" s="94"/>
      <c r="J149" s="7" t="str">
        <f>"("&amp;TEXT(H149,"[$-404]aaaa;@")&amp;")"</f>
        <v>(星期三)</v>
      </c>
    </row>
    <row r="150" spans="1:27" ht="14.25" customHeight="1">
      <c r="A150" s="54" t="s">
        <v>4</v>
      </c>
      <c r="B150" s="54"/>
      <c r="C150" s="87" t="str">
        <f>C77</f>
        <v>林內國中多功能教室裝修工程</v>
      </c>
      <c r="D150" s="87"/>
      <c r="E150" s="87"/>
      <c r="F150" s="54" t="s">
        <v>5</v>
      </c>
      <c r="G150" s="54"/>
      <c r="H150" s="54" t="str">
        <f>H77</f>
        <v>正郁室內裝修</v>
      </c>
      <c r="I150" s="54"/>
      <c r="J150" s="54"/>
    </row>
    <row r="151" spans="1:27" ht="14.25" customHeight="1">
      <c r="A151" s="54"/>
      <c r="B151" s="54"/>
      <c r="C151" s="87"/>
      <c r="D151" s="87"/>
      <c r="E151" s="87"/>
      <c r="F151" s="54"/>
      <c r="G151" s="54"/>
      <c r="H151" s="54"/>
      <c r="I151" s="54"/>
      <c r="J151" s="54"/>
    </row>
    <row r="152" spans="1:27" ht="14.25" customHeight="1">
      <c r="A152" s="8" t="s">
        <v>7</v>
      </c>
      <c r="B152" s="8" t="str">
        <f>B79</f>
        <v>60天</v>
      </c>
      <c r="C152" s="54" t="s">
        <v>8</v>
      </c>
      <c r="D152" s="54"/>
      <c r="E152" s="8" t="str">
        <f>IF(LEN(E79)&gt;2,(LEFT(E79,2)+1),(LEFT(E79,1)+1))&amp;"天"</f>
        <v>3天</v>
      </c>
      <c r="F152" s="8" t="s">
        <v>9</v>
      </c>
      <c r="G152" s="8" t="str">
        <f>IF(LEN(E152)&gt;2,LEFT(B152,2)-LEFT(E152,2),LEFT(B152,2)-LEFT(E152,1))&amp;"天"</f>
        <v>57天</v>
      </c>
      <c r="H152" s="54" t="s">
        <v>10</v>
      </c>
      <c r="I152" s="54"/>
      <c r="J152" s="8" t="str">
        <f>J79</f>
        <v>0天</v>
      </c>
    </row>
    <row r="153" spans="1:27" ht="14.25" customHeight="1">
      <c r="A153" s="54" t="s">
        <v>12</v>
      </c>
      <c r="B153" s="54"/>
      <c r="C153" s="54" t="str">
        <f>C80</f>
        <v>115年01月26日</v>
      </c>
      <c r="D153" s="54"/>
      <c r="E153" s="54"/>
      <c r="F153" s="54" t="s">
        <v>13</v>
      </c>
      <c r="G153" s="54"/>
      <c r="H153" s="54" t="str">
        <f>H80</f>
        <v>115年3月26日</v>
      </c>
      <c r="I153" s="54"/>
      <c r="J153" s="54"/>
    </row>
    <row r="154" spans="1:27" ht="14.25" customHeight="1">
      <c r="A154" s="54" t="s">
        <v>14</v>
      </c>
      <c r="B154" s="54"/>
      <c r="C154" s="95">
        <f>(5%/15)*3</f>
        <v>0.01</v>
      </c>
      <c r="D154" s="95"/>
      <c r="E154" s="95"/>
      <c r="F154" s="54" t="s">
        <v>15</v>
      </c>
      <c r="G154" s="54"/>
      <c r="H154" s="96">
        <f>ROUND(L182/L183,5)</f>
        <v>6.2280000000000002E-2</v>
      </c>
      <c r="I154" s="97"/>
      <c r="J154" s="98"/>
    </row>
    <row r="155" spans="1:27" ht="14.25" customHeight="1">
      <c r="A155" s="53" t="s">
        <v>16</v>
      </c>
      <c r="B155" s="53"/>
      <c r="C155" s="53"/>
      <c r="D155" s="53"/>
      <c r="E155" s="53"/>
      <c r="F155" s="53"/>
      <c r="G155" s="53"/>
      <c r="H155" s="53"/>
      <c r="I155" s="53"/>
      <c r="J155" s="53"/>
    </row>
    <row r="156" spans="1:27" ht="14.25" customHeight="1">
      <c r="A156" s="54" t="s">
        <v>17</v>
      </c>
      <c r="B156" s="54"/>
      <c r="C156" s="54"/>
      <c r="D156" s="8" t="s">
        <v>18</v>
      </c>
      <c r="E156" s="8" t="s">
        <v>19</v>
      </c>
      <c r="F156" s="54" t="s">
        <v>20</v>
      </c>
      <c r="G156" s="54"/>
      <c r="H156" s="54" t="s">
        <v>21</v>
      </c>
      <c r="I156" s="54"/>
      <c r="J156" s="8" t="s">
        <v>22</v>
      </c>
      <c r="K156" s="21" t="s">
        <v>55</v>
      </c>
      <c r="L156" s="20"/>
      <c r="M156" s="4"/>
      <c r="N156" s="5"/>
      <c r="O156" s="6"/>
      <c r="S156" s="6"/>
      <c r="W156" s="6"/>
      <c r="AA156" s="6"/>
    </row>
    <row r="157" spans="1:27" ht="14.25" customHeight="1">
      <c r="A157" s="53" t="s">
        <v>64</v>
      </c>
      <c r="B157" s="53"/>
      <c r="C157" s="53"/>
      <c r="D157" s="53"/>
      <c r="E157" s="53"/>
      <c r="F157" s="53"/>
      <c r="G157" s="53"/>
      <c r="H157" s="53"/>
      <c r="I157" s="53"/>
      <c r="J157" s="53"/>
    </row>
    <row r="158" spans="1:27" ht="14.25" customHeight="1">
      <c r="A158" s="52" t="s">
        <v>65</v>
      </c>
      <c r="B158" s="52"/>
      <c r="C158" s="52"/>
      <c r="D158" s="38" t="s">
        <v>60</v>
      </c>
      <c r="E158" s="39">
        <v>71</v>
      </c>
      <c r="F158" s="55"/>
      <c r="G158" s="55"/>
      <c r="H158" s="55">
        <f t="shared" ref="H158:H181" si="24">F158+H85</f>
        <v>0</v>
      </c>
      <c r="I158" s="54"/>
      <c r="J158" s="15"/>
      <c r="K158" s="40">
        <v>2200</v>
      </c>
      <c r="L158" s="28">
        <f>ROUND(K158*H158,0)</f>
        <v>0</v>
      </c>
      <c r="N158" s="30">
        <f>H158</f>
        <v>0</v>
      </c>
    </row>
    <row r="159" spans="1:27" ht="45" customHeight="1">
      <c r="A159" s="52" t="s">
        <v>66</v>
      </c>
      <c r="B159" s="52"/>
      <c r="C159" s="52"/>
      <c r="D159" s="38" t="s">
        <v>58</v>
      </c>
      <c r="E159" s="39">
        <v>1</v>
      </c>
      <c r="F159" s="55"/>
      <c r="G159" s="55"/>
      <c r="H159" s="55">
        <f t="shared" si="24"/>
        <v>0.5</v>
      </c>
      <c r="I159" s="54"/>
      <c r="J159" s="8"/>
      <c r="K159" s="40">
        <v>50000</v>
      </c>
      <c r="L159" s="28">
        <f>ROUND(K159*H159,0)</f>
        <v>25000</v>
      </c>
      <c r="M159" s="30">
        <f t="shared" ref="M159:M181" si="25">G159</f>
        <v>0</v>
      </c>
      <c r="N159" s="30">
        <f t="shared" ref="N159:N181" si="26">H159</f>
        <v>0.5</v>
      </c>
    </row>
    <row r="160" spans="1:27" ht="14.25" customHeight="1">
      <c r="A160" s="53" t="s">
        <v>67</v>
      </c>
      <c r="B160" s="53"/>
      <c r="C160" s="53"/>
      <c r="D160" s="37" t="s">
        <v>58</v>
      </c>
      <c r="E160" s="39">
        <v>1</v>
      </c>
      <c r="F160" s="55"/>
      <c r="G160" s="55"/>
      <c r="H160" s="55">
        <f t="shared" si="24"/>
        <v>0</v>
      </c>
      <c r="I160" s="54"/>
      <c r="J160" s="8"/>
      <c r="K160" s="41">
        <v>65000</v>
      </c>
      <c r="L160" s="28">
        <f t="shared" ref="L160" si="27">ROUND(K160*H160,0)</f>
        <v>0</v>
      </c>
      <c r="M160" s="30">
        <f t="shared" si="25"/>
        <v>0</v>
      </c>
      <c r="N160" s="30">
        <f t="shared" si="26"/>
        <v>0</v>
      </c>
    </row>
    <row r="161" spans="1:14" ht="14.25" customHeight="1">
      <c r="A161" s="52" t="s">
        <v>68</v>
      </c>
      <c r="B161" s="52"/>
      <c r="C161" s="52"/>
      <c r="D161" s="37" t="s">
        <v>58</v>
      </c>
      <c r="E161" s="39">
        <v>1</v>
      </c>
      <c r="F161" s="55"/>
      <c r="G161" s="55"/>
      <c r="H161" s="55">
        <f t="shared" si="24"/>
        <v>0</v>
      </c>
      <c r="I161" s="54"/>
      <c r="J161" s="15"/>
      <c r="K161" s="41">
        <v>98000</v>
      </c>
      <c r="L161" s="28">
        <f>ROUND(K161*H161,0)</f>
        <v>0</v>
      </c>
      <c r="M161" s="30">
        <f t="shared" si="25"/>
        <v>0</v>
      </c>
      <c r="N161" s="30">
        <f t="shared" si="26"/>
        <v>0</v>
      </c>
    </row>
    <row r="162" spans="1:14" ht="14.25" customHeight="1">
      <c r="A162" s="52" t="s">
        <v>69</v>
      </c>
      <c r="B162" s="52"/>
      <c r="C162" s="52"/>
      <c r="D162" s="38" t="s">
        <v>58</v>
      </c>
      <c r="E162" s="39">
        <v>1</v>
      </c>
      <c r="F162" s="73">
        <v>0.2</v>
      </c>
      <c r="G162" s="73"/>
      <c r="H162" s="55">
        <f t="shared" si="24"/>
        <v>0.4</v>
      </c>
      <c r="I162" s="54"/>
      <c r="J162" s="8"/>
      <c r="K162" s="40">
        <v>120000</v>
      </c>
      <c r="L162" s="28">
        <f>ROUND(K162*H162,0)</f>
        <v>48000</v>
      </c>
      <c r="M162" s="30">
        <f t="shared" si="25"/>
        <v>0</v>
      </c>
      <c r="N162" s="30">
        <f t="shared" si="26"/>
        <v>0.4</v>
      </c>
    </row>
    <row r="163" spans="1:14" ht="14.25" customHeight="1">
      <c r="A163" s="53" t="s">
        <v>70</v>
      </c>
      <c r="B163" s="53"/>
      <c r="C163" s="53"/>
      <c r="D163" s="38" t="s">
        <v>60</v>
      </c>
      <c r="E163" s="39">
        <v>179</v>
      </c>
      <c r="F163" s="55"/>
      <c r="G163" s="55"/>
      <c r="H163" s="55">
        <f t="shared" si="24"/>
        <v>0</v>
      </c>
      <c r="I163" s="54"/>
      <c r="J163" s="8"/>
      <c r="K163" s="40">
        <v>300</v>
      </c>
      <c r="L163" s="28">
        <f t="shared" ref="L163" si="28">ROUND(K163*H163,0)</f>
        <v>0</v>
      </c>
      <c r="M163" s="30">
        <f t="shared" si="25"/>
        <v>0</v>
      </c>
      <c r="N163" s="30">
        <f t="shared" si="26"/>
        <v>0</v>
      </c>
    </row>
    <row r="164" spans="1:14" ht="14.25" customHeight="1">
      <c r="A164" s="52" t="s">
        <v>71</v>
      </c>
      <c r="B164" s="52"/>
      <c r="C164" s="52"/>
      <c r="D164" s="38" t="s">
        <v>59</v>
      </c>
      <c r="E164" s="39">
        <v>1</v>
      </c>
      <c r="F164" s="55"/>
      <c r="G164" s="55"/>
      <c r="H164" s="55">
        <f t="shared" si="24"/>
        <v>0</v>
      </c>
      <c r="I164" s="54"/>
      <c r="J164" s="15"/>
      <c r="K164" s="40">
        <v>32000</v>
      </c>
      <c r="L164" s="28">
        <f>ROUND(K164*H164,0)</f>
        <v>0</v>
      </c>
      <c r="M164" s="30">
        <f t="shared" si="25"/>
        <v>0</v>
      </c>
      <c r="N164" s="30">
        <f t="shared" si="26"/>
        <v>0</v>
      </c>
    </row>
    <row r="165" spans="1:14" ht="14.25" customHeight="1">
      <c r="A165" s="52" t="s">
        <v>72</v>
      </c>
      <c r="B165" s="52"/>
      <c r="C165" s="52"/>
      <c r="D165" s="38" t="s">
        <v>58</v>
      </c>
      <c r="E165" s="39">
        <v>1</v>
      </c>
      <c r="F165" s="55"/>
      <c r="G165" s="55"/>
      <c r="H165" s="55">
        <f t="shared" si="24"/>
        <v>0</v>
      </c>
      <c r="I165" s="54"/>
      <c r="J165" s="8"/>
      <c r="K165" s="40">
        <v>66000</v>
      </c>
      <c r="L165" s="28">
        <f>ROUND(K165*H165,0)</f>
        <v>0</v>
      </c>
      <c r="M165" s="30">
        <f t="shared" si="25"/>
        <v>0</v>
      </c>
      <c r="N165" s="30">
        <f t="shared" si="26"/>
        <v>0</v>
      </c>
    </row>
    <row r="166" spans="1:14" ht="14.25" customHeight="1">
      <c r="A166" s="52" t="s">
        <v>73</v>
      </c>
      <c r="B166" s="53"/>
      <c r="C166" s="53"/>
      <c r="D166" s="38" t="s">
        <v>59</v>
      </c>
      <c r="E166" s="39">
        <v>1</v>
      </c>
      <c r="F166" s="55"/>
      <c r="G166" s="55"/>
      <c r="H166" s="55">
        <f t="shared" si="24"/>
        <v>0</v>
      </c>
      <c r="I166" s="54"/>
      <c r="J166" s="8"/>
      <c r="K166" s="40">
        <v>47000</v>
      </c>
      <c r="L166" s="28">
        <f t="shared" ref="L166:L181" si="29">ROUND(K166*H166,0)</f>
        <v>0</v>
      </c>
      <c r="M166" s="30">
        <f t="shared" si="25"/>
        <v>0</v>
      </c>
      <c r="N166" s="30">
        <f t="shared" si="26"/>
        <v>0</v>
      </c>
    </row>
    <row r="167" spans="1:14" ht="14.25" customHeight="1">
      <c r="A167" s="53" t="s">
        <v>74</v>
      </c>
      <c r="B167" s="53"/>
      <c r="C167" s="53"/>
      <c r="D167" s="38" t="s">
        <v>89</v>
      </c>
      <c r="E167" s="39">
        <v>20</v>
      </c>
      <c r="F167" s="54"/>
      <c r="G167" s="54"/>
      <c r="H167" s="55">
        <f t="shared" si="24"/>
        <v>0</v>
      </c>
      <c r="I167" s="54"/>
      <c r="J167" s="8"/>
      <c r="K167" s="40">
        <v>3000</v>
      </c>
      <c r="L167" s="28">
        <f t="shared" si="29"/>
        <v>0</v>
      </c>
      <c r="M167" s="30">
        <f t="shared" si="25"/>
        <v>0</v>
      </c>
      <c r="N167" s="30">
        <f t="shared" si="26"/>
        <v>0</v>
      </c>
    </row>
    <row r="168" spans="1:14" ht="14.25" customHeight="1">
      <c r="A168" s="53" t="s">
        <v>75</v>
      </c>
      <c r="B168" s="53"/>
      <c r="C168" s="53"/>
      <c r="D168" s="38" t="s">
        <v>59</v>
      </c>
      <c r="E168" s="39">
        <v>1</v>
      </c>
      <c r="F168" s="54"/>
      <c r="G168" s="54"/>
      <c r="H168" s="55">
        <f t="shared" si="24"/>
        <v>0</v>
      </c>
      <c r="I168" s="54"/>
      <c r="J168" s="8"/>
      <c r="K168" s="40">
        <v>95000</v>
      </c>
      <c r="L168" s="28">
        <f t="shared" si="29"/>
        <v>0</v>
      </c>
      <c r="M168" s="30">
        <f t="shared" si="25"/>
        <v>0</v>
      </c>
      <c r="N168" s="30">
        <f t="shared" si="26"/>
        <v>0</v>
      </c>
    </row>
    <row r="169" spans="1:14" ht="14.25" customHeight="1">
      <c r="A169" s="53" t="s">
        <v>76</v>
      </c>
      <c r="B169" s="53"/>
      <c r="C169" s="53"/>
      <c r="D169" s="38" t="s">
        <v>90</v>
      </c>
      <c r="E169" s="39">
        <v>345</v>
      </c>
      <c r="F169" s="54"/>
      <c r="G169" s="54"/>
      <c r="H169" s="55">
        <f t="shared" si="24"/>
        <v>0</v>
      </c>
      <c r="I169" s="54"/>
      <c r="J169" s="8"/>
      <c r="K169" s="40">
        <v>100</v>
      </c>
      <c r="L169" s="28">
        <f t="shared" si="29"/>
        <v>0</v>
      </c>
      <c r="M169" s="30">
        <f t="shared" si="25"/>
        <v>0</v>
      </c>
      <c r="N169" s="30">
        <f t="shared" si="26"/>
        <v>0</v>
      </c>
    </row>
    <row r="170" spans="1:14" ht="14.25" customHeight="1">
      <c r="A170" s="53" t="s">
        <v>77</v>
      </c>
      <c r="B170" s="53"/>
      <c r="C170" s="53"/>
      <c r="D170" s="38" t="s">
        <v>58</v>
      </c>
      <c r="E170" s="39">
        <v>1</v>
      </c>
      <c r="F170" s="54"/>
      <c r="G170" s="54"/>
      <c r="H170" s="55">
        <f t="shared" si="24"/>
        <v>0</v>
      </c>
      <c r="I170" s="54"/>
      <c r="J170" s="8"/>
      <c r="K170" s="40">
        <v>56000</v>
      </c>
      <c r="L170" s="28">
        <f t="shared" si="29"/>
        <v>0</v>
      </c>
      <c r="M170" s="30">
        <f t="shared" si="25"/>
        <v>0</v>
      </c>
      <c r="N170" s="30">
        <f t="shared" si="26"/>
        <v>0</v>
      </c>
    </row>
    <row r="171" spans="1:14" ht="28.5" customHeight="1">
      <c r="A171" s="52" t="s">
        <v>78</v>
      </c>
      <c r="B171" s="53"/>
      <c r="C171" s="53"/>
      <c r="D171" s="38" t="s">
        <v>58</v>
      </c>
      <c r="E171" s="39">
        <v>1</v>
      </c>
      <c r="F171" s="54"/>
      <c r="G171" s="54"/>
      <c r="H171" s="55">
        <f t="shared" si="24"/>
        <v>0</v>
      </c>
      <c r="I171" s="54"/>
      <c r="J171" s="8"/>
      <c r="K171" s="40">
        <v>67500</v>
      </c>
      <c r="L171" s="28">
        <f t="shared" si="29"/>
        <v>0</v>
      </c>
      <c r="M171" s="30">
        <f t="shared" si="25"/>
        <v>0</v>
      </c>
      <c r="N171" s="30">
        <f t="shared" si="26"/>
        <v>0</v>
      </c>
    </row>
    <row r="172" spans="1:14" ht="14.25" customHeight="1">
      <c r="A172" s="53" t="s">
        <v>79</v>
      </c>
      <c r="B172" s="53"/>
      <c r="C172" s="53"/>
      <c r="D172" s="38" t="s">
        <v>91</v>
      </c>
      <c r="E172" s="39">
        <v>3</v>
      </c>
      <c r="F172" s="54"/>
      <c r="G172" s="54"/>
      <c r="H172" s="55">
        <f t="shared" si="24"/>
        <v>0</v>
      </c>
      <c r="I172" s="54"/>
      <c r="J172" s="8"/>
      <c r="K172" s="40">
        <v>6000</v>
      </c>
      <c r="L172" s="28">
        <f t="shared" si="29"/>
        <v>0</v>
      </c>
      <c r="M172" s="30">
        <f t="shared" si="25"/>
        <v>0</v>
      </c>
      <c r="N172" s="30">
        <f t="shared" si="26"/>
        <v>0</v>
      </c>
    </row>
    <row r="173" spans="1:14" ht="14.25" customHeight="1">
      <c r="A173" s="53" t="s">
        <v>80</v>
      </c>
      <c r="B173" s="53"/>
      <c r="C173" s="53"/>
      <c r="D173" s="38" t="s">
        <v>91</v>
      </c>
      <c r="E173" s="39">
        <v>26</v>
      </c>
      <c r="F173" s="54"/>
      <c r="G173" s="54"/>
      <c r="H173" s="55">
        <f t="shared" si="24"/>
        <v>0</v>
      </c>
      <c r="I173" s="54"/>
      <c r="J173" s="8"/>
      <c r="K173" s="40">
        <v>1200</v>
      </c>
      <c r="L173" s="28">
        <f t="shared" si="29"/>
        <v>0</v>
      </c>
      <c r="M173" s="30">
        <f t="shared" si="25"/>
        <v>0</v>
      </c>
      <c r="N173" s="30">
        <f t="shared" si="26"/>
        <v>0</v>
      </c>
    </row>
    <row r="174" spans="1:14" ht="14.25" customHeight="1">
      <c r="A174" s="53" t="s">
        <v>81</v>
      </c>
      <c r="B174" s="53"/>
      <c r="C174" s="53"/>
      <c r="D174" s="38" t="s">
        <v>58</v>
      </c>
      <c r="E174" s="39">
        <v>1</v>
      </c>
      <c r="F174" s="54"/>
      <c r="G174" s="54"/>
      <c r="H174" s="55">
        <f t="shared" si="24"/>
        <v>1</v>
      </c>
      <c r="I174" s="54"/>
      <c r="J174" s="8"/>
      <c r="K174" s="40">
        <v>1600</v>
      </c>
      <c r="L174" s="28">
        <f t="shared" si="29"/>
        <v>1600</v>
      </c>
      <c r="M174" s="30">
        <f t="shared" si="25"/>
        <v>0</v>
      </c>
      <c r="N174" s="30">
        <f t="shared" si="26"/>
        <v>1</v>
      </c>
    </row>
    <row r="175" spans="1:14" ht="14.25" customHeight="1">
      <c r="A175" s="53" t="s">
        <v>82</v>
      </c>
      <c r="B175" s="53"/>
      <c r="C175" s="53"/>
      <c r="D175" s="38" t="s">
        <v>58</v>
      </c>
      <c r="E175" s="39">
        <v>1</v>
      </c>
      <c r="F175" s="54"/>
      <c r="G175" s="54"/>
      <c r="H175" s="55">
        <f t="shared" si="24"/>
        <v>1</v>
      </c>
      <c r="I175" s="54"/>
      <c r="J175" s="8"/>
      <c r="K175" s="40">
        <v>1000</v>
      </c>
      <c r="L175" s="28">
        <f t="shared" si="29"/>
        <v>1000</v>
      </c>
      <c r="M175" s="30">
        <f t="shared" si="25"/>
        <v>0</v>
      </c>
      <c r="N175" s="30">
        <f t="shared" si="26"/>
        <v>1</v>
      </c>
    </row>
    <row r="176" spans="1:14" ht="28.5" customHeight="1">
      <c r="A176" s="52" t="s">
        <v>83</v>
      </c>
      <c r="B176" s="53"/>
      <c r="C176" s="53"/>
      <c r="D176" s="38" t="s">
        <v>59</v>
      </c>
      <c r="E176" s="39">
        <v>1</v>
      </c>
      <c r="F176" s="54"/>
      <c r="G176" s="54"/>
      <c r="H176" s="55">
        <f t="shared" si="24"/>
        <v>0</v>
      </c>
      <c r="I176" s="54"/>
      <c r="J176" s="8"/>
      <c r="K176" s="40">
        <v>70000</v>
      </c>
      <c r="L176" s="28">
        <f t="shared" si="29"/>
        <v>0</v>
      </c>
      <c r="M176" s="30">
        <f t="shared" si="25"/>
        <v>0</v>
      </c>
      <c r="N176" s="30">
        <f t="shared" si="26"/>
        <v>0</v>
      </c>
    </row>
    <row r="177" spans="1:27" s="24" customFormat="1" ht="14.25" customHeight="1">
      <c r="A177" s="56" t="s">
        <v>84</v>
      </c>
      <c r="B177" s="56"/>
      <c r="C177" s="56"/>
      <c r="D177" s="33" t="s">
        <v>53</v>
      </c>
      <c r="E177" s="25">
        <v>1</v>
      </c>
      <c r="F177" s="57"/>
      <c r="G177" s="57"/>
      <c r="H177" s="58">
        <f t="shared" si="24"/>
        <v>0</v>
      </c>
      <c r="I177" s="57"/>
      <c r="J177" s="26"/>
      <c r="K177" s="32">
        <v>8982</v>
      </c>
      <c r="L177" s="28">
        <f t="shared" si="29"/>
        <v>0</v>
      </c>
      <c r="M177" s="30">
        <f t="shared" si="25"/>
        <v>0</v>
      </c>
      <c r="N177" s="30">
        <f t="shared" si="26"/>
        <v>0</v>
      </c>
    </row>
    <row r="178" spans="1:27" s="24" customFormat="1" ht="14.25" customHeight="1">
      <c r="A178" s="59" t="s">
        <v>85</v>
      </c>
      <c r="B178" s="59"/>
      <c r="C178" s="59"/>
      <c r="D178" s="33" t="s">
        <v>53</v>
      </c>
      <c r="E178" s="25">
        <v>1</v>
      </c>
      <c r="F178" s="57"/>
      <c r="G178" s="57"/>
      <c r="H178" s="58">
        <f t="shared" si="24"/>
        <v>0</v>
      </c>
      <c r="I178" s="57"/>
      <c r="J178" s="26"/>
      <c r="K178" s="32">
        <v>22454</v>
      </c>
      <c r="L178" s="28">
        <f t="shared" si="29"/>
        <v>0</v>
      </c>
      <c r="M178" s="30">
        <f t="shared" si="25"/>
        <v>0</v>
      </c>
      <c r="N178" s="30">
        <f t="shared" si="26"/>
        <v>0</v>
      </c>
    </row>
    <row r="179" spans="1:27" s="24" customFormat="1" ht="14.25" customHeight="1">
      <c r="A179" s="59" t="s">
        <v>86</v>
      </c>
      <c r="B179" s="59"/>
      <c r="C179" s="59"/>
      <c r="D179" s="33" t="s">
        <v>53</v>
      </c>
      <c r="E179" s="22">
        <v>1</v>
      </c>
      <c r="F179" s="57"/>
      <c r="G179" s="57"/>
      <c r="H179" s="58">
        <f t="shared" si="24"/>
        <v>0</v>
      </c>
      <c r="I179" s="57"/>
      <c r="J179" s="23"/>
      <c r="K179" s="32">
        <v>78589</v>
      </c>
      <c r="L179" s="28">
        <f t="shared" si="29"/>
        <v>0</v>
      </c>
      <c r="M179" s="30">
        <f t="shared" si="25"/>
        <v>0</v>
      </c>
      <c r="N179" s="30">
        <f t="shared" si="26"/>
        <v>0</v>
      </c>
    </row>
    <row r="180" spans="1:27" s="24" customFormat="1" ht="14.25" customHeight="1">
      <c r="A180" s="60" t="s">
        <v>87</v>
      </c>
      <c r="B180" s="60"/>
      <c r="C180" s="60"/>
      <c r="D180" s="34" t="s">
        <v>53</v>
      </c>
      <c r="E180" s="35">
        <v>1</v>
      </c>
      <c r="F180" s="62"/>
      <c r="G180" s="62"/>
      <c r="H180" s="58">
        <f t="shared" si="24"/>
        <v>1</v>
      </c>
      <c r="I180" s="57"/>
      <c r="J180" s="36"/>
      <c r="K180" s="32">
        <v>5370</v>
      </c>
      <c r="L180" s="28">
        <f t="shared" si="29"/>
        <v>5370</v>
      </c>
      <c r="M180" s="30">
        <f t="shared" si="25"/>
        <v>0</v>
      </c>
      <c r="N180" s="30">
        <f t="shared" si="26"/>
        <v>1</v>
      </c>
    </row>
    <row r="181" spans="1:27" s="24" customFormat="1" ht="14.25" customHeight="1" thickBot="1">
      <c r="A181" s="60" t="s">
        <v>88</v>
      </c>
      <c r="B181" s="60"/>
      <c r="C181" s="60"/>
      <c r="D181" s="34" t="s">
        <v>53</v>
      </c>
      <c r="E181" s="35">
        <v>1</v>
      </c>
      <c r="F181" s="62"/>
      <c r="G181" s="62"/>
      <c r="H181" s="61">
        <f t="shared" si="24"/>
        <v>0</v>
      </c>
      <c r="I181" s="62"/>
      <c r="J181" s="36"/>
      <c r="K181" s="32">
        <v>61905</v>
      </c>
      <c r="L181" s="28">
        <f t="shared" si="29"/>
        <v>0</v>
      </c>
      <c r="M181" s="30">
        <f t="shared" si="25"/>
        <v>0</v>
      </c>
      <c r="N181" s="30">
        <f t="shared" si="26"/>
        <v>0</v>
      </c>
    </row>
    <row r="182" spans="1:27" ht="14.25" customHeight="1">
      <c r="A182" s="63" t="s">
        <v>46</v>
      </c>
      <c r="B182" s="64"/>
      <c r="C182" s="65"/>
      <c r="D182" s="10"/>
      <c r="E182" s="16"/>
      <c r="F182" s="66"/>
      <c r="G182" s="67"/>
      <c r="H182" s="66"/>
      <c r="I182" s="67"/>
      <c r="J182" s="11"/>
      <c r="K182" s="21" t="s">
        <v>56</v>
      </c>
      <c r="L182" s="29">
        <f>SUM(L158:L181)</f>
        <v>80970</v>
      </c>
      <c r="M182" s="4"/>
      <c r="N182" s="5"/>
      <c r="O182" s="6"/>
      <c r="S182" s="6"/>
      <c r="W182" s="6"/>
      <c r="AA182" s="6"/>
    </row>
    <row r="183" spans="1:27" ht="14.25" customHeight="1">
      <c r="A183" s="88" t="s">
        <v>47</v>
      </c>
      <c r="B183" s="89"/>
      <c r="C183" s="90"/>
      <c r="D183" s="9"/>
      <c r="E183" s="17"/>
      <c r="F183" s="74"/>
      <c r="G183" s="91"/>
      <c r="H183" s="74"/>
      <c r="I183" s="91"/>
      <c r="J183" s="12"/>
      <c r="K183" s="27" t="s">
        <v>57</v>
      </c>
      <c r="L183" s="31">
        <v>1300000</v>
      </c>
      <c r="M183" s="4"/>
      <c r="N183" s="5"/>
      <c r="O183" s="6"/>
      <c r="S183" s="6"/>
      <c r="W183" s="6"/>
      <c r="AA183" s="6"/>
    </row>
    <row r="184" spans="1:27" ht="14.25" customHeight="1" thickBot="1">
      <c r="A184" s="68" t="s">
        <v>48</v>
      </c>
      <c r="B184" s="69"/>
      <c r="C184" s="70"/>
      <c r="D184" s="13"/>
      <c r="E184" s="18"/>
      <c r="F184" s="71"/>
      <c r="G184" s="72"/>
      <c r="H184" s="71"/>
      <c r="I184" s="72"/>
      <c r="J184" s="14"/>
      <c r="M184" s="4"/>
      <c r="N184" s="5"/>
      <c r="O184" s="6"/>
      <c r="S184" s="6"/>
      <c r="W184" s="6"/>
      <c r="AA184" s="6"/>
    </row>
    <row r="185" spans="1:27" ht="14.25" customHeight="1">
      <c r="A185" s="99" t="s">
        <v>23</v>
      </c>
      <c r="B185" s="64"/>
      <c r="C185" s="64"/>
      <c r="D185" s="64"/>
      <c r="E185" s="64"/>
      <c r="F185" s="64"/>
      <c r="G185" s="64"/>
      <c r="H185" s="64"/>
      <c r="I185" s="64"/>
      <c r="J185" s="65"/>
    </row>
    <row r="186" spans="1:27" ht="14.25" customHeight="1">
      <c r="A186" s="74" t="s">
        <v>24</v>
      </c>
      <c r="B186" s="100"/>
      <c r="C186" s="75"/>
      <c r="D186" s="8" t="s">
        <v>18</v>
      </c>
      <c r="E186" s="8" t="s">
        <v>25</v>
      </c>
      <c r="F186" s="74" t="s">
        <v>26</v>
      </c>
      <c r="G186" s="75"/>
      <c r="H186" s="74" t="s">
        <v>27</v>
      </c>
      <c r="I186" s="75"/>
      <c r="J186" s="8" t="s">
        <v>22</v>
      </c>
    </row>
    <row r="187" spans="1:27" ht="14.25" customHeight="1">
      <c r="A187" s="76"/>
      <c r="B187" s="77"/>
      <c r="C187" s="78"/>
      <c r="D187" s="8"/>
      <c r="E187" s="8"/>
      <c r="F187" s="74"/>
      <c r="G187" s="75"/>
      <c r="H187" s="74"/>
      <c r="I187" s="75"/>
      <c r="J187" s="8"/>
    </row>
    <row r="188" spans="1:27" ht="14.25" customHeight="1">
      <c r="A188" s="76"/>
      <c r="B188" s="77"/>
      <c r="C188" s="78"/>
      <c r="D188" s="8"/>
      <c r="E188" s="8"/>
      <c r="F188" s="74"/>
      <c r="G188" s="75"/>
      <c r="H188" s="74"/>
      <c r="I188" s="75"/>
      <c r="J188" s="8"/>
    </row>
    <row r="189" spans="1:27" ht="14.25" customHeight="1">
      <c r="A189" s="76" t="s">
        <v>28</v>
      </c>
      <c r="B189" s="77"/>
      <c r="C189" s="77"/>
      <c r="D189" s="77"/>
      <c r="E189" s="77"/>
      <c r="F189" s="77"/>
      <c r="G189" s="77"/>
      <c r="H189" s="77"/>
      <c r="I189" s="77"/>
      <c r="J189" s="78"/>
    </row>
    <row r="190" spans="1:27" ht="14.25" customHeight="1">
      <c r="A190" s="74" t="s">
        <v>29</v>
      </c>
      <c r="B190" s="75"/>
      <c r="C190" s="8" t="s">
        <v>30</v>
      </c>
      <c r="D190" s="8" t="s">
        <v>31</v>
      </c>
      <c r="E190" s="74" t="s">
        <v>32</v>
      </c>
      <c r="F190" s="75"/>
      <c r="G190" s="74" t="s">
        <v>26</v>
      </c>
      <c r="H190" s="75"/>
      <c r="I190" s="74" t="s">
        <v>27</v>
      </c>
      <c r="J190" s="75"/>
    </row>
    <row r="191" spans="1:27" ht="14.25" customHeight="1">
      <c r="A191" s="76" t="s">
        <v>61</v>
      </c>
      <c r="B191" s="78"/>
      <c r="C191" s="8">
        <v>3</v>
      </c>
      <c r="D191" s="8">
        <v>6</v>
      </c>
      <c r="E191" s="74"/>
      <c r="F191" s="75"/>
      <c r="G191" s="74"/>
      <c r="H191" s="75"/>
      <c r="I191" s="74"/>
      <c r="J191" s="75"/>
    </row>
    <row r="192" spans="1:27" ht="14.25" customHeight="1">
      <c r="A192" s="76"/>
      <c r="B192" s="78"/>
      <c r="C192" s="8"/>
      <c r="D192" s="8"/>
      <c r="E192" s="74"/>
      <c r="F192" s="75"/>
      <c r="G192" s="74"/>
      <c r="H192" s="75"/>
      <c r="I192" s="74"/>
      <c r="J192" s="75"/>
    </row>
    <row r="193" spans="1:27" ht="14.25" customHeight="1">
      <c r="A193" s="101" t="s">
        <v>45</v>
      </c>
      <c r="B193" s="102"/>
      <c r="C193" s="102"/>
      <c r="D193" s="102"/>
      <c r="E193" s="102"/>
      <c r="F193" s="102"/>
      <c r="G193" s="102"/>
      <c r="H193" s="102"/>
      <c r="I193" s="102"/>
      <c r="J193" s="103"/>
    </row>
    <row r="194" spans="1:27" ht="14.25" customHeight="1">
      <c r="A194" s="104"/>
      <c r="B194" s="105"/>
      <c r="C194" s="105"/>
      <c r="D194" s="105"/>
      <c r="E194" s="105"/>
      <c r="F194" s="105"/>
      <c r="G194" s="105"/>
      <c r="H194" s="105"/>
      <c r="I194" s="105"/>
      <c r="J194" s="106"/>
    </row>
    <row r="195" spans="1:27" ht="14.25" customHeight="1">
      <c r="A195" s="79" t="s">
        <v>97</v>
      </c>
      <c r="B195" s="80"/>
      <c r="C195" s="80"/>
      <c r="D195" s="80"/>
      <c r="E195" s="80"/>
      <c r="F195" s="80"/>
      <c r="G195" s="80"/>
      <c r="H195" s="80"/>
      <c r="I195" s="80"/>
      <c r="J195" s="81"/>
      <c r="M195" s="4"/>
      <c r="N195" s="5"/>
      <c r="O195" s="6"/>
      <c r="S195" s="6"/>
      <c r="W195" s="6"/>
      <c r="AA195" s="6"/>
    </row>
    <row r="196" spans="1:27" ht="14.25" customHeight="1">
      <c r="A196" s="82"/>
      <c r="B196" s="83"/>
      <c r="C196" s="83"/>
      <c r="D196" s="83"/>
      <c r="E196" s="83"/>
      <c r="F196" s="83"/>
      <c r="G196" s="83"/>
      <c r="H196" s="83"/>
      <c r="I196" s="83"/>
      <c r="J196" s="84"/>
    </row>
    <row r="197" spans="1:27" ht="14.25" customHeight="1">
      <c r="A197" s="82"/>
      <c r="B197" s="83"/>
      <c r="C197" s="83"/>
      <c r="D197" s="83"/>
      <c r="E197" s="83"/>
      <c r="F197" s="83"/>
      <c r="G197" s="83"/>
      <c r="H197" s="83"/>
      <c r="I197" s="83"/>
      <c r="J197" s="84"/>
    </row>
    <row r="198" spans="1:27" ht="14.25" customHeight="1">
      <c r="A198" s="82"/>
      <c r="B198" s="83"/>
      <c r="C198" s="83"/>
      <c r="D198" s="83"/>
      <c r="E198" s="83"/>
      <c r="F198" s="83"/>
      <c r="G198" s="83"/>
      <c r="H198" s="83"/>
      <c r="I198" s="83"/>
      <c r="J198" s="84"/>
    </row>
    <row r="199" spans="1:27" ht="14.25" customHeight="1">
      <c r="A199" s="82"/>
      <c r="B199" s="83"/>
      <c r="C199" s="83"/>
      <c r="D199" s="83"/>
      <c r="E199" s="83"/>
      <c r="F199" s="83"/>
      <c r="G199" s="83"/>
      <c r="H199" s="83"/>
      <c r="I199" s="83"/>
      <c r="J199" s="84"/>
    </row>
    <row r="200" spans="1:27" ht="14.25" customHeight="1">
      <c r="A200" s="82"/>
      <c r="B200" s="83"/>
      <c r="C200" s="83"/>
      <c r="D200" s="83"/>
      <c r="E200" s="83"/>
      <c r="F200" s="83"/>
      <c r="G200" s="83"/>
      <c r="H200" s="83"/>
      <c r="I200" s="83"/>
      <c r="J200" s="84"/>
    </row>
    <row r="201" spans="1:27" ht="14.25" customHeight="1">
      <c r="A201" s="42" t="s">
        <v>33</v>
      </c>
      <c r="B201" s="43"/>
      <c r="C201" s="43"/>
      <c r="D201" s="43"/>
      <c r="E201" s="43"/>
      <c r="F201" s="43"/>
      <c r="G201" s="43"/>
      <c r="H201" s="43"/>
      <c r="I201" s="43"/>
      <c r="J201" s="44"/>
    </row>
    <row r="202" spans="1:27" ht="14.25" customHeight="1">
      <c r="A202" s="45"/>
      <c r="B202" s="46"/>
      <c r="C202" s="46"/>
      <c r="D202" s="46"/>
      <c r="E202" s="46"/>
      <c r="F202" s="46"/>
      <c r="G202" s="46"/>
      <c r="H202" s="46"/>
      <c r="I202" s="46"/>
      <c r="J202" s="47"/>
    </row>
    <row r="203" spans="1:27" ht="14.25" customHeight="1">
      <c r="A203" s="42" t="s">
        <v>34</v>
      </c>
      <c r="B203" s="43"/>
      <c r="C203" s="43"/>
      <c r="D203" s="43"/>
      <c r="E203" s="43"/>
      <c r="F203" s="43"/>
      <c r="G203" s="43"/>
      <c r="H203" s="43"/>
      <c r="I203" s="43"/>
      <c r="J203" s="44"/>
    </row>
    <row r="204" spans="1:27" ht="14.25" customHeight="1">
      <c r="A204" s="45"/>
      <c r="B204" s="46"/>
      <c r="C204" s="46"/>
      <c r="D204" s="46"/>
      <c r="E204" s="46"/>
      <c r="F204" s="46"/>
      <c r="G204" s="46"/>
      <c r="H204" s="46"/>
      <c r="I204" s="46"/>
      <c r="J204" s="47"/>
    </row>
    <row r="205" spans="1:27" ht="14.25" customHeight="1">
      <c r="A205" s="42" t="s">
        <v>96</v>
      </c>
      <c r="B205" s="43"/>
      <c r="C205" s="43"/>
      <c r="D205" s="43"/>
      <c r="E205" s="43"/>
      <c r="F205" s="43"/>
      <c r="G205" s="43"/>
      <c r="H205" s="43"/>
      <c r="I205" s="43"/>
      <c r="J205" s="44"/>
    </row>
    <row r="206" spans="1:27" ht="14.25" customHeight="1">
      <c r="A206" s="45"/>
      <c r="B206" s="46"/>
      <c r="C206" s="46"/>
      <c r="D206" s="46"/>
      <c r="E206" s="46"/>
      <c r="F206" s="46"/>
      <c r="G206" s="46"/>
      <c r="H206" s="46"/>
      <c r="I206" s="46"/>
      <c r="J206" s="47"/>
    </row>
    <row r="207" spans="1:27" ht="14.25" customHeight="1">
      <c r="A207" s="42" t="s">
        <v>35</v>
      </c>
      <c r="B207" s="43"/>
      <c r="C207" s="43"/>
      <c r="D207" s="43"/>
      <c r="E207" s="43"/>
      <c r="F207" s="43"/>
      <c r="G207" s="43"/>
      <c r="H207" s="43"/>
      <c r="I207" s="43"/>
      <c r="J207" s="44"/>
    </row>
    <row r="208" spans="1:27" ht="14.25" customHeight="1">
      <c r="A208" s="45"/>
      <c r="B208" s="46"/>
      <c r="C208" s="46"/>
      <c r="D208" s="46"/>
      <c r="E208" s="46"/>
      <c r="F208" s="46"/>
      <c r="G208" s="46"/>
      <c r="H208" s="46"/>
      <c r="I208" s="46"/>
      <c r="J208" s="47"/>
    </row>
    <row r="209" spans="1:10" ht="14.25" customHeight="1">
      <c r="A209" s="85" t="s">
        <v>36</v>
      </c>
      <c r="B209" s="85"/>
      <c r="C209" s="85"/>
      <c r="D209" s="85"/>
      <c r="E209" s="85"/>
      <c r="F209" s="85"/>
      <c r="G209" s="85"/>
      <c r="H209" s="85"/>
      <c r="I209" s="85"/>
      <c r="J209" s="85"/>
    </row>
    <row r="210" spans="1:10" ht="14.25" customHeight="1">
      <c r="A210" s="48" t="s">
        <v>37</v>
      </c>
      <c r="B210" s="48"/>
      <c r="C210" s="48"/>
      <c r="D210" s="48"/>
      <c r="E210" s="48"/>
      <c r="F210" s="48"/>
      <c r="G210" s="48"/>
      <c r="H210" s="48"/>
      <c r="I210" s="48"/>
      <c r="J210" s="48"/>
    </row>
    <row r="211" spans="1:10" ht="14.25" customHeight="1">
      <c r="A211" s="48" t="s">
        <v>38</v>
      </c>
      <c r="B211" s="48"/>
      <c r="C211" s="48"/>
      <c r="D211" s="48"/>
      <c r="E211" s="48"/>
      <c r="F211" s="48"/>
      <c r="G211" s="48"/>
      <c r="H211" s="48"/>
      <c r="I211" s="48"/>
      <c r="J211" s="48"/>
    </row>
    <row r="212" spans="1:10" ht="14.25" customHeight="1">
      <c r="A212" s="48" t="s">
        <v>39</v>
      </c>
      <c r="B212" s="48"/>
      <c r="C212" s="48"/>
      <c r="D212" s="48"/>
      <c r="E212" s="48"/>
      <c r="F212" s="48"/>
      <c r="G212" s="48"/>
      <c r="H212" s="48"/>
      <c r="I212" s="48"/>
      <c r="J212" s="48"/>
    </row>
    <row r="213" spans="1:10" ht="14.25" customHeight="1">
      <c r="A213" s="48" t="s">
        <v>40</v>
      </c>
      <c r="B213" s="48"/>
      <c r="C213" s="48"/>
      <c r="D213" s="48"/>
      <c r="E213" s="48"/>
      <c r="F213" s="48"/>
      <c r="G213" s="48"/>
      <c r="H213" s="48"/>
      <c r="I213" s="48"/>
      <c r="J213" s="48"/>
    </row>
    <row r="214" spans="1:10" ht="14.25" customHeight="1">
      <c r="A214" s="48" t="s">
        <v>41</v>
      </c>
      <c r="B214" s="48"/>
      <c r="C214" s="48"/>
      <c r="D214" s="48"/>
      <c r="E214" s="48"/>
      <c r="F214" s="48"/>
      <c r="G214" s="48"/>
      <c r="H214" s="48"/>
      <c r="I214" s="48"/>
      <c r="J214" s="48"/>
    </row>
    <row r="215" spans="1:10" ht="14.25" customHeight="1">
      <c r="A215" s="48" t="s">
        <v>42</v>
      </c>
      <c r="B215" s="48"/>
      <c r="C215" s="48"/>
      <c r="D215" s="48"/>
      <c r="E215" s="48"/>
      <c r="F215" s="48"/>
      <c r="G215" s="48"/>
      <c r="H215" s="48"/>
      <c r="I215" s="48"/>
      <c r="J215" s="48"/>
    </row>
    <row r="216" spans="1:10" ht="14.25" customHeight="1">
      <c r="A216" s="49" t="s">
        <v>43</v>
      </c>
      <c r="B216" s="49"/>
      <c r="C216" s="49"/>
      <c r="D216" s="49"/>
      <c r="E216" s="49"/>
      <c r="F216" s="49"/>
      <c r="G216" s="49"/>
      <c r="H216" s="49"/>
      <c r="I216" s="49"/>
      <c r="J216" s="49"/>
    </row>
    <row r="217" spans="1:10" ht="14.25" customHeight="1">
      <c r="A217" s="48" t="s">
        <v>44</v>
      </c>
      <c r="B217" s="48"/>
      <c r="C217" s="48"/>
      <c r="D217" s="48"/>
      <c r="E217" s="48"/>
      <c r="F217" s="48"/>
      <c r="G217" s="48"/>
      <c r="H217" s="48"/>
      <c r="I217" s="48"/>
      <c r="J217" s="48"/>
    </row>
    <row r="218" spans="1:10" ht="29.25" customHeight="1">
      <c r="A218" s="50" t="s">
        <v>51</v>
      </c>
      <c r="B218" s="50"/>
      <c r="C218" s="50"/>
      <c r="D218" s="50"/>
      <c r="E218" s="50"/>
      <c r="F218" s="50"/>
      <c r="G218" s="50"/>
      <c r="H218" s="50"/>
      <c r="I218" s="50"/>
      <c r="J218" s="50"/>
    </row>
    <row r="219" spans="1:10" ht="14.25" customHeight="1">
      <c r="A219" s="51" t="s">
        <v>49</v>
      </c>
      <c r="B219" s="51"/>
      <c r="C219" s="51"/>
      <c r="D219" s="51"/>
      <c r="E219" s="51"/>
      <c r="F219" s="51"/>
      <c r="G219" s="51"/>
      <c r="H219" s="51"/>
      <c r="I219" s="51"/>
      <c r="J219" s="51"/>
    </row>
    <row r="220" spans="1:10" ht="14.25" customHeight="1">
      <c r="A220" s="92" t="s">
        <v>0</v>
      </c>
      <c r="B220" s="92"/>
      <c r="C220" s="92"/>
      <c r="D220" s="92"/>
      <c r="E220" s="92"/>
      <c r="F220" s="92"/>
      <c r="G220" s="92"/>
      <c r="H220" s="92"/>
      <c r="I220" s="92"/>
      <c r="J220" s="92"/>
    </row>
    <row r="221" spans="1:10">
      <c r="A221" s="2" t="s">
        <v>1</v>
      </c>
      <c r="B221" s="3" t="str">
        <f>"GD-"&amp;IF(LEN(E225)=2,TEXT(LEFT(E225,1),"000"),IF(LEN(E225)=3,TEXT(LEFT(E225,2),"000"),TEXT(LEFT(E225,3),"000")))</f>
        <v>GD-004</v>
      </c>
      <c r="C221" s="2"/>
      <c r="D221" s="2"/>
      <c r="E221" s="2"/>
      <c r="F221" s="2"/>
      <c r="G221" s="2"/>
      <c r="H221" s="2"/>
      <c r="I221" s="2"/>
      <c r="J221" s="2"/>
    </row>
    <row r="222" spans="1:10" ht="14.25" customHeight="1">
      <c r="A222" s="86" t="s">
        <v>2</v>
      </c>
      <c r="B222" s="86"/>
      <c r="C222" s="86"/>
      <c r="D222" s="86"/>
      <c r="E222" s="86"/>
      <c r="F222" s="93" t="s">
        <v>3</v>
      </c>
      <c r="G222" s="93"/>
      <c r="H222" s="94">
        <f>H149+1</f>
        <v>46051</v>
      </c>
      <c r="I222" s="94"/>
      <c r="J222" s="7" t="str">
        <f>"("&amp;TEXT(H222,"[$-404]aaaa;@")&amp;")"</f>
        <v>(星期四)</v>
      </c>
    </row>
    <row r="223" spans="1:10" ht="14.25" customHeight="1">
      <c r="A223" s="54" t="s">
        <v>4</v>
      </c>
      <c r="B223" s="54"/>
      <c r="C223" s="87" t="str">
        <f>C150</f>
        <v>林內國中多功能教室裝修工程</v>
      </c>
      <c r="D223" s="87"/>
      <c r="E223" s="87"/>
      <c r="F223" s="54" t="s">
        <v>5</v>
      </c>
      <c r="G223" s="54"/>
      <c r="H223" s="54" t="str">
        <f>H150</f>
        <v>正郁室內裝修</v>
      </c>
      <c r="I223" s="54"/>
      <c r="J223" s="54"/>
    </row>
    <row r="224" spans="1:10" ht="14.25" customHeight="1">
      <c r="A224" s="54"/>
      <c r="B224" s="54"/>
      <c r="C224" s="87"/>
      <c r="D224" s="87"/>
      <c r="E224" s="87"/>
      <c r="F224" s="54"/>
      <c r="G224" s="54"/>
      <c r="H224" s="54"/>
      <c r="I224" s="54"/>
      <c r="J224" s="54"/>
    </row>
    <row r="225" spans="1:27" ht="14.25" customHeight="1">
      <c r="A225" s="8" t="s">
        <v>7</v>
      </c>
      <c r="B225" s="8" t="str">
        <f>B152</f>
        <v>60天</v>
      </c>
      <c r="C225" s="54" t="s">
        <v>8</v>
      </c>
      <c r="D225" s="54"/>
      <c r="E225" s="8" t="str">
        <f>IF(LEN(E152)&gt;2,(LEFT(E152,2)+1),(LEFT(E152,1)+1))&amp;"天"</f>
        <v>4天</v>
      </c>
      <c r="F225" s="8" t="s">
        <v>9</v>
      </c>
      <c r="G225" s="8" t="str">
        <f>IF(LEN(E225)&gt;2,LEFT(B225,2)-LEFT(E225,2),LEFT(B225,2)-LEFT(E225,1))&amp;"天"</f>
        <v>56天</v>
      </c>
      <c r="H225" s="54" t="s">
        <v>10</v>
      </c>
      <c r="I225" s="54"/>
      <c r="J225" s="8" t="str">
        <f>J152</f>
        <v>0天</v>
      </c>
    </row>
    <row r="226" spans="1:27" ht="14.25" customHeight="1">
      <c r="A226" s="54" t="s">
        <v>12</v>
      </c>
      <c r="B226" s="54"/>
      <c r="C226" s="54" t="str">
        <f>C153</f>
        <v>115年01月26日</v>
      </c>
      <c r="D226" s="54"/>
      <c r="E226" s="54"/>
      <c r="F226" s="54" t="s">
        <v>13</v>
      </c>
      <c r="G226" s="54"/>
      <c r="H226" s="54" t="str">
        <f>H153</f>
        <v>115年3月26日</v>
      </c>
      <c r="I226" s="54"/>
      <c r="J226" s="54"/>
    </row>
    <row r="227" spans="1:27" ht="14.25" customHeight="1">
      <c r="A227" s="54" t="s">
        <v>14</v>
      </c>
      <c r="B227" s="54"/>
      <c r="C227" s="95">
        <f>(5%/15)*4</f>
        <v>1.3333333333333334E-2</v>
      </c>
      <c r="D227" s="95"/>
      <c r="E227" s="95"/>
      <c r="F227" s="54" t="s">
        <v>15</v>
      </c>
      <c r="G227" s="54"/>
      <c r="H227" s="96">
        <f>ROUND(L255/L256,5)</f>
        <v>7.7359999999999998E-2</v>
      </c>
      <c r="I227" s="97"/>
      <c r="J227" s="98"/>
    </row>
    <row r="228" spans="1:27" ht="14.25" customHeight="1">
      <c r="A228" s="53" t="s">
        <v>16</v>
      </c>
      <c r="B228" s="53"/>
      <c r="C228" s="53"/>
      <c r="D228" s="53"/>
      <c r="E228" s="53"/>
      <c r="F228" s="53"/>
      <c r="G228" s="53"/>
      <c r="H228" s="53"/>
      <c r="I228" s="53"/>
      <c r="J228" s="53"/>
    </row>
    <row r="229" spans="1:27" ht="14.25" customHeight="1">
      <c r="A229" s="54" t="s">
        <v>17</v>
      </c>
      <c r="B229" s="54"/>
      <c r="C229" s="54"/>
      <c r="D229" s="8" t="s">
        <v>18</v>
      </c>
      <c r="E229" s="8" t="s">
        <v>19</v>
      </c>
      <c r="F229" s="54" t="s">
        <v>20</v>
      </c>
      <c r="G229" s="54"/>
      <c r="H229" s="54" t="s">
        <v>21</v>
      </c>
      <c r="I229" s="54"/>
      <c r="J229" s="8" t="s">
        <v>22</v>
      </c>
      <c r="K229" s="21" t="s">
        <v>55</v>
      </c>
      <c r="L229" s="20"/>
      <c r="M229" s="4"/>
      <c r="N229" s="5"/>
      <c r="O229" s="6"/>
      <c r="S229" s="6"/>
      <c r="W229" s="6"/>
      <c r="AA229" s="6"/>
    </row>
    <row r="230" spans="1:27" ht="14.25" customHeight="1">
      <c r="A230" s="53" t="s">
        <v>64</v>
      </c>
      <c r="B230" s="53"/>
      <c r="C230" s="53"/>
      <c r="D230" s="53"/>
      <c r="E230" s="53"/>
      <c r="F230" s="53"/>
      <c r="G230" s="53"/>
      <c r="H230" s="53"/>
      <c r="I230" s="53"/>
      <c r="J230" s="53"/>
    </row>
    <row r="231" spans="1:27" ht="14.25" customHeight="1">
      <c r="A231" s="52" t="s">
        <v>65</v>
      </c>
      <c r="B231" s="52"/>
      <c r="C231" s="52"/>
      <c r="D231" s="38" t="s">
        <v>60</v>
      </c>
      <c r="E231" s="39">
        <v>71</v>
      </c>
      <c r="F231" s="55"/>
      <c r="G231" s="55"/>
      <c r="H231" s="55">
        <f t="shared" ref="H231:H254" si="30">F231+H158</f>
        <v>0</v>
      </c>
      <c r="I231" s="54"/>
      <c r="J231" s="15"/>
      <c r="K231" s="40">
        <v>2200</v>
      </c>
      <c r="L231" s="28">
        <f>ROUND(K231*H231,0)</f>
        <v>0</v>
      </c>
      <c r="N231" s="30">
        <f>H231</f>
        <v>0</v>
      </c>
    </row>
    <row r="232" spans="1:27" ht="45" customHeight="1">
      <c r="A232" s="52" t="s">
        <v>66</v>
      </c>
      <c r="B232" s="52"/>
      <c r="C232" s="52"/>
      <c r="D232" s="38" t="s">
        <v>58</v>
      </c>
      <c r="E232" s="39">
        <v>1</v>
      </c>
      <c r="F232" s="55"/>
      <c r="G232" s="55"/>
      <c r="H232" s="55">
        <f t="shared" si="30"/>
        <v>0.5</v>
      </c>
      <c r="I232" s="54"/>
      <c r="J232" s="8"/>
      <c r="K232" s="40">
        <v>50000</v>
      </c>
      <c r="L232" s="28">
        <f>ROUND(K232*H232,0)</f>
        <v>25000</v>
      </c>
      <c r="M232" s="30">
        <f t="shared" ref="M232:M254" si="31">G232</f>
        <v>0</v>
      </c>
      <c r="N232" s="30">
        <f t="shared" ref="N232:N254" si="32">H232</f>
        <v>0.5</v>
      </c>
    </row>
    <row r="233" spans="1:27" ht="14.25" customHeight="1">
      <c r="A233" s="53" t="s">
        <v>67</v>
      </c>
      <c r="B233" s="53"/>
      <c r="C233" s="53"/>
      <c r="D233" s="37" t="s">
        <v>58</v>
      </c>
      <c r="E233" s="39">
        <v>1</v>
      </c>
      <c r="F233" s="55"/>
      <c r="G233" s="55"/>
      <c r="H233" s="55">
        <f t="shared" si="30"/>
        <v>0</v>
      </c>
      <c r="I233" s="54"/>
      <c r="J233" s="8"/>
      <c r="K233" s="41">
        <v>65000</v>
      </c>
      <c r="L233" s="28">
        <f t="shared" ref="L233" si="33">ROUND(K233*H233,0)</f>
        <v>0</v>
      </c>
      <c r="M233" s="30">
        <f t="shared" si="31"/>
        <v>0</v>
      </c>
      <c r="N233" s="30">
        <f t="shared" si="32"/>
        <v>0</v>
      </c>
    </row>
    <row r="234" spans="1:27" ht="14.25" customHeight="1">
      <c r="A234" s="52" t="s">
        <v>68</v>
      </c>
      <c r="B234" s="52"/>
      <c r="C234" s="52"/>
      <c r="D234" s="37" t="s">
        <v>58</v>
      </c>
      <c r="E234" s="39">
        <v>1</v>
      </c>
      <c r="F234" s="55">
        <v>0.2</v>
      </c>
      <c r="G234" s="55"/>
      <c r="H234" s="55">
        <f t="shared" si="30"/>
        <v>0.2</v>
      </c>
      <c r="I234" s="54"/>
      <c r="J234" s="15"/>
      <c r="K234" s="41">
        <v>98000</v>
      </c>
      <c r="L234" s="28">
        <f>ROUND(K234*H234,0)</f>
        <v>19600</v>
      </c>
      <c r="M234" s="30">
        <f t="shared" si="31"/>
        <v>0</v>
      </c>
      <c r="N234" s="30">
        <f t="shared" si="32"/>
        <v>0.2</v>
      </c>
    </row>
    <row r="235" spans="1:27" ht="14.25" customHeight="1">
      <c r="A235" s="52" t="s">
        <v>69</v>
      </c>
      <c r="B235" s="52"/>
      <c r="C235" s="52"/>
      <c r="D235" s="38" t="s">
        <v>58</v>
      </c>
      <c r="E235" s="39">
        <v>1</v>
      </c>
      <c r="F235" s="73"/>
      <c r="G235" s="73"/>
      <c r="H235" s="55">
        <f t="shared" si="30"/>
        <v>0.4</v>
      </c>
      <c r="I235" s="54"/>
      <c r="J235" s="8"/>
      <c r="K235" s="40">
        <v>120000</v>
      </c>
      <c r="L235" s="28">
        <f>ROUND(K235*H235,0)</f>
        <v>48000</v>
      </c>
      <c r="M235" s="30">
        <f t="shared" si="31"/>
        <v>0</v>
      </c>
      <c r="N235" s="30">
        <f t="shared" si="32"/>
        <v>0.4</v>
      </c>
    </row>
    <row r="236" spans="1:27" ht="14.25" customHeight="1">
      <c r="A236" s="53" t="s">
        <v>70</v>
      </c>
      <c r="B236" s="53"/>
      <c r="C236" s="53"/>
      <c r="D236" s="38" t="s">
        <v>60</v>
      </c>
      <c r="E236" s="39">
        <v>179</v>
      </c>
      <c r="F236" s="55"/>
      <c r="G236" s="55"/>
      <c r="H236" s="55">
        <f t="shared" si="30"/>
        <v>0</v>
      </c>
      <c r="I236" s="54"/>
      <c r="J236" s="8"/>
      <c r="K236" s="40">
        <v>300</v>
      </c>
      <c r="L236" s="28">
        <f t="shared" ref="L236" si="34">ROUND(K236*H236,0)</f>
        <v>0</v>
      </c>
      <c r="M236" s="30">
        <f t="shared" si="31"/>
        <v>0</v>
      </c>
      <c r="N236" s="30">
        <f t="shared" si="32"/>
        <v>0</v>
      </c>
    </row>
    <row r="237" spans="1:27" ht="14.25" customHeight="1">
      <c r="A237" s="52" t="s">
        <v>71</v>
      </c>
      <c r="B237" s="52"/>
      <c r="C237" s="52"/>
      <c r="D237" s="38" t="s">
        <v>59</v>
      </c>
      <c r="E237" s="39">
        <v>1</v>
      </c>
      <c r="F237" s="55"/>
      <c r="G237" s="55"/>
      <c r="H237" s="55">
        <f t="shared" si="30"/>
        <v>0</v>
      </c>
      <c r="I237" s="54"/>
      <c r="J237" s="15"/>
      <c r="K237" s="40">
        <v>32000</v>
      </c>
      <c r="L237" s="28">
        <f>ROUND(K237*H237,0)</f>
        <v>0</v>
      </c>
      <c r="M237" s="30">
        <f t="shared" si="31"/>
        <v>0</v>
      </c>
      <c r="N237" s="30">
        <f t="shared" si="32"/>
        <v>0</v>
      </c>
    </row>
    <row r="238" spans="1:27" ht="14.25" customHeight="1">
      <c r="A238" s="52" t="s">
        <v>72</v>
      </c>
      <c r="B238" s="52"/>
      <c r="C238" s="52"/>
      <c r="D238" s="38" t="s">
        <v>58</v>
      </c>
      <c r="E238" s="39">
        <v>1</v>
      </c>
      <c r="F238" s="55"/>
      <c r="G238" s="55"/>
      <c r="H238" s="55">
        <f t="shared" si="30"/>
        <v>0</v>
      </c>
      <c r="I238" s="54"/>
      <c r="J238" s="8"/>
      <c r="K238" s="40">
        <v>66000</v>
      </c>
      <c r="L238" s="28">
        <f>ROUND(K238*H238,0)</f>
        <v>0</v>
      </c>
      <c r="M238" s="30">
        <f t="shared" si="31"/>
        <v>0</v>
      </c>
      <c r="N238" s="30">
        <f t="shared" si="32"/>
        <v>0</v>
      </c>
    </row>
    <row r="239" spans="1:27" ht="14.25" customHeight="1">
      <c r="A239" s="52" t="s">
        <v>73</v>
      </c>
      <c r="B239" s="53"/>
      <c r="C239" s="53"/>
      <c r="D239" s="38" t="s">
        <v>59</v>
      </c>
      <c r="E239" s="39">
        <v>1</v>
      </c>
      <c r="F239" s="55"/>
      <c r="G239" s="55"/>
      <c r="H239" s="55">
        <f t="shared" si="30"/>
        <v>0</v>
      </c>
      <c r="I239" s="54"/>
      <c r="J239" s="8"/>
      <c r="K239" s="40">
        <v>47000</v>
      </c>
      <c r="L239" s="28">
        <f t="shared" ref="L239:L254" si="35">ROUND(K239*H239,0)</f>
        <v>0</v>
      </c>
      <c r="M239" s="30">
        <f t="shared" si="31"/>
        <v>0</v>
      </c>
      <c r="N239" s="30">
        <f t="shared" si="32"/>
        <v>0</v>
      </c>
    </row>
    <row r="240" spans="1:27" ht="14.25" customHeight="1">
      <c r="A240" s="53" t="s">
        <v>74</v>
      </c>
      <c r="B240" s="53"/>
      <c r="C240" s="53"/>
      <c r="D240" s="38" t="s">
        <v>89</v>
      </c>
      <c r="E240" s="39">
        <v>20</v>
      </c>
      <c r="F240" s="54"/>
      <c r="G240" s="54"/>
      <c r="H240" s="55">
        <f t="shared" si="30"/>
        <v>0</v>
      </c>
      <c r="I240" s="54"/>
      <c r="J240" s="8"/>
      <c r="K240" s="40">
        <v>3000</v>
      </c>
      <c r="L240" s="28">
        <f t="shared" si="35"/>
        <v>0</v>
      </c>
      <c r="M240" s="30">
        <f t="shared" si="31"/>
        <v>0</v>
      </c>
      <c r="N240" s="30">
        <f t="shared" si="32"/>
        <v>0</v>
      </c>
    </row>
    <row r="241" spans="1:27" ht="14.25" customHeight="1">
      <c r="A241" s="53" t="s">
        <v>75</v>
      </c>
      <c r="B241" s="53"/>
      <c r="C241" s="53"/>
      <c r="D241" s="38" t="s">
        <v>59</v>
      </c>
      <c r="E241" s="39">
        <v>1</v>
      </c>
      <c r="F241" s="54"/>
      <c r="G241" s="54"/>
      <c r="H241" s="55">
        <f t="shared" si="30"/>
        <v>0</v>
      </c>
      <c r="I241" s="54"/>
      <c r="J241" s="8"/>
      <c r="K241" s="40">
        <v>95000</v>
      </c>
      <c r="L241" s="28">
        <f t="shared" si="35"/>
        <v>0</v>
      </c>
      <c r="M241" s="30">
        <f t="shared" si="31"/>
        <v>0</v>
      </c>
      <c r="N241" s="30">
        <f t="shared" si="32"/>
        <v>0</v>
      </c>
    </row>
    <row r="242" spans="1:27" ht="14.25" customHeight="1">
      <c r="A242" s="53" t="s">
        <v>76</v>
      </c>
      <c r="B242" s="53"/>
      <c r="C242" s="53"/>
      <c r="D242" s="38" t="s">
        <v>90</v>
      </c>
      <c r="E242" s="39">
        <v>345</v>
      </c>
      <c r="F242" s="54"/>
      <c r="G242" s="54"/>
      <c r="H242" s="55">
        <f t="shared" si="30"/>
        <v>0</v>
      </c>
      <c r="I242" s="54"/>
      <c r="J242" s="8"/>
      <c r="K242" s="40">
        <v>100</v>
      </c>
      <c r="L242" s="28">
        <f t="shared" si="35"/>
        <v>0</v>
      </c>
      <c r="M242" s="30">
        <f t="shared" si="31"/>
        <v>0</v>
      </c>
      <c r="N242" s="30">
        <f t="shared" si="32"/>
        <v>0</v>
      </c>
    </row>
    <row r="243" spans="1:27" ht="14.25" customHeight="1">
      <c r="A243" s="53" t="s">
        <v>77</v>
      </c>
      <c r="B243" s="53"/>
      <c r="C243" s="53"/>
      <c r="D243" s="38" t="s">
        <v>58</v>
      </c>
      <c r="E243" s="39">
        <v>1</v>
      </c>
      <c r="F243" s="54"/>
      <c r="G243" s="54"/>
      <c r="H243" s="55">
        <f t="shared" si="30"/>
        <v>0</v>
      </c>
      <c r="I243" s="54"/>
      <c r="J243" s="8"/>
      <c r="K243" s="40">
        <v>56000</v>
      </c>
      <c r="L243" s="28">
        <f t="shared" si="35"/>
        <v>0</v>
      </c>
      <c r="M243" s="30">
        <f t="shared" si="31"/>
        <v>0</v>
      </c>
      <c r="N243" s="30">
        <f t="shared" si="32"/>
        <v>0</v>
      </c>
    </row>
    <row r="244" spans="1:27" ht="28.5" customHeight="1">
      <c r="A244" s="52" t="s">
        <v>78</v>
      </c>
      <c r="B244" s="53"/>
      <c r="C244" s="53"/>
      <c r="D244" s="38" t="s">
        <v>58</v>
      </c>
      <c r="E244" s="39">
        <v>1</v>
      </c>
      <c r="F244" s="54"/>
      <c r="G244" s="54"/>
      <c r="H244" s="55">
        <f t="shared" si="30"/>
        <v>0</v>
      </c>
      <c r="I244" s="54"/>
      <c r="J244" s="8"/>
      <c r="K244" s="40">
        <v>67500</v>
      </c>
      <c r="L244" s="28">
        <f t="shared" si="35"/>
        <v>0</v>
      </c>
      <c r="M244" s="30">
        <f t="shared" si="31"/>
        <v>0</v>
      </c>
      <c r="N244" s="30">
        <f t="shared" si="32"/>
        <v>0</v>
      </c>
    </row>
    <row r="245" spans="1:27" ht="14.25" customHeight="1">
      <c r="A245" s="53" t="s">
        <v>79</v>
      </c>
      <c r="B245" s="53"/>
      <c r="C245" s="53"/>
      <c r="D245" s="38" t="s">
        <v>91</v>
      </c>
      <c r="E245" s="39">
        <v>3</v>
      </c>
      <c r="F245" s="54"/>
      <c r="G245" s="54"/>
      <c r="H245" s="55">
        <f t="shared" si="30"/>
        <v>0</v>
      </c>
      <c r="I245" s="54"/>
      <c r="J245" s="8"/>
      <c r="K245" s="40">
        <v>6000</v>
      </c>
      <c r="L245" s="28">
        <f t="shared" si="35"/>
        <v>0</v>
      </c>
      <c r="M245" s="30">
        <f t="shared" si="31"/>
        <v>0</v>
      </c>
      <c r="N245" s="30">
        <f t="shared" si="32"/>
        <v>0</v>
      </c>
    </row>
    <row r="246" spans="1:27" ht="14.25" customHeight="1">
      <c r="A246" s="53" t="s">
        <v>80</v>
      </c>
      <c r="B246" s="53"/>
      <c r="C246" s="53"/>
      <c r="D246" s="38" t="s">
        <v>91</v>
      </c>
      <c r="E246" s="39">
        <v>26</v>
      </c>
      <c r="F246" s="54"/>
      <c r="G246" s="54"/>
      <c r="H246" s="55">
        <f t="shared" si="30"/>
        <v>0</v>
      </c>
      <c r="I246" s="54"/>
      <c r="J246" s="8"/>
      <c r="K246" s="40">
        <v>1200</v>
      </c>
      <c r="L246" s="28">
        <f t="shared" si="35"/>
        <v>0</v>
      </c>
      <c r="M246" s="30">
        <f t="shared" si="31"/>
        <v>0</v>
      </c>
      <c r="N246" s="30">
        <f t="shared" si="32"/>
        <v>0</v>
      </c>
    </row>
    <row r="247" spans="1:27" ht="14.25" customHeight="1">
      <c r="A247" s="53" t="s">
        <v>81</v>
      </c>
      <c r="B247" s="53"/>
      <c r="C247" s="53"/>
      <c r="D247" s="38" t="s">
        <v>58</v>
      </c>
      <c r="E247" s="39">
        <v>1</v>
      </c>
      <c r="F247" s="54"/>
      <c r="G247" s="54"/>
      <c r="H247" s="55">
        <f t="shared" si="30"/>
        <v>1</v>
      </c>
      <c r="I247" s="54"/>
      <c r="J247" s="8"/>
      <c r="K247" s="40">
        <v>1600</v>
      </c>
      <c r="L247" s="28">
        <f t="shared" si="35"/>
        <v>1600</v>
      </c>
      <c r="M247" s="30">
        <f t="shared" si="31"/>
        <v>0</v>
      </c>
      <c r="N247" s="30">
        <f t="shared" si="32"/>
        <v>1</v>
      </c>
    </row>
    <row r="248" spans="1:27" ht="14.25" customHeight="1">
      <c r="A248" s="53" t="s">
        <v>82</v>
      </c>
      <c r="B248" s="53"/>
      <c r="C248" s="53"/>
      <c r="D248" s="38" t="s">
        <v>58</v>
      </c>
      <c r="E248" s="39">
        <v>1</v>
      </c>
      <c r="F248" s="54"/>
      <c r="G248" s="54"/>
      <c r="H248" s="55">
        <f t="shared" si="30"/>
        <v>1</v>
      </c>
      <c r="I248" s="54"/>
      <c r="J248" s="8"/>
      <c r="K248" s="40">
        <v>1000</v>
      </c>
      <c r="L248" s="28">
        <f t="shared" si="35"/>
        <v>1000</v>
      </c>
      <c r="M248" s="30">
        <f t="shared" si="31"/>
        <v>0</v>
      </c>
      <c r="N248" s="30">
        <f t="shared" si="32"/>
        <v>1</v>
      </c>
    </row>
    <row r="249" spans="1:27" ht="28.5" customHeight="1">
      <c r="A249" s="52" t="s">
        <v>83</v>
      </c>
      <c r="B249" s="53"/>
      <c r="C249" s="53"/>
      <c r="D249" s="38" t="s">
        <v>59</v>
      </c>
      <c r="E249" s="39">
        <v>1</v>
      </c>
      <c r="F249" s="54"/>
      <c r="G249" s="54"/>
      <c r="H249" s="55">
        <f t="shared" si="30"/>
        <v>0</v>
      </c>
      <c r="I249" s="54"/>
      <c r="J249" s="8"/>
      <c r="K249" s="40">
        <v>70000</v>
      </c>
      <c r="L249" s="28">
        <f t="shared" si="35"/>
        <v>0</v>
      </c>
      <c r="M249" s="30">
        <f t="shared" si="31"/>
        <v>0</v>
      </c>
      <c r="N249" s="30">
        <f t="shared" si="32"/>
        <v>0</v>
      </c>
    </row>
    <row r="250" spans="1:27" s="24" customFormat="1" ht="14.25" customHeight="1">
      <c r="A250" s="56" t="s">
        <v>84</v>
      </c>
      <c r="B250" s="56"/>
      <c r="C250" s="56"/>
      <c r="D250" s="33" t="s">
        <v>53</v>
      </c>
      <c r="E250" s="25">
        <v>1</v>
      </c>
      <c r="F250" s="57"/>
      <c r="G250" s="57"/>
      <c r="H250" s="58">
        <f t="shared" si="30"/>
        <v>0</v>
      </c>
      <c r="I250" s="57"/>
      <c r="J250" s="26"/>
      <c r="K250" s="32">
        <v>8982</v>
      </c>
      <c r="L250" s="28">
        <f t="shared" si="35"/>
        <v>0</v>
      </c>
      <c r="M250" s="30">
        <f t="shared" si="31"/>
        <v>0</v>
      </c>
      <c r="N250" s="30">
        <f t="shared" si="32"/>
        <v>0</v>
      </c>
    </row>
    <row r="251" spans="1:27" s="24" customFormat="1" ht="14.25" customHeight="1">
      <c r="A251" s="59" t="s">
        <v>85</v>
      </c>
      <c r="B251" s="59"/>
      <c r="C251" s="59"/>
      <c r="D251" s="33" t="s">
        <v>53</v>
      </c>
      <c r="E251" s="25">
        <v>1</v>
      </c>
      <c r="F251" s="57"/>
      <c r="G251" s="57"/>
      <c r="H251" s="58">
        <f t="shared" si="30"/>
        <v>0</v>
      </c>
      <c r="I251" s="57"/>
      <c r="J251" s="26"/>
      <c r="K251" s="32">
        <v>22454</v>
      </c>
      <c r="L251" s="28">
        <f t="shared" si="35"/>
        <v>0</v>
      </c>
      <c r="M251" s="30">
        <f t="shared" si="31"/>
        <v>0</v>
      </c>
      <c r="N251" s="30">
        <f t="shared" si="32"/>
        <v>0</v>
      </c>
    </row>
    <row r="252" spans="1:27" s="24" customFormat="1" ht="14.25" customHeight="1">
      <c r="A252" s="59" t="s">
        <v>86</v>
      </c>
      <c r="B252" s="59"/>
      <c r="C252" s="59"/>
      <c r="D252" s="33" t="s">
        <v>53</v>
      </c>
      <c r="E252" s="22">
        <v>1</v>
      </c>
      <c r="F252" s="57"/>
      <c r="G252" s="57"/>
      <c r="H252" s="58">
        <f t="shared" si="30"/>
        <v>0</v>
      </c>
      <c r="I252" s="57"/>
      <c r="J252" s="23"/>
      <c r="K252" s="32">
        <v>78589</v>
      </c>
      <c r="L252" s="28">
        <f t="shared" si="35"/>
        <v>0</v>
      </c>
      <c r="M252" s="30">
        <f t="shared" si="31"/>
        <v>0</v>
      </c>
      <c r="N252" s="30">
        <f t="shared" si="32"/>
        <v>0</v>
      </c>
    </row>
    <row r="253" spans="1:27" s="24" customFormat="1" ht="14.25" customHeight="1">
      <c r="A253" s="60" t="s">
        <v>87</v>
      </c>
      <c r="B253" s="60"/>
      <c r="C253" s="60"/>
      <c r="D253" s="34" t="s">
        <v>53</v>
      </c>
      <c r="E253" s="35">
        <v>1</v>
      </c>
      <c r="F253" s="62"/>
      <c r="G253" s="62"/>
      <c r="H253" s="58">
        <f t="shared" si="30"/>
        <v>1</v>
      </c>
      <c r="I253" s="57"/>
      <c r="J253" s="36"/>
      <c r="K253" s="32">
        <v>5370</v>
      </c>
      <c r="L253" s="28">
        <f t="shared" si="35"/>
        <v>5370</v>
      </c>
      <c r="M253" s="30">
        <f t="shared" si="31"/>
        <v>0</v>
      </c>
      <c r="N253" s="30">
        <f t="shared" si="32"/>
        <v>1</v>
      </c>
    </row>
    <row r="254" spans="1:27" s="24" customFormat="1" ht="14.25" customHeight="1" thickBot="1">
      <c r="A254" s="60" t="s">
        <v>88</v>
      </c>
      <c r="B254" s="60"/>
      <c r="C254" s="60"/>
      <c r="D254" s="34" t="s">
        <v>53</v>
      </c>
      <c r="E254" s="35">
        <v>1</v>
      </c>
      <c r="F254" s="62"/>
      <c r="G254" s="62"/>
      <c r="H254" s="61">
        <f t="shared" si="30"/>
        <v>0</v>
      </c>
      <c r="I254" s="62"/>
      <c r="J254" s="36"/>
      <c r="K254" s="32">
        <v>61905</v>
      </c>
      <c r="L254" s="28">
        <f t="shared" si="35"/>
        <v>0</v>
      </c>
      <c r="M254" s="30">
        <f t="shared" si="31"/>
        <v>0</v>
      </c>
      <c r="N254" s="30">
        <f t="shared" si="32"/>
        <v>0</v>
      </c>
    </row>
    <row r="255" spans="1:27" ht="14.25" customHeight="1">
      <c r="A255" s="63" t="s">
        <v>46</v>
      </c>
      <c r="B255" s="64"/>
      <c r="C255" s="65"/>
      <c r="D255" s="10"/>
      <c r="E255" s="16"/>
      <c r="F255" s="66"/>
      <c r="G255" s="67"/>
      <c r="H255" s="66"/>
      <c r="I255" s="67"/>
      <c r="J255" s="11"/>
      <c r="K255" s="21" t="s">
        <v>56</v>
      </c>
      <c r="L255" s="29">
        <f>SUM(L231:L254)</f>
        <v>100570</v>
      </c>
      <c r="M255" s="4"/>
      <c r="N255" s="5"/>
      <c r="O255" s="6"/>
      <c r="S255" s="6"/>
      <c r="W255" s="6"/>
      <c r="AA255" s="6"/>
    </row>
    <row r="256" spans="1:27" ht="14.25" customHeight="1">
      <c r="A256" s="88" t="s">
        <v>47</v>
      </c>
      <c r="B256" s="89"/>
      <c r="C256" s="90"/>
      <c r="D256" s="9"/>
      <c r="E256" s="17"/>
      <c r="F256" s="74"/>
      <c r="G256" s="91"/>
      <c r="H256" s="74"/>
      <c r="I256" s="91"/>
      <c r="J256" s="12"/>
      <c r="K256" s="27" t="s">
        <v>57</v>
      </c>
      <c r="L256" s="31">
        <v>1300000</v>
      </c>
      <c r="M256" s="4"/>
      <c r="N256" s="5"/>
      <c r="O256" s="6"/>
      <c r="S256" s="6"/>
      <c r="W256" s="6"/>
      <c r="AA256" s="6"/>
    </row>
    <row r="257" spans="1:27" ht="14.25" customHeight="1" thickBot="1">
      <c r="A257" s="68" t="s">
        <v>48</v>
      </c>
      <c r="B257" s="69"/>
      <c r="C257" s="70"/>
      <c r="D257" s="13"/>
      <c r="E257" s="18"/>
      <c r="F257" s="71"/>
      <c r="G257" s="72"/>
      <c r="H257" s="71"/>
      <c r="I257" s="72"/>
      <c r="J257" s="14"/>
      <c r="M257" s="4"/>
      <c r="N257" s="5"/>
      <c r="O257" s="6"/>
      <c r="S257" s="6"/>
      <c r="W257" s="6"/>
      <c r="AA257" s="6"/>
    </row>
    <row r="258" spans="1:27" ht="14.25" customHeight="1">
      <c r="A258" s="99" t="s">
        <v>23</v>
      </c>
      <c r="B258" s="64"/>
      <c r="C258" s="64"/>
      <c r="D258" s="64"/>
      <c r="E258" s="64"/>
      <c r="F258" s="64"/>
      <c r="G258" s="64"/>
      <c r="H258" s="64"/>
      <c r="I258" s="64"/>
      <c r="J258" s="65"/>
    </row>
    <row r="259" spans="1:27" ht="14.25" customHeight="1">
      <c r="A259" s="74" t="s">
        <v>24</v>
      </c>
      <c r="B259" s="100"/>
      <c r="C259" s="75"/>
      <c r="D259" s="8" t="s">
        <v>18</v>
      </c>
      <c r="E259" s="8" t="s">
        <v>25</v>
      </c>
      <c r="F259" s="74" t="s">
        <v>26</v>
      </c>
      <c r="G259" s="75"/>
      <c r="H259" s="74" t="s">
        <v>27</v>
      </c>
      <c r="I259" s="75"/>
      <c r="J259" s="8" t="s">
        <v>22</v>
      </c>
    </row>
    <row r="260" spans="1:27" ht="14.25" customHeight="1">
      <c r="A260" s="76"/>
      <c r="B260" s="77"/>
      <c r="C260" s="78"/>
      <c r="D260" s="8"/>
      <c r="E260" s="8"/>
      <c r="F260" s="74"/>
      <c r="G260" s="75"/>
      <c r="H260" s="74"/>
      <c r="I260" s="75"/>
      <c r="J260" s="8"/>
    </row>
    <row r="261" spans="1:27" ht="14.25" customHeight="1">
      <c r="A261" s="76"/>
      <c r="B261" s="77"/>
      <c r="C261" s="78"/>
      <c r="D261" s="8"/>
      <c r="E261" s="8"/>
      <c r="F261" s="74"/>
      <c r="G261" s="75"/>
      <c r="H261" s="74"/>
      <c r="I261" s="75"/>
      <c r="J261" s="8"/>
    </row>
    <row r="262" spans="1:27" ht="14.25" customHeight="1">
      <c r="A262" s="76" t="s">
        <v>28</v>
      </c>
      <c r="B262" s="77"/>
      <c r="C262" s="77"/>
      <c r="D262" s="77"/>
      <c r="E262" s="77"/>
      <c r="F262" s="77"/>
      <c r="G262" s="77"/>
      <c r="H262" s="77"/>
      <c r="I262" s="77"/>
      <c r="J262" s="78"/>
    </row>
    <row r="263" spans="1:27" ht="14.25" customHeight="1">
      <c r="A263" s="74" t="s">
        <v>29</v>
      </c>
      <c r="B263" s="75"/>
      <c r="C263" s="8" t="s">
        <v>30</v>
      </c>
      <c r="D263" s="8" t="s">
        <v>31</v>
      </c>
      <c r="E263" s="74" t="s">
        <v>32</v>
      </c>
      <c r="F263" s="75"/>
      <c r="G263" s="74" t="s">
        <v>26</v>
      </c>
      <c r="H263" s="75"/>
      <c r="I263" s="74" t="s">
        <v>27</v>
      </c>
      <c r="J263" s="75"/>
    </row>
    <row r="264" spans="1:27" ht="14.25" customHeight="1">
      <c r="A264" s="76" t="s">
        <v>61</v>
      </c>
      <c r="B264" s="78"/>
      <c r="C264" s="8">
        <v>3</v>
      </c>
      <c r="D264" s="8">
        <v>9</v>
      </c>
      <c r="E264" s="74"/>
      <c r="F264" s="75"/>
      <c r="G264" s="74"/>
      <c r="H264" s="75"/>
      <c r="I264" s="74"/>
      <c r="J264" s="75"/>
    </row>
    <row r="265" spans="1:27" ht="14.25" customHeight="1">
      <c r="A265" s="76"/>
      <c r="B265" s="78"/>
      <c r="C265" s="8"/>
      <c r="D265" s="8"/>
      <c r="E265" s="74"/>
      <c r="F265" s="75"/>
      <c r="G265" s="74"/>
      <c r="H265" s="75"/>
      <c r="I265" s="74"/>
      <c r="J265" s="75"/>
    </row>
    <row r="266" spans="1:27" ht="14.25" customHeight="1">
      <c r="A266" s="101" t="s">
        <v>45</v>
      </c>
      <c r="B266" s="102"/>
      <c r="C266" s="102"/>
      <c r="D266" s="102"/>
      <c r="E266" s="102"/>
      <c r="F266" s="102"/>
      <c r="G266" s="102"/>
      <c r="H266" s="102"/>
      <c r="I266" s="102"/>
      <c r="J266" s="103"/>
    </row>
    <row r="267" spans="1:27" ht="14.25" customHeight="1">
      <c r="A267" s="104"/>
      <c r="B267" s="105"/>
      <c r="C267" s="105"/>
      <c r="D267" s="105"/>
      <c r="E267" s="105"/>
      <c r="F267" s="105"/>
      <c r="G267" s="105"/>
      <c r="H267" s="105"/>
      <c r="I267" s="105"/>
      <c r="J267" s="106"/>
    </row>
    <row r="268" spans="1:27" ht="14.25" customHeight="1">
      <c r="A268" s="79" t="s">
        <v>97</v>
      </c>
      <c r="B268" s="80"/>
      <c r="C268" s="80"/>
      <c r="D268" s="80"/>
      <c r="E268" s="80"/>
      <c r="F268" s="80"/>
      <c r="G268" s="80"/>
      <c r="H268" s="80"/>
      <c r="I268" s="80"/>
      <c r="J268" s="81"/>
      <c r="M268" s="4"/>
      <c r="N268" s="5"/>
      <c r="O268" s="6"/>
      <c r="S268" s="6"/>
      <c r="W268" s="6"/>
      <c r="AA268" s="6"/>
    </row>
    <row r="269" spans="1:27" ht="14.25" customHeight="1">
      <c r="A269" s="82"/>
      <c r="B269" s="83"/>
      <c r="C269" s="83"/>
      <c r="D269" s="83"/>
      <c r="E269" s="83"/>
      <c r="F269" s="83"/>
      <c r="G269" s="83"/>
      <c r="H269" s="83"/>
      <c r="I269" s="83"/>
      <c r="J269" s="84"/>
    </row>
    <row r="270" spans="1:27" ht="14.25" customHeight="1">
      <c r="A270" s="82"/>
      <c r="B270" s="83"/>
      <c r="C270" s="83"/>
      <c r="D270" s="83"/>
      <c r="E270" s="83"/>
      <c r="F270" s="83"/>
      <c r="G270" s="83"/>
      <c r="H270" s="83"/>
      <c r="I270" s="83"/>
      <c r="J270" s="84"/>
    </row>
    <row r="271" spans="1:27" ht="14.25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4"/>
    </row>
    <row r="272" spans="1:27" ht="14.25" customHeight="1">
      <c r="A272" s="82"/>
      <c r="B272" s="83"/>
      <c r="C272" s="83"/>
      <c r="D272" s="83"/>
      <c r="E272" s="83"/>
      <c r="F272" s="83"/>
      <c r="G272" s="83"/>
      <c r="H272" s="83"/>
      <c r="I272" s="83"/>
      <c r="J272" s="84"/>
    </row>
    <row r="273" spans="1:10" ht="14.25" customHeight="1">
      <c r="A273" s="82"/>
      <c r="B273" s="83"/>
      <c r="C273" s="83"/>
      <c r="D273" s="83"/>
      <c r="E273" s="83"/>
      <c r="F273" s="83"/>
      <c r="G273" s="83"/>
      <c r="H273" s="83"/>
      <c r="I273" s="83"/>
      <c r="J273" s="84"/>
    </row>
    <row r="274" spans="1:10" ht="14.25" customHeight="1">
      <c r="A274" s="42" t="s">
        <v>33</v>
      </c>
      <c r="B274" s="43"/>
      <c r="C274" s="43"/>
      <c r="D274" s="43"/>
      <c r="E274" s="43"/>
      <c r="F274" s="43"/>
      <c r="G274" s="43"/>
      <c r="H274" s="43"/>
      <c r="I274" s="43"/>
      <c r="J274" s="44"/>
    </row>
    <row r="275" spans="1:10" ht="14.25" customHeight="1">
      <c r="A275" s="45"/>
      <c r="B275" s="46"/>
      <c r="C275" s="46"/>
      <c r="D275" s="46"/>
      <c r="E275" s="46"/>
      <c r="F275" s="46"/>
      <c r="G275" s="46"/>
      <c r="H275" s="46"/>
      <c r="I275" s="46"/>
      <c r="J275" s="47"/>
    </row>
    <row r="276" spans="1:10" ht="14.25" customHeight="1">
      <c r="A276" s="42" t="s">
        <v>34</v>
      </c>
      <c r="B276" s="43"/>
      <c r="C276" s="43"/>
      <c r="D276" s="43"/>
      <c r="E276" s="43"/>
      <c r="F276" s="43"/>
      <c r="G276" s="43"/>
      <c r="H276" s="43"/>
      <c r="I276" s="43"/>
      <c r="J276" s="44"/>
    </row>
    <row r="277" spans="1:10" ht="14.25" customHeight="1">
      <c r="A277" s="45"/>
      <c r="B277" s="46"/>
      <c r="C277" s="46"/>
      <c r="D277" s="46"/>
      <c r="E277" s="46"/>
      <c r="F277" s="46"/>
      <c r="G277" s="46"/>
      <c r="H277" s="46"/>
      <c r="I277" s="46"/>
      <c r="J277" s="47"/>
    </row>
    <row r="278" spans="1:10" ht="14.25" customHeight="1">
      <c r="A278" s="42" t="s">
        <v>95</v>
      </c>
      <c r="B278" s="43"/>
      <c r="C278" s="43"/>
      <c r="D278" s="43"/>
      <c r="E278" s="43"/>
      <c r="F278" s="43"/>
      <c r="G278" s="43"/>
      <c r="H278" s="43"/>
      <c r="I278" s="43"/>
      <c r="J278" s="44"/>
    </row>
    <row r="279" spans="1:10" ht="14.25" customHeight="1">
      <c r="A279" s="45"/>
      <c r="B279" s="46"/>
      <c r="C279" s="46"/>
      <c r="D279" s="46"/>
      <c r="E279" s="46"/>
      <c r="F279" s="46"/>
      <c r="G279" s="46"/>
      <c r="H279" s="46"/>
      <c r="I279" s="46"/>
      <c r="J279" s="47"/>
    </row>
    <row r="280" spans="1:10" ht="14.25" customHeight="1">
      <c r="A280" s="42" t="s">
        <v>35</v>
      </c>
      <c r="B280" s="43"/>
      <c r="C280" s="43"/>
      <c r="D280" s="43"/>
      <c r="E280" s="43"/>
      <c r="F280" s="43"/>
      <c r="G280" s="43"/>
      <c r="H280" s="43"/>
      <c r="I280" s="43"/>
      <c r="J280" s="44"/>
    </row>
    <row r="281" spans="1:10" ht="14.25" customHeight="1">
      <c r="A281" s="45"/>
      <c r="B281" s="46"/>
      <c r="C281" s="46"/>
      <c r="D281" s="46"/>
      <c r="E281" s="46"/>
      <c r="F281" s="46"/>
      <c r="G281" s="46"/>
      <c r="H281" s="46"/>
      <c r="I281" s="46"/>
      <c r="J281" s="47"/>
    </row>
    <row r="282" spans="1:10" ht="14.25" customHeight="1">
      <c r="A282" s="85" t="s">
        <v>36</v>
      </c>
      <c r="B282" s="85"/>
      <c r="C282" s="85"/>
      <c r="D282" s="85"/>
      <c r="E282" s="85"/>
      <c r="F282" s="85"/>
      <c r="G282" s="85"/>
      <c r="H282" s="85"/>
      <c r="I282" s="85"/>
      <c r="J282" s="85"/>
    </row>
    <row r="283" spans="1:10" ht="14.25" customHeight="1">
      <c r="A283" s="48" t="s">
        <v>37</v>
      </c>
      <c r="B283" s="48"/>
      <c r="C283" s="48"/>
      <c r="D283" s="48"/>
      <c r="E283" s="48"/>
      <c r="F283" s="48"/>
      <c r="G283" s="48"/>
      <c r="H283" s="48"/>
      <c r="I283" s="48"/>
      <c r="J283" s="48"/>
    </row>
    <row r="284" spans="1:10" ht="14.25" customHeight="1">
      <c r="A284" s="48" t="s">
        <v>38</v>
      </c>
      <c r="B284" s="48"/>
      <c r="C284" s="48"/>
      <c r="D284" s="48"/>
      <c r="E284" s="48"/>
      <c r="F284" s="48"/>
      <c r="G284" s="48"/>
      <c r="H284" s="48"/>
      <c r="I284" s="48"/>
      <c r="J284" s="48"/>
    </row>
    <row r="285" spans="1:10" ht="14.25" customHeight="1">
      <c r="A285" s="48" t="s">
        <v>39</v>
      </c>
      <c r="B285" s="48"/>
      <c r="C285" s="48"/>
      <c r="D285" s="48"/>
      <c r="E285" s="48"/>
      <c r="F285" s="48"/>
      <c r="G285" s="48"/>
      <c r="H285" s="48"/>
      <c r="I285" s="48"/>
      <c r="J285" s="48"/>
    </row>
    <row r="286" spans="1:10" ht="14.25" customHeight="1">
      <c r="A286" s="48" t="s">
        <v>40</v>
      </c>
      <c r="B286" s="48"/>
      <c r="C286" s="48"/>
      <c r="D286" s="48"/>
      <c r="E286" s="48"/>
      <c r="F286" s="48"/>
      <c r="G286" s="48"/>
      <c r="H286" s="48"/>
      <c r="I286" s="48"/>
      <c r="J286" s="48"/>
    </row>
    <row r="287" spans="1:10" ht="14.25" customHeight="1">
      <c r="A287" s="48" t="s">
        <v>41</v>
      </c>
      <c r="B287" s="48"/>
      <c r="C287" s="48"/>
      <c r="D287" s="48"/>
      <c r="E287" s="48"/>
      <c r="F287" s="48"/>
      <c r="G287" s="48"/>
      <c r="H287" s="48"/>
      <c r="I287" s="48"/>
      <c r="J287" s="48"/>
    </row>
    <row r="288" spans="1:10" ht="14.25" customHeight="1">
      <c r="A288" s="48" t="s">
        <v>42</v>
      </c>
      <c r="B288" s="48"/>
      <c r="C288" s="48"/>
      <c r="D288" s="48"/>
      <c r="E288" s="48"/>
      <c r="F288" s="48"/>
      <c r="G288" s="48"/>
      <c r="H288" s="48"/>
      <c r="I288" s="48"/>
      <c r="J288" s="48"/>
    </row>
    <row r="289" spans="1:27" ht="14.25" customHeight="1">
      <c r="A289" s="49" t="s">
        <v>43</v>
      </c>
      <c r="B289" s="49"/>
      <c r="C289" s="49"/>
      <c r="D289" s="49"/>
      <c r="E289" s="49"/>
      <c r="F289" s="49"/>
      <c r="G289" s="49"/>
      <c r="H289" s="49"/>
      <c r="I289" s="49"/>
      <c r="J289" s="49"/>
    </row>
    <row r="290" spans="1:27" ht="14.25" customHeight="1">
      <c r="A290" s="48" t="s">
        <v>44</v>
      </c>
      <c r="B290" s="48"/>
      <c r="C290" s="48"/>
      <c r="D290" s="48"/>
      <c r="E290" s="48"/>
      <c r="F290" s="48"/>
      <c r="G290" s="48"/>
      <c r="H290" s="48"/>
      <c r="I290" s="48"/>
      <c r="J290" s="48"/>
    </row>
    <row r="291" spans="1:27" ht="29.25" customHeight="1">
      <c r="A291" s="50" t="s">
        <v>51</v>
      </c>
      <c r="B291" s="50"/>
      <c r="C291" s="50"/>
      <c r="D291" s="50"/>
      <c r="E291" s="50"/>
      <c r="F291" s="50"/>
      <c r="G291" s="50"/>
      <c r="H291" s="50"/>
      <c r="I291" s="50"/>
      <c r="J291" s="50"/>
    </row>
    <row r="292" spans="1:27" ht="14.25" customHeight="1">
      <c r="A292" s="51" t="s">
        <v>49</v>
      </c>
      <c r="B292" s="51"/>
      <c r="C292" s="51"/>
      <c r="D292" s="51"/>
      <c r="E292" s="51"/>
      <c r="F292" s="51"/>
      <c r="G292" s="51"/>
      <c r="H292" s="51"/>
      <c r="I292" s="51"/>
      <c r="J292" s="51"/>
    </row>
    <row r="293" spans="1:27" ht="14.25" customHeight="1">
      <c r="A293" s="92" t="s">
        <v>0</v>
      </c>
      <c r="B293" s="92"/>
      <c r="C293" s="92"/>
      <c r="D293" s="92"/>
      <c r="E293" s="92"/>
      <c r="F293" s="92"/>
      <c r="G293" s="92"/>
      <c r="H293" s="92"/>
      <c r="I293" s="92"/>
      <c r="J293" s="92"/>
    </row>
    <row r="294" spans="1:27">
      <c r="A294" s="2" t="s">
        <v>1</v>
      </c>
      <c r="B294" s="3" t="str">
        <f>"GD-"&amp;IF(LEN(E298)=2,TEXT(LEFT(E298,1),"000"),IF(LEN(E298)=3,TEXT(LEFT(E298,2),"000"),TEXT(LEFT(E298,3),"000")))</f>
        <v>GD-005</v>
      </c>
      <c r="C294" s="2"/>
      <c r="D294" s="2"/>
      <c r="E294" s="2"/>
      <c r="F294" s="2"/>
      <c r="G294" s="2"/>
      <c r="H294" s="2"/>
      <c r="I294" s="2"/>
      <c r="J294" s="2"/>
    </row>
    <row r="295" spans="1:27" ht="14.25" customHeight="1">
      <c r="A295" s="86" t="s">
        <v>2</v>
      </c>
      <c r="B295" s="86"/>
      <c r="C295" s="86"/>
      <c r="D295" s="86"/>
      <c r="E295" s="86"/>
      <c r="F295" s="93" t="s">
        <v>3</v>
      </c>
      <c r="G295" s="93"/>
      <c r="H295" s="94">
        <f>H222+1</f>
        <v>46052</v>
      </c>
      <c r="I295" s="94"/>
      <c r="J295" s="7" t="str">
        <f>"("&amp;TEXT(H295,"[$-404]aaaa;@")&amp;")"</f>
        <v>(星期五)</v>
      </c>
    </row>
    <row r="296" spans="1:27" ht="14.25" customHeight="1">
      <c r="A296" s="54" t="s">
        <v>4</v>
      </c>
      <c r="B296" s="54"/>
      <c r="C296" s="87" t="str">
        <f>C223</f>
        <v>林內國中多功能教室裝修工程</v>
      </c>
      <c r="D296" s="87"/>
      <c r="E296" s="87"/>
      <c r="F296" s="54" t="s">
        <v>5</v>
      </c>
      <c r="G296" s="54"/>
      <c r="H296" s="54" t="str">
        <f>H223</f>
        <v>正郁室內裝修</v>
      </c>
      <c r="I296" s="54"/>
      <c r="J296" s="54"/>
    </row>
    <row r="297" spans="1:27" ht="14.25" customHeight="1">
      <c r="A297" s="54"/>
      <c r="B297" s="54"/>
      <c r="C297" s="87"/>
      <c r="D297" s="87"/>
      <c r="E297" s="87"/>
      <c r="F297" s="54"/>
      <c r="G297" s="54"/>
      <c r="H297" s="54"/>
      <c r="I297" s="54"/>
      <c r="J297" s="54"/>
    </row>
    <row r="298" spans="1:27" ht="14.25" customHeight="1">
      <c r="A298" s="8" t="s">
        <v>7</v>
      </c>
      <c r="B298" s="8" t="str">
        <f>B225</f>
        <v>60天</v>
      </c>
      <c r="C298" s="54" t="s">
        <v>8</v>
      </c>
      <c r="D298" s="54"/>
      <c r="E298" s="8" t="str">
        <f>IF(LEN(E225)&gt;2,(LEFT(E225,2)+1),(LEFT(E225,1)+1))&amp;"天"</f>
        <v>5天</v>
      </c>
      <c r="F298" s="8" t="s">
        <v>9</v>
      </c>
      <c r="G298" s="8" t="str">
        <f>IF(LEN(E298)&gt;2,LEFT(B298,2)-LEFT(E298,2),LEFT(B298,2)-LEFT(E298,1))&amp;"天"</f>
        <v>55天</v>
      </c>
      <c r="H298" s="54" t="s">
        <v>10</v>
      </c>
      <c r="I298" s="54"/>
      <c r="J298" s="8" t="str">
        <f>J225</f>
        <v>0天</v>
      </c>
    </row>
    <row r="299" spans="1:27" ht="14.25" customHeight="1">
      <c r="A299" s="54" t="s">
        <v>12</v>
      </c>
      <c r="B299" s="54"/>
      <c r="C299" s="54" t="str">
        <f>C226</f>
        <v>115年01月26日</v>
      </c>
      <c r="D299" s="54"/>
      <c r="E299" s="54"/>
      <c r="F299" s="54" t="s">
        <v>13</v>
      </c>
      <c r="G299" s="54"/>
      <c r="H299" s="54" t="str">
        <f>H226</f>
        <v>115年3月26日</v>
      </c>
      <c r="I299" s="54"/>
      <c r="J299" s="54"/>
    </row>
    <row r="300" spans="1:27" ht="14.25" customHeight="1">
      <c r="A300" s="54" t="s">
        <v>14</v>
      </c>
      <c r="B300" s="54"/>
      <c r="C300" s="95">
        <f>(5%/15)*5</f>
        <v>1.6666666666666666E-2</v>
      </c>
      <c r="D300" s="95"/>
      <c r="E300" s="95"/>
      <c r="F300" s="54" t="s">
        <v>15</v>
      </c>
      <c r="G300" s="54"/>
      <c r="H300" s="96">
        <f>ROUND(L328/L329,5)</f>
        <v>9.2439999999999994E-2</v>
      </c>
      <c r="I300" s="97"/>
      <c r="J300" s="98"/>
    </row>
    <row r="301" spans="1:27" ht="14.25" customHeight="1">
      <c r="A301" s="53" t="s">
        <v>16</v>
      </c>
      <c r="B301" s="53"/>
      <c r="C301" s="53"/>
      <c r="D301" s="53"/>
      <c r="E301" s="53"/>
      <c r="F301" s="53"/>
      <c r="G301" s="53"/>
      <c r="H301" s="53"/>
      <c r="I301" s="53"/>
      <c r="J301" s="53"/>
    </row>
    <row r="302" spans="1:27" ht="14.25" customHeight="1">
      <c r="A302" s="54" t="s">
        <v>17</v>
      </c>
      <c r="B302" s="54"/>
      <c r="C302" s="54"/>
      <c r="D302" s="8" t="s">
        <v>18</v>
      </c>
      <c r="E302" s="8" t="s">
        <v>19</v>
      </c>
      <c r="F302" s="54" t="s">
        <v>20</v>
      </c>
      <c r="G302" s="54"/>
      <c r="H302" s="54" t="s">
        <v>21</v>
      </c>
      <c r="I302" s="54"/>
      <c r="J302" s="8" t="s">
        <v>22</v>
      </c>
      <c r="K302" s="21" t="s">
        <v>55</v>
      </c>
      <c r="L302" s="20"/>
      <c r="M302" s="4"/>
      <c r="N302" s="5"/>
      <c r="O302" s="6"/>
      <c r="S302" s="6"/>
      <c r="W302" s="6"/>
      <c r="AA302" s="6"/>
    </row>
    <row r="303" spans="1:27" ht="14.25" customHeight="1">
      <c r="A303" s="53" t="s">
        <v>64</v>
      </c>
      <c r="B303" s="53"/>
      <c r="C303" s="53"/>
      <c r="D303" s="53"/>
      <c r="E303" s="53"/>
      <c r="F303" s="53"/>
      <c r="G303" s="53"/>
      <c r="H303" s="53"/>
      <c r="I303" s="53"/>
      <c r="J303" s="53"/>
    </row>
    <row r="304" spans="1:27" ht="14.25" customHeight="1">
      <c r="A304" s="52" t="s">
        <v>65</v>
      </c>
      <c r="B304" s="52"/>
      <c r="C304" s="52"/>
      <c r="D304" s="38" t="s">
        <v>60</v>
      </c>
      <c r="E304" s="39">
        <v>71</v>
      </c>
      <c r="F304" s="55"/>
      <c r="G304" s="55"/>
      <c r="H304" s="55">
        <f t="shared" ref="H304:H327" si="36">F304+H231</f>
        <v>0</v>
      </c>
      <c r="I304" s="54"/>
      <c r="J304" s="15"/>
      <c r="K304" s="40">
        <v>2200</v>
      </c>
      <c r="L304" s="28">
        <f>ROUND(K304*H304,0)</f>
        <v>0</v>
      </c>
      <c r="N304" s="30">
        <f>H304</f>
        <v>0</v>
      </c>
    </row>
    <row r="305" spans="1:14" ht="45" customHeight="1">
      <c r="A305" s="52" t="s">
        <v>66</v>
      </c>
      <c r="B305" s="52"/>
      <c r="C305" s="52"/>
      <c r="D305" s="38" t="s">
        <v>58</v>
      </c>
      <c r="E305" s="39">
        <v>1</v>
      </c>
      <c r="F305" s="55"/>
      <c r="G305" s="55"/>
      <c r="H305" s="55">
        <f t="shared" si="36"/>
        <v>0.5</v>
      </c>
      <c r="I305" s="54"/>
      <c r="J305" s="8"/>
      <c r="K305" s="40">
        <v>50000</v>
      </c>
      <c r="L305" s="28">
        <f>ROUND(K305*H305,0)</f>
        <v>25000</v>
      </c>
      <c r="M305" s="30">
        <f t="shared" ref="M305:M327" si="37">G305</f>
        <v>0</v>
      </c>
      <c r="N305" s="30">
        <f t="shared" ref="N305:N327" si="38">H305</f>
        <v>0.5</v>
      </c>
    </row>
    <row r="306" spans="1:14" ht="14.25" customHeight="1">
      <c r="A306" s="53" t="s">
        <v>67</v>
      </c>
      <c r="B306" s="53"/>
      <c r="C306" s="53"/>
      <c r="D306" s="37" t="s">
        <v>58</v>
      </c>
      <c r="E306" s="39">
        <v>1</v>
      </c>
      <c r="F306" s="55"/>
      <c r="G306" s="55"/>
      <c r="H306" s="55">
        <f t="shared" si="36"/>
        <v>0</v>
      </c>
      <c r="I306" s="54"/>
      <c r="J306" s="8"/>
      <c r="K306" s="41">
        <v>65000</v>
      </c>
      <c r="L306" s="28">
        <f t="shared" ref="L306" si="39">ROUND(K306*H306,0)</f>
        <v>0</v>
      </c>
      <c r="M306" s="30">
        <f t="shared" si="37"/>
        <v>0</v>
      </c>
      <c r="N306" s="30">
        <f t="shared" si="38"/>
        <v>0</v>
      </c>
    </row>
    <row r="307" spans="1:14" ht="14.25" customHeight="1">
      <c r="A307" s="52" t="s">
        <v>68</v>
      </c>
      <c r="B307" s="52"/>
      <c r="C307" s="52"/>
      <c r="D307" s="37" t="s">
        <v>58</v>
      </c>
      <c r="E307" s="39">
        <v>1</v>
      </c>
      <c r="F307" s="55">
        <v>0.2</v>
      </c>
      <c r="G307" s="55"/>
      <c r="H307" s="55">
        <f t="shared" si="36"/>
        <v>0.4</v>
      </c>
      <c r="I307" s="54"/>
      <c r="J307" s="15"/>
      <c r="K307" s="41">
        <v>98000</v>
      </c>
      <c r="L307" s="28">
        <f>ROUND(K307*H307,0)</f>
        <v>39200</v>
      </c>
      <c r="M307" s="30">
        <f t="shared" si="37"/>
        <v>0</v>
      </c>
      <c r="N307" s="30">
        <f t="shared" si="38"/>
        <v>0.4</v>
      </c>
    </row>
    <row r="308" spans="1:14" ht="14.25" customHeight="1">
      <c r="A308" s="52" t="s">
        <v>69</v>
      </c>
      <c r="B308" s="52"/>
      <c r="C308" s="52"/>
      <c r="D308" s="38" t="s">
        <v>58</v>
      </c>
      <c r="E308" s="39">
        <v>1</v>
      </c>
      <c r="F308" s="73"/>
      <c r="G308" s="73"/>
      <c r="H308" s="55">
        <f t="shared" si="36"/>
        <v>0.4</v>
      </c>
      <c r="I308" s="54"/>
      <c r="J308" s="8"/>
      <c r="K308" s="40">
        <v>120000</v>
      </c>
      <c r="L308" s="28">
        <f>ROUND(K308*H308,0)</f>
        <v>48000</v>
      </c>
      <c r="M308" s="30">
        <f t="shared" si="37"/>
        <v>0</v>
      </c>
      <c r="N308" s="30">
        <f t="shared" si="38"/>
        <v>0.4</v>
      </c>
    </row>
    <row r="309" spans="1:14" ht="14.25" customHeight="1">
      <c r="A309" s="53" t="s">
        <v>70</v>
      </c>
      <c r="B309" s="53"/>
      <c r="C309" s="53"/>
      <c r="D309" s="38" t="s">
        <v>60</v>
      </c>
      <c r="E309" s="39">
        <v>179</v>
      </c>
      <c r="F309" s="55"/>
      <c r="G309" s="55"/>
      <c r="H309" s="55">
        <f t="shared" si="36"/>
        <v>0</v>
      </c>
      <c r="I309" s="54"/>
      <c r="J309" s="8"/>
      <c r="K309" s="40">
        <v>300</v>
      </c>
      <c r="L309" s="28">
        <f t="shared" ref="L309" si="40">ROUND(K309*H309,0)</f>
        <v>0</v>
      </c>
      <c r="M309" s="30">
        <f t="shared" si="37"/>
        <v>0</v>
      </c>
      <c r="N309" s="30">
        <f t="shared" si="38"/>
        <v>0</v>
      </c>
    </row>
    <row r="310" spans="1:14" ht="14.25" customHeight="1">
      <c r="A310" s="52" t="s">
        <v>71</v>
      </c>
      <c r="B310" s="52"/>
      <c r="C310" s="52"/>
      <c r="D310" s="38" t="s">
        <v>59</v>
      </c>
      <c r="E310" s="39">
        <v>1</v>
      </c>
      <c r="F310" s="55">
        <v>0</v>
      </c>
      <c r="G310" s="55"/>
      <c r="H310" s="55">
        <f t="shared" si="36"/>
        <v>0</v>
      </c>
      <c r="I310" s="54"/>
      <c r="J310" s="15"/>
      <c r="K310" s="40">
        <v>32000</v>
      </c>
      <c r="L310" s="28">
        <f>ROUND(K310*H310,0)</f>
        <v>0</v>
      </c>
      <c r="M310" s="30">
        <f t="shared" si="37"/>
        <v>0</v>
      </c>
      <c r="N310" s="30">
        <f t="shared" si="38"/>
        <v>0</v>
      </c>
    </row>
    <row r="311" spans="1:14" ht="14.25" customHeight="1">
      <c r="A311" s="52" t="s">
        <v>72</v>
      </c>
      <c r="B311" s="52"/>
      <c r="C311" s="52"/>
      <c r="D311" s="38" t="s">
        <v>58</v>
      </c>
      <c r="E311" s="39">
        <v>1</v>
      </c>
      <c r="F311" s="55"/>
      <c r="G311" s="55"/>
      <c r="H311" s="55">
        <f t="shared" si="36"/>
        <v>0</v>
      </c>
      <c r="I311" s="54"/>
      <c r="J311" s="8"/>
      <c r="K311" s="40">
        <v>66000</v>
      </c>
      <c r="L311" s="28">
        <f>ROUND(K311*H311,0)</f>
        <v>0</v>
      </c>
      <c r="M311" s="30">
        <f t="shared" si="37"/>
        <v>0</v>
      </c>
      <c r="N311" s="30">
        <f t="shared" si="38"/>
        <v>0</v>
      </c>
    </row>
    <row r="312" spans="1:14" ht="14.25" customHeight="1">
      <c r="A312" s="52" t="s">
        <v>73</v>
      </c>
      <c r="B312" s="53"/>
      <c r="C312" s="53"/>
      <c r="D312" s="38" t="s">
        <v>59</v>
      </c>
      <c r="E312" s="39">
        <v>1</v>
      </c>
      <c r="F312" s="55"/>
      <c r="G312" s="55"/>
      <c r="H312" s="55">
        <f t="shared" si="36"/>
        <v>0</v>
      </c>
      <c r="I312" s="54"/>
      <c r="J312" s="8"/>
      <c r="K312" s="40">
        <v>47000</v>
      </c>
      <c r="L312" s="28">
        <f t="shared" ref="L312:L327" si="41">ROUND(K312*H312,0)</f>
        <v>0</v>
      </c>
      <c r="M312" s="30">
        <f t="shared" si="37"/>
        <v>0</v>
      </c>
      <c r="N312" s="30">
        <f t="shared" si="38"/>
        <v>0</v>
      </c>
    </row>
    <row r="313" spans="1:14" ht="14.25" customHeight="1">
      <c r="A313" s="53" t="s">
        <v>74</v>
      </c>
      <c r="B313" s="53"/>
      <c r="C313" s="53"/>
      <c r="D313" s="38" t="s">
        <v>89</v>
      </c>
      <c r="E313" s="39">
        <v>20</v>
      </c>
      <c r="F313" s="54"/>
      <c r="G313" s="54"/>
      <c r="H313" s="55">
        <f t="shared" si="36"/>
        <v>0</v>
      </c>
      <c r="I313" s="54"/>
      <c r="J313" s="8"/>
      <c r="K313" s="40">
        <v>3000</v>
      </c>
      <c r="L313" s="28">
        <f t="shared" si="41"/>
        <v>0</v>
      </c>
      <c r="M313" s="30">
        <f t="shared" si="37"/>
        <v>0</v>
      </c>
      <c r="N313" s="30">
        <f t="shared" si="38"/>
        <v>0</v>
      </c>
    </row>
    <row r="314" spans="1:14" ht="14.25" customHeight="1">
      <c r="A314" s="53" t="s">
        <v>75</v>
      </c>
      <c r="B314" s="53"/>
      <c r="C314" s="53"/>
      <c r="D314" s="38" t="s">
        <v>59</v>
      </c>
      <c r="E314" s="39">
        <v>1</v>
      </c>
      <c r="F314" s="54"/>
      <c r="G314" s="54"/>
      <c r="H314" s="55">
        <f t="shared" si="36"/>
        <v>0</v>
      </c>
      <c r="I314" s="54"/>
      <c r="J314" s="8"/>
      <c r="K314" s="40">
        <v>95000</v>
      </c>
      <c r="L314" s="28">
        <f t="shared" si="41"/>
        <v>0</v>
      </c>
      <c r="M314" s="30">
        <f t="shared" si="37"/>
        <v>0</v>
      </c>
      <c r="N314" s="30">
        <f t="shared" si="38"/>
        <v>0</v>
      </c>
    </row>
    <row r="315" spans="1:14" ht="14.25" customHeight="1">
      <c r="A315" s="53" t="s">
        <v>76</v>
      </c>
      <c r="B315" s="53"/>
      <c r="C315" s="53"/>
      <c r="D315" s="38" t="s">
        <v>90</v>
      </c>
      <c r="E315" s="39">
        <v>345</v>
      </c>
      <c r="F315" s="54"/>
      <c r="G315" s="54"/>
      <c r="H315" s="55">
        <f t="shared" si="36"/>
        <v>0</v>
      </c>
      <c r="I315" s="54"/>
      <c r="J315" s="8"/>
      <c r="K315" s="40">
        <v>100</v>
      </c>
      <c r="L315" s="28">
        <f t="shared" si="41"/>
        <v>0</v>
      </c>
      <c r="M315" s="30">
        <f t="shared" si="37"/>
        <v>0</v>
      </c>
      <c r="N315" s="30">
        <f t="shared" si="38"/>
        <v>0</v>
      </c>
    </row>
    <row r="316" spans="1:14" ht="14.25" customHeight="1">
      <c r="A316" s="53" t="s">
        <v>77</v>
      </c>
      <c r="B316" s="53"/>
      <c r="C316" s="53"/>
      <c r="D316" s="38" t="s">
        <v>58</v>
      </c>
      <c r="E316" s="39">
        <v>1</v>
      </c>
      <c r="F316" s="54"/>
      <c r="G316" s="54"/>
      <c r="H316" s="55">
        <f t="shared" si="36"/>
        <v>0</v>
      </c>
      <c r="I316" s="54"/>
      <c r="J316" s="8"/>
      <c r="K316" s="40">
        <v>56000</v>
      </c>
      <c r="L316" s="28">
        <f t="shared" si="41"/>
        <v>0</v>
      </c>
      <c r="M316" s="30">
        <f t="shared" si="37"/>
        <v>0</v>
      </c>
      <c r="N316" s="30">
        <f t="shared" si="38"/>
        <v>0</v>
      </c>
    </row>
    <row r="317" spans="1:14" ht="28.5" customHeight="1">
      <c r="A317" s="52" t="s">
        <v>78</v>
      </c>
      <c r="B317" s="53"/>
      <c r="C317" s="53"/>
      <c r="D317" s="38" t="s">
        <v>58</v>
      </c>
      <c r="E317" s="39">
        <v>1</v>
      </c>
      <c r="F317" s="54"/>
      <c r="G317" s="54"/>
      <c r="H317" s="55">
        <f t="shared" si="36"/>
        <v>0</v>
      </c>
      <c r="I317" s="54"/>
      <c r="J317" s="8"/>
      <c r="K317" s="40">
        <v>67500</v>
      </c>
      <c r="L317" s="28">
        <f t="shared" si="41"/>
        <v>0</v>
      </c>
      <c r="M317" s="30">
        <f t="shared" si="37"/>
        <v>0</v>
      </c>
      <c r="N317" s="30">
        <f t="shared" si="38"/>
        <v>0</v>
      </c>
    </row>
    <row r="318" spans="1:14" ht="14.25" customHeight="1">
      <c r="A318" s="53" t="s">
        <v>79</v>
      </c>
      <c r="B318" s="53"/>
      <c r="C318" s="53"/>
      <c r="D318" s="38" t="s">
        <v>91</v>
      </c>
      <c r="E318" s="39">
        <v>3</v>
      </c>
      <c r="F318" s="54"/>
      <c r="G318" s="54"/>
      <c r="H318" s="55">
        <f t="shared" si="36"/>
        <v>0</v>
      </c>
      <c r="I318" s="54"/>
      <c r="J318" s="8"/>
      <c r="K318" s="40">
        <v>6000</v>
      </c>
      <c r="L318" s="28">
        <f t="shared" si="41"/>
        <v>0</v>
      </c>
      <c r="M318" s="30">
        <f t="shared" si="37"/>
        <v>0</v>
      </c>
      <c r="N318" s="30">
        <f t="shared" si="38"/>
        <v>0</v>
      </c>
    </row>
    <row r="319" spans="1:14" ht="14.25" customHeight="1">
      <c r="A319" s="53" t="s">
        <v>80</v>
      </c>
      <c r="B319" s="53"/>
      <c r="C319" s="53"/>
      <c r="D319" s="38" t="s">
        <v>91</v>
      </c>
      <c r="E319" s="39">
        <v>26</v>
      </c>
      <c r="F319" s="54"/>
      <c r="G319" s="54"/>
      <c r="H319" s="55">
        <f t="shared" si="36"/>
        <v>0</v>
      </c>
      <c r="I319" s="54"/>
      <c r="J319" s="8"/>
      <c r="K319" s="40">
        <v>1200</v>
      </c>
      <c r="L319" s="28">
        <f t="shared" si="41"/>
        <v>0</v>
      </c>
      <c r="M319" s="30">
        <f t="shared" si="37"/>
        <v>0</v>
      </c>
      <c r="N319" s="30">
        <f t="shared" si="38"/>
        <v>0</v>
      </c>
    </row>
    <row r="320" spans="1:14" ht="14.25" customHeight="1">
      <c r="A320" s="53" t="s">
        <v>81</v>
      </c>
      <c r="B320" s="53"/>
      <c r="C320" s="53"/>
      <c r="D320" s="38" t="s">
        <v>58</v>
      </c>
      <c r="E320" s="39">
        <v>1</v>
      </c>
      <c r="F320" s="54"/>
      <c r="G320" s="54"/>
      <c r="H320" s="55">
        <f t="shared" si="36"/>
        <v>1</v>
      </c>
      <c r="I320" s="54"/>
      <c r="J320" s="8"/>
      <c r="K320" s="40">
        <v>1600</v>
      </c>
      <c r="L320" s="28">
        <f t="shared" si="41"/>
        <v>1600</v>
      </c>
      <c r="M320" s="30">
        <f t="shared" si="37"/>
        <v>0</v>
      </c>
      <c r="N320" s="30">
        <f t="shared" si="38"/>
        <v>1</v>
      </c>
    </row>
    <row r="321" spans="1:27" ht="14.25" customHeight="1">
      <c r="A321" s="53" t="s">
        <v>82</v>
      </c>
      <c r="B321" s="53"/>
      <c r="C321" s="53"/>
      <c r="D321" s="38" t="s">
        <v>58</v>
      </c>
      <c r="E321" s="39">
        <v>1</v>
      </c>
      <c r="F321" s="54"/>
      <c r="G321" s="54"/>
      <c r="H321" s="55">
        <f t="shared" si="36"/>
        <v>1</v>
      </c>
      <c r="I321" s="54"/>
      <c r="J321" s="8"/>
      <c r="K321" s="40">
        <v>1000</v>
      </c>
      <c r="L321" s="28">
        <f t="shared" si="41"/>
        <v>1000</v>
      </c>
      <c r="M321" s="30">
        <f t="shared" si="37"/>
        <v>0</v>
      </c>
      <c r="N321" s="30">
        <f t="shared" si="38"/>
        <v>1</v>
      </c>
    </row>
    <row r="322" spans="1:27" ht="28.5" customHeight="1">
      <c r="A322" s="52" t="s">
        <v>83</v>
      </c>
      <c r="B322" s="53"/>
      <c r="C322" s="53"/>
      <c r="D322" s="38" t="s">
        <v>59</v>
      </c>
      <c r="E322" s="39">
        <v>1</v>
      </c>
      <c r="F322" s="54"/>
      <c r="G322" s="54"/>
      <c r="H322" s="55">
        <f t="shared" si="36"/>
        <v>0</v>
      </c>
      <c r="I322" s="54"/>
      <c r="J322" s="8"/>
      <c r="K322" s="40">
        <v>70000</v>
      </c>
      <c r="L322" s="28">
        <f t="shared" si="41"/>
        <v>0</v>
      </c>
      <c r="M322" s="30">
        <f t="shared" si="37"/>
        <v>0</v>
      </c>
      <c r="N322" s="30">
        <f t="shared" si="38"/>
        <v>0</v>
      </c>
    </row>
    <row r="323" spans="1:27" s="24" customFormat="1" ht="14.25" customHeight="1">
      <c r="A323" s="56" t="s">
        <v>84</v>
      </c>
      <c r="B323" s="56"/>
      <c r="C323" s="56"/>
      <c r="D323" s="33" t="s">
        <v>53</v>
      </c>
      <c r="E323" s="25">
        <v>1</v>
      </c>
      <c r="F323" s="57"/>
      <c r="G323" s="57"/>
      <c r="H323" s="58">
        <f t="shared" si="36"/>
        <v>0</v>
      </c>
      <c r="I323" s="57"/>
      <c r="J323" s="26"/>
      <c r="K323" s="32">
        <v>8982</v>
      </c>
      <c r="L323" s="28">
        <f t="shared" si="41"/>
        <v>0</v>
      </c>
      <c r="M323" s="30">
        <f t="shared" si="37"/>
        <v>0</v>
      </c>
      <c r="N323" s="30">
        <f t="shared" si="38"/>
        <v>0</v>
      </c>
    </row>
    <row r="324" spans="1:27" s="24" customFormat="1" ht="14.25" customHeight="1">
      <c r="A324" s="59" t="s">
        <v>85</v>
      </c>
      <c r="B324" s="59"/>
      <c r="C324" s="59"/>
      <c r="D324" s="33" t="s">
        <v>53</v>
      </c>
      <c r="E324" s="25">
        <v>1</v>
      </c>
      <c r="F324" s="57"/>
      <c r="G324" s="57"/>
      <c r="H324" s="58">
        <f t="shared" si="36"/>
        <v>0</v>
      </c>
      <c r="I324" s="57"/>
      <c r="J324" s="26"/>
      <c r="K324" s="32">
        <v>22454</v>
      </c>
      <c r="L324" s="28">
        <f t="shared" si="41"/>
        <v>0</v>
      </c>
      <c r="M324" s="30">
        <f t="shared" si="37"/>
        <v>0</v>
      </c>
      <c r="N324" s="30">
        <f t="shared" si="38"/>
        <v>0</v>
      </c>
    </row>
    <row r="325" spans="1:27" s="24" customFormat="1" ht="14.25" customHeight="1">
      <c r="A325" s="59" t="s">
        <v>86</v>
      </c>
      <c r="B325" s="59"/>
      <c r="C325" s="59"/>
      <c r="D325" s="33" t="s">
        <v>53</v>
      </c>
      <c r="E325" s="22">
        <v>1</v>
      </c>
      <c r="F325" s="57"/>
      <c r="G325" s="57"/>
      <c r="H325" s="58">
        <f t="shared" si="36"/>
        <v>0</v>
      </c>
      <c r="I325" s="57"/>
      <c r="J325" s="23"/>
      <c r="K325" s="32">
        <v>78589</v>
      </c>
      <c r="L325" s="28">
        <f t="shared" si="41"/>
        <v>0</v>
      </c>
      <c r="M325" s="30">
        <f t="shared" si="37"/>
        <v>0</v>
      </c>
      <c r="N325" s="30">
        <f t="shared" si="38"/>
        <v>0</v>
      </c>
    </row>
    <row r="326" spans="1:27" s="24" customFormat="1" ht="14.25" customHeight="1">
      <c r="A326" s="60" t="s">
        <v>87</v>
      </c>
      <c r="B326" s="60"/>
      <c r="C326" s="60"/>
      <c r="D326" s="34" t="s">
        <v>53</v>
      </c>
      <c r="E326" s="35">
        <v>1</v>
      </c>
      <c r="F326" s="62"/>
      <c r="G326" s="62"/>
      <c r="H326" s="58">
        <f t="shared" si="36"/>
        <v>1</v>
      </c>
      <c r="I326" s="57"/>
      <c r="J326" s="36"/>
      <c r="K326" s="32">
        <v>5370</v>
      </c>
      <c r="L326" s="28">
        <f t="shared" si="41"/>
        <v>5370</v>
      </c>
      <c r="M326" s="30">
        <f t="shared" si="37"/>
        <v>0</v>
      </c>
      <c r="N326" s="30">
        <f t="shared" si="38"/>
        <v>1</v>
      </c>
    </row>
    <row r="327" spans="1:27" s="24" customFormat="1" ht="14.25" customHeight="1" thickBot="1">
      <c r="A327" s="60" t="s">
        <v>88</v>
      </c>
      <c r="B327" s="60"/>
      <c r="C327" s="60"/>
      <c r="D327" s="34" t="s">
        <v>53</v>
      </c>
      <c r="E327" s="35">
        <v>1</v>
      </c>
      <c r="F327" s="62"/>
      <c r="G327" s="62"/>
      <c r="H327" s="61">
        <f t="shared" si="36"/>
        <v>0</v>
      </c>
      <c r="I327" s="62"/>
      <c r="J327" s="36"/>
      <c r="K327" s="32">
        <v>61905</v>
      </c>
      <c r="L327" s="28">
        <f t="shared" si="41"/>
        <v>0</v>
      </c>
      <c r="M327" s="30">
        <f t="shared" si="37"/>
        <v>0</v>
      </c>
      <c r="N327" s="30">
        <f t="shared" si="38"/>
        <v>0</v>
      </c>
    </row>
    <row r="328" spans="1:27" ht="14.25" customHeight="1">
      <c r="A328" s="63" t="s">
        <v>46</v>
      </c>
      <c r="B328" s="64"/>
      <c r="C328" s="65"/>
      <c r="D328" s="10"/>
      <c r="E328" s="16"/>
      <c r="F328" s="66"/>
      <c r="G328" s="67"/>
      <c r="H328" s="66"/>
      <c r="I328" s="67"/>
      <c r="J328" s="11"/>
      <c r="K328" s="21" t="s">
        <v>56</v>
      </c>
      <c r="L328" s="29">
        <f>SUM(L304:L327)</f>
        <v>120170</v>
      </c>
      <c r="M328" s="4"/>
      <c r="N328" s="5"/>
      <c r="O328" s="6"/>
      <c r="S328" s="6"/>
      <c r="W328" s="6"/>
      <c r="AA328" s="6"/>
    </row>
    <row r="329" spans="1:27" ht="14.25" customHeight="1">
      <c r="A329" s="88" t="s">
        <v>47</v>
      </c>
      <c r="B329" s="89"/>
      <c r="C329" s="90"/>
      <c r="D329" s="9"/>
      <c r="E329" s="17"/>
      <c r="F329" s="74"/>
      <c r="G329" s="91"/>
      <c r="H329" s="74"/>
      <c r="I329" s="91"/>
      <c r="J329" s="12"/>
      <c r="K329" s="27" t="s">
        <v>57</v>
      </c>
      <c r="L329" s="31">
        <v>1300000</v>
      </c>
      <c r="M329" s="4"/>
      <c r="N329" s="5"/>
      <c r="O329" s="6"/>
      <c r="S329" s="6"/>
      <c r="W329" s="6"/>
      <c r="AA329" s="6"/>
    </row>
    <row r="330" spans="1:27" ht="14.25" customHeight="1" thickBot="1">
      <c r="A330" s="68" t="s">
        <v>48</v>
      </c>
      <c r="B330" s="69"/>
      <c r="C330" s="70"/>
      <c r="D330" s="13"/>
      <c r="E330" s="18"/>
      <c r="F330" s="71"/>
      <c r="G330" s="72"/>
      <c r="H330" s="71"/>
      <c r="I330" s="72"/>
      <c r="J330" s="14"/>
      <c r="M330" s="4"/>
      <c r="N330" s="5"/>
      <c r="O330" s="6"/>
      <c r="S330" s="6"/>
      <c r="W330" s="6"/>
      <c r="AA330" s="6"/>
    </row>
    <row r="331" spans="1:27" ht="14.25" customHeight="1">
      <c r="A331" s="99" t="s">
        <v>23</v>
      </c>
      <c r="B331" s="64"/>
      <c r="C331" s="64"/>
      <c r="D331" s="64"/>
      <c r="E331" s="64"/>
      <c r="F331" s="64"/>
      <c r="G331" s="64"/>
      <c r="H331" s="64"/>
      <c r="I331" s="64"/>
      <c r="J331" s="65"/>
    </row>
    <row r="332" spans="1:27" ht="14.25" customHeight="1">
      <c r="A332" s="74" t="s">
        <v>24</v>
      </c>
      <c r="B332" s="100"/>
      <c r="C332" s="75"/>
      <c r="D332" s="8" t="s">
        <v>18</v>
      </c>
      <c r="E332" s="8" t="s">
        <v>25</v>
      </c>
      <c r="F332" s="74" t="s">
        <v>26</v>
      </c>
      <c r="G332" s="75"/>
      <c r="H332" s="74" t="s">
        <v>27</v>
      </c>
      <c r="I332" s="75"/>
      <c r="J332" s="8" t="s">
        <v>22</v>
      </c>
    </row>
    <row r="333" spans="1:27" ht="14.25" customHeight="1">
      <c r="A333" s="76"/>
      <c r="B333" s="77"/>
      <c r="C333" s="78"/>
      <c r="D333" s="8"/>
      <c r="E333" s="8"/>
      <c r="F333" s="74"/>
      <c r="G333" s="75"/>
      <c r="H333" s="74"/>
      <c r="I333" s="75"/>
      <c r="J333" s="8"/>
    </row>
    <row r="334" spans="1:27" ht="14.25" customHeight="1">
      <c r="A334" s="76"/>
      <c r="B334" s="77"/>
      <c r="C334" s="78"/>
      <c r="D334" s="8"/>
      <c r="E334" s="8"/>
      <c r="F334" s="74"/>
      <c r="G334" s="75"/>
      <c r="H334" s="74"/>
      <c r="I334" s="75"/>
      <c r="J334" s="8"/>
    </row>
    <row r="335" spans="1:27" ht="14.25" customHeight="1">
      <c r="A335" s="76" t="s">
        <v>28</v>
      </c>
      <c r="B335" s="77"/>
      <c r="C335" s="77"/>
      <c r="D335" s="77"/>
      <c r="E335" s="77"/>
      <c r="F335" s="77"/>
      <c r="G335" s="77"/>
      <c r="H335" s="77"/>
      <c r="I335" s="77"/>
      <c r="J335" s="78"/>
    </row>
    <row r="336" spans="1:27" ht="14.25" customHeight="1">
      <c r="A336" s="74" t="s">
        <v>29</v>
      </c>
      <c r="B336" s="75"/>
      <c r="C336" s="8" t="s">
        <v>30</v>
      </c>
      <c r="D336" s="8" t="s">
        <v>31</v>
      </c>
      <c r="E336" s="74" t="s">
        <v>32</v>
      </c>
      <c r="F336" s="75"/>
      <c r="G336" s="74" t="s">
        <v>26</v>
      </c>
      <c r="H336" s="75"/>
      <c r="I336" s="74" t="s">
        <v>27</v>
      </c>
      <c r="J336" s="75"/>
    </row>
    <row r="337" spans="1:27" ht="14.25" customHeight="1">
      <c r="A337" s="76" t="s">
        <v>61</v>
      </c>
      <c r="B337" s="78"/>
      <c r="C337" s="8">
        <v>3</v>
      </c>
      <c r="D337" s="8">
        <v>12</v>
      </c>
      <c r="E337" s="74"/>
      <c r="F337" s="75"/>
      <c r="G337" s="74"/>
      <c r="H337" s="75"/>
      <c r="I337" s="74"/>
      <c r="J337" s="75"/>
    </row>
    <row r="338" spans="1:27" ht="14.25" customHeight="1">
      <c r="A338" s="76"/>
      <c r="B338" s="78"/>
      <c r="C338" s="8"/>
      <c r="D338" s="8"/>
      <c r="E338" s="74"/>
      <c r="F338" s="75"/>
      <c r="G338" s="74"/>
      <c r="H338" s="75"/>
      <c r="I338" s="74"/>
      <c r="J338" s="75"/>
    </row>
    <row r="339" spans="1:27" ht="14.25" customHeight="1">
      <c r="A339" s="101" t="s">
        <v>45</v>
      </c>
      <c r="B339" s="102"/>
      <c r="C339" s="102"/>
      <c r="D339" s="102"/>
      <c r="E339" s="102"/>
      <c r="F339" s="102"/>
      <c r="G339" s="102"/>
      <c r="H339" s="102"/>
      <c r="I339" s="102"/>
      <c r="J339" s="103"/>
    </row>
    <row r="340" spans="1:27" ht="14.25" customHeight="1">
      <c r="A340" s="104"/>
      <c r="B340" s="105"/>
      <c r="C340" s="105"/>
      <c r="D340" s="105"/>
      <c r="E340" s="105"/>
      <c r="F340" s="105"/>
      <c r="G340" s="105"/>
      <c r="H340" s="105"/>
      <c r="I340" s="105"/>
      <c r="J340" s="106"/>
    </row>
    <row r="341" spans="1:27" ht="14.25" customHeight="1">
      <c r="A341" s="79" t="s">
        <v>97</v>
      </c>
      <c r="B341" s="80"/>
      <c r="C341" s="80"/>
      <c r="D341" s="80"/>
      <c r="E341" s="80"/>
      <c r="F341" s="80"/>
      <c r="G341" s="80"/>
      <c r="H341" s="80"/>
      <c r="I341" s="80"/>
      <c r="J341" s="81"/>
      <c r="M341" s="4"/>
      <c r="N341" s="5"/>
      <c r="O341" s="6"/>
      <c r="S341" s="6"/>
      <c r="W341" s="6"/>
      <c r="AA341" s="6"/>
    </row>
    <row r="342" spans="1:27" ht="14.25" customHeight="1">
      <c r="A342" s="82"/>
      <c r="B342" s="83"/>
      <c r="C342" s="83"/>
      <c r="D342" s="83"/>
      <c r="E342" s="83"/>
      <c r="F342" s="83"/>
      <c r="G342" s="83"/>
      <c r="H342" s="83"/>
      <c r="I342" s="83"/>
      <c r="J342" s="84"/>
    </row>
    <row r="343" spans="1:27" ht="14.25" customHeight="1">
      <c r="A343" s="82"/>
      <c r="B343" s="83"/>
      <c r="C343" s="83"/>
      <c r="D343" s="83"/>
      <c r="E343" s="83"/>
      <c r="F343" s="83"/>
      <c r="G343" s="83"/>
      <c r="H343" s="83"/>
      <c r="I343" s="83"/>
      <c r="J343" s="84"/>
    </row>
    <row r="344" spans="1:27" ht="14.25" customHeight="1">
      <c r="A344" s="82"/>
      <c r="B344" s="83"/>
      <c r="C344" s="83"/>
      <c r="D344" s="83"/>
      <c r="E344" s="83"/>
      <c r="F344" s="83"/>
      <c r="G344" s="83"/>
      <c r="H344" s="83"/>
      <c r="I344" s="83"/>
      <c r="J344" s="84"/>
    </row>
    <row r="345" spans="1:27" ht="14.25" customHeight="1">
      <c r="A345" s="82"/>
      <c r="B345" s="83"/>
      <c r="C345" s="83"/>
      <c r="D345" s="83"/>
      <c r="E345" s="83"/>
      <c r="F345" s="83"/>
      <c r="G345" s="83"/>
      <c r="H345" s="83"/>
      <c r="I345" s="83"/>
      <c r="J345" s="84"/>
    </row>
    <row r="346" spans="1:27" ht="14.25" customHeight="1">
      <c r="A346" s="82"/>
      <c r="B346" s="83"/>
      <c r="C346" s="83"/>
      <c r="D346" s="83"/>
      <c r="E346" s="83"/>
      <c r="F346" s="83"/>
      <c r="G346" s="83"/>
      <c r="H346" s="83"/>
      <c r="I346" s="83"/>
      <c r="J346" s="84"/>
    </row>
    <row r="347" spans="1:27" ht="14.25" customHeight="1">
      <c r="A347" s="42" t="s">
        <v>33</v>
      </c>
      <c r="B347" s="43"/>
      <c r="C347" s="43"/>
      <c r="D347" s="43"/>
      <c r="E347" s="43"/>
      <c r="F347" s="43"/>
      <c r="G347" s="43"/>
      <c r="H347" s="43"/>
      <c r="I347" s="43"/>
      <c r="J347" s="44"/>
    </row>
    <row r="348" spans="1:27" ht="14.25" customHeight="1">
      <c r="A348" s="45"/>
      <c r="B348" s="46"/>
      <c r="C348" s="46"/>
      <c r="D348" s="46"/>
      <c r="E348" s="46"/>
      <c r="F348" s="46"/>
      <c r="G348" s="46"/>
      <c r="H348" s="46"/>
      <c r="I348" s="46"/>
      <c r="J348" s="47"/>
    </row>
    <row r="349" spans="1:27" ht="14.25" customHeight="1">
      <c r="A349" s="42" t="s">
        <v>34</v>
      </c>
      <c r="B349" s="43"/>
      <c r="C349" s="43"/>
      <c r="D349" s="43"/>
      <c r="E349" s="43"/>
      <c r="F349" s="43"/>
      <c r="G349" s="43"/>
      <c r="H349" s="43"/>
      <c r="I349" s="43"/>
      <c r="J349" s="44"/>
    </row>
    <row r="350" spans="1:27" ht="14.25" customHeight="1">
      <c r="A350" s="45"/>
      <c r="B350" s="46"/>
      <c r="C350" s="46"/>
      <c r="D350" s="46"/>
      <c r="E350" s="46"/>
      <c r="F350" s="46"/>
      <c r="G350" s="46"/>
      <c r="H350" s="46"/>
      <c r="I350" s="46"/>
      <c r="J350" s="47"/>
    </row>
    <row r="351" spans="1:27" ht="14.25" customHeight="1">
      <c r="A351" s="42" t="s">
        <v>95</v>
      </c>
      <c r="B351" s="43"/>
      <c r="C351" s="43"/>
      <c r="D351" s="43"/>
      <c r="E351" s="43"/>
      <c r="F351" s="43"/>
      <c r="G351" s="43"/>
      <c r="H351" s="43"/>
      <c r="I351" s="43"/>
      <c r="J351" s="44"/>
    </row>
    <row r="352" spans="1:27" ht="14.25" customHeight="1">
      <c r="A352" s="45"/>
      <c r="B352" s="46"/>
      <c r="C352" s="46"/>
      <c r="D352" s="46"/>
      <c r="E352" s="46"/>
      <c r="F352" s="46"/>
      <c r="G352" s="46"/>
      <c r="H352" s="46"/>
      <c r="I352" s="46"/>
      <c r="J352" s="47"/>
    </row>
    <row r="353" spans="1:10" ht="14.25" customHeight="1">
      <c r="A353" s="42" t="s">
        <v>35</v>
      </c>
      <c r="B353" s="43"/>
      <c r="C353" s="43"/>
      <c r="D353" s="43"/>
      <c r="E353" s="43"/>
      <c r="F353" s="43"/>
      <c r="G353" s="43"/>
      <c r="H353" s="43"/>
      <c r="I353" s="43"/>
      <c r="J353" s="44"/>
    </row>
    <row r="354" spans="1:10" ht="14.25" customHeight="1">
      <c r="A354" s="45"/>
      <c r="B354" s="46"/>
      <c r="C354" s="46"/>
      <c r="D354" s="46"/>
      <c r="E354" s="46"/>
      <c r="F354" s="46"/>
      <c r="G354" s="46"/>
      <c r="H354" s="46"/>
      <c r="I354" s="46"/>
      <c r="J354" s="47"/>
    </row>
    <row r="355" spans="1:10" ht="14.25" customHeight="1">
      <c r="A355" s="85" t="s">
        <v>36</v>
      </c>
      <c r="B355" s="85"/>
      <c r="C355" s="85"/>
      <c r="D355" s="85"/>
      <c r="E355" s="85"/>
      <c r="F355" s="85"/>
      <c r="G355" s="85"/>
      <c r="H355" s="85"/>
      <c r="I355" s="85"/>
      <c r="J355" s="85"/>
    </row>
    <row r="356" spans="1:10" ht="14.25" customHeight="1">
      <c r="A356" s="48" t="s">
        <v>37</v>
      </c>
      <c r="B356" s="48"/>
      <c r="C356" s="48"/>
      <c r="D356" s="48"/>
      <c r="E356" s="48"/>
      <c r="F356" s="48"/>
      <c r="G356" s="48"/>
      <c r="H356" s="48"/>
      <c r="I356" s="48"/>
      <c r="J356" s="48"/>
    </row>
    <row r="357" spans="1:10" ht="14.25" customHeight="1">
      <c r="A357" s="48" t="s">
        <v>38</v>
      </c>
      <c r="B357" s="48"/>
      <c r="C357" s="48"/>
      <c r="D357" s="48"/>
      <c r="E357" s="48"/>
      <c r="F357" s="48"/>
      <c r="G357" s="48"/>
      <c r="H357" s="48"/>
      <c r="I357" s="48"/>
      <c r="J357" s="48"/>
    </row>
    <row r="358" spans="1:10" ht="14.25" customHeight="1">
      <c r="A358" s="48" t="s">
        <v>39</v>
      </c>
      <c r="B358" s="48"/>
      <c r="C358" s="48"/>
      <c r="D358" s="48"/>
      <c r="E358" s="48"/>
      <c r="F358" s="48"/>
      <c r="G358" s="48"/>
      <c r="H358" s="48"/>
      <c r="I358" s="48"/>
      <c r="J358" s="48"/>
    </row>
    <row r="359" spans="1:10" ht="14.25" customHeight="1">
      <c r="A359" s="48" t="s">
        <v>40</v>
      </c>
      <c r="B359" s="48"/>
      <c r="C359" s="48"/>
      <c r="D359" s="48"/>
      <c r="E359" s="48"/>
      <c r="F359" s="48"/>
      <c r="G359" s="48"/>
      <c r="H359" s="48"/>
      <c r="I359" s="48"/>
      <c r="J359" s="48"/>
    </row>
    <row r="360" spans="1:10" ht="14.25" customHeight="1">
      <c r="A360" s="48" t="s">
        <v>41</v>
      </c>
      <c r="B360" s="48"/>
      <c r="C360" s="48"/>
      <c r="D360" s="48"/>
      <c r="E360" s="48"/>
      <c r="F360" s="48"/>
      <c r="G360" s="48"/>
      <c r="H360" s="48"/>
      <c r="I360" s="48"/>
      <c r="J360" s="48"/>
    </row>
    <row r="361" spans="1:10" ht="14.25" customHeight="1">
      <c r="A361" s="48" t="s">
        <v>42</v>
      </c>
      <c r="B361" s="48"/>
      <c r="C361" s="48"/>
      <c r="D361" s="48"/>
      <c r="E361" s="48"/>
      <c r="F361" s="48"/>
      <c r="G361" s="48"/>
      <c r="H361" s="48"/>
      <c r="I361" s="48"/>
      <c r="J361" s="48"/>
    </row>
    <row r="362" spans="1:10" ht="14.25" customHeight="1">
      <c r="A362" s="49" t="s">
        <v>43</v>
      </c>
      <c r="B362" s="49"/>
      <c r="C362" s="49"/>
      <c r="D362" s="49"/>
      <c r="E362" s="49"/>
      <c r="F362" s="49"/>
      <c r="G362" s="49"/>
      <c r="H362" s="49"/>
      <c r="I362" s="49"/>
      <c r="J362" s="49"/>
    </row>
    <row r="363" spans="1:10" ht="14.25" customHeight="1">
      <c r="A363" s="48" t="s">
        <v>44</v>
      </c>
      <c r="B363" s="48"/>
      <c r="C363" s="48"/>
      <c r="D363" s="48"/>
      <c r="E363" s="48"/>
      <c r="F363" s="48"/>
      <c r="G363" s="48"/>
      <c r="H363" s="48"/>
      <c r="I363" s="48"/>
      <c r="J363" s="48"/>
    </row>
    <row r="364" spans="1:10" ht="29.25" customHeight="1">
      <c r="A364" s="50" t="s">
        <v>51</v>
      </c>
      <c r="B364" s="50"/>
      <c r="C364" s="50"/>
      <c r="D364" s="50"/>
      <c r="E364" s="50"/>
      <c r="F364" s="50"/>
      <c r="G364" s="50"/>
      <c r="H364" s="50"/>
      <c r="I364" s="50"/>
      <c r="J364" s="50"/>
    </row>
    <row r="365" spans="1:10" ht="14.25" customHeight="1">
      <c r="A365" s="51" t="s">
        <v>49</v>
      </c>
      <c r="B365" s="51"/>
      <c r="C365" s="51"/>
      <c r="D365" s="51"/>
      <c r="E365" s="51"/>
      <c r="F365" s="51"/>
      <c r="G365" s="51"/>
      <c r="H365" s="51"/>
      <c r="I365" s="51"/>
      <c r="J365" s="51"/>
    </row>
    <row r="366" spans="1:10" ht="14.25" customHeight="1">
      <c r="A366" s="92" t="s">
        <v>0</v>
      </c>
      <c r="B366" s="92"/>
      <c r="C366" s="92"/>
      <c r="D366" s="92"/>
      <c r="E366" s="92"/>
      <c r="F366" s="92"/>
      <c r="G366" s="92"/>
      <c r="H366" s="92"/>
      <c r="I366" s="92"/>
      <c r="J366" s="92"/>
    </row>
    <row r="367" spans="1:10">
      <c r="A367" s="2" t="s">
        <v>1</v>
      </c>
      <c r="B367" s="3" t="str">
        <f>"GD-"&amp;IF(LEN(E371)=2,TEXT(LEFT(E371,1),"000"),IF(LEN(E371)=3,TEXT(LEFT(E371,2),"000"),TEXT(LEFT(E371,3),"000")))</f>
        <v>GD-006</v>
      </c>
      <c r="C367" s="2"/>
      <c r="D367" s="2"/>
      <c r="E367" s="2"/>
      <c r="F367" s="2"/>
      <c r="G367" s="2"/>
      <c r="H367" s="2"/>
      <c r="I367" s="2"/>
      <c r="J367" s="2"/>
    </row>
    <row r="368" spans="1:10" ht="14.25" customHeight="1">
      <c r="A368" s="86" t="s">
        <v>2</v>
      </c>
      <c r="B368" s="86"/>
      <c r="C368" s="86"/>
      <c r="D368" s="86"/>
      <c r="E368" s="86"/>
      <c r="F368" s="93" t="s">
        <v>3</v>
      </c>
      <c r="G368" s="93"/>
      <c r="H368" s="94">
        <f>H295+1</f>
        <v>46053</v>
      </c>
      <c r="I368" s="94"/>
      <c r="J368" s="7" t="str">
        <f>"("&amp;TEXT(H368,"[$-404]aaaa;@")&amp;")"</f>
        <v>(星期六)</v>
      </c>
    </row>
    <row r="369" spans="1:27" ht="14.25" customHeight="1">
      <c r="A369" s="54" t="s">
        <v>4</v>
      </c>
      <c r="B369" s="54"/>
      <c r="C369" s="87" t="str">
        <f>C296</f>
        <v>林內國中多功能教室裝修工程</v>
      </c>
      <c r="D369" s="87"/>
      <c r="E369" s="87"/>
      <c r="F369" s="54" t="s">
        <v>5</v>
      </c>
      <c r="G369" s="54"/>
      <c r="H369" s="54" t="str">
        <f>H296</f>
        <v>正郁室內裝修</v>
      </c>
      <c r="I369" s="54"/>
      <c r="J369" s="54"/>
    </row>
    <row r="370" spans="1:27" ht="14.25" customHeight="1">
      <c r="A370" s="54"/>
      <c r="B370" s="54"/>
      <c r="C370" s="87"/>
      <c r="D370" s="87"/>
      <c r="E370" s="87"/>
      <c r="F370" s="54"/>
      <c r="G370" s="54"/>
      <c r="H370" s="54"/>
      <c r="I370" s="54"/>
      <c r="J370" s="54"/>
    </row>
    <row r="371" spans="1:27" ht="14.25" customHeight="1">
      <c r="A371" s="8" t="s">
        <v>7</v>
      </c>
      <c r="B371" s="8" t="str">
        <f>B298</f>
        <v>60天</v>
      </c>
      <c r="C371" s="54" t="s">
        <v>8</v>
      </c>
      <c r="D371" s="54"/>
      <c r="E371" s="8" t="str">
        <f>IF(LEN(E298)&gt;2,(LEFT(E298,2)+1),(LEFT(E298,1)+1))&amp;"天"</f>
        <v>6天</v>
      </c>
      <c r="F371" s="8" t="s">
        <v>9</v>
      </c>
      <c r="G371" s="8" t="str">
        <f>IF(LEN(E371)&gt;2,LEFT(B371,2)-LEFT(E371,2),LEFT(B371,2)-LEFT(E371,1))&amp;"天"</f>
        <v>54天</v>
      </c>
      <c r="H371" s="54" t="s">
        <v>10</v>
      </c>
      <c r="I371" s="54"/>
      <c r="J371" s="8" t="str">
        <f>J298</f>
        <v>0天</v>
      </c>
    </row>
    <row r="372" spans="1:27" ht="14.25" customHeight="1">
      <c r="A372" s="54" t="s">
        <v>12</v>
      </c>
      <c r="B372" s="54"/>
      <c r="C372" s="54" t="str">
        <f>C299</f>
        <v>115年01月26日</v>
      </c>
      <c r="D372" s="54"/>
      <c r="E372" s="54"/>
      <c r="F372" s="54" t="s">
        <v>13</v>
      </c>
      <c r="G372" s="54"/>
      <c r="H372" s="54" t="str">
        <f>H299</f>
        <v>115年3月26日</v>
      </c>
      <c r="I372" s="54"/>
      <c r="J372" s="54"/>
    </row>
    <row r="373" spans="1:27" ht="14.25" customHeight="1">
      <c r="A373" s="54" t="s">
        <v>14</v>
      </c>
      <c r="B373" s="54"/>
      <c r="C373" s="95">
        <f>(5%/15)*6</f>
        <v>0.02</v>
      </c>
      <c r="D373" s="95"/>
      <c r="E373" s="95"/>
      <c r="F373" s="54" t="s">
        <v>15</v>
      </c>
      <c r="G373" s="54"/>
      <c r="H373" s="96">
        <f>ROUND(L401/L402,5)</f>
        <v>0.14005000000000001</v>
      </c>
      <c r="I373" s="97"/>
      <c r="J373" s="98"/>
    </row>
    <row r="374" spans="1:27" ht="14.25" customHeight="1">
      <c r="A374" s="53" t="s">
        <v>16</v>
      </c>
      <c r="B374" s="53"/>
      <c r="C374" s="53"/>
      <c r="D374" s="53"/>
      <c r="E374" s="53"/>
      <c r="F374" s="53"/>
      <c r="G374" s="53"/>
      <c r="H374" s="53"/>
      <c r="I374" s="53"/>
      <c r="J374" s="53"/>
    </row>
    <row r="375" spans="1:27" ht="14.25" customHeight="1">
      <c r="A375" s="54" t="s">
        <v>17</v>
      </c>
      <c r="B375" s="54"/>
      <c r="C375" s="54"/>
      <c r="D375" s="8" t="s">
        <v>18</v>
      </c>
      <c r="E375" s="8" t="s">
        <v>19</v>
      </c>
      <c r="F375" s="54" t="s">
        <v>20</v>
      </c>
      <c r="G375" s="54"/>
      <c r="H375" s="54" t="s">
        <v>21</v>
      </c>
      <c r="I375" s="54"/>
      <c r="J375" s="8" t="s">
        <v>22</v>
      </c>
      <c r="K375" s="21" t="s">
        <v>55</v>
      </c>
      <c r="L375" s="20"/>
      <c r="M375" s="4"/>
      <c r="N375" s="5"/>
      <c r="O375" s="6"/>
      <c r="S375" s="6"/>
      <c r="W375" s="6"/>
      <c r="AA375" s="6"/>
    </row>
    <row r="376" spans="1:27" ht="14.25" customHeight="1">
      <c r="A376" s="53" t="s">
        <v>64</v>
      </c>
      <c r="B376" s="53"/>
      <c r="C376" s="53"/>
      <c r="D376" s="53"/>
      <c r="E376" s="53"/>
      <c r="F376" s="53"/>
      <c r="G376" s="53"/>
      <c r="H376" s="53"/>
      <c r="I376" s="53"/>
      <c r="J376" s="53"/>
    </row>
    <row r="377" spans="1:27" ht="14.25" customHeight="1">
      <c r="A377" s="52" t="s">
        <v>65</v>
      </c>
      <c r="B377" s="52"/>
      <c r="C377" s="52"/>
      <c r="D377" s="38" t="s">
        <v>60</v>
      </c>
      <c r="E377" s="39">
        <v>71</v>
      </c>
      <c r="F377" s="55"/>
      <c r="G377" s="55"/>
      <c r="H377" s="55">
        <f t="shared" ref="H377:H400" si="42">F377+H304</f>
        <v>0</v>
      </c>
      <c r="I377" s="54"/>
      <c r="J377" s="15"/>
      <c r="K377" s="40">
        <v>2200</v>
      </c>
      <c r="L377" s="28">
        <f>ROUND(K377*H377,0)</f>
        <v>0</v>
      </c>
      <c r="N377" s="30">
        <f>H377</f>
        <v>0</v>
      </c>
    </row>
    <row r="378" spans="1:27" ht="45" customHeight="1">
      <c r="A378" s="52" t="s">
        <v>66</v>
      </c>
      <c r="B378" s="52"/>
      <c r="C378" s="52"/>
      <c r="D378" s="38" t="s">
        <v>58</v>
      </c>
      <c r="E378" s="39">
        <v>1</v>
      </c>
      <c r="F378" s="55"/>
      <c r="G378" s="55"/>
      <c r="H378" s="55">
        <f t="shared" si="42"/>
        <v>0.5</v>
      </c>
      <c r="I378" s="54"/>
      <c r="J378" s="8"/>
      <c r="K378" s="40">
        <v>50000</v>
      </c>
      <c r="L378" s="28">
        <f>ROUND(K378*H378,0)</f>
        <v>25000</v>
      </c>
      <c r="M378" s="30">
        <f t="shared" ref="M378:M400" si="43">G378</f>
        <v>0</v>
      </c>
      <c r="N378" s="30">
        <f t="shared" ref="N378:N400" si="44">H378</f>
        <v>0.5</v>
      </c>
    </row>
    <row r="379" spans="1:27" ht="14.25" customHeight="1">
      <c r="A379" s="53" t="s">
        <v>67</v>
      </c>
      <c r="B379" s="53"/>
      <c r="C379" s="53"/>
      <c r="D379" s="37" t="s">
        <v>58</v>
      </c>
      <c r="E379" s="39">
        <v>1</v>
      </c>
      <c r="F379" s="55">
        <v>0.5</v>
      </c>
      <c r="G379" s="55"/>
      <c r="H379" s="55">
        <f t="shared" si="42"/>
        <v>0.5</v>
      </c>
      <c r="I379" s="54"/>
      <c r="J379" s="8"/>
      <c r="K379" s="41">
        <v>65000</v>
      </c>
      <c r="L379" s="28">
        <f t="shared" ref="L379" si="45">ROUND(K379*H379,0)</f>
        <v>32500</v>
      </c>
      <c r="M379" s="30">
        <f t="shared" si="43"/>
        <v>0</v>
      </c>
      <c r="N379" s="30">
        <f t="shared" si="44"/>
        <v>0.5</v>
      </c>
    </row>
    <row r="380" spans="1:27" ht="14.45" customHeight="1">
      <c r="A380" s="52" t="s">
        <v>68</v>
      </c>
      <c r="B380" s="52"/>
      <c r="C380" s="52"/>
      <c r="D380" s="37" t="s">
        <v>58</v>
      </c>
      <c r="E380" s="39">
        <v>1</v>
      </c>
      <c r="F380" s="55">
        <v>0.3</v>
      </c>
      <c r="G380" s="55"/>
      <c r="H380" s="55">
        <f t="shared" si="42"/>
        <v>0.7</v>
      </c>
      <c r="I380" s="54"/>
      <c r="J380" s="15"/>
      <c r="K380" s="41">
        <v>98000</v>
      </c>
      <c r="L380" s="28">
        <f>ROUND(K380*H380,0)</f>
        <v>68600</v>
      </c>
      <c r="M380" s="30">
        <f t="shared" si="43"/>
        <v>0</v>
      </c>
      <c r="N380" s="30">
        <f t="shared" si="44"/>
        <v>0.7</v>
      </c>
    </row>
    <row r="381" spans="1:27" ht="14.25" customHeight="1">
      <c r="A381" s="52" t="s">
        <v>69</v>
      </c>
      <c r="B381" s="52"/>
      <c r="C381" s="52"/>
      <c r="D381" s="38" t="s">
        <v>58</v>
      </c>
      <c r="E381" s="39">
        <v>1</v>
      </c>
      <c r="F381" s="73"/>
      <c r="G381" s="73"/>
      <c r="H381" s="55">
        <f t="shared" si="42"/>
        <v>0.4</v>
      </c>
      <c r="I381" s="54"/>
      <c r="J381" s="8"/>
      <c r="K381" s="40">
        <v>120000</v>
      </c>
      <c r="L381" s="28">
        <f>ROUND(K381*H381,0)</f>
        <v>48000</v>
      </c>
      <c r="M381" s="30">
        <f t="shared" si="43"/>
        <v>0</v>
      </c>
      <c r="N381" s="30">
        <f t="shared" si="44"/>
        <v>0.4</v>
      </c>
    </row>
    <row r="382" spans="1:27" ht="14.25" customHeight="1">
      <c r="A382" s="53" t="s">
        <v>70</v>
      </c>
      <c r="B382" s="53"/>
      <c r="C382" s="53"/>
      <c r="D382" s="38" t="s">
        <v>60</v>
      </c>
      <c r="E382" s="39">
        <v>179</v>
      </c>
      <c r="F382" s="55"/>
      <c r="G382" s="55"/>
      <c r="H382" s="55">
        <f t="shared" si="42"/>
        <v>0</v>
      </c>
      <c r="I382" s="54"/>
      <c r="J382" s="8"/>
      <c r="K382" s="40">
        <v>300</v>
      </c>
      <c r="L382" s="28">
        <f t="shared" ref="L382" si="46">ROUND(K382*H382,0)</f>
        <v>0</v>
      </c>
      <c r="M382" s="30">
        <f t="shared" si="43"/>
        <v>0</v>
      </c>
      <c r="N382" s="30">
        <f t="shared" si="44"/>
        <v>0</v>
      </c>
    </row>
    <row r="383" spans="1:27" ht="14.25" customHeight="1">
      <c r="A383" s="52" t="s">
        <v>71</v>
      </c>
      <c r="B383" s="52"/>
      <c r="C383" s="52"/>
      <c r="D383" s="38" t="s">
        <v>59</v>
      </c>
      <c r="E383" s="39">
        <v>1</v>
      </c>
      <c r="F383" s="55"/>
      <c r="G383" s="55"/>
      <c r="H383" s="55">
        <f t="shared" si="42"/>
        <v>0</v>
      </c>
      <c r="I383" s="54"/>
      <c r="J383" s="15"/>
      <c r="K383" s="40">
        <v>32000</v>
      </c>
      <c r="L383" s="28">
        <f>ROUND(K383*H383,0)</f>
        <v>0</v>
      </c>
      <c r="M383" s="30">
        <f t="shared" si="43"/>
        <v>0</v>
      </c>
      <c r="N383" s="30">
        <f t="shared" si="44"/>
        <v>0</v>
      </c>
    </row>
    <row r="384" spans="1:27" ht="14.25" customHeight="1">
      <c r="A384" s="52" t="s">
        <v>72</v>
      </c>
      <c r="B384" s="52"/>
      <c r="C384" s="52"/>
      <c r="D384" s="38" t="s">
        <v>58</v>
      </c>
      <c r="E384" s="39">
        <v>1</v>
      </c>
      <c r="F384" s="55"/>
      <c r="G384" s="55"/>
      <c r="H384" s="55">
        <f t="shared" si="42"/>
        <v>0</v>
      </c>
      <c r="I384" s="54"/>
      <c r="J384" s="8"/>
      <c r="K384" s="40">
        <v>66000</v>
      </c>
      <c r="L384" s="28">
        <f>ROUND(K384*H384,0)</f>
        <v>0</v>
      </c>
      <c r="M384" s="30">
        <f t="shared" si="43"/>
        <v>0</v>
      </c>
      <c r="N384" s="30">
        <f t="shared" si="44"/>
        <v>0</v>
      </c>
    </row>
    <row r="385" spans="1:14" ht="14.25" customHeight="1">
      <c r="A385" s="52" t="s">
        <v>73</v>
      </c>
      <c r="B385" s="53"/>
      <c r="C385" s="53"/>
      <c r="D385" s="38" t="s">
        <v>59</v>
      </c>
      <c r="E385" s="39">
        <v>1</v>
      </c>
      <c r="F385" s="55"/>
      <c r="G385" s="55"/>
      <c r="H385" s="55">
        <f t="shared" si="42"/>
        <v>0</v>
      </c>
      <c r="I385" s="54"/>
      <c r="J385" s="8"/>
      <c r="K385" s="40">
        <v>47000</v>
      </c>
      <c r="L385" s="28">
        <f t="shared" ref="L385:L400" si="47">ROUND(K385*H385,0)</f>
        <v>0</v>
      </c>
      <c r="M385" s="30">
        <f t="shared" si="43"/>
        <v>0</v>
      </c>
      <c r="N385" s="30">
        <f t="shared" si="44"/>
        <v>0</v>
      </c>
    </row>
    <row r="386" spans="1:14" ht="14.25" customHeight="1">
      <c r="A386" s="53" t="s">
        <v>74</v>
      </c>
      <c r="B386" s="53"/>
      <c r="C386" s="53"/>
      <c r="D386" s="38" t="s">
        <v>89</v>
      </c>
      <c r="E386" s="39">
        <v>20</v>
      </c>
      <c r="F386" s="54"/>
      <c r="G386" s="54"/>
      <c r="H386" s="55">
        <f t="shared" si="42"/>
        <v>0</v>
      </c>
      <c r="I386" s="54"/>
      <c r="J386" s="8"/>
      <c r="K386" s="40">
        <v>3000</v>
      </c>
      <c r="L386" s="28">
        <f t="shared" si="47"/>
        <v>0</v>
      </c>
      <c r="M386" s="30">
        <f t="shared" si="43"/>
        <v>0</v>
      </c>
      <c r="N386" s="30">
        <f t="shared" si="44"/>
        <v>0</v>
      </c>
    </row>
    <row r="387" spans="1:14" ht="14.25" customHeight="1">
      <c r="A387" s="53" t="s">
        <v>75</v>
      </c>
      <c r="B387" s="53"/>
      <c r="C387" s="53"/>
      <c r="D387" s="38" t="s">
        <v>59</v>
      </c>
      <c r="E387" s="39">
        <v>1</v>
      </c>
      <c r="F387" s="54"/>
      <c r="G387" s="54"/>
      <c r="H387" s="55">
        <f t="shared" si="42"/>
        <v>0</v>
      </c>
      <c r="I387" s="54"/>
      <c r="J387" s="8"/>
      <c r="K387" s="40">
        <v>95000</v>
      </c>
      <c r="L387" s="28">
        <f t="shared" si="47"/>
        <v>0</v>
      </c>
      <c r="M387" s="30">
        <f t="shared" si="43"/>
        <v>0</v>
      </c>
      <c r="N387" s="30">
        <f t="shared" si="44"/>
        <v>0</v>
      </c>
    </row>
    <row r="388" spans="1:14" ht="14.25" customHeight="1">
      <c r="A388" s="53" t="s">
        <v>76</v>
      </c>
      <c r="B388" s="53"/>
      <c r="C388" s="53"/>
      <c r="D388" s="38" t="s">
        <v>90</v>
      </c>
      <c r="E388" s="39">
        <v>345</v>
      </c>
      <c r="F388" s="54"/>
      <c r="G388" s="54"/>
      <c r="H388" s="55">
        <f t="shared" si="42"/>
        <v>0</v>
      </c>
      <c r="I388" s="54"/>
      <c r="J388" s="8"/>
      <c r="K388" s="40">
        <v>100</v>
      </c>
      <c r="L388" s="28">
        <f t="shared" si="47"/>
        <v>0</v>
      </c>
      <c r="M388" s="30">
        <f t="shared" si="43"/>
        <v>0</v>
      </c>
      <c r="N388" s="30">
        <f t="shared" si="44"/>
        <v>0</v>
      </c>
    </row>
    <row r="389" spans="1:14" ht="14.25" customHeight="1">
      <c r="A389" s="53" t="s">
        <v>77</v>
      </c>
      <c r="B389" s="53"/>
      <c r="C389" s="53"/>
      <c r="D389" s="38" t="s">
        <v>58</v>
      </c>
      <c r="E389" s="39">
        <v>1</v>
      </c>
      <c r="F389" s="54"/>
      <c r="G389" s="54"/>
      <c r="H389" s="55">
        <f t="shared" si="42"/>
        <v>0</v>
      </c>
      <c r="I389" s="54"/>
      <c r="J389" s="8"/>
      <c r="K389" s="40">
        <v>56000</v>
      </c>
      <c r="L389" s="28">
        <f t="shared" si="47"/>
        <v>0</v>
      </c>
      <c r="M389" s="30">
        <f t="shared" si="43"/>
        <v>0</v>
      </c>
      <c r="N389" s="30">
        <f t="shared" si="44"/>
        <v>0</v>
      </c>
    </row>
    <row r="390" spans="1:14" ht="28.5" customHeight="1">
      <c r="A390" s="52" t="s">
        <v>78</v>
      </c>
      <c r="B390" s="53"/>
      <c r="C390" s="53"/>
      <c r="D390" s="38" t="s">
        <v>58</v>
      </c>
      <c r="E390" s="39">
        <v>1</v>
      </c>
      <c r="F390" s="54"/>
      <c r="G390" s="54"/>
      <c r="H390" s="55">
        <f t="shared" si="42"/>
        <v>0</v>
      </c>
      <c r="I390" s="54"/>
      <c r="J390" s="8"/>
      <c r="K390" s="40">
        <v>67500</v>
      </c>
      <c r="L390" s="28">
        <f t="shared" si="47"/>
        <v>0</v>
      </c>
      <c r="M390" s="30">
        <f t="shared" si="43"/>
        <v>0</v>
      </c>
      <c r="N390" s="30">
        <f t="shared" si="44"/>
        <v>0</v>
      </c>
    </row>
    <row r="391" spans="1:14" ht="14.25" customHeight="1">
      <c r="A391" s="53" t="s">
        <v>79</v>
      </c>
      <c r="B391" s="53"/>
      <c r="C391" s="53"/>
      <c r="D391" s="38" t="s">
        <v>91</v>
      </c>
      <c r="E391" s="39">
        <v>3</v>
      </c>
      <c r="F391" s="54"/>
      <c r="G391" s="54"/>
      <c r="H391" s="55">
        <f t="shared" si="42"/>
        <v>0</v>
      </c>
      <c r="I391" s="54"/>
      <c r="J391" s="8"/>
      <c r="K391" s="40">
        <v>6000</v>
      </c>
      <c r="L391" s="28">
        <f t="shared" si="47"/>
        <v>0</v>
      </c>
      <c r="M391" s="30">
        <f t="shared" si="43"/>
        <v>0</v>
      </c>
      <c r="N391" s="30">
        <f t="shared" si="44"/>
        <v>0</v>
      </c>
    </row>
    <row r="392" spans="1:14" ht="14.25" customHeight="1">
      <c r="A392" s="53" t="s">
        <v>80</v>
      </c>
      <c r="B392" s="53"/>
      <c r="C392" s="53"/>
      <c r="D392" s="38" t="s">
        <v>91</v>
      </c>
      <c r="E392" s="39">
        <v>26</v>
      </c>
      <c r="F392" s="54"/>
      <c r="G392" s="54"/>
      <c r="H392" s="55">
        <f t="shared" si="42"/>
        <v>0</v>
      </c>
      <c r="I392" s="54"/>
      <c r="J392" s="8"/>
      <c r="K392" s="40">
        <v>1200</v>
      </c>
      <c r="L392" s="28">
        <f t="shared" si="47"/>
        <v>0</v>
      </c>
      <c r="M392" s="30">
        <f t="shared" si="43"/>
        <v>0</v>
      </c>
      <c r="N392" s="30">
        <f t="shared" si="44"/>
        <v>0</v>
      </c>
    </row>
    <row r="393" spans="1:14" ht="14.25" customHeight="1">
      <c r="A393" s="53" t="s">
        <v>81</v>
      </c>
      <c r="B393" s="53"/>
      <c r="C393" s="53"/>
      <c r="D393" s="38" t="s">
        <v>58</v>
      </c>
      <c r="E393" s="39">
        <v>1</v>
      </c>
      <c r="F393" s="54"/>
      <c r="G393" s="54"/>
      <c r="H393" s="55">
        <f t="shared" si="42"/>
        <v>1</v>
      </c>
      <c r="I393" s="54"/>
      <c r="J393" s="8"/>
      <c r="K393" s="40">
        <v>1600</v>
      </c>
      <c r="L393" s="28">
        <f t="shared" si="47"/>
        <v>1600</v>
      </c>
      <c r="M393" s="30">
        <f t="shared" si="43"/>
        <v>0</v>
      </c>
      <c r="N393" s="30">
        <f t="shared" si="44"/>
        <v>1</v>
      </c>
    </row>
    <row r="394" spans="1:14" ht="14.25" customHeight="1">
      <c r="A394" s="53" t="s">
        <v>82</v>
      </c>
      <c r="B394" s="53"/>
      <c r="C394" s="53"/>
      <c r="D394" s="38" t="s">
        <v>58</v>
      </c>
      <c r="E394" s="39">
        <v>1</v>
      </c>
      <c r="F394" s="54"/>
      <c r="G394" s="54"/>
      <c r="H394" s="55">
        <f t="shared" si="42"/>
        <v>1</v>
      </c>
      <c r="I394" s="54"/>
      <c r="J394" s="8"/>
      <c r="K394" s="40">
        <v>1000</v>
      </c>
      <c r="L394" s="28">
        <f t="shared" si="47"/>
        <v>1000</v>
      </c>
      <c r="M394" s="30">
        <f t="shared" si="43"/>
        <v>0</v>
      </c>
      <c r="N394" s="30">
        <f t="shared" si="44"/>
        <v>1</v>
      </c>
    </row>
    <row r="395" spans="1:14" ht="28.5" customHeight="1">
      <c r="A395" s="52" t="s">
        <v>83</v>
      </c>
      <c r="B395" s="53"/>
      <c r="C395" s="53"/>
      <c r="D395" s="38" t="s">
        <v>59</v>
      </c>
      <c r="E395" s="39">
        <v>1</v>
      </c>
      <c r="F395" s="54"/>
      <c r="G395" s="54"/>
      <c r="H395" s="55">
        <f t="shared" si="42"/>
        <v>0</v>
      </c>
      <c r="I395" s="54"/>
      <c r="J395" s="8"/>
      <c r="K395" s="40">
        <v>70000</v>
      </c>
      <c r="L395" s="28">
        <f t="shared" si="47"/>
        <v>0</v>
      </c>
      <c r="M395" s="30">
        <f t="shared" si="43"/>
        <v>0</v>
      </c>
      <c r="N395" s="30">
        <f t="shared" si="44"/>
        <v>0</v>
      </c>
    </row>
    <row r="396" spans="1:14" s="24" customFormat="1" ht="14.25" customHeight="1">
      <c r="A396" s="56" t="s">
        <v>84</v>
      </c>
      <c r="B396" s="56"/>
      <c r="C396" s="56"/>
      <c r="D396" s="33" t="s">
        <v>53</v>
      </c>
      <c r="E396" s="25">
        <v>1</v>
      </c>
      <c r="F396" s="57"/>
      <c r="G396" s="57"/>
      <c r="H396" s="58">
        <f t="shared" si="42"/>
        <v>0</v>
      </c>
      <c r="I396" s="57"/>
      <c r="J396" s="26"/>
      <c r="K396" s="32">
        <v>8982</v>
      </c>
      <c r="L396" s="28">
        <f t="shared" si="47"/>
        <v>0</v>
      </c>
      <c r="M396" s="30">
        <f t="shared" si="43"/>
        <v>0</v>
      </c>
      <c r="N396" s="30">
        <f t="shared" si="44"/>
        <v>0</v>
      </c>
    </row>
    <row r="397" spans="1:14" s="24" customFormat="1" ht="14.25" customHeight="1">
      <c r="A397" s="59" t="s">
        <v>85</v>
      </c>
      <c r="B397" s="59"/>
      <c r="C397" s="59"/>
      <c r="D397" s="33" t="s">
        <v>53</v>
      </c>
      <c r="E397" s="25">
        <v>1</v>
      </c>
      <c r="F397" s="57"/>
      <c r="G397" s="57"/>
      <c r="H397" s="58">
        <f t="shared" si="42"/>
        <v>0</v>
      </c>
      <c r="I397" s="57"/>
      <c r="J397" s="26"/>
      <c r="K397" s="32">
        <v>22454</v>
      </c>
      <c r="L397" s="28">
        <f t="shared" si="47"/>
        <v>0</v>
      </c>
      <c r="M397" s="30">
        <f t="shared" si="43"/>
        <v>0</v>
      </c>
      <c r="N397" s="30">
        <f t="shared" si="44"/>
        <v>0</v>
      </c>
    </row>
    <row r="398" spans="1:14" s="24" customFormat="1" ht="14.25" customHeight="1">
      <c r="A398" s="59" t="s">
        <v>86</v>
      </c>
      <c r="B398" s="59"/>
      <c r="C398" s="59"/>
      <c r="D398" s="33" t="s">
        <v>53</v>
      </c>
      <c r="E398" s="22">
        <v>1</v>
      </c>
      <c r="F398" s="57"/>
      <c r="G398" s="57"/>
      <c r="H398" s="58">
        <f t="shared" si="42"/>
        <v>0</v>
      </c>
      <c r="I398" s="57"/>
      <c r="J398" s="23"/>
      <c r="K398" s="32">
        <v>78589</v>
      </c>
      <c r="L398" s="28">
        <f t="shared" si="47"/>
        <v>0</v>
      </c>
      <c r="M398" s="30">
        <f t="shared" si="43"/>
        <v>0</v>
      </c>
      <c r="N398" s="30">
        <f t="shared" si="44"/>
        <v>0</v>
      </c>
    </row>
    <row r="399" spans="1:14" s="24" customFormat="1" ht="14.25" customHeight="1">
      <c r="A399" s="60" t="s">
        <v>87</v>
      </c>
      <c r="B399" s="60"/>
      <c r="C399" s="60"/>
      <c r="D399" s="34" t="s">
        <v>53</v>
      </c>
      <c r="E399" s="35">
        <v>1</v>
      </c>
      <c r="F399" s="62"/>
      <c r="G399" s="62"/>
      <c r="H399" s="58">
        <f t="shared" si="42"/>
        <v>1</v>
      </c>
      <c r="I399" s="57"/>
      <c r="J399" s="36"/>
      <c r="K399" s="32">
        <v>5370</v>
      </c>
      <c r="L399" s="28">
        <f t="shared" si="47"/>
        <v>5370</v>
      </c>
      <c r="M399" s="30">
        <f t="shared" si="43"/>
        <v>0</v>
      </c>
      <c r="N399" s="30">
        <f t="shared" si="44"/>
        <v>1</v>
      </c>
    </row>
    <row r="400" spans="1:14" s="24" customFormat="1" ht="14.25" customHeight="1" thickBot="1">
      <c r="A400" s="60" t="s">
        <v>88</v>
      </c>
      <c r="B400" s="60"/>
      <c r="C400" s="60"/>
      <c r="D400" s="34" t="s">
        <v>53</v>
      </c>
      <c r="E400" s="35">
        <v>1</v>
      </c>
      <c r="F400" s="62"/>
      <c r="G400" s="62"/>
      <c r="H400" s="61">
        <f t="shared" si="42"/>
        <v>0</v>
      </c>
      <c r="I400" s="62"/>
      <c r="J400" s="36"/>
      <c r="K400" s="32">
        <v>61905</v>
      </c>
      <c r="L400" s="28">
        <f t="shared" si="47"/>
        <v>0</v>
      </c>
      <c r="M400" s="30">
        <f t="shared" si="43"/>
        <v>0</v>
      </c>
      <c r="N400" s="30">
        <f t="shared" si="44"/>
        <v>0</v>
      </c>
    </row>
    <row r="401" spans="1:27" ht="14.25" customHeight="1">
      <c r="A401" s="63" t="s">
        <v>46</v>
      </c>
      <c r="B401" s="64"/>
      <c r="C401" s="65"/>
      <c r="D401" s="10"/>
      <c r="E401" s="16"/>
      <c r="F401" s="66"/>
      <c r="G401" s="67"/>
      <c r="H401" s="66"/>
      <c r="I401" s="67"/>
      <c r="J401" s="11"/>
      <c r="K401" s="21" t="s">
        <v>56</v>
      </c>
      <c r="L401" s="29">
        <f>SUM(L377:L400)</f>
        <v>182070</v>
      </c>
      <c r="M401" s="4"/>
      <c r="N401" s="5"/>
      <c r="O401" s="6"/>
      <c r="S401" s="6"/>
      <c r="W401" s="6"/>
      <c r="AA401" s="6"/>
    </row>
    <row r="402" spans="1:27" ht="14.25" customHeight="1">
      <c r="A402" s="88" t="s">
        <v>47</v>
      </c>
      <c r="B402" s="89"/>
      <c r="C402" s="90"/>
      <c r="D402" s="9"/>
      <c r="E402" s="17"/>
      <c r="F402" s="74"/>
      <c r="G402" s="91"/>
      <c r="H402" s="74"/>
      <c r="I402" s="91"/>
      <c r="J402" s="12"/>
      <c r="K402" s="27" t="s">
        <v>57</v>
      </c>
      <c r="L402" s="31">
        <v>1300000</v>
      </c>
      <c r="M402" s="4"/>
      <c r="N402" s="5"/>
      <c r="O402" s="6"/>
      <c r="S402" s="6"/>
      <c r="W402" s="6"/>
      <c r="AA402" s="6"/>
    </row>
    <row r="403" spans="1:27" ht="14.25" customHeight="1" thickBot="1">
      <c r="A403" s="68" t="s">
        <v>48</v>
      </c>
      <c r="B403" s="69"/>
      <c r="C403" s="70"/>
      <c r="D403" s="13"/>
      <c r="E403" s="18"/>
      <c r="F403" s="71"/>
      <c r="G403" s="72"/>
      <c r="H403" s="71"/>
      <c r="I403" s="72"/>
      <c r="J403" s="14"/>
      <c r="M403" s="4"/>
      <c r="N403" s="5"/>
      <c r="O403" s="6"/>
      <c r="S403" s="6"/>
      <c r="W403" s="6"/>
      <c r="AA403" s="6"/>
    </row>
    <row r="404" spans="1:27" ht="14.25" customHeight="1">
      <c r="A404" s="99" t="s">
        <v>23</v>
      </c>
      <c r="B404" s="64"/>
      <c r="C404" s="64"/>
      <c r="D404" s="64"/>
      <c r="E404" s="64"/>
      <c r="F404" s="64"/>
      <c r="G404" s="64"/>
      <c r="H404" s="64"/>
      <c r="I404" s="64"/>
      <c r="J404" s="65"/>
    </row>
    <row r="405" spans="1:27" ht="14.25" customHeight="1">
      <c r="A405" s="74" t="s">
        <v>24</v>
      </c>
      <c r="B405" s="100"/>
      <c r="C405" s="75"/>
      <c r="D405" s="8" t="s">
        <v>18</v>
      </c>
      <c r="E405" s="8" t="s">
        <v>25</v>
      </c>
      <c r="F405" s="74" t="s">
        <v>26</v>
      </c>
      <c r="G405" s="75"/>
      <c r="H405" s="74" t="s">
        <v>27</v>
      </c>
      <c r="I405" s="75"/>
      <c r="J405" s="8" t="s">
        <v>22</v>
      </c>
    </row>
    <row r="406" spans="1:27" ht="14.25" customHeight="1">
      <c r="A406" s="76"/>
      <c r="B406" s="77"/>
      <c r="C406" s="78"/>
      <c r="D406" s="8"/>
      <c r="E406" s="8"/>
      <c r="F406" s="74"/>
      <c r="G406" s="75"/>
      <c r="H406" s="74"/>
      <c r="I406" s="75"/>
      <c r="J406" s="8"/>
    </row>
    <row r="407" spans="1:27" ht="14.25" customHeight="1">
      <c r="A407" s="76"/>
      <c r="B407" s="77"/>
      <c r="C407" s="78"/>
      <c r="D407" s="8"/>
      <c r="E407" s="8"/>
      <c r="F407" s="74"/>
      <c r="G407" s="75"/>
      <c r="H407" s="74"/>
      <c r="I407" s="75"/>
      <c r="J407" s="8"/>
    </row>
    <row r="408" spans="1:27" ht="14.25" customHeight="1">
      <c r="A408" s="76" t="s">
        <v>28</v>
      </c>
      <c r="B408" s="77"/>
      <c r="C408" s="77"/>
      <c r="D408" s="77"/>
      <c r="E408" s="77"/>
      <c r="F408" s="77"/>
      <c r="G408" s="77"/>
      <c r="H408" s="77"/>
      <c r="I408" s="77"/>
      <c r="J408" s="78"/>
    </row>
    <row r="409" spans="1:27" ht="14.25" customHeight="1">
      <c r="A409" s="74" t="s">
        <v>29</v>
      </c>
      <c r="B409" s="75"/>
      <c r="C409" s="8" t="s">
        <v>30</v>
      </c>
      <c r="D409" s="8" t="s">
        <v>31</v>
      </c>
      <c r="E409" s="74" t="s">
        <v>32</v>
      </c>
      <c r="F409" s="75"/>
      <c r="G409" s="74" t="s">
        <v>26</v>
      </c>
      <c r="H409" s="75"/>
      <c r="I409" s="74" t="s">
        <v>27</v>
      </c>
      <c r="J409" s="75"/>
    </row>
    <row r="410" spans="1:27" ht="14.25" customHeight="1">
      <c r="A410" s="76" t="s">
        <v>61</v>
      </c>
      <c r="B410" s="78"/>
      <c r="C410" s="8">
        <v>3</v>
      </c>
      <c r="D410" s="8">
        <v>15</v>
      </c>
      <c r="E410" s="74"/>
      <c r="F410" s="75"/>
      <c r="G410" s="74"/>
      <c r="H410" s="75"/>
      <c r="I410" s="74"/>
      <c r="J410" s="75"/>
    </row>
    <row r="411" spans="1:27" ht="14.25" customHeight="1">
      <c r="A411" s="76" t="s">
        <v>93</v>
      </c>
      <c r="B411" s="78"/>
      <c r="C411" s="8">
        <v>1</v>
      </c>
      <c r="D411" s="8">
        <v>1</v>
      </c>
      <c r="E411" s="74"/>
      <c r="F411" s="75"/>
      <c r="G411" s="74"/>
      <c r="H411" s="75"/>
      <c r="I411" s="74"/>
      <c r="J411" s="75"/>
    </row>
    <row r="412" spans="1:27" ht="14.25" customHeight="1">
      <c r="A412" s="101" t="s">
        <v>45</v>
      </c>
      <c r="B412" s="102"/>
      <c r="C412" s="102"/>
      <c r="D412" s="102"/>
      <c r="E412" s="102"/>
      <c r="F412" s="102"/>
      <c r="G412" s="102"/>
      <c r="H412" s="102"/>
      <c r="I412" s="102"/>
      <c r="J412" s="103"/>
    </row>
    <row r="413" spans="1:27" ht="14.25" customHeight="1">
      <c r="A413" s="104"/>
      <c r="B413" s="105"/>
      <c r="C413" s="105"/>
      <c r="D413" s="105"/>
      <c r="E413" s="105"/>
      <c r="F413" s="105"/>
      <c r="G413" s="105"/>
      <c r="H413" s="105"/>
      <c r="I413" s="105"/>
      <c r="J413" s="106"/>
    </row>
    <row r="414" spans="1:27" ht="14.25" customHeight="1">
      <c r="A414" s="79" t="s">
        <v>97</v>
      </c>
      <c r="B414" s="80"/>
      <c r="C414" s="80"/>
      <c r="D414" s="80"/>
      <c r="E414" s="80"/>
      <c r="F414" s="80"/>
      <c r="G414" s="80"/>
      <c r="H414" s="80"/>
      <c r="I414" s="80"/>
      <c r="J414" s="81"/>
      <c r="M414" s="4"/>
      <c r="N414" s="5"/>
      <c r="O414" s="6"/>
      <c r="S414" s="6"/>
      <c r="W414" s="6"/>
      <c r="AA414" s="6"/>
    </row>
    <row r="415" spans="1:27" ht="14.25" customHeight="1">
      <c r="A415" s="82"/>
      <c r="B415" s="83"/>
      <c r="C415" s="83"/>
      <c r="D415" s="83"/>
      <c r="E415" s="83"/>
      <c r="F415" s="83"/>
      <c r="G415" s="83"/>
      <c r="H415" s="83"/>
      <c r="I415" s="83"/>
      <c r="J415" s="84"/>
    </row>
    <row r="416" spans="1:27" ht="14.25" customHeight="1">
      <c r="A416" s="82"/>
      <c r="B416" s="83"/>
      <c r="C416" s="83"/>
      <c r="D416" s="83"/>
      <c r="E416" s="83"/>
      <c r="F416" s="83"/>
      <c r="G416" s="83"/>
      <c r="H416" s="83"/>
      <c r="I416" s="83"/>
      <c r="J416" s="84"/>
    </row>
    <row r="417" spans="1:10" ht="14.25" customHeight="1">
      <c r="A417" s="82"/>
      <c r="B417" s="83"/>
      <c r="C417" s="83"/>
      <c r="D417" s="83"/>
      <c r="E417" s="83"/>
      <c r="F417" s="83"/>
      <c r="G417" s="83"/>
      <c r="H417" s="83"/>
      <c r="I417" s="83"/>
      <c r="J417" s="84"/>
    </row>
    <row r="418" spans="1:10" ht="14.25" customHeight="1">
      <c r="A418" s="82"/>
      <c r="B418" s="83"/>
      <c r="C418" s="83"/>
      <c r="D418" s="83"/>
      <c r="E418" s="83"/>
      <c r="F418" s="83"/>
      <c r="G418" s="83"/>
      <c r="H418" s="83"/>
      <c r="I418" s="83"/>
      <c r="J418" s="84"/>
    </row>
    <row r="419" spans="1:10" ht="14.25" customHeight="1">
      <c r="A419" s="82"/>
      <c r="B419" s="83"/>
      <c r="C419" s="83"/>
      <c r="D419" s="83"/>
      <c r="E419" s="83"/>
      <c r="F419" s="83"/>
      <c r="G419" s="83"/>
      <c r="H419" s="83"/>
      <c r="I419" s="83"/>
      <c r="J419" s="84"/>
    </row>
    <row r="420" spans="1:10" ht="14.25" customHeight="1">
      <c r="A420" s="42" t="s">
        <v>33</v>
      </c>
      <c r="B420" s="43"/>
      <c r="C420" s="43"/>
      <c r="D420" s="43"/>
      <c r="E420" s="43"/>
      <c r="F420" s="43"/>
      <c r="G420" s="43"/>
      <c r="H420" s="43"/>
      <c r="I420" s="43"/>
      <c r="J420" s="44"/>
    </row>
    <row r="421" spans="1:10" ht="14.25" customHeight="1">
      <c r="A421" s="45"/>
      <c r="B421" s="46"/>
      <c r="C421" s="46"/>
      <c r="D421" s="46"/>
      <c r="E421" s="46"/>
      <c r="F421" s="46"/>
      <c r="G421" s="46"/>
      <c r="H421" s="46"/>
      <c r="I421" s="46"/>
      <c r="J421" s="47"/>
    </row>
    <row r="422" spans="1:10" ht="14.25" customHeight="1">
      <c r="A422" s="42" t="s">
        <v>34</v>
      </c>
      <c r="B422" s="43"/>
      <c r="C422" s="43"/>
      <c r="D422" s="43"/>
      <c r="E422" s="43"/>
      <c r="F422" s="43"/>
      <c r="G422" s="43"/>
      <c r="H422" s="43"/>
      <c r="I422" s="43"/>
      <c r="J422" s="44"/>
    </row>
    <row r="423" spans="1:10" ht="14.25" customHeight="1">
      <c r="A423" s="45"/>
      <c r="B423" s="46"/>
      <c r="C423" s="46"/>
      <c r="D423" s="46"/>
      <c r="E423" s="46"/>
      <c r="F423" s="46"/>
      <c r="G423" s="46"/>
      <c r="H423" s="46"/>
      <c r="I423" s="46"/>
      <c r="J423" s="47"/>
    </row>
    <row r="424" spans="1:10" ht="14.25" customHeight="1">
      <c r="A424" s="42" t="s">
        <v>94</v>
      </c>
      <c r="B424" s="43"/>
      <c r="C424" s="43"/>
      <c r="D424" s="43"/>
      <c r="E424" s="43"/>
      <c r="F424" s="43"/>
      <c r="G424" s="43"/>
      <c r="H424" s="43"/>
      <c r="I424" s="43"/>
      <c r="J424" s="44"/>
    </row>
    <row r="425" spans="1:10" ht="14.25" customHeight="1">
      <c r="A425" s="45"/>
      <c r="B425" s="46"/>
      <c r="C425" s="46"/>
      <c r="D425" s="46"/>
      <c r="E425" s="46"/>
      <c r="F425" s="46"/>
      <c r="G425" s="46"/>
      <c r="H425" s="46"/>
      <c r="I425" s="46"/>
      <c r="J425" s="47"/>
    </row>
    <row r="426" spans="1:10" ht="14.25" customHeight="1">
      <c r="A426" s="42" t="s">
        <v>35</v>
      </c>
      <c r="B426" s="43"/>
      <c r="C426" s="43"/>
      <c r="D426" s="43"/>
      <c r="E426" s="43"/>
      <c r="F426" s="43"/>
      <c r="G426" s="43"/>
      <c r="H426" s="43"/>
      <c r="I426" s="43"/>
      <c r="J426" s="44"/>
    </row>
    <row r="427" spans="1:10" ht="14.25" customHeight="1">
      <c r="A427" s="45"/>
      <c r="B427" s="46"/>
      <c r="C427" s="46"/>
      <c r="D427" s="46"/>
      <c r="E427" s="46"/>
      <c r="F427" s="46"/>
      <c r="G427" s="46"/>
      <c r="H427" s="46"/>
      <c r="I427" s="46"/>
      <c r="J427" s="47"/>
    </row>
    <row r="428" spans="1:10" ht="14.25" customHeight="1">
      <c r="A428" s="85" t="s">
        <v>36</v>
      </c>
      <c r="B428" s="85"/>
      <c r="C428" s="85"/>
      <c r="D428" s="85"/>
      <c r="E428" s="85"/>
      <c r="F428" s="85"/>
      <c r="G428" s="85"/>
      <c r="H428" s="85"/>
      <c r="I428" s="85"/>
      <c r="J428" s="85"/>
    </row>
    <row r="429" spans="1:10" ht="14.25" customHeight="1">
      <c r="A429" s="48" t="s">
        <v>37</v>
      </c>
      <c r="B429" s="48"/>
      <c r="C429" s="48"/>
      <c r="D429" s="48"/>
      <c r="E429" s="48"/>
      <c r="F429" s="48"/>
      <c r="G429" s="48"/>
      <c r="H429" s="48"/>
      <c r="I429" s="48"/>
      <c r="J429" s="48"/>
    </row>
    <row r="430" spans="1:10" ht="14.25" customHeight="1">
      <c r="A430" s="48" t="s">
        <v>38</v>
      </c>
      <c r="B430" s="48"/>
      <c r="C430" s="48"/>
      <c r="D430" s="48"/>
      <c r="E430" s="48"/>
      <c r="F430" s="48"/>
      <c r="G430" s="48"/>
      <c r="H430" s="48"/>
      <c r="I430" s="48"/>
      <c r="J430" s="48"/>
    </row>
    <row r="431" spans="1:10" ht="14.25" customHeight="1">
      <c r="A431" s="48" t="s">
        <v>39</v>
      </c>
      <c r="B431" s="48"/>
      <c r="C431" s="48"/>
      <c r="D431" s="48"/>
      <c r="E431" s="48"/>
      <c r="F431" s="48"/>
      <c r="G431" s="48"/>
      <c r="H431" s="48"/>
      <c r="I431" s="48"/>
      <c r="J431" s="48"/>
    </row>
    <row r="432" spans="1:10" ht="14.25" customHeight="1">
      <c r="A432" s="48" t="s">
        <v>40</v>
      </c>
      <c r="B432" s="48"/>
      <c r="C432" s="48"/>
      <c r="D432" s="48"/>
      <c r="E432" s="48"/>
      <c r="F432" s="48"/>
      <c r="G432" s="48"/>
      <c r="H432" s="48"/>
      <c r="I432" s="48"/>
      <c r="J432" s="48"/>
    </row>
    <row r="433" spans="1:10" ht="14.25" customHeight="1">
      <c r="A433" s="48" t="s">
        <v>41</v>
      </c>
      <c r="B433" s="48"/>
      <c r="C433" s="48"/>
      <c r="D433" s="48"/>
      <c r="E433" s="48"/>
      <c r="F433" s="48"/>
      <c r="G433" s="48"/>
      <c r="H433" s="48"/>
      <c r="I433" s="48"/>
      <c r="J433" s="48"/>
    </row>
    <row r="434" spans="1:10" ht="14.25" customHeight="1">
      <c r="A434" s="48" t="s">
        <v>42</v>
      </c>
      <c r="B434" s="48"/>
      <c r="C434" s="48"/>
      <c r="D434" s="48"/>
      <c r="E434" s="48"/>
      <c r="F434" s="48"/>
      <c r="G434" s="48"/>
      <c r="H434" s="48"/>
      <c r="I434" s="48"/>
      <c r="J434" s="48"/>
    </row>
    <row r="435" spans="1:10" ht="14.25" customHeight="1">
      <c r="A435" s="49" t="s">
        <v>43</v>
      </c>
      <c r="B435" s="49"/>
      <c r="C435" s="49"/>
      <c r="D435" s="49"/>
      <c r="E435" s="49"/>
      <c r="F435" s="49"/>
      <c r="G435" s="49"/>
      <c r="H435" s="49"/>
      <c r="I435" s="49"/>
      <c r="J435" s="49"/>
    </row>
    <row r="436" spans="1:10" ht="14.25" customHeight="1">
      <c r="A436" s="48" t="s">
        <v>44</v>
      </c>
      <c r="B436" s="48"/>
      <c r="C436" s="48"/>
      <c r="D436" s="48"/>
      <c r="E436" s="48"/>
      <c r="F436" s="48"/>
      <c r="G436" s="48"/>
      <c r="H436" s="48"/>
      <c r="I436" s="48"/>
      <c r="J436" s="48"/>
    </row>
    <row r="437" spans="1:10" ht="29.25" customHeight="1">
      <c r="A437" s="50" t="s">
        <v>51</v>
      </c>
      <c r="B437" s="50"/>
      <c r="C437" s="50"/>
      <c r="D437" s="50"/>
      <c r="E437" s="50"/>
      <c r="F437" s="50"/>
      <c r="G437" s="50"/>
      <c r="H437" s="50"/>
      <c r="I437" s="50"/>
      <c r="J437" s="50"/>
    </row>
    <row r="438" spans="1:10" ht="14.25" customHeight="1">
      <c r="A438" s="51" t="s">
        <v>49</v>
      </c>
      <c r="B438" s="51"/>
      <c r="C438" s="51"/>
      <c r="D438" s="51"/>
      <c r="E438" s="51"/>
      <c r="F438" s="51"/>
      <c r="G438" s="51"/>
      <c r="H438" s="51"/>
      <c r="I438" s="51"/>
      <c r="J438" s="51"/>
    </row>
    <row r="439" spans="1:10" ht="14.25" customHeight="1"/>
  </sheetData>
  <mergeCells count="864">
    <mergeCell ref="A424:J425"/>
    <mergeCell ref="A426:J427"/>
    <mergeCell ref="A433:J433"/>
    <mergeCell ref="A429:J429"/>
    <mergeCell ref="A428:J428"/>
    <mergeCell ref="A430:J430"/>
    <mergeCell ref="A431:J431"/>
    <mergeCell ref="A432:J432"/>
    <mergeCell ref="A434:J434"/>
    <mergeCell ref="A435:J435"/>
    <mergeCell ref="A436:J436"/>
    <mergeCell ref="A437:J437"/>
    <mergeCell ref="A438:J438"/>
    <mergeCell ref="A408:J408"/>
    <mergeCell ref="A409:B409"/>
    <mergeCell ref="E409:F409"/>
    <mergeCell ref="G409:H409"/>
    <mergeCell ref="I409:J409"/>
    <mergeCell ref="A410:B410"/>
    <mergeCell ref="E410:F410"/>
    <mergeCell ref="G410:H410"/>
    <mergeCell ref="I410:J410"/>
    <mergeCell ref="A411:B411"/>
    <mergeCell ref="E411:F411"/>
    <mergeCell ref="G411:H411"/>
    <mergeCell ref="I411:J411"/>
    <mergeCell ref="A412:J413"/>
    <mergeCell ref="A414:J419"/>
    <mergeCell ref="A420:J421"/>
    <mergeCell ref="A422:J423"/>
    <mergeCell ref="A405:C405"/>
    <mergeCell ref="F405:G405"/>
    <mergeCell ref="H405:I405"/>
    <mergeCell ref="A406:C406"/>
    <mergeCell ref="F406:G406"/>
    <mergeCell ref="H406:I406"/>
    <mergeCell ref="A407:C407"/>
    <mergeCell ref="F407:G407"/>
    <mergeCell ref="H407:I407"/>
    <mergeCell ref="A402:C402"/>
    <mergeCell ref="F402:G402"/>
    <mergeCell ref="H402:I402"/>
    <mergeCell ref="A403:C403"/>
    <mergeCell ref="F403:G403"/>
    <mergeCell ref="H403:I403"/>
    <mergeCell ref="A401:C401"/>
    <mergeCell ref="F401:G401"/>
    <mergeCell ref="H401:I401"/>
    <mergeCell ref="A404:J404"/>
    <mergeCell ref="A400:C400"/>
    <mergeCell ref="F400:G400"/>
    <mergeCell ref="H400:I400"/>
    <mergeCell ref="A394:C394"/>
    <mergeCell ref="F394:G394"/>
    <mergeCell ref="H394:I394"/>
    <mergeCell ref="A395:C395"/>
    <mergeCell ref="F395:G395"/>
    <mergeCell ref="H395:I395"/>
    <mergeCell ref="A396:C396"/>
    <mergeCell ref="F396:G396"/>
    <mergeCell ref="H396:I396"/>
    <mergeCell ref="A389:C389"/>
    <mergeCell ref="F389:G389"/>
    <mergeCell ref="H389:I389"/>
    <mergeCell ref="A391:C391"/>
    <mergeCell ref="F391:G391"/>
    <mergeCell ref="H391:I391"/>
    <mergeCell ref="A392:C392"/>
    <mergeCell ref="F392:G392"/>
    <mergeCell ref="H392:I392"/>
    <mergeCell ref="A390:C390"/>
    <mergeCell ref="F390:G390"/>
    <mergeCell ref="H390:I390"/>
    <mergeCell ref="A393:C393"/>
    <mergeCell ref="F393:G393"/>
    <mergeCell ref="H393:I393"/>
    <mergeCell ref="A398:C398"/>
    <mergeCell ref="F398:G398"/>
    <mergeCell ref="H398:I398"/>
    <mergeCell ref="F368:G368"/>
    <mergeCell ref="H368:I368"/>
    <mergeCell ref="A369:B370"/>
    <mergeCell ref="C369:E370"/>
    <mergeCell ref="F369:G370"/>
    <mergeCell ref="H369:J370"/>
    <mergeCell ref="C371:D371"/>
    <mergeCell ref="H371:I371"/>
    <mergeCell ref="A372:B372"/>
    <mergeCell ref="C372:E372"/>
    <mergeCell ref="F372:G372"/>
    <mergeCell ref="H372:J372"/>
    <mergeCell ref="A397:C397"/>
    <mergeCell ref="F397:G397"/>
    <mergeCell ref="H397:I397"/>
    <mergeCell ref="A399:C399"/>
    <mergeCell ref="F399:G399"/>
    <mergeCell ref="H399:I399"/>
    <mergeCell ref="A384:C384"/>
    <mergeCell ref="F384:G384"/>
    <mergeCell ref="H384:I384"/>
    <mergeCell ref="A388:C388"/>
    <mergeCell ref="F388:G388"/>
    <mergeCell ref="H388:I388"/>
    <mergeCell ref="A337:B337"/>
    <mergeCell ref="E337:F337"/>
    <mergeCell ref="G337:H337"/>
    <mergeCell ref="I337:J337"/>
    <mergeCell ref="A338:B338"/>
    <mergeCell ref="E338:F338"/>
    <mergeCell ref="G338:H338"/>
    <mergeCell ref="I338:J338"/>
    <mergeCell ref="A339:J340"/>
    <mergeCell ref="A341:J346"/>
    <mergeCell ref="H380:I380"/>
    <mergeCell ref="F381:G381"/>
    <mergeCell ref="F382:G382"/>
    <mergeCell ref="F377:G377"/>
    <mergeCell ref="H377:I377"/>
    <mergeCell ref="A364:J364"/>
    <mergeCell ref="A365:J365"/>
    <mergeCell ref="A366:J366"/>
    <mergeCell ref="A347:J348"/>
    <mergeCell ref="A349:J350"/>
    <mergeCell ref="A351:J352"/>
    <mergeCell ref="A353:J354"/>
    <mergeCell ref="A355:J355"/>
    <mergeCell ref="A356:J356"/>
    <mergeCell ref="A357:J357"/>
    <mergeCell ref="A358:J358"/>
    <mergeCell ref="A359:J359"/>
    <mergeCell ref="A360:J360"/>
    <mergeCell ref="A361:J361"/>
    <mergeCell ref="A362:J362"/>
    <mergeCell ref="A363:J363"/>
    <mergeCell ref="A368:E368"/>
    <mergeCell ref="A322:C322"/>
    <mergeCell ref="F322:G322"/>
    <mergeCell ref="H322:I322"/>
    <mergeCell ref="A323:C323"/>
    <mergeCell ref="F323:G323"/>
    <mergeCell ref="H323:I323"/>
    <mergeCell ref="A324:C324"/>
    <mergeCell ref="F324:G324"/>
    <mergeCell ref="H324:I324"/>
    <mergeCell ref="A331:J331"/>
    <mergeCell ref="A334:C334"/>
    <mergeCell ref="F334:G334"/>
    <mergeCell ref="H334:I334"/>
    <mergeCell ref="A335:J335"/>
    <mergeCell ref="A336:B336"/>
    <mergeCell ref="E336:F336"/>
    <mergeCell ref="G336:H336"/>
    <mergeCell ref="I336:J336"/>
    <mergeCell ref="A332:C332"/>
    <mergeCell ref="F332:G332"/>
    <mergeCell ref="H332:I332"/>
    <mergeCell ref="A333:C333"/>
    <mergeCell ref="F333:G333"/>
    <mergeCell ref="H333:I333"/>
    <mergeCell ref="A328:C328"/>
    <mergeCell ref="F328:G328"/>
    <mergeCell ref="H328:I328"/>
    <mergeCell ref="A329:C329"/>
    <mergeCell ref="F329:G329"/>
    <mergeCell ref="H329:I329"/>
    <mergeCell ref="A330:C330"/>
    <mergeCell ref="F330:G330"/>
    <mergeCell ref="H330:I330"/>
    <mergeCell ref="A325:C325"/>
    <mergeCell ref="F325:G325"/>
    <mergeCell ref="H325:I325"/>
    <mergeCell ref="A326:C326"/>
    <mergeCell ref="F326:G326"/>
    <mergeCell ref="H326:I326"/>
    <mergeCell ref="A327:C327"/>
    <mergeCell ref="F327:G327"/>
    <mergeCell ref="H327:I327"/>
    <mergeCell ref="A311:C311"/>
    <mergeCell ref="F311:G311"/>
    <mergeCell ref="H311:I311"/>
    <mergeCell ref="A312:C312"/>
    <mergeCell ref="F312:G312"/>
    <mergeCell ref="H312:I312"/>
    <mergeCell ref="A313:C313"/>
    <mergeCell ref="F313:G313"/>
    <mergeCell ref="H313:I313"/>
    <mergeCell ref="A308:C308"/>
    <mergeCell ref="F308:G308"/>
    <mergeCell ref="H308:I308"/>
    <mergeCell ref="A309:C309"/>
    <mergeCell ref="F309:G309"/>
    <mergeCell ref="H309:I309"/>
    <mergeCell ref="A310:C310"/>
    <mergeCell ref="F310:G310"/>
    <mergeCell ref="H310:I310"/>
    <mergeCell ref="A318:C318"/>
    <mergeCell ref="F318:G318"/>
    <mergeCell ref="H318:I318"/>
    <mergeCell ref="A320:C320"/>
    <mergeCell ref="F320:G320"/>
    <mergeCell ref="H320:I320"/>
    <mergeCell ref="A321:C321"/>
    <mergeCell ref="F321:G321"/>
    <mergeCell ref="H321:I321"/>
    <mergeCell ref="A314:C314"/>
    <mergeCell ref="F314:G314"/>
    <mergeCell ref="H314:I314"/>
    <mergeCell ref="A316:C316"/>
    <mergeCell ref="F316:G316"/>
    <mergeCell ref="H316:I316"/>
    <mergeCell ref="A317:C317"/>
    <mergeCell ref="F317:G317"/>
    <mergeCell ref="H317:I317"/>
    <mergeCell ref="A315:C315"/>
    <mergeCell ref="F315:G315"/>
    <mergeCell ref="H315:I315"/>
    <mergeCell ref="A319:C319"/>
    <mergeCell ref="F319:G319"/>
    <mergeCell ref="H319:I319"/>
    <mergeCell ref="A264:B264"/>
    <mergeCell ref="E264:F264"/>
    <mergeCell ref="G264:H264"/>
    <mergeCell ref="I264:J264"/>
    <mergeCell ref="A265:B265"/>
    <mergeCell ref="E265:F265"/>
    <mergeCell ref="G265:H265"/>
    <mergeCell ref="I265:J265"/>
    <mergeCell ref="A266:J267"/>
    <mergeCell ref="A268:J273"/>
    <mergeCell ref="A287:J287"/>
    <mergeCell ref="A284:J284"/>
    <mergeCell ref="A305:C305"/>
    <mergeCell ref="F305:G305"/>
    <mergeCell ref="H305:I305"/>
    <mergeCell ref="A306:C306"/>
    <mergeCell ref="F306:G306"/>
    <mergeCell ref="H306:I306"/>
    <mergeCell ref="F300:G300"/>
    <mergeCell ref="A302:C302"/>
    <mergeCell ref="F302:G302"/>
    <mergeCell ref="H302:I302"/>
    <mergeCell ref="H298:I298"/>
    <mergeCell ref="F299:G299"/>
    <mergeCell ref="F295:G295"/>
    <mergeCell ref="H295:I295"/>
    <mergeCell ref="A235:C235"/>
    <mergeCell ref="F235:G235"/>
    <mergeCell ref="A258:J258"/>
    <mergeCell ref="A262:J262"/>
    <mergeCell ref="A259:C259"/>
    <mergeCell ref="F259:G259"/>
    <mergeCell ref="H259:I259"/>
    <mergeCell ref="A260:C260"/>
    <mergeCell ref="F260:G260"/>
    <mergeCell ref="H260:I260"/>
    <mergeCell ref="A261:C261"/>
    <mergeCell ref="F261:G261"/>
    <mergeCell ref="H261:I261"/>
    <mergeCell ref="A263:B263"/>
    <mergeCell ref="E263:F263"/>
    <mergeCell ref="G263:H263"/>
    <mergeCell ref="I263:J263"/>
    <mergeCell ref="A228:J228"/>
    <mergeCell ref="A229:C229"/>
    <mergeCell ref="F229:G229"/>
    <mergeCell ref="H229:I229"/>
    <mergeCell ref="A230:J230"/>
    <mergeCell ref="A231:C231"/>
    <mergeCell ref="F231:G231"/>
    <mergeCell ref="H231:I231"/>
    <mergeCell ref="A232:C232"/>
    <mergeCell ref="F232:G232"/>
    <mergeCell ref="H232:I232"/>
    <mergeCell ref="A233:C233"/>
    <mergeCell ref="F233:G233"/>
    <mergeCell ref="H233:I233"/>
    <mergeCell ref="A234:C234"/>
    <mergeCell ref="F234:G234"/>
    <mergeCell ref="H234:I234"/>
    <mergeCell ref="A218:J218"/>
    <mergeCell ref="A219:J219"/>
    <mergeCell ref="A220:J220"/>
    <mergeCell ref="A222:E222"/>
    <mergeCell ref="A223:B224"/>
    <mergeCell ref="C223:E224"/>
    <mergeCell ref="F223:G224"/>
    <mergeCell ref="H223:J224"/>
    <mergeCell ref="F226:G226"/>
    <mergeCell ref="F227:G227"/>
    <mergeCell ref="C225:D225"/>
    <mergeCell ref="H225:I225"/>
    <mergeCell ref="A226:B226"/>
    <mergeCell ref="C226:E226"/>
    <mergeCell ref="H226:J226"/>
    <mergeCell ref="A227:B227"/>
    <mergeCell ref="C227:E227"/>
    <mergeCell ref="H227:J227"/>
    <mergeCell ref="A142:J142"/>
    <mergeCell ref="A143:J143"/>
    <mergeCell ref="A144:J144"/>
    <mergeCell ref="A145:J145"/>
    <mergeCell ref="A146:J146"/>
    <mergeCell ref="A116:J116"/>
    <mergeCell ref="A184:C184"/>
    <mergeCell ref="F184:G184"/>
    <mergeCell ref="H184:I184"/>
    <mergeCell ref="A186:C186"/>
    <mergeCell ref="F186:G186"/>
    <mergeCell ref="H186:I186"/>
    <mergeCell ref="A180:C180"/>
    <mergeCell ref="F180:G180"/>
    <mergeCell ref="H180:I180"/>
    <mergeCell ref="A182:C182"/>
    <mergeCell ref="F182:G182"/>
    <mergeCell ref="H182:I182"/>
    <mergeCell ref="A183:C183"/>
    <mergeCell ref="F183:G183"/>
    <mergeCell ref="H183:I183"/>
    <mergeCell ref="A177:C177"/>
    <mergeCell ref="F177:G177"/>
    <mergeCell ref="H177:I177"/>
    <mergeCell ref="A178:C178"/>
    <mergeCell ref="F178:G178"/>
    <mergeCell ref="H178:I178"/>
    <mergeCell ref="A179:C179"/>
    <mergeCell ref="F179:G179"/>
    <mergeCell ref="H179:I179"/>
    <mergeCell ref="A174:C174"/>
    <mergeCell ref="F174:G174"/>
    <mergeCell ref="A122:J127"/>
    <mergeCell ref="A128:J129"/>
    <mergeCell ref="A130:J131"/>
    <mergeCell ref="A132:J133"/>
    <mergeCell ref="A134:J135"/>
    <mergeCell ref="G118:H118"/>
    <mergeCell ref="I118:J118"/>
    <mergeCell ref="A119:B119"/>
    <mergeCell ref="E119:F119"/>
    <mergeCell ref="G119:H119"/>
    <mergeCell ref="I119:J119"/>
    <mergeCell ref="A115:C115"/>
    <mergeCell ref="F115:G115"/>
    <mergeCell ref="H115:I115"/>
    <mergeCell ref="E117:F117"/>
    <mergeCell ref="A118:B118"/>
    <mergeCell ref="E118:F118"/>
    <mergeCell ref="F25:G25"/>
    <mergeCell ref="G46:H46"/>
    <mergeCell ref="I46:J46"/>
    <mergeCell ref="C77:E78"/>
    <mergeCell ref="F77:G78"/>
    <mergeCell ref="H77:J78"/>
    <mergeCell ref="A76:E76"/>
    <mergeCell ref="F40:G40"/>
    <mergeCell ref="A36:C36"/>
    <mergeCell ref="F36:G36"/>
    <mergeCell ref="A31:C31"/>
    <mergeCell ref="H25:I25"/>
    <mergeCell ref="A74:J74"/>
    <mergeCell ref="A59:J60"/>
    <mergeCell ref="A61:J62"/>
    <mergeCell ref="H168:I168"/>
    <mergeCell ref="A158:C158"/>
    <mergeCell ref="F158:G158"/>
    <mergeCell ref="H158:I158"/>
    <mergeCell ref="A153:B153"/>
    <mergeCell ref="C153:E153"/>
    <mergeCell ref="H153:J153"/>
    <mergeCell ref="A154:B154"/>
    <mergeCell ref="C154:E154"/>
    <mergeCell ref="H154:J154"/>
    <mergeCell ref="A149:E149"/>
    <mergeCell ref="A150:B151"/>
    <mergeCell ref="C150:E151"/>
    <mergeCell ref="F150:G151"/>
    <mergeCell ref="H150:J151"/>
    <mergeCell ref="C152:D152"/>
    <mergeCell ref="A120:J121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H21:I21"/>
    <mergeCell ref="A73:J73"/>
    <mergeCell ref="A72:J72"/>
    <mergeCell ref="H22:I22"/>
    <mergeCell ref="A26:C26"/>
    <mergeCell ref="F26:G26"/>
    <mergeCell ref="H26:I26"/>
    <mergeCell ref="A27:C27"/>
    <mergeCell ref="F27:G27"/>
    <mergeCell ref="H27:I27"/>
    <mergeCell ref="A22:C22"/>
    <mergeCell ref="F22:G22"/>
    <mergeCell ref="A23:C23"/>
    <mergeCell ref="F23:G23"/>
    <mergeCell ref="H23:I23"/>
    <mergeCell ref="A24:C24"/>
    <mergeCell ref="F24:G24"/>
    <mergeCell ref="H24:I24"/>
    <mergeCell ref="A25:C25"/>
    <mergeCell ref="A47:J48"/>
    <mergeCell ref="A49:J54"/>
    <mergeCell ref="A55:J56"/>
    <mergeCell ref="A57:J58"/>
    <mergeCell ref="G45:H45"/>
    <mergeCell ref="I45:J45"/>
    <mergeCell ref="A46:B46"/>
    <mergeCell ref="E46:F46"/>
    <mergeCell ref="A34:C34"/>
    <mergeCell ref="F34:G34"/>
    <mergeCell ref="H30:I30"/>
    <mergeCell ref="A29:C29"/>
    <mergeCell ref="H33:I33"/>
    <mergeCell ref="F29:G29"/>
    <mergeCell ref="H29:I29"/>
    <mergeCell ref="A30:C30"/>
    <mergeCell ref="F30:G30"/>
    <mergeCell ref="F35:G35"/>
    <mergeCell ref="H35:I35"/>
    <mergeCell ref="A33:C33"/>
    <mergeCell ref="A32:C32"/>
    <mergeCell ref="F33:G33"/>
    <mergeCell ref="A1:J1"/>
    <mergeCell ref="A3:E3"/>
    <mergeCell ref="F3:G3"/>
    <mergeCell ref="H3:I3"/>
    <mergeCell ref="A4:B5"/>
    <mergeCell ref="C4:E5"/>
    <mergeCell ref="F4:G5"/>
    <mergeCell ref="H4:J5"/>
    <mergeCell ref="A8:B8"/>
    <mergeCell ref="C8:E8"/>
    <mergeCell ref="F8:G8"/>
    <mergeCell ref="H8:J8"/>
    <mergeCell ref="C6:D6"/>
    <mergeCell ref="F14:G14"/>
    <mergeCell ref="H14:I14"/>
    <mergeCell ref="A28:C28"/>
    <mergeCell ref="F28:G28"/>
    <mergeCell ref="H28:I28"/>
    <mergeCell ref="F31:G31"/>
    <mergeCell ref="H31:I31"/>
    <mergeCell ref="H34:I34"/>
    <mergeCell ref="A21:C21"/>
    <mergeCell ref="F21:G21"/>
    <mergeCell ref="H6:I6"/>
    <mergeCell ref="A7:B7"/>
    <mergeCell ref="C7:E7"/>
    <mergeCell ref="F7:G7"/>
    <mergeCell ref="H7:J7"/>
    <mergeCell ref="A11:J11"/>
    <mergeCell ref="A12:C12"/>
    <mergeCell ref="F12:G12"/>
    <mergeCell ref="H12:I12"/>
    <mergeCell ref="A9:J9"/>
    <mergeCell ref="A10:C10"/>
    <mergeCell ref="F10:G10"/>
    <mergeCell ref="H10:I10"/>
    <mergeCell ref="A13:C13"/>
    <mergeCell ref="F13:G13"/>
    <mergeCell ref="H13:I13"/>
    <mergeCell ref="A14:C14"/>
    <mergeCell ref="F32:G32"/>
    <mergeCell ref="H32:I32"/>
    <mergeCell ref="A45:B45"/>
    <mergeCell ref="E45:F45"/>
    <mergeCell ref="A66:J66"/>
    <mergeCell ref="H114:I114"/>
    <mergeCell ref="H79:I79"/>
    <mergeCell ref="A81:B81"/>
    <mergeCell ref="C81:E81"/>
    <mergeCell ref="F81:G81"/>
    <mergeCell ref="H81:J81"/>
    <mergeCell ref="C79:D79"/>
    <mergeCell ref="A80:B80"/>
    <mergeCell ref="C80:E80"/>
    <mergeCell ref="F113:G113"/>
    <mergeCell ref="H113:I113"/>
    <mergeCell ref="A114:C114"/>
    <mergeCell ref="F114:G114"/>
    <mergeCell ref="A67:J67"/>
    <mergeCell ref="A68:J68"/>
    <mergeCell ref="A63:J63"/>
    <mergeCell ref="A64:J64"/>
    <mergeCell ref="A65:J65"/>
    <mergeCell ref="A70:J70"/>
    <mergeCell ref="A69:J69"/>
    <mergeCell ref="A35:C35"/>
    <mergeCell ref="A112:J112"/>
    <mergeCell ref="A113:C113"/>
    <mergeCell ref="H76:I76"/>
    <mergeCell ref="A77:B78"/>
    <mergeCell ref="H91:I91"/>
    <mergeCell ref="A92:C92"/>
    <mergeCell ref="F92:G92"/>
    <mergeCell ref="H92:I92"/>
    <mergeCell ref="A93:C93"/>
    <mergeCell ref="F93:G93"/>
    <mergeCell ref="H93:I93"/>
    <mergeCell ref="A94:C94"/>
    <mergeCell ref="F94:G94"/>
    <mergeCell ref="A43:J43"/>
    <mergeCell ref="A44:B44"/>
    <mergeCell ref="E44:F44"/>
    <mergeCell ref="G44:H44"/>
    <mergeCell ref="I44:J44"/>
    <mergeCell ref="A39:J39"/>
    <mergeCell ref="A40:C40"/>
    <mergeCell ref="A42:C42"/>
    <mergeCell ref="F42:G42"/>
    <mergeCell ref="H42:I42"/>
    <mergeCell ref="H36:I36"/>
    <mergeCell ref="A37:C37"/>
    <mergeCell ref="F37:G37"/>
    <mergeCell ref="H37:I37"/>
    <mergeCell ref="A82:J82"/>
    <mergeCell ref="A86:C86"/>
    <mergeCell ref="F86:G86"/>
    <mergeCell ref="H86:I86"/>
    <mergeCell ref="A87:C87"/>
    <mergeCell ref="F87:G87"/>
    <mergeCell ref="H87:I87"/>
    <mergeCell ref="A88:C88"/>
    <mergeCell ref="F88:G88"/>
    <mergeCell ref="H88:I88"/>
    <mergeCell ref="A89:C89"/>
    <mergeCell ref="F89:G89"/>
    <mergeCell ref="H89:I89"/>
    <mergeCell ref="A38:C38"/>
    <mergeCell ref="F38:G38"/>
    <mergeCell ref="H38:I38"/>
    <mergeCell ref="A117:B117"/>
    <mergeCell ref="G117:H117"/>
    <mergeCell ref="I117:J117"/>
    <mergeCell ref="A136:J136"/>
    <mergeCell ref="A137:J137"/>
    <mergeCell ref="A138:J138"/>
    <mergeCell ref="A139:J139"/>
    <mergeCell ref="A140:J140"/>
    <mergeCell ref="A141:J141"/>
    <mergeCell ref="F149:G149"/>
    <mergeCell ref="H149:I149"/>
    <mergeCell ref="H152:I152"/>
    <mergeCell ref="F153:G153"/>
    <mergeCell ref="F154:G154"/>
    <mergeCell ref="A155:J155"/>
    <mergeCell ref="A147:J147"/>
    <mergeCell ref="H40:I40"/>
    <mergeCell ref="A41:C41"/>
    <mergeCell ref="F41:G41"/>
    <mergeCell ref="H41:I41"/>
    <mergeCell ref="F80:G80"/>
    <mergeCell ref="H80:J80"/>
    <mergeCell ref="A83:C83"/>
    <mergeCell ref="F83:G83"/>
    <mergeCell ref="H83:I83"/>
    <mergeCell ref="F76:G76"/>
    <mergeCell ref="A71:J71"/>
    <mergeCell ref="A90:C90"/>
    <mergeCell ref="F90:G90"/>
    <mergeCell ref="H90:I90"/>
    <mergeCell ref="A91:C91"/>
    <mergeCell ref="F91:G91"/>
    <mergeCell ref="A156:C156"/>
    <mergeCell ref="F156:G156"/>
    <mergeCell ref="H156:I156"/>
    <mergeCell ref="A157:J157"/>
    <mergeCell ref="A160:C160"/>
    <mergeCell ref="F160:G160"/>
    <mergeCell ref="H160:I160"/>
    <mergeCell ref="A169:C169"/>
    <mergeCell ref="F169:G169"/>
    <mergeCell ref="H169:I169"/>
    <mergeCell ref="A171:C171"/>
    <mergeCell ref="F171:G171"/>
    <mergeCell ref="H171:I171"/>
    <mergeCell ref="A172:C172"/>
    <mergeCell ref="F172:G172"/>
    <mergeCell ref="H172:I172"/>
    <mergeCell ref="A166:C166"/>
    <mergeCell ref="F166:G166"/>
    <mergeCell ref="H166:I166"/>
    <mergeCell ref="A167:C167"/>
    <mergeCell ref="F167:G167"/>
    <mergeCell ref="H167:I167"/>
    <mergeCell ref="A168:C168"/>
    <mergeCell ref="F168:G168"/>
    <mergeCell ref="H174:I174"/>
    <mergeCell ref="A175:C175"/>
    <mergeCell ref="F175:G175"/>
    <mergeCell ref="H175:I175"/>
    <mergeCell ref="A176:C176"/>
    <mergeCell ref="F176:G176"/>
    <mergeCell ref="A161:C161"/>
    <mergeCell ref="F161:G161"/>
    <mergeCell ref="H161:I161"/>
    <mergeCell ref="A163:C163"/>
    <mergeCell ref="F163:G163"/>
    <mergeCell ref="H163:I163"/>
    <mergeCell ref="A164:C164"/>
    <mergeCell ref="F164:G164"/>
    <mergeCell ref="H164:I164"/>
    <mergeCell ref="H176:I176"/>
    <mergeCell ref="A187:C187"/>
    <mergeCell ref="F187:G187"/>
    <mergeCell ref="H187:I187"/>
    <mergeCell ref="A188:C188"/>
    <mergeCell ref="F188:G188"/>
    <mergeCell ref="H188:I188"/>
    <mergeCell ref="A213:J213"/>
    <mergeCell ref="F222:G222"/>
    <mergeCell ref="H222:I222"/>
    <mergeCell ref="A214:J214"/>
    <mergeCell ref="A215:J215"/>
    <mergeCell ref="A216:J216"/>
    <mergeCell ref="A217:J217"/>
    <mergeCell ref="A101:C101"/>
    <mergeCell ref="F101:G101"/>
    <mergeCell ref="H101:I101"/>
    <mergeCell ref="A102:C102"/>
    <mergeCell ref="F102:G102"/>
    <mergeCell ref="H102:I102"/>
    <mergeCell ref="A103:C103"/>
    <mergeCell ref="F103:G103"/>
    <mergeCell ref="H103:I103"/>
    <mergeCell ref="A104:C104"/>
    <mergeCell ref="F104:G104"/>
    <mergeCell ref="H104:I104"/>
    <mergeCell ref="A105:C105"/>
    <mergeCell ref="F105:G105"/>
    <mergeCell ref="H105:I105"/>
    <mergeCell ref="A84:J84"/>
    <mergeCell ref="A85:C85"/>
    <mergeCell ref="F85:G85"/>
    <mergeCell ref="H85:I85"/>
    <mergeCell ref="A159:C159"/>
    <mergeCell ref="F159:G159"/>
    <mergeCell ref="H159:I159"/>
    <mergeCell ref="A162:C162"/>
    <mergeCell ref="F162:G162"/>
    <mergeCell ref="H162:I162"/>
    <mergeCell ref="A165:C165"/>
    <mergeCell ref="F165:G165"/>
    <mergeCell ref="H165:I165"/>
    <mergeCell ref="H94:I94"/>
    <mergeCell ref="A95:C95"/>
    <mergeCell ref="F95:G95"/>
    <mergeCell ref="H95:I95"/>
    <mergeCell ref="A96:C96"/>
    <mergeCell ref="F96:G96"/>
    <mergeCell ref="H96:I96"/>
    <mergeCell ref="A97:C97"/>
    <mergeCell ref="F97:G97"/>
    <mergeCell ref="H97:I97"/>
    <mergeCell ref="A98:C98"/>
    <mergeCell ref="F98:G98"/>
    <mergeCell ref="H98:I98"/>
    <mergeCell ref="A99:C99"/>
    <mergeCell ref="F99:G99"/>
    <mergeCell ref="H99:I99"/>
    <mergeCell ref="A100:C100"/>
    <mergeCell ref="F100:G100"/>
    <mergeCell ref="H100:I100"/>
    <mergeCell ref="A192:B192"/>
    <mergeCell ref="E192:F192"/>
    <mergeCell ref="G192:H192"/>
    <mergeCell ref="I192:J192"/>
    <mergeCell ref="A193:J194"/>
    <mergeCell ref="A195:J200"/>
    <mergeCell ref="A201:J202"/>
    <mergeCell ref="A203:J204"/>
    <mergeCell ref="A205:J206"/>
    <mergeCell ref="A207:J208"/>
    <mergeCell ref="A209:J209"/>
    <mergeCell ref="A210:J210"/>
    <mergeCell ref="A211:J211"/>
    <mergeCell ref="A212:J212"/>
    <mergeCell ref="A106:C106"/>
    <mergeCell ref="F106:G106"/>
    <mergeCell ref="H106:I106"/>
    <mergeCell ref="A107:C107"/>
    <mergeCell ref="F107:G107"/>
    <mergeCell ref="H107:I107"/>
    <mergeCell ref="A108:C108"/>
    <mergeCell ref="F108:G108"/>
    <mergeCell ref="H108:I108"/>
    <mergeCell ref="A109:C109"/>
    <mergeCell ref="F109:G109"/>
    <mergeCell ref="H109:I109"/>
    <mergeCell ref="A110:C110"/>
    <mergeCell ref="F110:G110"/>
    <mergeCell ref="H110:I110"/>
    <mergeCell ref="A111:C111"/>
    <mergeCell ref="F111:G111"/>
    <mergeCell ref="H111:I111"/>
    <mergeCell ref="A170:C170"/>
    <mergeCell ref="F170:G170"/>
    <mergeCell ref="H170:I170"/>
    <mergeCell ref="A173:C173"/>
    <mergeCell ref="F173:G173"/>
    <mergeCell ref="H173:I173"/>
    <mergeCell ref="A181:C181"/>
    <mergeCell ref="F181:G181"/>
    <mergeCell ref="H181:I181"/>
    <mergeCell ref="A185:J185"/>
    <mergeCell ref="A189:J189"/>
    <mergeCell ref="A190:B190"/>
    <mergeCell ref="E190:F190"/>
    <mergeCell ref="G190:H190"/>
    <mergeCell ref="I190:J190"/>
    <mergeCell ref="A191:B191"/>
    <mergeCell ref="E191:F191"/>
    <mergeCell ref="G191:H191"/>
    <mergeCell ref="I191:J191"/>
    <mergeCell ref="F241:G241"/>
    <mergeCell ref="H241:I241"/>
    <mergeCell ref="A242:C242"/>
    <mergeCell ref="F242:G242"/>
    <mergeCell ref="H242:I242"/>
    <mergeCell ref="A243:C243"/>
    <mergeCell ref="F243:G243"/>
    <mergeCell ref="H243:I243"/>
    <mergeCell ref="A244:C244"/>
    <mergeCell ref="F244:G244"/>
    <mergeCell ref="H244:I244"/>
    <mergeCell ref="A245:C245"/>
    <mergeCell ref="F245:G245"/>
    <mergeCell ref="H245:I245"/>
    <mergeCell ref="A246:C246"/>
    <mergeCell ref="F246:G246"/>
    <mergeCell ref="H246:I246"/>
    <mergeCell ref="A253:C253"/>
    <mergeCell ref="F253:G253"/>
    <mergeCell ref="H253:I253"/>
    <mergeCell ref="A254:C254"/>
    <mergeCell ref="F254:G254"/>
    <mergeCell ref="H254:I254"/>
    <mergeCell ref="A255:C255"/>
    <mergeCell ref="F255:G255"/>
    <mergeCell ref="H255:I255"/>
    <mergeCell ref="A256:C256"/>
    <mergeCell ref="F256:G256"/>
    <mergeCell ref="H256:I256"/>
    <mergeCell ref="A257:C257"/>
    <mergeCell ref="F257:G257"/>
    <mergeCell ref="H257:I257"/>
    <mergeCell ref="H235:I235"/>
    <mergeCell ref="A236:C236"/>
    <mergeCell ref="F236:G236"/>
    <mergeCell ref="H236:I236"/>
    <mergeCell ref="A237:C237"/>
    <mergeCell ref="F237:G237"/>
    <mergeCell ref="H237:I237"/>
    <mergeCell ref="A238:C238"/>
    <mergeCell ref="F238:G238"/>
    <mergeCell ref="H238:I238"/>
    <mergeCell ref="A239:C239"/>
    <mergeCell ref="F239:G239"/>
    <mergeCell ref="H239:I239"/>
    <mergeCell ref="A240:C240"/>
    <mergeCell ref="F240:G240"/>
    <mergeCell ref="H240:I240"/>
    <mergeCell ref="A241:C241"/>
    <mergeCell ref="A247:C247"/>
    <mergeCell ref="F247:G247"/>
    <mergeCell ref="H247:I247"/>
    <mergeCell ref="A248:C248"/>
    <mergeCell ref="F248:G248"/>
    <mergeCell ref="H248:I248"/>
    <mergeCell ref="A249:C249"/>
    <mergeCell ref="F249:G249"/>
    <mergeCell ref="H249:I249"/>
    <mergeCell ref="A250:C250"/>
    <mergeCell ref="F250:G250"/>
    <mergeCell ref="H250:I250"/>
    <mergeCell ref="A251:C251"/>
    <mergeCell ref="F251:G251"/>
    <mergeCell ref="H251:I251"/>
    <mergeCell ref="A252:C252"/>
    <mergeCell ref="F252:G252"/>
    <mergeCell ref="H252:I252"/>
    <mergeCell ref="C296:E297"/>
    <mergeCell ref="F296:G297"/>
    <mergeCell ref="H296:J297"/>
    <mergeCell ref="C298:D298"/>
    <mergeCell ref="A299:B299"/>
    <mergeCell ref="C299:E299"/>
    <mergeCell ref="H299:J299"/>
    <mergeCell ref="A300:B300"/>
    <mergeCell ref="C300:E300"/>
    <mergeCell ref="H300:J300"/>
    <mergeCell ref="A301:J301"/>
    <mergeCell ref="A303:J303"/>
    <mergeCell ref="A304:C304"/>
    <mergeCell ref="F304:G304"/>
    <mergeCell ref="H304:I304"/>
    <mergeCell ref="A307:C307"/>
    <mergeCell ref="F307:G307"/>
    <mergeCell ref="H307:I307"/>
    <mergeCell ref="A381:C381"/>
    <mergeCell ref="H381:I381"/>
    <mergeCell ref="A382:C382"/>
    <mergeCell ref="H382:I382"/>
    <mergeCell ref="A383:C383"/>
    <mergeCell ref="F383:G383"/>
    <mergeCell ref="H383:I383"/>
    <mergeCell ref="A385:C385"/>
    <mergeCell ref="F385:G385"/>
    <mergeCell ref="H385:I385"/>
    <mergeCell ref="A386:C386"/>
    <mergeCell ref="F386:G386"/>
    <mergeCell ref="H386:I386"/>
    <mergeCell ref="A387:C387"/>
    <mergeCell ref="F387:G387"/>
    <mergeCell ref="H387:I387"/>
    <mergeCell ref="A274:J275"/>
    <mergeCell ref="A276:J277"/>
    <mergeCell ref="A278:J279"/>
    <mergeCell ref="A280:J281"/>
    <mergeCell ref="A282:J282"/>
    <mergeCell ref="A283:J283"/>
    <mergeCell ref="A285:J285"/>
    <mergeCell ref="A286:J286"/>
    <mergeCell ref="A288:J288"/>
    <mergeCell ref="A289:J289"/>
    <mergeCell ref="A290:J290"/>
    <mergeCell ref="A291:J291"/>
    <mergeCell ref="A292:J292"/>
    <mergeCell ref="A293:J293"/>
    <mergeCell ref="A295:E295"/>
    <mergeCell ref="A296:B297"/>
    <mergeCell ref="A373:B373"/>
    <mergeCell ref="C373:E373"/>
    <mergeCell ref="F373:G373"/>
    <mergeCell ref="H373:J373"/>
    <mergeCell ref="A374:J374"/>
    <mergeCell ref="A375:C375"/>
    <mergeCell ref="F375:G375"/>
    <mergeCell ref="H375:I375"/>
    <mergeCell ref="A376:J376"/>
    <mergeCell ref="A377:C377"/>
    <mergeCell ref="A378:C378"/>
    <mergeCell ref="F378:G378"/>
    <mergeCell ref="H378:I378"/>
    <mergeCell ref="A379:C379"/>
    <mergeCell ref="F379:G379"/>
    <mergeCell ref="H379:I379"/>
    <mergeCell ref="A380:C380"/>
    <mergeCell ref="F380:G380"/>
  </mergeCells>
  <phoneticPr fontId="2" type="noConversion"/>
  <printOptions horizontalCentered="1"/>
  <pageMargins left="0.59055118110236227" right="0.59055118110236227" top="0.74803149606299213" bottom="0.59055118110236227" header="0.31496062992125984" footer="0.31496062992125984"/>
  <pageSetup paperSize="9" scale="70" orientation="portrait" horizontalDpi="360" verticalDpi="360" r:id="rId1"/>
  <headerFooter>
    <oddFooter>&amp;C&amp;P</oddFooter>
  </headerFooter>
  <rowBreaks count="5" manualBreakCount="5">
    <brk id="73" max="16383" man="1"/>
    <brk id="146" max="9" man="1"/>
    <brk id="219" max="9" man="1"/>
    <brk id="292" max="9" man="1"/>
    <brk id="36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1月 </vt:lpstr>
      <vt:lpstr>'1月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瓊瑩 黃</cp:lastModifiedBy>
  <cp:lastPrinted>2026-02-02T02:06:33Z</cp:lastPrinted>
  <dcterms:created xsi:type="dcterms:W3CDTF">2021-09-30T02:16:30Z</dcterms:created>
  <dcterms:modified xsi:type="dcterms:W3CDTF">2026-02-02T02:06:40Z</dcterms:modified>
</cp:coreProperties>
</file>