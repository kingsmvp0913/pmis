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S1\Office_2T\41_施工案28\建_11430_翔霈_龍井國小廁所整修工程_契審平審\51_監造品管\21_施工日報表\"/>
    </mc:Choice>
  </mc:AlternateContent>
  <xr:revisionPtr revIDLastSave="0" documentId="13_ncr:1_{6A75AAF5-8BC8-4A9F-8ADA-5878210985B7}" xr6:coauthVersionLast="47" xr6:coauthVersionMax="47" xr10:uidLastSave="{00000000-0000-0000-0000-000000000000}"/>
  <bookViews>
    <workbookView xWindow="14295" yWindow="0" windowWidth="14610" windowHeight="15585" tabRatio="315" firstSheet="5" activeTab="5" xr2:uid="{00000000-000D-0000-FFFF-FFFF00000000}"/>
  </bookViews>
  <sheets>
    <sheet name="施工日誌封面" sheetId="101" r:id="rId1"/>
    <sheet name="自主檢查表" sheetId="100" r:id="rId2"/>
    <sheet name="封面" sheetId="98" r:id="rId3"/>
    <sheet name="工期不計" sheetId="91" r:id="rId4"/>
    <sheet name="內容" sheetId="79" r:id="rId5"/>
    <sheet name="施工日誌" sheetId="102" r:id="rId6"/>
    <sheet name="新監造" sheetId="94" r:id="rId7"/>
    <sheet name="進度" sheetId="99" r:id="rId8"/>
    <sheet name="工作表2" sheetId="104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definedNames>
    <definedName name="\0">#REF!</definedName>
    <definedName name="\a">#REF!</definedName>
    <definedName name="_" localSheetId="0">#REF!</definedName>
    <definedName name="_">#REF!</definedName>
    <definedName name="_0" localSheetId="0">#REF!</definedName>
    <definedName name="_0">#REF!</definedName>
    <definedName name="_001">#REF!</definedName>
    <definedName name="_002">#REF!</definedName>
    <definedName name="_003">#REF!</definedName>
    <definedName name="_004">#REF!</definedName>
    <definedName name="_005">#REF!</definedName>
    <definedName name="_006">#REF!</definedName>
    <definedName name="_007">#REF!</definedName>
    <definedName name="_008">#REF!</definedName>
    <definedName name="_009">#REF!</definedName>
    <definedName name="_010">#REF!</definedName>
    <definedName name="_011">#REF!</definedName>
    <definedName name="_012">#REF!</definedName>
    <definedName name="_013">#REF!</definedName>
    <definedName name="_014">#REF!</definedName>
    <definedName name="_015">#REF!</definedName>
    <definedName name="_016">#REF!</definedName>
    <definedName name="_017">#REF!</definedName>
    <definedName name="_018">#REF!</definedName>
    <definedName name="_019">#REF!</definedName>
    <definedName name="_020">#REF!</definedName>
    <definedName name="_021">#REF!</definedName>
    <definedName name="_022">#REF!</definedName>
    <definedName name="_023">#REF!</definedName>
    <definedName name="_024">#REF!</definedName>
    <definedName name="_025">#REF!</definedName>
    <definedName name="_026">#REF!</definedName>
    <definedName name="_027">#REF!</definedName>
    <definedName name="_028">#REF!</definedName>
    <definedName name="_029">#REF!</definedName>
    <definedName name="_030">#REF!</definedName>
    <definedName name="_031">#REF!</definedName>
    <definedName name="_032">#REF!</definedName>
    <definedName name="_033">#REF!</definedName>
    <definedName name="_034">#REF!</definedName>
    <definedName name="_035">#REF!</definedName>
    <definedName name="_036">#REF!</definedName>
    <definedName name="_037">#REF!</definedName>
    <definedName name="_038">#REF!</definedName>
    <definedName name="_039">#REF!</definedName>
    <definedName name="_040">#REF!</definedName>
    <definedName name="_041">#REF!</definedName>
    <definedName name="_042">#REF!</definedName>
    <definedName name="_043">#REF!</definedName>
    <definedName name="_044">#REF!</definedName>
    <definedName name="_045">#REF!</definedName>
    <definedName name="_046">#REF!</definedName>
    <definedName name="_047">#REF!</definedName>
    <definedName name="_048">#REF!</definedName>
    <definedName name="_049">#REF!</definedName>
    <definedName name="_050">#REF!</definedName>
    <definedName name="_051">#REF!</definedName>
    <definedName name="_052">#REF!</definedName>
    <definedName name="_053">#REF!</definedName>
    <definedName name="_054">#REF!</definedName>
    <definedName name="_055">#REF!</definedName>
    <definedName name="_056">#REF!</definedName>
    <definedName name="_057">#REF!</definedName>
    <definedName name="_058">#REF!</definedName>
    <definedName name="_059">#REF!</definedName>
    <definedName name="_060">#REF!</definedName>
    <definedName name="_061">#REF!</definedName>
    <definedName name="_062">#REF!</definedName>
    <definedName name="_063">#REF!</definedName>
    <definedName name="_064">#REF!</definedName>
    <definedName name="_065">#REF!</definedName>
    <definedName name="_10CM﹠PVC洩夭管" localSheetId="0">#REF!</definedName>
    <definedName name="_10CM﹠PVC洩夭管">#REF!</definedName>
    <definedName name="_10CM促ＡＣ詳面" localSheetId="0">#REF!</definedName>
    <definedName name="_10CM促ＡＣ詳面">#REF!</definedName>
    <definedName name="_140_KG_CM湜鈷拌" localSheetId="0">#REF!</definedName>
    <definedName name="_140_KG_CM湜鈷拌">#REF!</definedName>
    <definedName name="_175_KG_CM湜鈷拌" localSheetId="0">#REF!</definedName>
    <definedName name="_175_KG_CM湜鈷拌">#REF!</definedName>
    <definedName name="_1B澴封了" localSheetId="0">#REF!</definedName>
    <definedName name="_1B澴封了">#REF!</definedName>
    <definedName name="_210_KG_CM湜鈷拌" localSheetId="0">#REF!</definedName>
    <definedName name="_210_KG_CM湜鈷拌">#REF!</definedName>
    <definedName name="_5CM﹠PVC洩夭管" localSheetId="0">#REF!</definedName>
    <definedName name="_5CM﹠PVC洩夭管">#REF!</definedName>
    <definedName name="_5CM促ＡＣ面嘻" localSheetId="0">#REF!</definedName>
    <definedName name="_5CM促ＡＣ面嘻">#REF!</definedName>
    <definedName name="_5CM促ＡＣ詳面刨" localSheetId="0">#REF!</definedName>
    <definedName name="_5CM促ＡＣ詳面刨">#REF!</definedName>
    <definedName name="_8CM﹠反矢導標_" localSheetId="0">#REF!</definedName>
    <definedName name="_8CM﹠反矢導標_">#REF!</definedName>
    <definedName name="_D__D__BRANCH_\" localSheetId="0">#REF!</definedName>
    <definedName name="_D__D__BRANCH_\">#REF!</definedName>
    <definedName name="_Fill" localSheetId="2" hidden="1">#REF!</definedName>
    <definedName name="_Fill" hidden="1">#REF!</definedName>
    <definedName name="_xlnm._FilterDatabase" localSheetId="4" hidden="1">內容!$A$18:$BG$100</definedName>
    <definedName name="_GETLABEL__請褫" localSheetId="0">#REF!</definedName>
    <definedName name="_GETLABEL__請褫">#REF!</definedName>
    <definedName name="_IF__ISERR_NAME" localSheetId="0">#REF!</definedName>
    <definedName name="_IF__ISERR_NAME">#REF!</definedName>
    <definedName name="_IF_ANS__0___QU" localSheetId="0">#REF!</definedName>
    <definedName name="_IF_ANS__0___QU">#REF!</definedName>
    <definedName name="_LET_NAME__VLOO" localSheetId="0">#REF!</definedName>
    <definedName name="_LET_NAME__VLOO">#REF!</definedName>
    <definedName name="_ppt2">[1]總表!$Y$63:$AE$181</definedName>
    <definedName name="_pre1">#REF!</definedName>
    <definedName name="_pre2">[2]總表!$S$19:$S$56</definedName>
    <definedName name="_pre3">[2]總表!$Z$19:$Z$56</definedName>
    <definedName name="_Regression_Int" hidden="1">1</definedName>
    <definedName name="_RVNAME__" localSheetId="0">#REF!</definedName>
    <definedName name="_RVNAME__">#REF!</definedName>
    <definedName name="_ULA1" localSheetId="0">#REF!</definedName>
    <definedName name="_ULA1">#REF!</definedName>
    <definedName name="A" localSheetId="2" hidden="1">[3]預2!$A$8:$A$36</definedName>
    <definedName name="A" hidden="1">[4]預2!$A$8:$A$36</definedName>
    <definedName name="AA" localSheetId="2" hidden="1">[5]預1!$A$15:$A$34</definedName>
    <definedName name="AA" hidden="1">[6]預1!$A$15:$A$34</definedName>
    <definedName name="AAA">[7]計3!$F$87:$F$126</definedName>
    <definedName name="AAAAAAAAAA">[7]計3!$G$87:$G$126</definedName>
    <definedName name="AAFY" localSheetId="2">[8]總表!#REF!</definedName>
    <definedName name="AAFY" localSheetId="0">[9]總表!#REF!</definedName>
    <definedName name="AAFY">[9]總表!#REF!</definedName>
    <definedName name="ANS">#REF!</definedName>
    <definedName name="cal1b" localSheetId="2">[10]計1!$B$7:$B$46</definedName>
    <definedName name="cal1b">#REF!</definedName>
    <definedName name="cal1f" localSheetId="2">[10]計1!$F$7:$F$46</definedName>
    <definedName name="cal1f">#REF!</definedName>
    <definedName name="CAL1G" localSheetId="2">[10]計1!$G$7:$G$46</definedName>
    <definedName name="CAL1G">#REF!</definedName>
    <definedName name="CAL1I" localSheetId="2">[10]計1!$I$7:$I$46</definedName>
    <definedName name="CAL1I">#REF!</definedName>
    <definedName name="cal2b" localSheetId="2">[10]計2!$B$47:$B$86</definedName>
    <definedName name="cal2b">#REF!</definedName>
    <definedName name="cal2f" localSheetId="2">[10]計2!$F$47:$F$86</definedName>
    <definedName name="cal2f">#REF!</definedName>
    <definedName name="CAL2G" localSheetId="2">[10]計2!$G$47:$G$86</definedName>
    <definedName name="CAL2G">#REF!</definedName>
    <definedName name="CAL2I" localSheetId="2">[10]計2!$I$47:$I$86</definedName>
    <definedName name="CAL2I">#REF!</definedName>
    <definedName name="cal3b" localSheetId="2">[10]計3!$B$87:$B$126</definedName>
    <definedName name="cal3b">[11]計3!$B$87:$B$126</definedName>
    <definedName name="cal3f" localSheetId="2">[10]計3!$F$87:$F$126</definedName>
    <definedName name="cal3f">[11]計3!$F$87:$F$126</definedName>
    <definedName name="CAL3G" localSheetId="2">[10]計3!$G$87:$G$126</definedName>
    <definedName name="CAL3G">[11]計3!$G$87:$G$126</definedName>
    <definedName name="CAL3I" localSheetId="2">[10]計3!$I$87:$I$126</definedName>
    <definedName name="CAL3I">[11]計3!$I$87:$I$126</definedName>
    <definedName name="cal4b" localSheetId="2">[10]計4!$B$127:$B$166</definedName>
    <definedName name="cal4b">[11]計4!$B$127:$B$166</definedName>
    <definedName name="cal4f" localSheetId="2">[10]計4!$F$127:$F$166</definedName>
    <definedName name="cal4f">[11]計4!$F$127:$F$166</definedName>
    <definedName name="CAL4G" localSheetId="2">[10]計4!$G$127:$G$166</definedName>
    <definedName name="CAL4G">[11]計4!$G$127:$G$166</definedName>
    <definedName name="CAL4I" localSheetId="2">[10]計4!$I$127:$I$166</definedName>
    <definedName name="CAL4I">[11]計4!$I$127:$I$166</definedName>
    <definedName name="CP">[12]明細表!$B$2</definedName>
    <definedName name="cut" localSheetId="0">[13]單價分析表!#REF!</definedName>
    <definedName name="cut">[13]單價分析表!#REF!</definedName>
    <definedName name="D_1000MM﹠膠勘" localSheetId="0">#REF!</definedName>
    <definedName name="D_1000MM﹠膠勘">#REF!</definedName>
    <definedName name="D_1200MM﹠膠勘" localSheetId="0">#REF!</definedName>
    <definedName name="D_1200MM﹠膠勘">#REF!</definedName>
    <definedName name="D_20CM﹠PVC_O管" localSheetId="0">#REF!</definedName>
    <definedName name="D_20CM﹠PVC_O管">#REF!</definedName>
    <definedName name="D_300MM﹠膠勘接" localSheetId="0">#REF!</definedName>
    <definedName name="D_300MM﹠膠勘接">#REF!</definedName>
    <definedName name="D_400MM﹠膠勘接" localSheetId="0">#REF!</definedName>
    <definedName name="D_400MM﹠膠勘接">#REF!</definedName>
    <definedName name="D_500MM﹠膠勘接" localSheetId="0">#REF!</definedName>
    <definedName name="D_500MM﹠膠勘接">#REF!</definedName>
    <definedName name="D_600MM﹠膠勘接" localSheetId="0">#REF!</definedName>
    <definedName name="D_600MM﹠膠勘接">#REF!</definedName>
    <definedName name="D_700MM﹠膠勘接" localSheetId="0">#REF!</definedName>
    <definedName name="D_700MM﹠膠勘接">#REF!</definedName>
    <definedName name="D_800MM﹠膠勘接" localSheetId="0">#REF!</definedName>
    <definedName name="D_800MM﹠膠勘接">#REF!</definedName>
    <definedName name="D_900MM﹠膠勘接" localSheetId="0">#REF!</definedName>
    <definedName name="D_900MM﹠膠勘接">#REF!</definedName>
    <definedName name="date" localSheetId="2">#REF!</definedName>
    <definedName name="DATEA" localSheetId="2">[8]總表!#REF!</definedName>
    <definedName name="DATEA" localSheetId="0">[9]總表!#REF!</definedName>
    <definedName name="DATEA">[9]總表!#REF!</definedName>
    <definedName name="DATEB" localSheetId="2">[8]總表!#REF!</definedName>
    <definedName name="DATEB" localSheetId="0">[9]總表!#REF!</definedName>
    <definedName name="DATEB">[9]總表!#REF!</definedName>
    <definedName name="DATEC" localSheetId="2">[8]總表!#REF!</definedName>
    <definedName name="DATEC" localSheetId="0">[9]總表!#REF!</definedName>
    <definedName name="DATEC">[9]總表!#REF!</definedName>
    <definedName name="DATED" localSheetId="2">[8]總表!#REF!</definedName>
    <definedName name="DATED" localSheetId="0">[9]總表!#REF!</definedName>
    <definedName name="DATED">[9]總表!#REF!</definedName>
    <definedName name="DATEE" localSheetId="2">[8]總表!#REF!</definedName>
    <definedName name="DATEE" localSheetId="0">[9]總表!#REF!</definedName>
    <definedName name="DATEE">[9]總表!#REF!</definedName>
    <definedName name="DATEF" localSheetId="2">[8]總表!#REF!</definedName>
    <definedName name="DATEF" localSheetId="0">[9]總表!#REF!</definedName>
    <definedName name="DATEF">[9]總表!#REF!</definedName>
    <definedName name="DATEFF" localSheetId="0">[14]總表!#REF!</definedName>
    <definedName name="DATEFF">[14]總表!#REF!</definedName>
    <definedName name="DATEG" localSheetId="2">[8]總表!#REF!</definedName>
    <definedName name="DATEG" localSheetId="0">[9]總表!#REF!</definedName>
    <definedName name="DATEG">[9]總表!#REF!</definedName>
    <definedName name="dgfdg" localSheetId="0">[15]總表!#REF!</definedName>
    <definedName name="dgfdg">[15]總表!#REF!</definedName>
    <definedName name="dgfdzgfdz" hidden="1">[15]預2!$A$8:$A$41</definedName>
    <definedName name="dgsgddfg">[15]總表!$BI$40:$BW$120</definedName>
    <definedName name="DZGHZG" localSheetId="0">[15]總表!#REF!</definedName>
    <definedName name="DZGHZG">[15]總表!#REF!</definedName>
    <definedName name="e" localSheetId="0">[16]總表!#REF!</definedName>
    <definedName name="e">[16]總表!#REF!</definedName>
    <definedName name="EN">[17]封面!$B$4</definedName>
    <definedName name="ep">#REF!</definedName>
    <definedName name="ergev">[15]總表!$DF$40:$DT$120</definedName>
    <definedName name="ergtreg">[15]總表!$BZ$40:$CN$120</definedName>
    <definedName name="EZGTEZRG" localSheetId="0">[15]總表!#REF!</definedName>
    <definedName name="EZGTEZRG">[15]總表!#REF!</definedName>
    <definedName name="f">#REF!</definedName>
    <definedName name="FFF" localSheetId="0">[14]總表!#REF!</definedName>
    <definedName name="FFF">[14]總表!#REF!</definedName>
    <definedName name="fgh" hidden="1">[15]預2!$A$8:$A$41</definedName>
    <definedName name="first">#REF!</definedName>
    <definedName name="gdhhttrh" hidden="1">[15]預2!$A$8:$A$42</definedName>
    <definedName name="gera">[15]總表!$CP$40:$DD$120</definedName>
    <definedName name="gfbgb" hidden="1">[15]預2!$A$8:$A$42</definedName>
    <definedName name="GFGFD" localSheetId="0">[15]總表!#REF!</definedName>
    <definedName name="GFGFD">[15]總表!#REF!</definedName>
    <definedName name="holiday" localSheetId="2">#REF!</definedName>
    <definedName name="hrtbfr">[15]總表!$V$19:$V$56</definedName>
    <definedName name="htfrbfrt">[15]總表!$S$19:$S$56</definedName>
    <definedName name="HYJYJJ" localSheetId="0">[15]總表!#REF!</definedName>
    <definedName name="HYJYJJ">[15]總表!#REF!</definedName>
    <definedName name="IOUOIU" localSheetId="0">[15]總表!#REF!</definedName>
    <definedName name="IOUOIU">[15]總表!#REF!</definedName>
    <definedName name="JFYHF" localSheetId="0">[15]總表!#REF!</definedName>
    <definedName name="JFYHF">[15]總表!#REF!</definedName>
    <definedName name="k">[15]預1!$G$3:$GK$3</definedName>
    <definedName name="kuy">[15]總表!$FB$40:$FK$120</definedName>
    <definedName name="kyukk">[15]總表!$BH$40:$BH$120</definedName>
    <definedName name="LE" localSheetId="0">[17]明隧道結構數量!#REF!</definedName>
    <definedName name="LE">[17]明隧道結構數量!#REF!</definedName>
    <definedName name="LIULI" localSheetId="0">[15]總表!#REF!</definedName>
    <definedName name="LIULI">[15]總表!#REF!</definedName>
    <definedName name="lu" localSheetId="0">[17]路基數量!#REF!</definedName>
    <definedName name="lu">[17]路基數量!#REF!</definedName>
    <definedName name="NAME">#REF!</definedName>
    <definedName name="NUM" localSheetId="2">[8]總表!#REF!</definedName>
    <definedName name="NUM" localSheetId="0">[9]總表!#REF!</definedName>
    <definedName name="NUM">[9]總表!#REF!</definedName>
    <definedName name="number" localSheetId="2">#REF!</definedName>
    <definedName name="P" localSheetId="2">[18]進度表!$G$3:$GK$3</definedName>
    <definedName name="P" localSheetId="0">#REF!</definedName>
    <definedName name="P">#REF!</definedName>
    <definedName name="pe">[19]總表!$AD$19:$AD$56</definedName>
    <definedName name="PLACE">[9]總表!$AP$22:$AP$36</definedName>
    <definedName name="PLACE2" localSheetId="2">[8]總表!#REF!</definedName>
    <definedName name="PLACE2" localSheetId="0">[9]總表!#REF!</definedName>
    <definedName name="PLACE2">[9]總表!#REF!</definedName>
    <definedName name="ppt">#REF!</definedName>
    <definedName name="pre1a">#REF!</definedName>
    <definedName name="pre1b">#REF!</definedName>
    <definedName name="pre1c">#REF!</definedName>
    <definedName name="pre1d">#REF!</definedName>
    <definedName name="pre1e">[1]總表!$Q$19:$Q$56</definedName>
    <definedName name="pre1f" localSheetId="2">[8]總表!#REF!</definedName>
    <definedName name="pre1f" localSheetId="0">[9]總表!#REF!</definedName>
    <definedName name="pre1f">[9]總表!#REF!</definedName>
    <definedName name="pre1n">[20]總表!$K$19:$K$56</definedName>
    <definedName name="pre2a">[2]總表!$T$19:$T$56</definedName>
    <definedName name="pre2b">[2]總表!$V$19:$V$56</definedName>
    <definedName name="pre2c" localSheetId="2">[10]總表!$Z$19:$Z$56</definedName>
    <definedName name="pre2c">[2]總表!$U$19:$U$56</definedName>
    <definedName name="pre2d">[2]總表!$W$19:$W$56</definedName>
    <definedName name="pre2e">[21]總表!$X$9:$X$46</definedName>
    <definedName name="pre2f" localSheetId="2">[8]總表!#REF!</definedName>
    <definedName name="pre2f" localSheetId="0">[9]總表!#REF!</definedName>
    <definedName name="pre2f">[9]總表!#REF!</definedName>
    <definedName name="pre2n">[20]總表!$R$19:$R$56</definedName>
    <definedName name="pre3a">[2]總表!$AA$19:$AA$56</definedName>
    <definedName name="pre3b">#REF!</definedName>
    <definedName name="pre3c" localSheetId="2">[10]總表!$AG$19:$AG$56</definedName>
    <definedName name="pre3c">[2]總表!$AB$19:$AB$56</definedName>
    <definedName name="pre3d">[2]總表!$AD$19:$AD$56</definedName>
    <definedName name="pre3e">[21]總表!$AE$9:$AE$46</definedName>
    <definedName name="pre3n">[20]總表!$AF$19:$AF$56</definedName>
    <definedName name="_xlnm.Print_Area" localSheetId="4">內容!$B$18:$H$56</definedName>
    <definedName name="_xlnm.Print_Area" localSheetId="1">自主檢查表!$A$1:$K$19</definedName>
    <definedName name="_xlnm.Print_Area" localSheetId="2">封面!$B$1:$N$23</definedName>
    <definedName name="_xlnm.Print_Area" localSheetId="5">施工日誌!$A$1:$N$65</definedName>
    <definedName name="_xlnm.Print_Area" localSheetId="0">施工日誌封面!$A$1:$K$19</definedName>
    <definedName name="_xlnm.Print_Area" localSheetId="6">新監造!$A$1:$J$34</definedName>
    <definedName name="qqq" localSheetId="0">[22]總表!#REF!</definedName>
    <definedName name="qqq">[22]總表!#REF!</definedName>
    <definedName name="rtrdgd" hidden="1">[15]預2!$A$8:$A$41</definedName>
    <definedName name="S" localSheetId="0">[14]總表!#REF!</definedName>
    <definedName name="S">[14]總表!#REF!</definedName>
    <definedName name="SDSXF" hidden="1">'[23]2'!$A$7:$A$48</definedName>
    <definedName name="setaa">#REF!</definedName>
    <definedName name="setab">#REF!</definedName>
    <definedName name="setw">#REF!</definedName>
    <definedName name="setx">#REF!</definedName>
    <definedName name="sety">#REF!</definedName>
    <definedName name="setz">#REF!</definedName>
    <definedName name="snoop">[24]總表!$CQ$9:$CX$2118</definedName>
    <definedName name="snoopname">[24]總表!$CU$9:$CU$2118</definedName>
    <definedName name="totalA">#REF!</definedName>
    <definedName name="totala1">#REF!</definedName>
    <definedName name="totalb">#REF!</definedName>
    <definedName name="trgbgfb" localSheetId="0">[15]總表!#REF!</definedName>
    <definedName name="trgbgfb">[15]總表!#REF!</definedName>
    <definedName name="uykuyku">[15]預1!$G$3:$GK$3</definedName>
    <definedName name="uytjuj" localSheetId="0">[15]總表!#REF!</definedName>
    <definedName name="uytjuj">[15]總表!#REF!</definedName>
    <definedName name="vdzx">[15]總表!$DV$40:$EJ$120</definedName>
    <definedName name="wafee">[15]總表!$EL$40:$EZ$120</definedName>
    <definedName name="weather" localSheetId="2">#REF!</definedName>
    <definedName name="y" localSheetId="0">[25]總表!#REF!</definedName>
    <definedName name="y">[25]總表!#REF!</definedName>
    <definedName name="yeh">[1]總表!$AU$82:$BJ$710</definedName>
    <definedName name="YEHA" localSheetId="2">[8]總表!#REF!</definedName>
    <definedName name="yyy" hidden="1">[15]單1!$A$8:$A$40</definedName>
    <definedName name="一混凝土抗壓強度">內容!$J$81:$IV$81</definedName>
    <definedName name="二瀝青舖面厚度">內容!$J$82:$IV$82</definedName>
    <definedName name="人孔鑄諶蓋及名" localSheetId="0">#REF!</definedName>
    <definedName name="人孔鑄諶蓋及名">#REF!</definedName>
    <definedName name="人行道長度">EVALUATE('[26]數量計算 (2)'!$C$4:$C$20)</definedName>
    <definedName name="人行道面積">EVALUATE('[26]數量計算 (2)'!$F$4:$F$20)</definedName>
    <definedName name="三工地密度">內容!$J$83:$IV$83</definedName>
    <definedName name="上午天氣" localSheetId="1">#REF!</definedName>
    <definedName name="上午天氣" localSheetId="0">#REF!</definedName>
    <definedName name="上午天氣">內容!$K$59:$IV$59</definedName>
    <definedName name="下午天氣" localSheetId="1">#REF!</definedName>
    <definedName name="下午天氣" localSheetId="0">#REF!</definedName>
    <definedName name="下午天氣">內容!$K$60:$AR$60</definedName>
    <definedName name="下程保險費" localSheetId="0">#REF!</definedName>
    <definedName name="下程保險費">#REF!</definedName>
    <definedName name="下程管渚費" localSheetId="0">#REF!</definedName>
    <definedName name="下程管渚費">#REF!</definedName>
    <definedName name="下程標示牌" localSheetId="0">#REF!</definedName>
    <definedName name="下程標示牌">#REF!</definedName>
    <definedName name="土1" hidden="1">#REF!</definedName>
    <definedName name="土木" localSheetId="2">封面!$E$1:$N$21</definedName>
    <definedName name="土木">#REF!</definedName>
    <definedName name="大肚" localSheetId="2">封面!#REF!</definedName>
    <definedName name="小計">#REF!</definedName>
    <definedName name="工地安衛" localSheetId="0">[27]預算明細表!#REF!</definedName>
    <definedName name="工地安衛">[27]預算明細表!#REF!</definedName>
    <definedName name="工地密度">內容!$J$90:$IV$90</definedName>
    <definedName name="工地密度一">內容!$J$97:$IV$97</definedName>
    <definedName name="工別">內容!$H$62:$H$66</definedName>
    <definedName name="不鏽諶飄抖" localSheetId="0">#REF!</definedName>
    <definedName name="不鏽諶飄抖">#REF!</definedName>
    <definedName name="五含油量檢測">內容!$J$85:$IV$85</definedName>
    <definedName name="六鋼筋試驗">內容!$J$86:$IV$86</definedName>
    <definedName name="天然級訊料" localSheetId="0">#REF!</definedName>
    <definedName name="天然級訊料">#REF!</definedName>
    <definedName name="太封" localSheetId="2">封面!#REF!</definedName>
    <definedName name="日期" localSheetId="1">#REF!</definedName>
    <definedName name="日期" localSheetId="2">#REF!</definedName>
    <definedName name="日期" localSheetId="0">#REF!</definedName>
    <definedName name="日期">內容!$J$14:$IV$14</definedName>
    <definedName name="代其他費用">#REF!</definedName>
    <definedName name="代發包工作費">#REF!</definedName>
    <definedName name="出工數">內容!$K$62:$IV$67</definedName>
    <definedName name="包商利槨及管渚">#REF!</definedName>
    <definedName name="四氯離子檢測">內容!$J$84:$IV$84</definedName>
    <definedName name="本日完成" localSheetId="1">#REF!</definedName>
    <definedName name="本日完成" localSheetId="0">#REF!</definedName>
    <definedName name="本日完成">內容!$J$9:$IV$9</definedName>
    <definedName name="本日量一" localSheetId="2">#REF!</definedName>
    <definedName name="本日量二" localSheetId="2">#REF!</definedName>
    <definedName name="石岡" localSheetId="2">封面!#REF!</definedName>
    <definedName name="再下管磊埋設物" localSheetId="0">#REF!</definedName>
    <definedName name="再下管磊埋設物">#REF!</definedName>
    <definedName name="再下管磊探勘費" localSheetId="0">#REF!</definedName>
    <definedName name="再下管磊探勘費">#REF!</definedName>
    <definedName name="名穴勞籬設施費" localSheetId="0">#REF!</definedName>
    <definedName name="名穴勞籬設施費">#REF!</definedName>
    <definedName name="回剽午" localSheetId="0">#REF!</definedName>
    <definedName name="回剽午">#REF!</definedName>
    <definedName name="含油量檢測">內容!$J$92:$IV$92</definedName>
    <definedName name="完成數量" localSheetId="1">#REF!</definedName>
    <definedName name="完成數量" localSheetId="0">#REF!</definedName>
    <definedName name="完成數量">內容!$K$19:$IV$56</definedName>
    <definedName name="局供材料" localSheetId="0">[27]預算明細表!#REF!</definedName>
    <definedName name="局供材料">[27]預算明細表!#REF!</definedName>
    <definedName name="抗壓強度">內容!$J$95:$IV$95</definedName>
    <definedName name="車道屏" localSheetId="0">#REF!</definedName>
    <definedName name="車道屏">#REF!</definedName>
    <definedName name="其他事項紀錄" localSheetId="1">#REF!</definedName>
    <definedName name="其他事項紀錄" localSheetId="0">#REF!</definedName>
    <definedName name="其他事項紀錄">內容!$J$79:$IV$79</definedName>
    <definedName name="東封" localSheetId="2">封面!#REF!</definedName>
    <definedName name="空晁污染防佳費">#REF!</definedName>
    <definedName name="肺面壅巖粉矢" localSheetId="0">#REF!</definedName>
    <definedName name="肺面壅巖粉矢">#REF!</definedName>
    <definedName name="表1" localSheetId="2">#REF!</definedName>
    <definedName name="契約單價">內容!$F$19:$F$56</definedName>
    <definedName name="契約數量">內容!$E$19:$E$56</definedName>
    <definedName name="封面2" hidden="1">[28]預2!$A$8:$A$32</definedName>
    <definedName name="幽午" localSheetId="0">#REF!</definedName>
    <definedName name="幽午">#REF!</definedName>
    <definedName name="施下中氾被名穴" localSheetId="0">#REF!</definedName>
    <definedName name="施下中氾被名穴">#REF!</definedName>
    <definedName name="施工取樣試驗紀錄" localSheetId="1">#REF!</definedName>
    <definedName name="施工取樣試驗紀錄" localSheetId="0">#REF!</definedName>
    <definedName name="施工取樣試驗紀錄">內容!$K$74:$IV$74</definedName>
    <definedName name="施工項目">內容!$C$19:$C$56</definedName>
    <definedName name="星期">內容!$J$15:$IV$15</definedName>
    <definedName name="計算式">EVALUATE([29]計算分表!$C1)</definedName>
    <definedName name="重要事項紀錄" localSheetId="1">#REF!</definedName>
    <definedName name="重要事項紀錄" localSheetId="0">#REF!</definedName>
    <definedName name="重要事項紀錄">內容!$K$77:$IV$77</definedName>
    <definedName name="們有慢訝物修復" localSheetId="0">#REF!</definedName>
    <definedName name="們有慢訝物修復">#REF!</definedName>
    <definedName name="原則">#REF!</definedName>
    <definedName name="神封" localSheetId="2">封面!#REF!</definedName>
    <definedName name="側溝清敵孔鑄諶" localSheetId="0">#REF!</definedName>
    <definedName name="側溝清敵孔鑄諶">#REF!</definedName>
    <definedName name="專汕印祀面嘻處" localSheetId="0">#REF!</definedName>
    <definedName name="專汕印祀面嘻處">#REF!</definedName>
    <definedName name="曼礎模板" localSheetId="0">#REF!</definedName>
    <definedName name="曼礎模板">#REF!</definedName>
    <definedName name="混凝二打除費" localSheetId="0">#REF!</definedName>
    <definedName name="混凝二打除費">#REF!</definedName>
    <definedName name="混凝土抗壓強度">內容!$J$88:$IV$88</definedName>
    <definedName name="清封" localSheetId="2">封面!#REF!</definedName>
    <definedName name="現有再下管磊遷" localSheetId="0">#REF!</definedName>
    <definedName name="現有再下管磊遷">#REF!</definedName>
    <definedName name="粘嘻設" localSheetId="0">#REF!</definedName>
    <definedName name="粘嘻設">#REF!</definedName>
    <definedName name="累計工期" localSheetId="1">#REF!</definedName>
    <definedName name="累計工期" localSheetId="0">#REF!</definedName>
    <definedName name="累計工期">內容!$J$7:$IV$7</definedName>
    <definedName name="累計完成" localSheetId="1">#REF!</definedName>
    <definedName name="累計完成" localSheetId="0">#REF!</definedName>
    <definedName name="累計完成">內容!$J$10:$IV$10</definedName>
    <definedName name="訣嘻設" localSheetId="0">#REF!</definedName>
    <definedName name="訣嘻設">#REF!</definedName>
    <definedName name="通知辦理事項" localSheetId="1">#REF!</definedName>
    <definedName name="通知辦理事項" localSheetId="0">#REF!</definedName>
    <definedName name="通知辦理事項">內容!$K$76:$IV$76</definedName>
    <definedName name="剩餘工期" localSheetId="1">#REF!</definedName>
    <definedName name="剩餘工期" localSheetId="0">#REF!</definedName>
    <definedName name="剩餘工期">內容!$J$8:$IV$8</definedName>
    <definedName name="勞下名穴衛生設" localSheetId="0">#REF!</definedName>
    <definedName name="勞下名穴衛生設">#REF!</definedName>
    <definedName name="單位">內容!$D$19:$D$56</definedName>
    <definedName name="植出北耗_百慕達" localSheetId="0">#REF!</definedName>
    <definedName name="植出北耗_百慕達">#REF!</definedName>
    <definedName name="氯離子檢測">內容!$J$91:$IV$91</definedName>
    <definedName name="發包工作費" localSheetId="0">[27]預算明細表!#REF!</definedName>
    <definedName name="發包工作費">[27]預算明細表!#REF!</definedName>
    <definedName name="結慢模板" localSheetId="0">#REF!</definedName>
    <definedName name="結慢模板">#REF!</definedName>
    <definedName name="集夭井鑄諶蓋及" localSheetId="0">#REF!</definedName>
    <definedName name="集夭井鑄諶蓋及">#REF!</definedName>
    <definedName name="新封" localSheetId="2">封面!#REF!</definedName>
    <definedName name="碎石級訊料" localSheetId="0">#REF!</definedName>
    <definedName name="碎石級訊料">#REF!</definedName>
    <definedName name="試龔費" localSheetId="0">#REF!</definedName>
    <definedName name="試龔費">#REF!</definedName>
    <definedName name="詳面標磊_樂拌傻" localSheetId="0">#REF!</definedName>
    <definedName name="詳面標磊_樂拌傻">#REF!</definedName>
    <definedName name="詳曼級訊裝下" localSheetId="0">#REF!</definedName>
    <definedName name="詳曼級訊裝下">#REF!</definedName>
    <definedName name="路工鋼筋" localSheetId="0">[27]預算明細表!#REF!</definedName>
    <definedName name="路工鋼筋">[27]預算明細表!#REF!</definedName>
    <definedName name="路緣石支數">EVALUATE('[26]數量計算 (2)'!$R$4:$R$20)</definedName>
    <definedName name="路緣石長度">EVALUATE('[26]數量計算 (2)'!$O$4:$O$20)</definedName>
    <definedName name="路緣石長度1">EVALUATE('[26]數量計算 (2)'!$I$33:$I$49)</definedName>
    <definedName name="路緣石面積">EVALUATE('[26]數量計算 (2)'!$L$33:$L$49)</definedName>
    <definedName name="路緣石轉角支數">EVALUATE('[26]數量計算 (2)'!$U$4:$U$20)</definedName>
    <definedName name="農田溉窩弈費" localSheetId="0">#REF!</definedName>
    <definedName name="農田溉窩弈費">#REF!</definedName>
    <definedName name="道詳中心樁及埋" localSheetId="0">#REF!</definedName>
    <definedName name="道詳中心樁及埋">#REF!</definedName>
    <definedName name="道詳中心樁鑄諶" localSheetId="0">#REF!</definedName>
    <definedName name="道詳中心樁鑄諶">#REF!</definedName>
    <definedName name="道詳剽二亟贅耗" localSheetId="0">#REF!</definedName>
    <definedName name="道詳剽二亟贅耗">#REF!</definedName>
    <definedName name="道路交通" localSheetId="0">[27]預算明細表!#REF!</definedName>
    <definedName name="道路交通">[27]預算明細表!#REF!</definedName>
    <definedName name="預定進度">內容!$G$13:$IV$13</definedName>
    <definedName name="漆白汕板漆二度" localSheetId="0">#REF!</definedName>
    <definedName name="漆白汕板漆二度">#REF!</definedName>
    <definedName name="障礙物或遷殘醋" localSheetId="0">#REF!</definedName>
    <definedName name="障礙物或遷殘醋">#REF!</definedName>
    <definedName name="噎午運敏" localSheetId="0">#REF!</definedName>
    <definedName name="噎午運敏">#REF!</definedName>
    <definedName name="舖面">EVALUATE('[26]數量計算 (2)'!$C$33:$C$49)</definedName>
    <definedName name="舖面1">EVALUATE('[26]數量計算 (2)'!$F$33:$F$49)</definedName>
    <definedName name="擋二排夭費" localSheetId="0">#REF!</definedName>
    <definedName name="擋二排夭費">#REF!</definedName>
    <definedName name="樹穴面積">EVALUATE('[26]數量計算 (2)'!$L$4:$L$20)</definedName>
    <definedName name="樹穴數量">EVALUATE('[26]數量計算 (2)'!$I$4:$I$20)</definedName>
    <definedName name="橋梁工程" localSheetId="0">[27]預算明細表!#REF!</definedName>
    <definedName name="橋梁工程">[27]預算明細表!#REF!</definedName>
    <definedName name="橋梁鋼筋" localSheetId="0">[27]預算明細表!#REF!</definedName>
    <definedName name="橋梁鋼筋">[27]預算明細表!#REF!</definedName>
    <definedName name="機具">內容!$H$62:$H$72</definedName>
    <definedName name="機具數">內容!$K$68:$IV$72</definedName>
    <definedName name="諶若樁擋二設施" localSheetId="0">#REF!</definedName>
    <definedName name="諶若樁擋二設施">#REF!</definedName>
    <definedName name="諶筋及露紮費" localSheetId="0">#REF!</definedName>
    <definedName name="諶筋及露紮費">#REF!</definedName>
    <definedName name="諶筋混凝二打除" localSheetId="0">#REF!</definedName>
    <definedName name="諶筋混凝二打除">#REF!</definedName>
    <definedName name="諶距樁擋二設施" localSheetId="0">#REF!</definedName>
    <definedName name="諶距樁擋二設施">#REF!</definedName>
    <definedName name="鋼筋取樣">內容!$J$100:$IV$100</definedName>
    <definedName name="鋼筋試驗">內容!$J$93:$IV$93</definedName>
    <definedName name="龍封" localSheetId="2">封面!#REF!</definedName>
    <definedName name="殮境窩護費" localSheetId="0">#REF!</definedName>
    <definedName name="殮境窩護費">#REF!</definedName>
    <definedName name="豐封" localSheetId="2">封面!#REF!</definedName>
    <definedName name="軀巖模板" localSheetId="0">#REF!</definedName>
    <definedName name="軀巖模板">#REF!</definedName>
    <definedName name="瀝青舖面厚度">內容!$J$89:$IV$89</definedName>
    <definedName name="瀝青檢測">內容!$J$99:$IV$99</definedName>
    <definedName name="霧峰" localSheetId="2">封面!#REF!</definedName>
    <definedName name="鑄諶諸步" localSheetId="0">#REF!</definedName>
    <definedName name="鑄諶諸步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" i="79" l="1"/>
  <c r="G24" i="79"/>
  <c r="H24" i="79" s="1"/>
  <c r="E3" i="99"/>
  <c r="E4" i="99"/>
  <c r="E5" i="99"/>
  <c r="E6" i="99"/>
  <c r="E7" i="99"/>
  <c r="E8" i="99"/>
  <c r="E9" i="99"/>
  <c r="E10" i="99"/>
  <c r="E11" i="99"/>
  <c r="E12" i="99"/>
  <c r="E13" i="99"/>
  <c r="E14" i="99"/>
  <c r="E15" i="99"/>
  <c r="E16" i="99"/>
  <c r="E17" i="99"/>
  <c r="E18" i="99"/>
  <c r="E19" i="99"/>
  <c r="E20" i="99"/>
  <c r="E21" i="99"/>
  <c r="E22" i="99"/>
  <c r="E23" i="99"/>
  <c r="E24" i="99"/>
  <c r="E25" i="99"/>
  <c r="E26" i="99"/>
  <c r="E27" i="99"/>
  <c r="E28" i="99"/>
  <c r="E29" i="99"/>
  <c r="E30" i="99"/>
  <c r="E31" i="99"/>
  <c r="E32" i="99"/>
  <c r="E33" i="99"/>
  <c r="E34" i="99"/>
  <c r="E35" i="99"/>
  <c r="E36" i="99"/>
  <c r="E37" i="99"/>
  <c r="E38" i="99"/>
  <c r="E39" i="99"/>
  <c r="E40" i="99"/>
  <c r="E41" i="99"/>
  <c r="E42" i="99"/>
  <c r="E43" i="99"/>
  <c r="E44" i="99"/>
  <c r="E45" i="99"/>
  <c r="E46" i="99"/>
  <c r="E47" i="99"/>
  <c r="E48" i="99"/>
  <c r="E49" i="99"/>
  <c r="E50" i="99"/>
  <c r="E51" i="99"/>
  <c r="E52" i="99"/>
  <c r="E53" i="99"/>
  <c r="E54" i="99"/>
  <c r="E55" i="99"/>
  <c r="E56" i="99"/>
  <c r="E57" i="99"/>
  <c r="E58" i="99"/>
  <c r="E59" i="99"/>
  <c r="E60" i="99"/>
  <c r="E61" i="99"/>
  <c r="E62" i="99"/>
  <c r="E63" i="99"/>
  <c r="E64" i="99"/>
  <c r="E65" i="99"/>
  <c r="E66" i="99"/>
  <c r="E67" i="99"/>
  <c r="E68" i="99"/>
  <c r="E69" i="99"/>
  <c r="E70" i="99"/>
  <c r="E71" i="99"/>
  <c r="E72" i="99"/>
  <c r="E73" i="99"/>
  <c r="E74" i="99"/>
  <c r="E75" i="99"/>
  <c r="E76" i="99"/>
  <c r="E77" i="99"/>
  <c r="E78" i="99"/>
  <c r="E79" i="99"/>
  <c r="E80" i="99"/>
  <c r="E81" i="99"/>
  <c r="E82" i="99"/>
  <c r="E83" i="99"/>
  <c r="E84" i="99"/>
  <c r="E85" i="99"/>
  <c r="E86" i="99"/>
  <c r="E87" i="99"/>
  <c r="E88" i="99"/>
  <c r="E89" i="99"/>
  <c r="E90" i="99"/>
  <c r="E91" i="99"/>
  <c r="E92" i="99"/>
  <c r="E93" i="99"/>
  <c r="E94" i="99"/>
  <c r="E95" i="99"/>
  <c r="E96" i="99"/>
  <c r="E97" i="99"/>
  <c r="E98" i="99"/>
  <c r="E99" i="99"/>
  <c r="E100" i="99"/>
  <c r="E101" i="99"/>
  <c r="E102" i="99"/>
  <c r="E103" i="99"/>
  <c r="E104" i="99"/>
  <c r="E105" i="99"/>
  <c r="E106" i="99"/>
  <c r="E107" i="99"/>
  <c r="E108" i="99"/>
  <c r="E109" i="99"/>
  <c r="E110" i="99"/>
  <c r="E111" i="99"/>
  <c r="E112" i="99"/>
  <c r="E113" i="99"/>
  <c r="E114" i="99"/>
  <c r="E115" i="99"/>
  <c r="E116" i="99"/>
  <c r="E117" i="99"/>
  <c r="E118" i="99"/>
  <c r="E119" i="99"/>
  <c r="E120" i="99"/>
  <c r="E121" i="99"/>
  <c r="E122" i="99"/>
  <c r="E123" i="99"/>
  <c r="E124" i="99"/>
  <c r="E125" i="99"/>
  <c r="E126" i="99"/>
  <c r="E127" i="99"/>
  <c r="E128" i="99"/>
  <c r="E129" i="99"/>
  <c r="E130" i="99"/>
  <c r="E131" i="99"/>
  <c r="E132" i="99"/>
  <c r="E133" i="99"/>
  <c r="E134" i="99"/>
  <c r="E135" i="99"/>
  <c r="E136" i="99"/>
  <c r="E137" i="99"/>
  <c r="E138" i="99"/>
  <c r="E139" i="99"/>
  <c r="E140" i="99"/>
  <c r="E141" i="99"/>
  <c r="E142" i="99"/>
  <c r="E143" i="99"/>
  <c r="E144" i="99"/>
  <c r="E145" i="99"/>
  <c r="E146" i="99"/>
  <c r="E147" i="99"/>
  <c r="E148" i="99"/>
  <c r="E149" i="99"/>
  <c r="E150" i="99"/>
  <c r="E151" i="99"/>
  <c r="E152" i="99"/>
  <c r="E153" i="99"/>
  <c r="E154" i="99"/>
  <c r="E155" i="99"/>
  <c r="E156" i="99"/>
  <c r="E157" i="99"/>
  <c r="E158" i="99"/>
  <c r="E159" i="99"/>
  <c r="E160" i="99"/>
  <c r="E161" i="99"/>
  <c r="E162" i="99"/>
  <c r="E163" i="99"/>
  <c r="E164" i="99"/>
  <c r="E165" i="99"/>
  <c r="E166" i="99"/>
  <c r="E167" i="99"/>
  <c r="E168" i="99"/>
  <c r="E169" i="99"/>
  <c r="E170" i="99"/>
  <c r="E171" i="99"/>
  <c r="E172" i="99"/>
  <c r="E173" i="99"/>
  <c r="E174" i="99"/>
  <c r="E175" i="99"/>
  <c r="E176" i="99"/>
  <c r="E177" i="99"/>
  <c r="E178" i="99"/>
  <c r="E179" i="99"/>
  <c r="E180" i="99"/>
  <c r="E181" i="99"/>
  <c r="D16" i="79"/>
  <c r="L11" i="102"/>
  <c r="L12" i="102"/>
  <c r="L13" i="102"/>
  <c r="L14" i="102"/>
  <c r="L15" i="102"/>
  <c r="L16" i="102"/>
  <c r="L17" i="102"/>
  <c r="L18" i="102"/>
  <c r="L19" i="102"/>
  <c r="L20" i="102"/>
  <c r="L21" i="102"/>
  <c r="L22" i="102"/>
  <c r="L23" i="102"/>
  <c r="K11" i="102"/>
  <c r="K12" i="102"/>
  <c r="K13" i="102"/>
  <c r="K14" i="102"/>
  <c r="K15" i="102"/>
  <c r="K16" i="102"/>
  <c r="K17" i="102"/>
  <c r="K18" i="102"/>
  <c r="K19" i="102"/>
  <c r="K20" i="102"/>
  <c r="K21" i="102"/>
  <c r="K22" i="102"/>
  <c r="K23" i="102"/>
  <c r="I11" i="102"/>
  <c r="I12" i="102"/>
  <c r="I13" i="102"/>
  <c r="I14" i="102"/>
  <c r="I15" i="102"/>
  <c r="I16" i="102"/>
  <c r="I17" i="102"/>
  <c r="I18" i="102"/>
  <c r="I19" i="102"/>
  <c r="I20" i="102"/>
  <c r="I21" i="102"/>
  <c r="I22" i="102"/>
  <c r="I23" i="102"/>
  <c r="A11" i="102"/>
  <c r="A12" i="102"/>
  <c r="A13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G21" i="79"/>
  <c r="H21" i="79" s="1"/>
  <c r="G22" i="79"/>
  <c r="H22" i="79" s="1"/>
  <c r="G23" i="79"/>
  <c r="H23" i="79" s="1"/>
  <c r="G25" i="79"/>
  <c r="H25" i="79" s="1"/>
  <c r="G26" i="79"/>
  <c r="H26" i="79" s="1"/>
  <c r="G27" i="79"/>
  <c r="H27" i="79" s="1"/>
  <c r="G28" i="79"/>
  <c r="H28" i="79" s="1"/>
  <c r="G29" i="79"/>
  <c r="H29" i="79" s="1"/>
  <c r="G30" i="79"/>
  <c r="H30" i="79" s="1"/>
  <c r="G31" i="79"/>
  <c r="H31" i="79" s="1"/>
  <c r="G32" i="79"/>
  <c r="H32" i="79" s="1"/>
  <c r="G33" i="79"/>
  <c r="H33" i="79" s="1"/>
  <c r="G34" i="79"/>
  <c r="H34" i="79" s="1"/>
  <c r="G35" i="79"/>
  <c r="H35" i="79" s="1"/>
  <c r="G36" i="79"/>
  <c r="H36" i="79" s="1"/>
  <c r="G37" i="79"/>
  <c r="H37" i="79" s="1"/>
  <c r="G38" i="79"/>
  <c r="H38" i="79" s="1"/>
  <c r="G39" i="79"/>
  <c r="H39" i="79" s="1"/>
  <c r="G40" i="79"/>
  <c r="H40" i="79" s="1"/>
  <c r="G41" i="79"/>
  <c r="H41" i="79" s="1"/>
  <c r="G42" i="79"/>
  <c r="H42" i="79" s="1"/>
  <c r="G43" i="79"/>
  <c r="H43" i="79" s="1"/>
  <c r="G44" i="79"/>
  <c r="H44" i="79" s="1"/>
  <c r="G45" i="79"/>
  <c r="H45" i="79" s="1"/>
  <c r="G46" i="79"/>
  <c r="H46" i="79" s="1"/>
  <c r="G47" i="79"/>
  <c r="H47" i="79" s="1"/>
  <c r="G48" i="79"/>
  <c r="H48" i="79" s="1"/>
  <c r="G49" i="79"/>
  <c r="H49" i="79" s="1"/>
  <c r="G50" i="79"/>
  <c r="H50" i="79" s="1"/>
  <c r="G51" i="79"/>
  <c r="H51" i="79" s="1"/>
  <c r="G52" i="79"/>
  <c r="H52" i="79" s="1"/>
  <c r="G53" i="79"/>
  <c r="H53" i="79" s="1"/>
  <c r="G54" i="79"/>
  <c r="H54" i="79" s="1"/>
  <c r="N22" i="102" l="1"/>
  <c r="N21" i="102"/>
  <c r="N13" i="102"/>
  <c r="N20" i="102"/>
  <c r="N19" i="102"/>
  <c r="N18" i="102"/>
  <c r="N17" i="102"/>
  <c r="N16" i="102"/>
  <c r="N15" i="102"/>
  <c r="N14" i="102"/>
  <c r="N12" i="102"/>
  <c r="N23" i="102"/>
  <c r="N11" i="102"/>
  <c r="K6" i="79" l="1"/>
  <c r="L6" i="79" s="1"/>
  <c r="M6" i="79" s="1"/>
  <c r="N6" i="79" s="1"/>
  <c r="O6" i="79" s="1"/>
  <c r="P6" i="79" s="1"/>
  <c r="Q6" i="79" s="1"/>
  <c r="R6" i="79" s="1"/>
  <c r="S6" i="79" s="1"/>
  <c r="T6" i="79" s="1"/>
  <c r="U6" i="79" s="1"/>
  <c r="V6" i="79" s="1"/>
  <c r="W6" i="79" s="1"/>
  <c r="X6" i="79" s="1"/>
  <c r="Y6" i="79" s="1"/>
  <c r="Z6" i="79" s="1"/>
  <c r="AA6" i="79" s="1"/>
  <c r="AB6" i="79" s="1"/>
  <c r="AC6" i="79" s="1"/>
  <c r="AD6" i="79" s="1"/>
  <c r="AE6" i="79" s="1"/>
  <c r="AF6" i="79" s="1"/>
  <c r="AG6" i="79" s="1"/>
  <c r="AH6" i="79" s="1"/>
  <c r="AI6" i="79" s="1"/>
  <c r="AJ6" i="79" s="1"/>
  <c r="AK6" i="79" s="1"/>
  <c r="AL6" i="79" s="1"/>
  <c r="AM6" i="79" s="1"/>
  <c r="AN6" i="79" s="1"/>
  <c r="AO6" i="79" s="1"/>
  <c r="AP6" i="79" s="1"/>
  <c r="AQ6" i="79" s="1"/>
  <c r="AR6" i="79" s="1"/>
  <c r="AS6" i="79" s="1"/>
  <c r="AT6" i="79" s="1"/>
  <c r="AU6" i="79" s="1"/>
  <c r="AV6" i="79" s="1"/>
  <c r="AW6" i="79" s="1"/>
  <c r="AX6" i="79" s="1"/>
  <c r="AY6" i="79" s="1"/>
  <c r="AZ6" i="79" s="1"/>
  <c r="BA6" i="79" s="1"/>
  <c r="BB6" i="79" s="1"/>
  <c r="BC6" i="79" s="1"/>
  <c r="BD6" i="79" s="1"/>
  <c r="BE6" i="79" s="1"/>
  <c r="BF6" i="79" s="1"/>
  <c r="BG6" i="79" s="1"/>
  <c r="BH6" i="79" s="1"/>
  <c r="BI6" i="79" s="1"/>
  <c r="BJ6" i="79" s="1"/>
  <c r="BK6" i="79" s="1"/>
  <c r="BL6" i="79" s="1"/>
  <c r="BM6" i="79" s="1"/>
  <c r="BN6" i="79" s="1"/>
  <c r="BO6" i="79" s="1"/>
  <c r="BP6" i="79" s="1"/>
  <c r="BQ6" i="79" s="1"/>
  <c r="J15" i="79"/>
  <c r="K15" i="79"/>
  <c r="K17" i="79" s="1"/>
  <c r="L15" i="79"/>
  <c r="L17" i="79" s="1"/>
  <c r="M15" i="79"/>
  <c r="M17" i="79" s="1"/>
  <c r="N15" i="79"/>
  <c r="O15" i="79"/>
  <c r="O17" i="79" s="1"/>
  <c r="P15" i="79"/>
  <c r="P16" i="79" s="1"/>
  <c r="Q15" i="79"/>
  <c r="Q16" i="79" s="1"/>
  <c r="R15" i="79"/>
  <c r="R16" i="79" s="1"/>
  <c r="S15" i="79"/>
  <c r="T15" i="79"/>
  <c r="U15" i="79"/>
  <c r="U17" i="79" s="1"/>
  <c r="V15" i="79"/>
  <c r="V17" i="79" s="1"/>
  <c r="W15" i="79"/>
  <c r="X15" i="79"/>
  <c r="Y15" i="79"/>
  <c r="Z15" i="79"/>
  <c r="Z16" i="79" s="1"/>
  <c r="AA15" i="79"/>
  <c r="AA16" i="79" s="1"/>
  <c r="AB15" i="79"/>
  <c r="AB16" i="79" s="1"/>
  <c r="AC15" i="79"/>
  <c r="AC16" i="79" s="1"/>
  <c r="AD15" i="79"/>
  <c r="AD16" i="79" s="1"/>
  <c r="AE15" i="79"/>
  <c r="AF15" i="79"/>
  <c r="AG15" i="79"/>
  <c r="AH15" i="79"/>
  <c r="AI15" i="79"/>
  <c r="AJ15" i="79"/>
  <c r="AK15" i="79"/>
  <c r="AL15" i="79"/>
  <c r="AM15" i="79"/>
  <c r="AN15" i="79"/>
  <c r="AN16" i="79" s="1"/>
  <c r="AO15" i="79"/>
  <c r="AO16" i="79" s="1"/>
  <c r="AP15" i="79"/>
  <c r="AP16" i="79" s="1"/>
  <c r="AQ15" i="79"/>
  <c r="AR15" i="79"/>
  <c r="AS15" i="79"/>
  <c r="AT15" i="79"/>
  <c r="AU15" i="79"/>
  <c r="AV15" i="79"/>
  <c r="AW15" i="79"/>
  <c r="AX15" i="79"/>
  <c r="AY15" i="79"/>
  <c r="AZ15" i="79"/>
  <c r="AZ16" i="79" s="1"/>
  <c r="BA15" i="79"/>
  <c r="BA16" i="79" s="1"/>
  <c r="BB15" i="79"/>
  <c r="BB16" i="79" s="1"/>
  <c r="BC15" i="79"/>
  <c r="BD15" i="79"/>
  <c r="BE15" i="79"/>
  <c r="BF15" i="79"/>
  <c r="BG15" i="79"/>
  <c r="BH15" i="79"/>
  <c r="K16" i="79"/>
  <c r="L16" i="79"/>
  <c r="M16" i="79"/>
  <c r="O16" i="79"/>
  <c r="U16" i="79"/>
  <c r="V16" i="79"/>
  <c r="F3" i="99"/>
  <c r="N16" i="79" l="1"/>
  <c r="N17" i="79"/>
  <c r="S16" i="79"/>
  <c r="S17" i="79"/>
  <c r="T16" i="79"/>
  <c r="T17" i="79"/>
  <c r="W16" i="79"/>
  <c r="W17" i="79"/>
  <c r="X16" i="79"/>
  <c r="X17" i="79"/>
  <c r="Y16" i="79"/>
  <c r="Y17" i="79"/>
  <c r="AE16" i="79"/>
  <c r="AE17" i="79"/>
  <c r="AF16" i="79"/>
  <c r="AF17" i="79"/>
  <c r="AI17" i="79"/>
  <c r="AI16" i="79"/>
  <c r="AJ17" i="79"/>
  <c r="AJ16" i="79"/>
  <c r="AG16" i="79"/>
  <c r="AG17" i="79"/>
  <c r="AH16" i="79"/>
  <c r="AH17" i="79"/>
  <c r="AK16" i="79"/>
  <c r="AK17" i="79"/>
  <c r="AL16" i="79"/>
  <c r="AL17" i="79"/>
  <c r="AM16" i="79"/>
  <c r="AM17" i="79"/>
  <c r="AQ16" i="79"/>
  <c r="AQ17" i="79"/>
  <c r="AR16" i="79"/>
  <c r="AR17" i="79"/>
  <c r="AS16" i="79"/>
  <c r="AS17" i="79"/>
  <c r="AT16" i="79"/>
  <c r="AT17" i="79"/>
  <c r="AU16" i="79"/>
  <c r="AU17" i="79"/>
  <c r="AV16" i="79"/>
  <c r="AV17" i="79"/>
  <c r="AW16" i="79"/>
  <c r="AW17" i="79"/>
  <c r="AX16" i="79"/>
  <c r="AX17" i="79"/>
  <c r="AY16" i="79"/>
  <c r="AY17" i="79"/>
  <c r="BC16" i="79"/>
  <c r="BC17" i="79"/>
  <c r="BD16" i="79"/>
  <c r="BD17" i="79"/>
  <c r="BE16" i="79"/>
  <c r="BE17" i="79"/>
  <c r="BF16" i="79"/>
  <c r="BF17" i="79"/>
  <c r="BG16" i="79"/>
  <c r="BG17" i="79"/>
  <c r="BH16" i="79"/>
  <c r="BH17" i="79"/>
  <c r="J16" i="79"/>
  <c r="J17" i="79"/>
  <c r="AA17" i="79"/>
  <c r="Z17" i="79"/>
  <c r="BB17" i="79"/>
  <c r="AP17" i="79"/>
  <c r="AD17" i="79"/>
  <c r="R17" i="79"/>
  <c r="BA17" i="79"/>
  <c r="AO17" i="79"/>
  <c r="AC17" i="79"/>
  <c r="Q17" i="79"/>
  <c r="AZ17" i="79"/>
  <c r="AN17" i="79"/>
  <c r="AB17" i="79"/>
  <c r="P17" i="79"/>
  <c r="BI15" i="79"/>
  <c r="J7" i="79" l="1"/>
  <c r="J8" i="79" s="1"/>
  <c r="K8" i="79" s="1"/>
  <c r="L8" i="79" s="1"/>
  <c r="M8" i="79" s="1"/>
  <c r="N8" i="79" s="1"/>
  <c r="O8" i="79" s="1"/>
  <c r="P8" i="79" s="1"/>
  <c r="Q8" i="79" s="1"/>
  <c r="R8" i="79" s="1"/>
  <c r="S8" i="79" s="1"/>
  <c r="T8" i="79" s="1"/>
  <c r="U8" i="79" s="1"/>
  <c r="V8" i="79" s="1"/>
  <c r="W8" i="79" s="1"/>
  <c r="X8" i="79" s="1"/>
  <c r="Y8" i="79" s="1"/>
  <c r="Z8" i="79" s="1"/>
  <c r="AA8" i="79" s="1"/>
  <c r="AB8" i="79" s="1"/>
  <c r="AC8" i="79" s="1"/>
  <c r="AD8" i="79" s="1"/>
  <c r="AE8" i="79" s="1"/>
  <c r="AF8" i="79" s="1"/>
  <c r="AG8" i="79" s="1"/>
  <c r="AH8" i="79" s="1"/>
  <c r="AI8" i="79" s="1"/>
  <c r="AJ8" i="79" s="1"/>
  <c r="AK8" i="79" s="1"/>
  <c r="AL8" i="79" s="1"/>
  <c r="AM8" i="79" s="1"/>
  <c r="AN8" i="79" s="1"/>
  <c r="AO8" i="79" s="1"/>
  <c r="AP8" i="79" s="1"/>
  <c r="AQ8" i="79" s="1"/>
  <c r="AR8" i="79" s="1"/>
  <c r="AS8" i="79" s="1"/>
  <c r="AT8" i="79" s="1"/>
  <c r="AU8" i="79" s="1"/>
  <c r="AV8" i="79" s="1"/>
  <c r="AW8" i="79" s="1"/>
  <c r="AX8" i="79" s="1"/>
  <c r="AY8" i="79" s="1"/>
  <c r="AZ8" i="79" s="1"/>
  <c r="BA8" i="79" s="1"/>
  <c r="BB8" i="79" s="1"/>
  <c r="BC8" i="79" s="1"/>
  <c r="BD8" i="79" s="1"/>
  <c r="BE8" i="79" s="1"/>
  <c r="BF8" i="79" s="1"/>
  <c r="BG8" i="79" s="1"/>
  <c r="BH8" i="79" s="1"/>
  <c r="BI8" i="79" s="1"/>
  <c r="BJ8" i="79" s="1"/>
  <c r="BI16" i="79"/>
  <c r="BI17" i="79"/>
  <c r="BJ15" i="79"/>
  <c r="K7" i="79" l="1"/>
  <c r="BK15" i="79"/>
  <c r="BK8" i="79"/>
  <c r="BJ16" i="79"/>
  <c r="BJ17" i="79"/>
  <c r="L7" i="79" l="1"/>
  <c r="BL15" i="79"/>
  <c r="BL8" i="79"/>
  <c r="BK17" i="79"/>
  <c r="BK16" i="79"/>
  <c r="M7" i="79" l="1"/>
  <c r="BL16" i="79"/>
  <c r="BL17" i="79"/>
  <c r="BM15" i="79"/>
  <c r="BM8" i="79"/>
  <c r="N7" i="79" l="1"/>
  <c r="BN15" i="79"/>
  <c r="BN8" i="79"/>
  <c r="BM16" i="79"/>
  <c r="BM17" i="79"/>
  <c r="O7" i="79" l="1"/>
  <c r="P7" i="79" s="1"/>
  <c r="BN16" i="79"/>
  <c r="BN17" i="79"/>
  <c r="BO15" i="79"/>
  <c r="BO8" i="79"/>
  <c r="Q7" i="79" l="1"/>
  <c r="BP15" i="79"/>
  <c r="BP8" i="79"/>
  <c r="BO17" i="79"/>
  <c r="BO16" i="79"/>
  <c r="R7" i="79" l="1"/>
  <c r="BP17" i="79"/>
  <c r="BP16" i="79"/>
  <c r="BQ15" i="79"/>
  <c r="BQ8" i="79"/>
  <c r="S7" i="79" l="1"/>
  <c r="BQ17" i="79"/>
  <c r="BQ16" i="79"/>
  <c r="T7" i="79" l="1"/>
  <c r="U7" i="79" l="1"/>
  <c r="V7" i="79" l="1"/>
  <c r="W7" i="79" l="1"/>
  <c r="X7" i="79" l="1"/>
  <c r="Y7" i="79" l="1"/>
  <c r="Z7" i="79" l="1"/>
  <c r="AA7" i="79" l="1"/>
  <c r="AB7" i="79" l="1"/>
  <c r="AC7" i="79" l="1"/>
  <c r="AD7" i="79" l="1"/>
  <c r="AE7" i="79" l="1"/>
  <c r="AF7" i="79" l="1"/>
  <c r="AG7" i="79" l="1"/>
  <c r="AH7" i="79" l="1"/>
  <c r="AI7" i="79" l="1"/>
  <c r="AJ7" i="79" l="1"/>
  <c r="AK7" i="79" l="1"/>
  <c r="AL7" i="79" l="1"/>
  <c r="AM7" i="79" l="1"/>
  <c r="AN7" i="79" l="1"/>
  <c r="AO7" i="79" l="1"/>
  <c r="AP7" i="79" l="1"/>
  <c r="AQ7" i="79" l="1"/>
  <c r="AR7" i="79" l="1"/>
  <c r="AS7" i="79" l="1"/>
  <c r="AT7" i="79" l="1"/>
  <c r="AU7" i="79" l="1"/>
  <c r="AV7" i="79" l="1"/>
  <c r="AW7" i="79" l="1"/>
  <c r="AX7" i="79" l="1"/>
  <c r="AY7" i="79" l="1"/>
  <c r="AZ7" i="79" l="1"/>
  <c r="BA7" i="79" l="1"/>
  <c r="BB7" i="79" l="1"/>
  <c r="BC7" i="79" l="1"/>
  <c r="BD7" i="79" l="1"/>
  <c r="BE7" i="79" l="1"/>
  <c r="BF7" i="79" l="1"/>
  <c r="BG7" i="79" l="1"/>
  <c r="BH7" i="79" l="1"/>
  <c r="BI7" i="79" l="1"/>
  <c r="BJ7" i="79" l="1"/>
  <c r="BK7" i="79" l="1"/>
  <c r="BL7" i="79" l="1"/>
  <c r="BM7" i="79" l="1"/>
  <c r="BN7" i="79" l="1"/>
  <c r="BO7" i="79" l="1"/>
  <c r="BP7" i="79" l="1"/>
  <c r="BQ7" i="79" l="1"/>
  <c r="G20" i="79"/>
  <c r="H20" i="79" s="1"/>
  <c r="L10" i="102" l="1"/>
  <c r="K10" i="102"/>
  <c r="I10" i="102"/>
  <c r="F8" i="98" l="1"/>
  <c r="F29" i="102"/>
  <c r="F30" i="102"/>
  <c r="E29" i="102"/>
  <c r="E30" i="102"/>
  <c r="I6" i="94"/>
  <c r="F11" i="102"/>
  <c r="F12" i="102"/>
  <c r="F13" i="102"/>
  <c r="F14" i="102"/>
  <c r="F15" i="102"/>
  <c r="F16" i="102"/>
  <c r="F17" i="102"/>
  <c r="F18" i="102"/>
  <c r="F19" i="102"/>
  <c r="F20" i="102"/>
  <c r="F21" i="102"/>
  <c r="F22" i="102"/>
  <c r="F23" i="102"/>
  <c r="F24" i="102"/>
  <c r="F25" i="102"/>
  <c r="F26" i="102"/>
  <c r="F27" i="102"/>
  <c r="F28" i="102"/>
  <c r="E11" i="102"/>
  <c r="E12" i="102"/>
  <c r="E13" i="102"/>
  <c r="E14" i="102"/>
  <c r="E15" i="102"/>
  <c r="E16" i="102"/>
  <c r="E17" i="102"/>
  <c r="E18" i="102"/>
  <c r="E19" i="102"/>
  <c r="E20" i="102"/>
  <c r="E21" i="102"/>
  <c r="E22" i="102"/>
  <c r="E23" i="102"/>
  <c r="E24" i="102"/>
  <c r="E25" i="102"/>
  <c r="E26" i="102"/>
  <c r="E27" i="102"/>
  <c r="E28" i="102"/>
  <c r="H22" i="102"/>
  <c r="H23" i="102"/>
  <c r="H24" i="102"/>
  <c r="H25" i="102"/>
  <c r="H26" i="102"/>
  <c r="H27" i="102"/>
  <c r="H28" i="102"/>
  <c r="H29" i="102"/>
  <c r="H30" i="102"/>
  <c r="N10" i="102"/>
  <c r="D12" i="79"/>
  <c r="M6" i="102"/>
  <c r="F10" i="102"/>
  <c r="E10" i="102"/>
  <c r="A10" i="102"/>
  <c r="H20" i="102"/>
  <c r="J33" i="102"/>
  <c r="J34" i="102"/>
  <c r="J35" i="102"/>
  <c r="H33" i="102"/>
  <c r="H34" i="102"/>
  <c r="H35" i="102"/>
  <c r="F33" i="102"/>
  <c r="F34" i="102"/>
  <c r="F35" i="102"/>
  <c r="E33" i="102"/>
  <c r="E34" i="102"/>
  <c r="E35" i="102"/>
  <c r="D5" i="94"/>
  <c r="H11" i="102"/>
  <c r="H12" i="102"/>
  <c r="H13" i="102"/>
  <c r="H14" i="102"/>
  <c r="H15" i="102"/>
  <c r="H16" i="102"/>
  <c r="H17" i="102"/>
  <c r="H18" i="102"/>
  <c r="H19" i="102"/>
  <c r="H21" i="102"/>
  <c r="C2" i="99"/>
  <c r="E2" i="99"/>
  <c r="A22" i="99"/>
  <c r="A23" i="99" s="1"/>
  <c r="A24" i="99" s="1"/>
  <c r="A25" i="99" s="1"/>
  <c r="A26" i="99" s="1"/>
  <c r="A27" i="99" s="1"/>
  <c r="A28" i="99" s="1"/>
  <c r="A29" i="99" s="1"/>
  <c r="A30" i="99" s="1"/>
  <c r="A31" i="99" s="1"/>
  <c r="A32" i="99" s="1"/>
  <c r="A33" i="99" s="1"/>
  <c r="A34" i="99" s="1"/>
  <c r="A35" i="99" s="1"/>
  <c r="A36" i="99" s="1"/>
  <c r="A37" i="99" s="1"/>
  <c r="A38" i="99" s="1"/>
  <c r="A39" i="99" s="1"/>
  <c r="A40" i="99" s="1"/>
  <c r="A41" i="99" s="1"/>
  <c r="A42" i="99" s="1"/>
  <c r="A43" i="99" s="1"/>
  <c r="A44" i="99" s="1"/>
  <c r="A45" i="99" s="1"/>
  <c r="A46" i="99" s="1"/>
  <c r="A47" i="99" s="1"/>
  <c r="A48" i="99" s="1"/>
  <c r="A49" i="99" s="1"/>
  <c r="A50" i="99" s="1"/>
  <c r="A51" i="99" s="1"/>
  <c r="A52" i="99" s="1"/>
  <c r="A53" i="99" s="1"/>
  <c r="A54" i="99" s="1"/>
  <c r="A55" i="99" s="1"/>
  <c r="A56" i="99" s="1"/>
  <c r="A57" i="99" s="1"/>
  <c r="A58" i="99" s="1"/>
  <c r="A59" i="99" s="1"/>
  <c r="A60" i="99" s="1"/>
  <c r="A61" i="99" s="1"/>
  <c r="A62" i="99" s="1"/>
  <c r="A63" i="99" s="1"/>
  <c r="A64" i="99" s="1"/>
  <c r="A65" i="99" s="1"/>
  <c r="A66" i="99" s="1"/>
  <c r="A67" i="99" s="1"/>
  <c r="A68" i="99" s="1"/>
  <c r="A69" i="99" s="1"/>
  <c r="A70" i="99" s="1"/>
  <c r="A71" i="99" s="1"/>
  <c r="A72" i="99" s="1"/>
  <c r="A73" i="99" s="1"/>
  <c r="A74" i="99" s="1"/>
  <c r="A75" i="99" s="1"/>
  <c r="A76" i="99" s="1"/>
  <c r="A77" i="99" s="1"/>
  <c r="A78" i="99" s="1"/>
  <c r="A79" i="99" s="1"/>
  <c r="A80" i="99" s="1"/>
  <c r="A81" i="99" s="1"/>
  <c r="A82" i="99" s="1"/>
  <c r="A83" i="99" s="1"/>
  <c r="A84" i="99" s="1"/>
  <c r="A85" i="99" s="1"/>
  <c r="A86" i="99" s="1"/>
  <c r="A87" i="99" s="1"/>
  <c r="A88" i="99" s="1"/>
  <c r="A89" i="99" s="1"/>
  <c r="A90" i="99" s="1"/>
  <c r="A91" i="99" s="1"/>
  <c r="A92" i="99" s="1"/>
  <c r="A93" i="99" s="1"/>
  <c r="A94" i="99" s="1"/>
  <c r="A95" i="99" s="1"/>
  <c r="A96" i="99" s="1"/>
  <c r="A97" i="99" s="1"/>
  <c r="A98" i="99" s="1"/>
  <c r="A99" i="99" s="1"/>
  <c r="A100" i="99" s="1"/>
  <c r="A101" i="99" s="1"/>
  <c r="A102" i="99" s="1"/>
  <c r="A103" i="99" s="1"/>
  <c r="A104" i="99" s="1"/>
  <c r="A105" i="99" s="1"/>
  <c r="A106" i="99" s="1"/>
  <c r="A107" i="99" s="1"/>
  <c r="A108" i="99" s="1"/>
  <c r="A109" i="99" s="1"/>
  <c r="A110" i="99" s="1"/>
  <c r="A111" i="99" s="1"/>
  <c r="A112" i="99" s="1"/>
  <c r="A113" i="99" s="1"/>
  <c r="A114" i="99" s="1"/>
  <c r="A115" i="99" s="1"/>
  <c r="A116" i="99" s="1"/>
  <c r="A117" i="99" s="1"/>
  <c r="A118" i="99" s="1"/>
  <c r="A119" i="99" s="1"/>
  <c r="A120" i="99" s="1"/>
  <c r="A121" i="99" s="1"/>
  <c r="A122" i="99" s="1"/>
  <c r="A123" i="99" s="1"/>
  <c r="A124" i="99" s="1"/>
  <c r="A125" i="99" s="1"/>
  <c r="A126" i="99" s="1"/>
  <c r="A1" i="94"/>
  <c r="B2" i="102"/>
  <c r="C3" i="102" s="1"/>
  <c r="C3" i="94" s="1"/>
  <c r="C4" i="102"/>
  <c r="B4" i="94" s="1"/>
  <c r="L4" i="102"/>
  <c r="B5" i="102"/>
  <c r="B5" i="94" s="1"/>
  <c r="F6" i="102"/>
  <c r="O36" i="102"/>
  <c r="A42" i="102"/>
  <c r="H42" i="102"/>
  <c r="A43" i="102"/>
  <c r="H43" i="102"/>
  <c r="A44" i="102"/>
  <c r="H44" i="102"/>
  <c r="A45" i="102"/>
  <c r="H45" i="102"/>
  <c r="A46" i="102"/>
  <c r="H46" i="102"/>
  <c r="K1" i="79"/>
  <c r="L1" i="79" s="1"/>
  <c r="M1" i="79" s="1"/>
  <c r="N1" i="79" s="1"/>
  <c r="O1" i="79" s="1"/>
  <c r="P1" i="79" s="1"/>
  <c r="Q1" i="79" s="1"/>
  <c r="R1" i="79" s="1"/>
  <c r="S1" i="79" s="1"/>
  <c r="T1" i="79" s="1"/>
  <c r="U1" i="79" s="1"/>
  <c r="V1" i="79" s="1"/>
  <c r="W1" i="79" s="1"/>
  <c r="X1" i="79" s="1"/>
  <c r="Y1" i="79" s="1"/>
  <c r="Z1" i="79" s="1"/>
  <c r="AA1" i="79" s="1"/>
  <c r="AB1" i="79" s="1"/>
  <c r="AC1" i="79" s="1"/>
  <c r="AD1" i="79" s="1"/>
  <c r="J2" i="79"/>
  <c r="J3" i="79" s="1"/>
  <c r="K2" i="79"/>
  <c r="L2" i="79"/>
  <c r="M2" i="79"/>
  <c r="N2" i="79"/>
  <c r="O2" i="79"/>
  <c r="P2" i="79"/>
  <c r="Q2" i="79"/>
  <c r="R2" i="79"/>
  <c r="S2" i="79"/>
  <c r="T2" i="79"/>
  <c r="U2" i="79"/>
  <c r="V2" i="79"/>
  <c r="W2" i="79"/>
  <c r="BR6" i="79"/>
  <c r="BS6" i="79" s="1"/>
  <c r="BT6" i="79" s="1"/>
  <c r="BU6" i="79" s="1"/>
  <c r="BV6" i="79" s="1"/>
  <c r="BW6" i="79" s="1"/>
  <c r="BX6" i="79" s="1"/>
  <c r="BY6" i="79" s="1"/>
  <c r="BZ6" i="79" s="1"/>
  <c r="CA6" i="79" s="1"/>
  <c r="CB6" i="79" s="1"/>
  <c r="CC6" i="79" s="1"/>
  <c r="CD6" i="79" s="1"/>
  <c r="CE6" i="79" s="1"/>
  <c r="CF6" i="79" s="1"/>
  <c r="CG6" i="79" s="1"/>
  <c r="CH6" i="79" s="1"/>
  <c r="CI6" i="79" s="1"/>
  <c r="CJ6" i="79" s="1"/>
  <c r="CK6" i="79" s="1"/>
  <c r="CL6" i="79" s="1"/>
  <c r="CM6" i="79" s="1"/>
  <c r="CN6" i="79" s="1"/>
  <c r="CO6" i="79" s="1"/>
  <c r="CP6" i="79" s="1"/>
  <c r="CQ6" i="79" s="1"/>
  <c r="CR6" i="79" s="1"/>
  <c r="CS6" i="79" s="1"/>
  <c r="CT6" i="79" s="1"/>
  <c r="CU6" i="79" s="1"/>
  <c r="CV6" i="79" s="1"/>
  <c r="CW6" i="79" s="1"/>
  <c r="CX6" i="79" s="1"/>
  <c r="CY6" i="79" s="1"/>
  <c r="CZ6" i="79" s="1"/>
  <c r="DA6" i="79" s="1"/>
  <c r="DB6" i="79" s="1"/>
  <c r="DC6" i="79" s="1"/>
  <c r="DD6" i="79" s="1"/>
  <c r="DE6" i="79" s="1"/>
  <c r="DF6" i="79" s="1"/>
  <c r="DG6" i="79" s="1"/>
  <c r="DH6" i="79" s="1"/>
  <c r="DI6" i="79" s="1"/>
  <c r="DJ6" i="79" s="1"/>
  <c r="DK6" i="79" s="1"/>
  <c r="DL6" i="79" s="1"/>
  <c r="DM6" i="79" s="1"/>
  <c r="DN6" i="79" s="1"/>
  <c r="DO6" i="79" s="1"/>
  <c r="DP6" i="79" s="1"/>
  <c r="DQ6" i="79" s="1"/>
  <c r="DR6" i="79" s="1"/>
  <c r="DS6" i="79" s="1"/>
  <c r="DT6" i="79" s="1"/>
  <c r="DU6" i="79" s="1"/>
  <c r="DV6" i="79" s="1"/>
  <c r="DW6" i="79" s="1"/>
  <c r="DX6" i="79" s="1"/>
  <c r="DY6" i="79" s="1"/>
  <c r="DZ6" i="79" s="1"/>
  <c r="EA6" i="79" s="1"/>
  <c r="EB6" i="79" s="1"/>
  <c r="H10" i="102"/>
  <c r="G62" i="79"/>
  <c r="G63" i="79"/>
  <c r="G64" i="79"/>
  <c r="G65" i="79"/>
  <c r="G66" i="79"/>
  <c r="G69" i="79"/>
  <c r="G70" i="79"/>
  <c r="G71" i="79"/>
  <c r="G72" i="79"/>
  <c r="G73" i="79"/>
  <c r="C4" i="100"/>
  <c r="B7" i="100"/>
  <c r="D13" i="100"/>
  <c r="D15" i="100"/>
  <c r="C4" i="101"/>
  <c r="B7" i="101"/>
  <c r="D13" i="101"/>
  <c r="D15" i="101"/>
  <c r="I22" i="79" l="1"/>
  <c r="G12" i="102" s="1"/>
  <c r="I23" i="79"/>
  <c r="A23" i="79" s="1"/>
  <c r="BQ12" i="79"/>
  <c r="BP12" i="79"/>
  <c r="BO12" i="79"/>
  <c r="BN12" i="79"/>
  <c r="BM12" i="79"/>
  <c r="BL12" i="79"/>
  <c r="BK12" i="79"/>
  <c r="BJ12" i="79"/>
  <c r="BI12" i="79"/>
  <c r="BH12" i="79"/>
  <c r="BG12" i="79"/>
  <c r="BF12" i="79"/>
  <c r="BE12" i="79"/>
  <c r="BD12" i="79"/>
  <c r="BC12" i="79"/>
  <c r="BB12" i="79"/>
  <c r="BA12" i="79"/>
  <c r="AZ12" i="79"/>
  <c r="AY12" i="79"/>
  <c r="AX12" i="79"/>
  <c r="AW12" i="79"/>
  <c r="AV12" i="79"/>
  <c r="AU12" i="79"/>
  <c r="AT12" i="79"/>
  <c r="AS12" i="79"/>
  <c r="AR12" i="79"/>
  <c r="AQ12" i="79"/>
  <c r="AP12" i="79"/>
  <c r="AO12" i="79"/>
  <c r="AN12" i="79"/>
  <c r="AM12" i="79"/>
  <c r="AL12" i="79"/>
  <c r="AK12" i="79"/>
  <c r="AJ12" i="79"/>
  <c r="AI12" i="79"/>
  <c r="AH12" i="79"/>
  <c r="AG12" i="79"/>
  <c r="AF12" i="79"/>
  <c r="AE12" i="79"/>
  <c r="AD12" i="79"/>
  <c r="AC12" i="79"/>
  <c r="AB12" i="79"/>
  <c r="AA12" i="79"/>
  <c r="Z12" i="79"/>
  <c r="Y12" i="79"/>
  <c r="X12" i="79"/>
  <c r="W12" i="79"/>
  <c r="V12" i="79"/>
  <c r="U12" i="79"/>
  <c r="T12" i="79"/>
  <c r="S12" i="79"/>
  <c r="R12" i="79"/>
  <c r="Q12" i="79"/>
  <c r="P12" i="79"/>
  <c r="O12" i="79"/>
  <c r="N12" i="79"/>
  <c r="M12" i="79"/>
  <c r="L12" i="79"/>
  <c r="K12" i="79"/>
  <c r="A127" i="99"/>
  <c r="A128" i="99" s="1"/>
  <c r="A129" i="99" s="1"/>
  <c r="A130" i="99" s="1"/>
  <c r="A131" i="99" s="1"/>
  <c r="A132" i="99" s="1"/>
  <c r="A133" i="99" s="1"/>
  <c r="A134" i="99" s="1"/>
  <c r="A135" i="99" s="1"/>
  <c r="A136" i="99" s="1"/>
  <c r="A137" i="99" s="1"/>
  <c r="A138" i="99" s="1"/>
  <c r="A139" i="99" s="1"/>
  <c r="A140" i="99" s="1"/>
  <c r="A141" i="99" s="1"/>
  <c r="A142" i="99" s="1"/>
  <c r="A143" i="99" s="1"/>
  <c r="A144" i="99" s="1"/>
  <c r="A145" i="99" s="1"/>
  <c r="A146" i="99" s="1"/>
  <c r="A147" i="99" s="1"/>
  <c r="A148" i="99" s="1"/>
  <c r="A149" i="99" s="1"/>
  <c r="A150" i="99" s="1"/>
  <c r="A151" i="99" s="1"/>
  <c r="A152" i="99" s="1"/>
  <c r="A153" i="99" s="1"/>
  <c r="A154" i="99" s="1"/>
  <c r="A155" i="99" s="1"/>
  <c r="A156" i="99" s="1"/>
  <c r="A157" i="99" s="1"/>
  <c r="A158" i="99" s="1"/>
  <c r="A159" i="99" s="1"/>
  <c r="A160" i="99" s="1"/>
  <c r="A161" i="99" s="1"/>
  <c r="A162" i="99" s="1"/>
  <c r="A163" i="99" s="1"/>
  <c r="A164" i="99" s="1"/>
  <c r="A165" i="99" s="1"/>
  <c r="A166" i="99" s="1"/>
  <c r="A167" i="99" s="1"/>
  <c r="A168" i="99" s="1"/>
  <c r="A169" i="99" s="1"/>
  <c r="A170" i="99" s="1"/>
  <c r="A171" i="99" s="1"/>
  <c r="A172" i="99" s="1"/>
  <c r="A173" i="99" s="1"/>
  <c r="A174" i="99" s="1"/>
  <c r="A175" i="99" s="1"/>
  <c r="A176" i="99" s="1"/>
  <c r="A177" i="99" s="1"/>
  <c r="A178" i="99" s="1"/>
  <c r="A179" i="99" s="1"/>
  <c r="A180" i="99" s="1"/>
  <c r="A181" i="99" s="1"/>
  <c r="C3" i="99"/>
  <c r="J12" i="79"/>
  <c r="J13" i="79" s="1"/>
  <c r="T9" i="79"/>
  <c r="AF9" i="79"/>
  <c r="AR9" i="79"/>
  <c r="BD9" i="79"/>
  <c r="BP9" i="79"/>
  <c r="U9" i="79"/>
  <c r="AG9" i="79"/>
  <c r="AS9" i="79"/>
  <c r="BE9" i="79"/>
  <c r="BQ9" i="79"/>
  <c r="J9" i="79"/>
  <c r="J10" i="79" s="1"/>
  <c r="V9" i="79"/>
  <c r="AH9" i="79"/>
  <c r="AT9" i="79"/>
  <c r="BF9" i="79"/>
  <c r="K9" i="79"/>
  <c r="W9" i="79"/>
  <c r="AI9" i="79"/>
  <c r="AU9" i="79"/>
  <c r="BG9" i="79"/>
  <c r="L9" i="79"/>
  <c r="X9" i="79"/>
  <c r="AJ9" i="79"/>
  <c r="AV9" i="79"/>
  <c r="BH9" i="79"/>
  <c r="EV9" i="79"/>
  <c r="M9" i="79"/>
  <c r="Y9" i="79"/>
  <c r="AK9" i="79"/>
  <c r="AW9" i="79"/>
  <c r="BI9" i="79"/>
  <c r="EX9" i="79"/>
  <c r="N9" i="79"/>
  <c r="Z9" i="79"/>
  <c r="AL9" i="79"/>
  <c r="AX9" i="79"/>
  <c r="BJ9" i="79"/>
  <c r="O9" i="79"/>
  <c r="AA9" i="79"/>
  <c r="AM9" i="79"/>
  <c r="AY9" i="79"/>
  <c r="BK9" i="79"/>
  <c r="P9" i="79"/>
  <c r="AB9" i="79"/>
  <c r="AN9" i="79"/>
  <c r="AZ9" i="79"/>
  <c r="BL9" i="79"/>
  <c r="Q9" i="79"/>
  <c r="AC9" i="79"/>
  <c r="AO9" i="79"/>
  <c r="BA9" i="79"/>
  <c r="BM9" i="79"/>
  <c r="R9" i="79"/>
  <c r="AD9" i="79"/>
  <c r="AP9" i="79"/>
  <c r="BB9" i="79"/>
  <c r="BN9" i="79"/>
  <c r="S9" i="79"/>
  <c r="AE9" i="79"/>
  <c r="AQ9" i="79"/>
  <c r="BC9" i="79"/>
  <c r="BO9" i="79"/>
  <c r="I27" i="79"/>
  <c r="A27" i="79" s="1"/>
  <c r="I50" i="79"/>
  <c r="M19" i="102" s="1"/>
  <c r="I47" i="79"/>
  <c r="M16" i="102" s="1"/>
  <c r="I43" i="79"/>
  <c r="M12" i="102" s="1"/>
  <c r="I39" i="79"/>
  <c r="A39" i="79" s="1"/>
  <c r="I53" i="79"/>
  <c r="M22" i="102" s="1"/>
  <c r="I35" i="79"/>
  <c r="A35" i="79" s="1"/>
  <c r="I31" i="79"/>
  <c r="A31" i="79" s="1"/>
  <c r="I56" i="79"/>
  <c r="I46" i="79"/>
  <c r="M15" i="102" s="1"/>
  <c r="I42" i="79"/>
  <c r="M11" i="102" s="1"/>
  <c r="I38" i="79"/>
  <c r="A38" i="79" s="1"/>
  <c r="I34" i="79"/>
  <c r="A34" i="79" s="1"/>
  <c r="I30" i="79"/>
  <c r="A30" i="79" s="1"/>
  <c r="I26" i="79"/>
  <c r="I55" i="79"/>
  <c r="I52" i="79"/>
  <c r="M21" i="102" s="1"/>
  <c r="I49" i="79"/>
  <c r="M18" i="102" s="1"/>
  <c r="I45" i="79"/>
  <c r="M14" i="102" s="1"/>
  <c r="I41" i="79"/>
  <c r="I37" i="79"/>
  <c r="A37" i="79" s="1"/>
  <c r="I33" i="79"/>
  <c r="A33" i="79" s="1"/>
  <c r="I29" i="79"/>
  <c r="A29" i="79" s="1"/>
  <c r="I25" i="79"/>
  <c r="A25" i="79" s="1"/>
  <c r="I21" i="79"/>
  <c r="A21" i="79" s="1"/>
  <c r="I54" i="79"/>
  <c r="M23" i="102" s="1"/>
  <c r="I51" i="79"/>
  <c r="M20" i="102" s="1"/>
  <c r="I48" i="79"/>
  <c r="M17" i="102" s="1"/>
  <c r="I44" i="79"/>
  <c r="M13" i="102" s="1"/>
  <c r="I40" i="79"/>
  <c r="A40" i="79" s="1"/>
  <c r="I36" i="79"/>
  <c r="A36" i="79" s="1"/>
  <c r="I32" i="79"/>
  <c r="A32" i="79" s="1"/>
  <c r="I28" i="79"/>
  <c r="A28" i="79" s="1"/>
  <c r="I24" i="79"/>
  <c r="A24" i="79" s="1"/>
  <c r="CM9" i="79"/>
  <c r="DS9" i="79"/>
  <c r="GT9" i="79"/>
  <c r="IQ9" i="79"/>
  <c r="IA9" i="79"/>
  <c r="FD9" i="79"/>
  <c r="CX9" i="79"/>
  <c r="FG9" i="79"/>
  <c r="EY9" i="79"/>
  <c r="HY9" i="79"/>
  <c r="FR9" i="79"/>
  <c r="BS9" i="79"/>
  <c r="CT9" i="79"/>
  <c r="GQ9" i="79"/>
  <c r="BX9" i="79"/>
  <c r="K3" i="79"/>
  <c r="L3" i="79" s="1"/>
  <c r="M3" i="79" s="1"/>
  <c r="N3" i="79" s="1"/>
  <c r="O3" i="79" s="1"/>
  <c r="P3" i="79" s="1"/>
  <c r="Q3" i="79" s="1"/>
  <c r="R3" i="79" s="1"/>
  <c r="S3" i="79" s="1"/>
  <c r="T3" i="79" s="1"/>
  <c r="U3" i="79" s="1"/>
  <c r="V3" i="79" s="1"/>
  <c r="W3" i="79" s="1"/>
  <c r="X3" i="79" s="1"/>
  <c r="Y3" i="79" s="1"/>
  <c r="Z3" i="79" s="1"/>
  <c r="AA3" i="79" s="1"/>
  <c r="AB3" i="79" s="1"/>
  <c r="AC3" i="79" s="1"/>
  <c r="AD3" i="79" s="1"/>
  <c r="AE3" i="79" s="1"/>
  <c r="AF3" i="79" s="1"/>
  <c r="AG3" i="79" s="1"/>
  <c r="AH3" i="79" s="1"/>
  <c r="AI3" i="79" s="1"/>
  <c r="I59" i="79"/>
  <c r="A59" i="79" s="1"/>
  <c r="I63" i="79"/>
  <c r="C43" i="102" s="1"/>
  <c r="I67" i="79"/>
  <c r="A67" i="79" s="1"/>
  <c r="I71" i="79"/>
  <c r="A127" i="79" s="1"/>
  <c r="I75" i="79"/>
  <c r="A75" i="79" s="1"/>
  <c r="I79" i="79"/>
  <c r="A79" i="79" s="1"/>
  <c r="I83" i="79"/>
  <c r="A83" i="79" s="1"/>
  <c r="I87" i="79"/>
  <c r="I60" i="79"/>
  <c r="A60" i="79" s="1"/>
  <c r="I64" i="79"/>
  <c r="I68" i="79"/>
  <c r="A68" i="79" s="1"/>
  <c r="I72" i="79"/>
  <c r="A128" i="79" s="1"/>
  <c r="I76" i="79"/>
  <c r="A11" i="94" s="1"/>
  <c r="I80" i="79"/>
  <c r="A80" i="79" s="1"/>
  <c r="I84" i="79"/>
  <c r="A84" i="79" s="1"/>
  <c r="I88" i="79"/>
  <c r="I57" i="79"/>
  <c r="A57" i="79" s="1"/>
  <c r="I61" i="79"/>
  <c r="A61" i="79" s="1"/>
  <c r="I65" i="79"/>
  <c r="I69" i="79"/>
  <c r="I73" i="79"/>
  <c r="J46" i="102" s="1"/>
  <c r="I77" i="79"/>
  <c r="A9" i="94" s="1"/>
  <c r="I81" i="79"/>
  <c r="A81" i="79" s="1"/>
  <c r="I85" i="79"/>
  <c r="I20" i="79"/>
  <c r="I58" i="79"/>
  <c r="A58" i="79" s="1"/>
  <c r="I62" i="79"/>
  <c r="I66" i="79"/>
  <c r="I70" i="79"/>
  <c r="A126" i="79" s="1"/>
  <c r="I74" i="79"/>
  <c r="I78" i="79"/>
  <c r="I82" i="79"/>
  <c r="A82" i="79" s="1"/>
  <c r="I86" i="79"/>
  <c r="L42" i="102"/>
  <c r="L43" i="102"/>
  <c r="E44" i="102"/>
  <c r="E43" i="102"/>
  <c r="L46" i="102"/>
  <c r="E46" i="102"/>
  <c r="E42" i="102"/>
  <c r="L45" i="102"/>
  <c r="L44" i="102"/>
  <c r="E45" i="102"/>
  <c r="E3" i="102"/>
  <c r="E3" i="94" s="1"/>
  <c r="I101" i="79"/>
  <c r="I91" i="79"/>
  <c r="I116" i="79"/>
  <c r="I124" i="79"/>
  <c r="I90" i="79"/>
  <c r="I100" i="79"/>
  <c r="I103" i="79"/>
  <c r="I89" i="79"/>
  <c r="I122" i="79"/>
  <c r="I114" i="79"/>
  <c r="I96" i="79"/>
  <c r="I109" i="79"/>
  <c r="I115" i="79"/>
  <c r="I93" i="79"/>
  <c r="I110" i="79"/>
  <c r="I119" i="79"/>
  <c r="I94" i="79"/>
  <c r="I120" i="79"/>
  <c r="I92" i="79"/>
  <c r="I108" i="79"/>
  <c r="I102" i="79"/>
  <c r="EC6" i="79"/>
  <c r="I121" i="79"/>
  <c r="I113" i="79"/>
  <c r="I117" i="79"/>
  <c r="I19" i="79"/>
  <c r="A19" i="79" s="1"/>
  <c r="I99" i="79"/>
  <c r="I104" i="79"/>
  <c r="I112" i="79"/>
  <c r="I118" i="79"/>
  <c r="I111" i="79"/>
  <c r="I107" i="79"/>
  <c r="I95" i="79"/>
  <c r="I123" i="79"/>
  <c r="I98" i="79"/>
  <c r="I106" i="79"/>
  <c r="I125" i="79"/>
  <c r="I105" i="79"/>
  <c r="I97" i="79"/>
  <c r="FT9" i="79"/>
  <c r="BW9" i="79"/>
  <c r="DA9" i="79"/>
  <c r="GY9" i="79"/>
  <c r="GK9" i="79"/>
  <c r="FJ9" i="79"/>
  <c r="HH9" i="79"/>
  <c r="CN9" i="79"/>
  <c r="CO9" i="79"/>
  <c r="IN9" i="79"/>
  <c r="CV9" i="79"/>
  <c r="BV9" i="79"/>
  <c r="IH9" i="79"/>
  <c r="II9" i="79"/>
  <c r="HN9" i="79"/>
  <c r="CB9" i="79"/>
  <c r="BY9" i="79"/>
  <c r="CD9" i="79"/>
  <c r="FA9" i="79"/>
  <c r="DM9" i="79"/>
  <c r="FH9" i="79"/>
  <c r="DO9" i="79"/>
  <c r="ED9" i="79"/>
  <c r="EF9" i="79"/>
  <c r="EJ9" i="79"/>
  <c r="FO9" i="79"/>
  <c r="GC9" i="79"/>
  <c r="CI9" i="79"/>
  <c r="IB9" i="79"/>
  <c r="IE9" i="79"/>
  <c r="FZ9" i="79"/>
  <c r="GZ9" i="79"/>
  <c r="EO9" i="79"/>
  <c r="DZ9" i="79"/>
  <c r="GJ9" i="79"/>
  <c r="CF9" i="79"/>
  <c r="HM9" i="79"/>
  <c r="GF9" i="79"/>
  <c r="HW9" i="79"/>
  <c r="ER9" i="79"/>
  <c r="FC9" i="79"/>
  <c r="HJ9" i="79"/>
  <c r="HQ9" i="79"/>
  <c r="GE9" i="79"/>
  <c r="EE9" i="79"/>
  <c r="BU9" i="79"/>
  <c r="EW9" i="79"/>
  <c r="HL9" i="79"/>
  <c r="HX9" i="79"/>
  <c r="DR9" i="79"/>
  <c r="HG9" i="79"/>
  <c r="GV9" i="79"/>
  <c r="DX9" i="79"/>
  <c r="GH9" i="79"/>
  <c r="GX9" i="79"/>
  <c r="EA9" i="79"/>
  <c r="CJ9" i="79"/>
  <c r="BR9" i="79"/>
  <c r="EK9" i="79"/>
  <c r="CL9" i="79"/>
  <c r="IR9" i="79"/>
  <c r="EM9" i="79"/>
  <c r="ID9" i="79"/>
  <c r="DC9" i="79"/>
  <c r="EC9" i="79"/>
  <c r="GU9" i="79"/>
  <c r="CZ9" i="79"/>
  <c r="FQ9" i="79"/>
  <c r="HZ9" i="79"/>
  <c r="IC9" i="79"/>
  <c r="CP9" i="79"/>
  <c r="HE9" i="79"/>
  <c r="CW9" i="79"/>
  <c r="GA9" i="79"/>
  <c r="HD9" i="79"/>
  <c r="IU9" i="79"/>
  <c r="EQ9" i="79"/>
  <c r="DN9" i="79"/>
  <c r="FV9" i="79"/>
  <c r="IK9" i="79"/>
  <c r="IL9" i="79"/>
  <c r="CU9" i="79"/>
  <c r="FB9" i="79"/>
  <c r="GP9" i="79"/>
  <c r="EL9" i="79"/>
  <c r="CS9" i="79"/>
  <c r="BZ9" i="79"/>
  <c r="FS9" i="79"/>
  <c r="DQ9" i="79"/>
  <c r="GW9" i="79"/>
  <c r="BT9" i="79"/>
  <c r="HV9" i="79"/>
  <c r="FX9" i="79"/>
  <c r="DU9" i="79"/>
  <c r="DB9" i="79"/>
  <c r="DK9" i="79"/>
  <c r="HP9" i="79"/>
  <c r="FU9" i="79"/>
  <c r="EG9" i="79"/>
  <c r="HK9" i="79"/>
  <c r="FE9" i="79"/>
  <c r="HU9" i="79"/>
  <c r="CG9" i="79"/>
  <c r="DG9" i="79"/>
  <c r="EI9" i="79"/>
  <c r="FM9" i="79"/>
  <c r="GS9" i="79"/>
  <c r="CA9" i="79"/>
  <c r="EB9" i="79"/>
  <c r="CY9" i="79"/>
  <c r="HO9" i="79"/>
  <c r="DY9" i="79"/>
  <c r="ES9" i="79"/>
  <c r="DT9" i="79"/>
  <c r="FP9" i="79"/>
  <c r="GG9" i="79"/>
  <c r="GL9" i="79"/>
  <c r="GR9" i="79"/>
  <c r="GO9" i="79"/>
  <c r="HC9" i="79"/>
  <c r="CQ9" i="79"/>
  <c r="IT9" i="79"/>
  <c r="IP9" i="79"/>
  <c r="CH9" i="79"/>
  <c r="ET9" i="79"/>
  <c r="FI9" i="79"/>
  <c r="EN9" i="79"/>
  <c r="DF9" i="79"/>
  <c r="HF9" i="79"/>
  <c r="DD9" i="79"/>
  <c r="CE9" i="79"/>
  <c r="DW9" i="79"/>
  <c r="GI9" i="79"/>
  <c r="HT9" i="79"/>
  <c r="EU9" i="79"/>
  <c r="IG9" i="79"/>
  <c r="CR9" i="79"/>
  <c r="HA9" i="79"/>
  <c r="FN9" i="79"/>
  <c r="EH9" i="79"/>
  <c r="DH9" i="79"/>
  <c r="HB9" i="79"/>
  <c r="IF9" i="79"/>
  <c r="HR9" i="79"/>
  <c r="IS9" i="79"/>
  <c r="IM9" i="79"/>
  <c r="GB9" i="79"/>
  <c r="DE9" i="79"/>
  <c r="GD9" i="79"/>
  <c r="EZ9" i="79"/>
  <c r="FF9" i="79"/>
  <c r="FW9" i="79"/>
  <c r="EP9" i="79"/>
  <c r="CK9" i="79"/>
  <c r="CC9" i="79"/>
  <c r="IO9" i="79"/>
  <c r="DL9" i="79"/>
  <c r="GM9" i="79"/>
  <c r="DV9" i="79"/>
  <c r="DI9" i="79"/>
  <c r="GN9" i="79"/>
  <c r="FL9" i="79"/>
  <c r="FK9" i="79"/>
  <c r="DP9" i="79"/>
  <c r="FY9" i="79"/>
  <c r="HI9" i="79"/>
  <c r="HS9" i="79"/>
  <c r="IJ9" i="79"/>
  <c r="F4" i="99"/>
  <c r="C4" i="99"/>
  <c r="F5" i="99" s="1"/>
  <c r="DJ9" i="79"/>
  <c r="A22" i="79" l="1"/>
  <c r="K13" i="79"/>
  <c r="L13" i="79" s="1"/>
  <c r="M13" i="79" s="1"/>
  <c r="N13" i="79" s="1"/>
  <c r="O13" i="79" s="1"/>
  <c r="P13" i="79" s="1"/>
  <c r="Q13" i="79" s="1"/>
  <c r="R13" i="79" s="1"/>
  <c r="S13" i="79" s="1"/>
  <c r="T13" i="79" s="1"/>
  <c r="U13" i="79" s="1"/>
  <c r="V13" i="79" s="1"/>
  <c r="W13" i="79" s="1"/>
  <c r="X13" i="79" s="1"/>
  <c r="Y13" i="79" s="1"/>
  <c r="Z13" i="79" s="1"/>
  <c r="AA13" i="79" s="1"/>
  <c r="AB13" i="79" s="1"/>
  <c r="AC13" i="79" s="1"/>
  <c r="AD13" i="79" s="1"/>
  <c r="AE13" i="79" s="1"/>
  <c r="AF13" i="79" s="1"/>
  <c r="AG13" i="79" s="1"/>
  <c r="AH13" i="79" s="1"/>
  <c r="AI13" i="79" s="1"/>
  <c r="AJ13" i="79" s="1"/>
  <c r="AK13" i="79" s="1"/>
  <c r="AL13" i="79" s="1"/>
  <c r="AM13" i="79" s="1"/>
  <c r="AN13" i="79" s="1"/>
  <c r="AO13" i="79" s="1"/>
  <c r="AP13" i="79" s="1"/>
  <c r="AQ13" i="79" s="1"/>
  <c r="AR13" i="79" s="1"/>
  <c r="AS13" i="79" s="1"/>
  <c r="AT13" i="79" s="1"/>
  <c r="AU13" i="79" s="1"/>
  <c r="AV13" i="79" s="1"/>
  <c r="AW13" i="79" s="1"/>
  <c r="AX13" i="79" s="1"/>
  <c r="AY13" i="79" s="1"/>
  <c r="AZ13" i="79" s="1"/>
  <c r="BA13" i="79" s="1"/>
  <c r="BB13" i="79" s="1"/>
  <c r="BC13" i="79" s="1"/>
  <c r="BD13" i="79" s="1"/>
  <c r="BE13" i="79" s="1"/>
  <c r="BF13" i="79" s="1"/>
  <c r="BG13" i="79" s="1"/>
  <c r="BH13" i="79" s="1"/>
  <c r="BI13" i="79" s="1"/>
  <c r="BJ13" i="79" s="1"/>
  <c r="BK13" i="79" s="1"/>
  <c r="BL13" i="79" s="1"/>
  <c r="BM13" i="79" s="1"/>
  <c r="BN13" i="79" s="1"/>
  <c r="BO13" i="79" s="1"/>
  <c r="BP13" i="79" s="1"/>
  <c r="BQ13" i="79" s="1"/>
  <c r="K10" i="79"/>
  <c r="L10" i="79" s="1"/>
  <c r="M10" i="79" s="1"/>
  <c r="N10" i="79" s="1"/>
  <c r="O10" i="79" s="1"/>
  <c r="P10" i="79" s="1"/>
  <c r="Q10" i="79" s="1"/>
  <c r="R10" i="79" s="1"/>
  <c r="S10" i="79" s="1"/>
  <c r="T10" i="79" s="1"/>
  <c r="U10" i="79" s="1"/>
  <c r="V10" i="79" s="1"/>
  <c r="W10" i="79" s="1"/>
  <c r="X10" i="79" s="1"/>
  <c r="Y10" i="79" s="1"/>
  <c r="Z10" i="79" s="1"/>
  <c r="AA10" i="79" s="1"/>
  <c r="AB10" i="79" s="1"/>
  <c r="AC10" i="79" s="1"/>
  <c r="AD10" i="79" s="1"/>
  <c r="AE10" i="79" s="1"/>
  <c r="AF10" i="79" s="1"/>
  <c r="AG10" i="79" s="1"/>
  <c r="AH10" i="79" s="1"/>
  <c r="AI10" i="79" s="1"/>
  <c r="AJ10" i="79" s="1"/>
  <c r="AK10" i="79" s="1"/>
  <c r="AL10" i="79" s="1"/>
  <c r="AM10" i="79" s="1"/>
  <c r="AN10" i="79" s="1"/>
  <c r="AO10" i="79" s="1"/>
  <c r="AP10" i="79" s="1"/>
  <c r="AQ10" i="79" s="1"/>
  <c r="AR10" i="79" s="1"/>
  <c r="AS10" i="79" s="1"/>
  <c r="AT10" i="79" s="1"/>
  <c r="AU10" i="79" s="1"/>
  <c r="AV10" i="79" s="1"/>
  <c r="AW10" i="79" s="1"/>
  <c r="AX10" i="79" s="1"/>
  <c r="AY10" i="79" s="1"/>
  <c r="AZ10" i="79" s="1"/>
  <c r="BA10" i="79" s="1"/>
  <c r="BB10" i="79" s="1"/>
  <c r="BC10" i="79" s="1"/>
  <c r="BD10" i="79" s="1"/>
  <c r="BE10" i="79" s="1"/>
  <c r="BF10" i="79" s="1"/>
  <c r="BG10" i="79" s="1"/>
  <c r="BH10" i="79" s="1"/>
  <c r="BI10" i="79" s="1"/>
  <c r="BJ10" i="79" s="1"/>
  <c r="BK10" i="79" s="1"/>
  <c r="BL10" i="79" s="1"/>
  <c r="BM10" i="79" s="1"/>
  <c r="BN10" i="79" s="1"/>
  <c r="BO10" i="79" s="1"/>
  <c r="BP10" i="79" s="1"/>
  <c r="BQ10" i="79" s="1"/>
  <c r="M10" i="102"/>
  <c r="A41" i="79"/>
  <c r="A46" i="79"/>
  <c r="A42" i="79"/>
  <c r="A44" i="79"/>
  <c r="A45" i="79"/>
  <c r="A43" i="79"/>
  <c r="G10" i="102"/>
  <c r="A20" i="79"/>
  <c r="A52" i="79"/>
  <c r="A49" i="79"/>
  <c r="G24" i="102"/>
  <c r="A47" i="79"/>
  <c r="G18" i="102"/>
  <c r="G22" i="102"/>
  <c r="A50" i="79"/>
  <c r="G26" i="102"/>
  <c r="G30" i="102"/>
  <c r="G11" i="102"/>
  <c r="G21" i="102"/>
  <c r="G14" i="102"/>
  <c r="G15" i="102"/>
  <c r="A48" i="79"/>
  <c r="G19" i="102"/>
  <c r="G25" i="102"/>
  <c r="G23" i="102"/>
  <c r="G13" i="102"/>
  <c r="G27" i="102"/>
  <c r="G17" i="102"/>
  <c r="A51" i="79"/>
  <c r="G16" i="102"/>
  <c r="G28" i="102"/>
  <c r="G20" i="102"/>
  <c r="G29" i="102"/>
  <c r="A56" i="79"/>
  <c r="A53" i="79"/>
  <c r="A54" i="79"/>
  <c r="A55" i="79"/>
  <c r="J44" i="102"/>
  <c r="A70" i="79"/>
  <c r="A78" i="79"/>
  <c r="A24" i="94"/>
  <c r="A71" i="79"/>
  <c r="A77" i="79"/>
  <c r="J45" i="102"/>
  <c r="A63" i="79"/>
  <c r="A59" i="102"/>
  <c r="A73" i="79"/>
  <c r="A72" i="79"/>
  <c r="J43" i="102"/>
  <c r="I17" i="79"/>
  <c r="A57" i="102"/>
  <c r="A76" i="79"/>
  <c r="ED6" i="79"/>
  <c r="EE6" i="79" s="1"/>
  <c r="EF6" i="79" s="1"/>
  <c r="EG6" i="79" s="1"/>
  <c r="EH6" i="79" s="1"/>
  <c r="EI6" i="79" s="1"/>
  <c r="EJ6" i="79" s="1"/>
  <c r="EK6" i="79" s="1"/>
  <c r="EL6" i="79" s="1"/>
  <c r="EM6" i="79" s="1"/>
  <c r="EN6" i="79" s="1"/>
  <c r="EO6" i="79" s="1"/>
  <c r="EP6" i="79" s="1"/>
  <c r="EQ6" i="79" s="1"/>
  <c r="ER6" i="79" s="1"/>
  <c r="ES6" i="79" s="1"/>
  <c r="ET6" i="79" s="1"/>
  <c r="EU6" i="79" s="1"/>
  <c r="EV6" i="79" s="1"/>
  <c r="EW6" i="79" s="1"/>
  <c r="EX6" i="79" s="1"/>
  <c r="EY6" i="79" s="1"/>
  <c r="EZ6" i="79" s="1"/>
  <c r="FA6" i="79" s="1"/>
  <c r="FB6" i="79" s="1"/>
  <c r="FC6" i="79" s="1"/>
  <c r="FD6" i="79" s="1"/>
  <c r="FE6" i="79" s="1"/>
  <c r="FF6" i="79" s="1"/>
  <c r="FG6" i="79" s="1"/>
  <c r="FH6" i="79" s="1"/>
  <c r="FI6" i="79" s="1"/>
  <c r="FJ6" i="79" s="1"/>
  <c r="FK6" i="79" s="1"/>
  <c r="FL6" i="79" s="1"/>
  <c r="FM6" i="79" s="1"/>
  <c r="FN6" i="79" s="1"/>
  <c r="FO6" i="79" s="1"/>
  <c r="FP6" i="79" s="1"/>
  <c r="FQ6" i="79" s="1"/>
  <c r="FR6" i="79" s="1"/>
  <c r="FS6" i="79" s="1"/>
  <c r="FT6" i="79" s="1"/>
  <c r="FU6" i="79" s="1"/>
  <c r="FV6" i="79" s="1"/>
  <c r="FW6" i="79" s="1"/>
  <c r="FX6" i="79" s="1"/>
  <c r="FY6" i="79" s="1"/>
  <c r="FZ6" i="79" s="1"/>
  <c r="GA6" i="79" s="1"/>
  <c r="GB6" i="79" s="1"/>
  <c r="GC6" i="79" s="1"/>
  <c r="GD6" i="79" s="1"/>
  <c r="GE6" i="79" s="1"/>
  <c r="GF6" i="79" s="1"/>
  <c r="GG6" i="79" s="1"/>
  <c r="GH6" i="79" s="1"/>
  <c r="GI6" i="79" s="1"/>
  <c r="GJ6" i="79" s="1"/>
  <c r="GK6" i="79" s="1"/>
  <c r="GL6" i="79" s="1"/>
  <c r="GM6" i="79" s="1"/>
  <c r="GN6" i="79" s="1"/>
  <c r="GO6" i="79" s="1"/>
  <c r="GP6" i="79" s="1"/>
  <c r="GQ6" i="79" s="1"/>
  <c r="GR6" i="79" s="1"/>
  <c r="GS6" i="79" s="1"/>
  <c r="GT6" i="79" s="1"/>
  <c r="GU6" i="79" s="1"/>
  <c r="GV6" i="79" s="1"/>
  <c r="GW6" i="79" s="1"/>
  <c r="GX6" i="79" s="1"/>
  <c r="GY6" i="79" s="1"/>
  <c r="GZ6" i="79" s="1"/>
  <c r="HA6" i="79" s="1"/>
  <c r="HB6" i="79" s="1"/>
  <c r="HC6" i="79" s="1"/>
  <c r="HD6" i="79" s="1"/>
  <c r="HE6" i="79" s="1"/>
  <c r="HF6" i="79" s="1"/>
  <c r="HG6" i="79" s="1"/>
  <c r="HH6" i="79" s="1"/>
  <c r="HI6" i="79" s="1"/>
  <c r="HJ6" i="79" s="1"/>
  <c r="HK6" i="79" s="1"/>
  <c r="HL6" i="79" s="1"/>
  <c r="HM6" i="79" s="1"/>
  <c r="HN6" i="79" s="1"/>
  <c r="HO6" i="79" s="1"/>
  <c r="HP6" i="79" s="1"/>
  <c r="HQ6" i="79" s="1"/>
  <c r="HR6" i="79" s="1"/>
  <c r="HS6" i="79" s="1"/>
  <c r="HT6" i="79" s="1"/>
  <c r="HU6" i="79" s="1"/>
  <c r="HV6" i="79" s="1"/>
  <c r="HW6" i="79" s="1"/>
  <c r="HX6" i="79" s="1"/>
  <c r="HY6" i="79" s="1"/>
  <c r="HZ6" i="79" s="1"/>
  <c r="IA6" i="79" s="1"/>
  <c r="IB6" i="79" s="1"/>
  <c r="IC6" i="79" s="1"/>
  <c r="ID6" i="79" s="1"/>
  <c r="IE6" i="79" s="1"/>
  <c r="IF6" i="79" s="1"/>
  <c r="IG6" i="79" s="1"/>
  <c r="IH6" i="79" s="1"/>
  <c r="II6" i="79" s="1"/>
  <c r="IJ6" i="79" s="1"/>
  <c r="IK6" i="79" s="1"/>
  <c r="IL6" i="79" s="1"/>
  <c r="IM6" i="79" s="1"/>
  <c r="IN6" i="79" s="1"/>
  <c r="IO6" i="79" s="1"/>
  <c r="IP6" i="79" s="1"/>
  <c r="IQ6" i="79" s="1"/>
  <c r="IR6" i="79" s="1"/>
  <c r="IS6" i="79" s="1"/>
  <c r="IT6" i="79" s="1"/>
  <c r="IU6" i="79" s="1"/>
  <c r="I11" i="79"/>
  <c r="N5" i="102" s="1"/>
  <c r="G6" i="94" s="1"/>
  <c r="G5" i="94" s="1"/>
  <c r="I15" i="79"/>
  <c r="A65" i="79"/>
  <c r="C45" i="102"/>
  <c r="A74" i="79"/>
  <c r="A17" i="94"/>
  <c r="J42" i="102"/>
  <c r="A69" i="79"/>
  <c r="A125" i="79"/>
  <c r="C46" i="102"/>
  <c r="A66" i="79"/>
  <c r="C42" i="102"/>
  <c r="A62" i="79"/>
  <c r="I16" i="79"/>
  <c r="A64" i="79"/>
  <c r="C44" i="102"/>
  <c r="I9" i="79"/>
  <c r="C5" i="99"/>
  <c r="F6" i="99" l="1"/>
  <c r="C6" i="99"/>
  <c r="BR10" i="79" l="1"/>
  <c r="BS10" i="79" s="1"/>
  <c r="BT10" i="79" s="1"/>
  <c r="BU10" i="79" s="1"/>
  <c r="BV10" i="79" s="1"/>
  <c r="BW10" i="79" s="1"/>
  <c r="BX10" i="79" s="1"/>
  <c r="BY10" i="79" s="1"/>
  <c r="BZ10" i="79" s="1"/>
  <c r="CA10" i="79" s="1"/>
  <c r="CB10" i="79" s="1"/>
  <c r="CC10" i="79" s="1"/>
  <c r="CD10" i="79" s="1"/>
  <c r="CE10" i="79" s="1"/>
  <c r="CF10" i="79" s="1"/>
  <c r="CG10" i="79" s="1"/>
  <c r="CH10" i="79" s="1"/>
  <c r="CI10" i="79" s="1"/>
  <c r="CJ10" i="79" s="1"/>
  <c r="CK10" i="79" s="1"/>
  <c r="CL10" i="79" s="1"/>
  <c r="CM10" i="79" s="1"/>
  <c r="CN10" i="79" s="1"/>
  <c r="CO10" i="79" s="1"/>
  <c r="CP10" i="79" s="1"/>
  <c r="CQ10" i="79" s="1"/>
  <c r="CR10" i="79" s="1"/>
  <c r="CS10" i="79" s="1"/>
  <c r="CT10" i="79" s="1"/>
  <c r="CU10" i="79" s="1"/>
  <c r="CV10" i="79" s="1"/>
  <c r="CW10" i="79" s="1"/>
  <c r="CX10" i="79" s="1"/>
  <c r="CY10" i="79" s="1"/>
  <c r="CZ10" i="79" s="1"/>
  <c r="DA10" i="79" s="1"/>
  <c r="DB10" i="79" s="1"/>
  <c r="DC10" i="79" s="1"/>
  <c r="DD10" i="79" s="1"/>
  <c r="DE10" i="79" s="1"/>
  <c r="DF10" i="79" s="1"/>
  <c r="DG10" i="79" s="1"/>
  <c r="DH10" i="79" s="1"/>
  <c r="DI10" i="79" s="1"/>
  <c r="DJ10" i="79" s="1"/>
  <c r="DK10" i="79" s="1"/>
  <c r="DL10" i="79" s="1"/>
  <c r="DM10" i="79" s="1"/>
  <c r="DN10" i="79" s="1"/>
  <c r="DO10" i="79" s="1"/>
  <c r="DP10" i="79" s="1"/>
  <c r="DQ10" i="79" s="1"/>
  <c r="DR10" i="79" s="1"/>
  <c r="DS10" i="79" s="1"/>
  <c r="DT10" i="79" s="1"/>
  <c r="DU10" i="79" s="1"/>
  <c r="DV10" i="79" s="1"/>
  <c r="DW10" i="79" s="1"/>
  <c r="DX10" i="79" s="1"/>
  <c r="DY10" i="79" s="1"/>
  <c r="DZ10" i="79" s="1"/>
  <c r="EA10" i="79" s="1"/>
  <c r="EB10" i="79" s="1"/>
  <c r="EC10" i="79" s="1"/>
  <c r="ED10" i="79" s="1"/>
  <c r="EE10" i="79" s="1"/>
  <c r="EF10" i="79" s="1"/>
  <c r="EG10" i="79" s="1"/>
  <c r="EH10" i="79" s="1"/>
  <c r="EI10" i="79" s="1"/>
  <c r="EJ10" i="79" s="1"/>
  <c r="EK10" i="79" s="1"/>
  <c r="EL10" i="79" s="1"/>
  <c r="EM10" i="79" s="1"/>
  <c r="EN10" i="79" s="1"/>
  <c r="EO10" i="79" s="1"/>
  <c r="EP10" i="79" s="1"/>
  <c r="EQ10" i="79" s="1"/>
  <c r="ER10" i="79" s="1"/>
  <c r="ES10" i="79" s="1"/>
  <c r="ET10" i="79" s="1"/>
  <c r="EU10" i="79" s="1"/>
  <c r="EV10" i="79" s="1"/>
  <c r="EW10" i="79" s="1"/>
  <c r="EX10" i="79" s="1"/>
  <c r="EY10" i="79" s="1"/>
  <c r="EZ10" i="79" s="1"/>
  <c r="FA10" i="79" s="1"/>
  <c r="FB10" i="79" s="1"/>
  <c r="FC10" i="79" s="1"/>
  <c r="FD10" i="79" s="1"/>
  <c r="FE10" i="79" s="1"/>
  <c r="FF10" i="79" s="1"/>
  <c r="FG10" i="79" s="1"/>
  <c r="FH10" i="79" s="1"/>
  <c r="FI10" i="79" s="1"/>
  <c r="FJ10" i="79" s="1"/>
  <c r="FK10" i="79" s="1"/>
  <c r="FL10" i="79" s="1"/>
  <c r="FM10" i="79" s="1"/>
  <c r="FN10" i="79" s="1"/>
  <c r="FO10" i="79" s="1"/>
  <c r="FP10" i="79" s="1"/>
  <c r="FQ10" i="79" s="1"/>
  <c r="FR10" i="79" s="1"/>
  <c r="FS10" i="79" s="1"/>
  <c r="FT10" i="79" s="1"/>
  <c r="FU10" i="79" s="1"/>
  <c r="FV10" i="79" s="1"/>
  <c r="FW10" i="79" s="1"/>
  <c r="FX10" i="79" s="1"/>
  <c r="FY10" i="79" s="1"/>
  <c r="FZ10" i="79" s="1"/>
  <c r="GA10" i="79" s="1"/>
  <c r="GB10" i="79" s="1"/>
  <c r="GC10" i="79" s="1"/>
  <c r="GD10" i="79" s="1"/>
  <c r="GE10" i="79" s="1"/>
  <c r="GF10" i="79" s="1"/>
  <c r="GG10" i="79" s="1"/>
  <c r="GH10" i="79" s="1"/>
  <c r="GI10" i="79" s="1"/>
  <c r="GJ10" i="79" s="1"/>
  <c r="GK10" i="79" s="1"/>
  <c r="GL10" i="79" s="1"/>
  <c r="GM10" i="79" s="1"/>
  <c r="GN10" i="79" s="1"/>
  <c r="GO10" i="79" s="1"/>
  <c r="GP10" i="79" s="1"/>
  <c r="GQ10" i="79" s="1"/>
  <c r="GR10" i="79" s="1"/>
  <c r="GS10" i="79" s="1"/>
  <c r="GT10" i="79" s="1"/>
  <c r="GU10" i="79" s="1"/>
  <c r="GV10" i="79" s="1"/>
  <c r="GW10" i="79" s="1"/>
  <c r="GX10" i="79" s="1"/>
  <c r="GY10" i="79" s="1"/>
  <c r="GZ10" i="79" s="1"/>
  <c r="HA10" i="79" s="1"/>
  <c r="HB10" i="79" s="1"/>
  <c r="HC10" i="79" s="1"/>
  <c r="HD10" i="79" s="1"/>
  <c r="HE10" i="79" s="1"/>
  <c r="HF10" i="79" s="1"/>
  <c r="HG10" i="79" s="1"/>
  <c r="HH10" i="79" s="1"/>
  <c r="HI10" i="79" s="1"/>
  <c r="HJ10" i="79" s="1"/>
  <c r="HK10" i="79" s="1"/>
  <c r="HL10" i="79" s="1"/>
  <c r="HM10" i="79" s="1"/>
  <c r="HN10" i="79" s="1"/>
  <c r="HO10" i="79" s="1"/>
  <c r="HP10" i="79" s="1"/>
  <c r="HQ10" i="79" s="1"/>
  <c r="HR10" i="79" s="1"/>
  <c r="HS10" i="79" s="1"/>
  <c r="HT10" i="79" s="1"/>
  <c r="HU10" i="79" s="1"/>
  <c r="HV10" i="79" s="1"/>
  <c r="HW10" i="79" s="1"/>
  <c r="HX10" i="79" s="1"/>
  <c r="HY10" i="79" s="1"/>
  <c r="HZ10" i="79" s="1"/>
  <c r="IA10" i="79" s="1"/>
  <c r="IB10" i="79" s="1"/>
  <c r="IC10" i="79" s="1"/>
  <c r="ID10" i="79" s="1"/>
  <c r="IE10" i="79" s="1"/>
  <c r="IF10" i="79" s="1"/>
  <c r="IG10" i="79" s="1"/>
  <c r="IH10" i="79" s="1"/>
  <c r="II10" i="79" s="1"/>
  <c r="IJ10" i="79" s="1"/>
  <c r="IK10" i="79" s="1"/>
  <c r="IL10" i="79" s="1"/>
  <c r="IM10" i="79" s="1"/>
  <c r="IN10" i="79" s="1"/>
  <c r="IO10" i="79" s="1"/>
  <c r="IP10" i="79" s="1"/>
  <c r="IQ10" i="79" s="1"/>
  <c r="IR10" i="79" s="1"/>
  <c r="IS10" i="79" s="1"/>
  <c r="IT10" i="79" s="1"/>
  <c r="IU10" i="79" s="1"/>
  <c r="C7" i="99"/>
  <c r="F7" i="99"/>
  <c r="I10" i="79" l="1"/>
  <c r="J7" i="102" s="1"/>
  <c r="F7" i="94" s="1"/>
  <c r="C8" i="99"/>
  <c r="F8" i="99"/>
  <c r="C9" i="99" l="1"/>
  <c r="F9" i="99"/>
  <c r="C10" i="99" l="1"/>
  <c r="F10" i="99"/>
  <c r="C11" i="99" l="1"/>
  <c r="F11" i="99"/>
  <c r="C12" i="99" l="1"/>
  <c r="F12" i="99"/>
  <c r="F13" i="99" l="1"/>
  <c r="C13" i="99"/>
  <c r="F14" i="99" l="1"/>
  <c r="C14" i="99"/>
  <c r="F15" i="99" l="1"/>
  <c r="C15" i="99"/>
  <c r="C16" i="99" l="1"/>
  <c r="F16" i="99"/>
  <c r="F17" i="99" l="1"/>
  <c r="C17" i="99"/>
  <c r="C18" i="99" l="1"/>
  <c r="F18" i="99"/>
  <c r="C19" i="99" l="1"/>
  <c r="F19" i="99"/>
  <c r="C20" i="99" l="1"/>
  <c r="F20" i="99"/>
  <c r="F21" i="99" l="1"/>
  <c r="C21" i="99"/>
  <c r="C22" i="99" s="1"/>
  <c r="C23" i="99" s="1"/>
  <c r="C24" i="99" s="1"/>
  <c r="C25" i="99" s="1"/>
  <c r="C26" i="99" s="1"/>
  <c r="C27" i="99" s="1"/>
  <c r="C28" i="99" s="1"/>
  <c r="C29" i="99" s="1"/>
  <c r="C30" i="99" s="1"/>
  <c r="C31" i="99" s="1"/>
  <c r="C32" i="99" s="1"/>
  <c r="C33" i="99" s="1"/>
  <c r="C34" i="99" s="1"/>
  <c r="C35" i="99" s="1"/>
  <c r="C36" i="99" s="1"/>
  <c r="C37" i="99" s="1"/>
  <c r="C38" i="99" s="1"/>
  <c r="C39" i="99" s="1"/>
  <c r="C40" i="99" s="1"/>
  <c r="C41" i="99" s="1"/>
  <c r="C42" i="99" s="1"/>
  <c r="C43" i="99" s="1"/>
  <c r="C44" i="99" s="1"/>
  <c r="C45" i="99" s="1"/>
  <c r="C46" i="99" s="1"/>
  <c r="C47" i="99" s="1"/>
  <c r="C48" i="99" s="1"/>
  <c r="C49" i="99" s="1"/>
  <c r="C50" i="99" s="1"/>
  <c r="C51" i="99" s="1"/>
  <c r="C52" i="99" s="1"/>
  <c r="C53" i="99" s="1"/>
  <c r="C54" i="99" s="1"/>
  <c r="C55" i="99" s="1"/>
  <c r="C56" i="99" s="1"/>
  <c r="C57" i="99" s="1"/>
  <c r="C58" i="99" s="1"/>
  <c r="C59" i="99" s="1"/>
  <c r="C60" i="99" s="1"/>
  <c r="C61" i="99" s="1"/>
  <c r="C62" i="99" s="1"/>
  <c r="C63" i="99" s="1"/>
  <c r="C64" i="99" s="1"/>
  <c r="C65" i="99" s="1"/>
  <c r="C66" i="99" s="1"/>
  <c r="C67" i="99" s="1"/>
  <c r="C68" i="99" s="1"/>
  <c r="C69" i="99" s="1"/>
  <c r="C70" i="99" s="1"/>
  <c r="C71" i="99" s="1"/>
  <c r="C72" i="99" s="1"/>
  <c r="C73" i="99" s="1"/>
  <c r="C74" i="99" s="1"/>
  <c r="C75" i="99" s="1"/>
  <c r="C76" i="99" s="1"/>
  <c r="C77" i="99" s="1"/>
  <c r="C78" i="99" s="1"/>
  <c r="C79" i="99" s="1"/>
  <c r="C80" i="99" s="1"/>
  <c r="C81" i="99" s="1"/>
  <c r="C82" i="99" s="1"/>
  <c r="C83" i="99" s="1"/>
  <c r="C84" i="99" s="1"/>
  <c r="C85" i="99" s="1"/>
  <c r="C86" i="99" s="1"/>
  <c r="C87" i="99" s="1"/>
  <c r="C88" i="99" s="1"/>
  <c r="C89" i="99" s="1"/>
  <c r="C90" i="99" s="1"/>
  <c r="C91" i="99" s="1"/>
  <c r="C92" i="99" s="1"/>
  <c r="C93" i="99" s="1"/>
  <c r="C94" i="99" s="1"/>
  <c r="C95" i="99" s="1"/>
  <c r="C96" i="99" s="1"/>
  <c r="C97" i="99" s="1"/>
  <c r="C98" i="99" s="1"/>
  <c r="C99" i="99" s="1"/>
  <c r="C100" i="99" s="1"/>
  <c r="C101" i="99" s="1"/>
  <c r="C102" i="99" s="1"/>
  <c r="C103" i="99" s="1"/>
  <c r="C104" i="99" s="1"/>
  <c r="C105" i="99" s="1"/>
  <c r="C106" i="99" s="1"/>
  <c r="C107" i="99" s="1"/>
  <c r="C108" i="99" s="1"/>
  <c r="C109" i="99" s="1"/>
  <c r="C110" i="99" s="1"/>
  <c r="C111" i="99" s="1"/>
  <c r="C112" i="99" s="1"/>
  <c r="C113" i="99" s="1"/>
  <c r="C114" i="99" s="1"/>
  <c r="C115" i="99" s="1"/>
  <c r="C116" i="99" s="1"/>
  <c r="C117" i="99" s="1"/>
  <c r="C118" i="99" s="1"/>
  <c r="C119" i="99" s="1"/>
  <c r="C120" i="99" s="1"/>
  <c r="C121" i="99" s="1"/>
  <c r="C122" i="99" s="1"/>
  <c r="C123" i="99" s="1"/>
  <c r="C124" i="99" s="1"/>
  <c r="C125" i="99" s="1"/>
  <c r="C126" i="99" s="1"/>
  <c r="C127" i="99" s="1"/>
  <c r="C128" i="99" s="1"/>
  <c r="C129" i="99" s="1"/>
  <c r="C130" i="99" s="1"/>
  <c r="C131" i="99" s="1"/>
  <c r="C132" i="99" s="1"/>
  <c r="C133" i="99" s="1"/>
  <c r="C134" i="99" s="1"/>
  <c r="C135" i="99" s="1"/>
  <c r="C136" i="99" s="1"/>
  <c r="C137" i="99" s="1"/>
  <c r="C138" i="99" s="1"/>
  <c r="C139" i="99" s="1"/>
  <c r="C140" i="99" s="1"/>
  <c r="C141" i="99" s="1"/>
  <c r="C142" i="99" s="1"/>
  <c r="C143" i="99" s="1"/>
  <c r="C144" i="99" s="1"/>
  <c r="C145" i="99" s="1"/>
  <c r="C146" i="99" s="1"/>
  <c r="C147" i="99" s="1"/>
  <c r="C148" i="99" s="1"/>
  <c r="C149" i="99" s="1"/>
  <c r="C150" i="99" s="1"/>
  <c r="C151" i="99" s="1"/>
  <c r="C152" i="99" s="1"/>
  <c r="C153" i="99" s="1"/>
  <c r="C154" i="99" s="1"/>
  <c r="C155" i="99" s="1"/>
  <c r="C156" i="99" s="1"/>
  <c r="C157" i="99" s="1"/>
  <c r="C158" i="99" s="1"/>
  <c r="C159" i="99" s="1"/>
  <c r="C160" i="99" s="1"/>
  <c r="C161" i="99" s="1"/>
  <c r="C162" i="99" s="1"/>
  <c r="C163" i="99" s="1"/>
  <c r="C164" i="99" s="1"/>
  <c r="C165" i="99" s="1"/>
  <c r="C166" i="99" s="1"/>
  <c r="C167" i="99" s="1"/>
  <c r="C168" i="99" s="1"/>
  <c r="C169" i="99" s="1"/>
  <c r="C170" i="99" s="1"/>
  <c r="C171" i="99" s="1"/>
  <c r="C172" i="99" s="1"/>
  <c r="C173" i="99" s="1"/>
  <c r="C174" i="99" s="1"/>
  <c r="C175" i="99" s="1"/>
  <c r="C176" i="99" s="1"/>
  <c r="C177" i="99" s="1"/>
  <c r="C178" i="99" s="1"/>
  <c r="C179" i="99" s="1"/>
  <c r="C180" i="99" s="1"/>
  <c r="C181" i="99" s="1"/>
  <c r="J4" i="79"/>
  <c r="K4" i="79"/>
  <c r="I7" i="79" l="1"/>
  <c r="L4" i="79"/>
  <c r="BR7" i="79" l="1"/>
  <c r="BR15" i="79" l="1"/>
  <c r="BR8" i="79"/>
  <c r="BR12" i="79"/>
  <c r="BR13" i="79" s="1"/>
  <c r="BS7" i="79"/>
  <c r="BS8" i="79" l="1"/>
  <c r="BS15" i="79"/>
  <c r="BR17" i="79"/>
  <c r="BR16" i="79"/>
  <c r="BS12" i="79"/>
  <c r="BS13" i="79" s="1"/>
  <c r="BT7" i="79"/>
  <c r="BT8" i="79" l="1"/>
  <c r="BT15" i="79"/>
  <c r="BS17" i="79"/>
  <c r="BS16" i="79"/>
  <c r="BT12" i="79"/>
  <c r="BT13" i="79" s="1"/>
  <c r="BU7" i="79"/>
  <c r="BT16" i="79" l="1"/>
  <c r="BT17" i="79"/>
  <c r="BU15" i="79"/>
  <c r="BU8" i="79"/>
  <c r="BU12" i="79"/>
  <c r="BU13" i="79" s="1"/>
  <c r="BV7" i="79"/>
  <c r="BU17" i="79" l="1"/>
  <c r="BU16" i="79"/>
  <c r="BV15" i="79"/>
  <c r="BV8" i="79"/>
  <c r="BV12" i="79"/>
  <c r="BV13" i="79" s="1"/>
  <c r="BW7" i="79"/>
  <c r="BW15" i="79" l="1"/>
  <c r="BW8" i="79"/>
  <c r="BV17" i="79"/>
  <c r="BV16" i="79"/>
  <c r="BW12" i="79"/>
  <c r="BW13" i="79" s="1"/>
  <c r="BX7" i="79"/>
  <c r="BW17" i="79" l="1"/>
  <c r="BW16" i="79"/>
  <c r="BX8" i="79"/>
  <c r="BX15" i="79"/>
  <c r="BX12" i="79"/>
  <c r="BX13" i="79" s="1"/>
  <c r="BY7" i="79"/>
  <c r="BY15" i="79" l="1"/>
  <c r="BY8" i="79"/>
  <c r="BX16" i="79"/>
  <c r="BX17" i="79"/>
  <c r="BY12" i="79"/>
  <c r="BY13" i="79" s="1"/>
  <c r="BZ7" i="79"/>
  <c r="BY17" i="79" l="1"/>
  <c r="BY16" i="79"/>
  <c r="BZ15" i="79"/>
  <c r="BZ8" i="79"/>
  <c r="BZ12" i="79"/>
  <c r="BZ13" i="79" s="1"/>
  <c r="CA7" i="79"/>
  <c r="CA15" i="79" l="1"/>
  <c r="CA8" i="79"/>
  <c r="BZ16" i="79"/>
  <c r="BZ17" i="79"/>
  <c r="CA12" i="79"/>
  <c r="CA13" i="79" s="1"/>
  <c r="CB7" i="79"/>
  <c r="CB15" i="79" l="1"/>
  <c r="CB8" i="79"/>
  <c r="CA17" i="79"/>
  <c r="CA16" i="79"/>
  <c r="CB12" i="79"/>
  <c r="CB13" i="79" s="1"/>
  <c r="CC7" i="79"/>
  <c r="CC15" i="79" l="1"/>
  <c r="CC8" i="79"/>
  <c r="CB16" i="79"/>
  <c r="CB17" i="79"/>
  <c r="CC12" i="79"/>
  <c r="CC13" i="79" s="1"/>
  <c r="CD7" i="79"/>
  <c r="CD8" i="79" l="1"/>
  <c r="CD15" i="79"/>
  <c r="CC17" i="79"/>
  <c r="CC16" i="79"/>
  <c r="CD12" i="79"/>
  <c r="CD13" i="79" s="1"/>
  <c r="CE7" i="79"/>
  <c r="CE8" i="79" l="1"/>
  <c r="CE15" i="79"/>
  <c r="CD17" i="79"/>
  <c r="CD16" i="79"/>
  <c r="CE12" i="79"/>
  <c r="CE13" i="79" s="1"/>
  <c r="CF7" i="79"/>
  <c r="CF15" i="79" l="1"/>
  <c r="CF8" i="79"/>
  <c r="CE17" i="79"/>
  <c r="CE16" i="79"/>
  <c r="CF12" i="79"/>
  <c r="CF13" i="79" s="1"/>
  <c r="CG7" i="79"/>
  <c r="CG15" i="79" l="1"/>
  <c r="CG8" i="79"/>
  <c r="CF16" i="79"/>
  <c r="CF17" i="79"/>
  <c r="CG12" i="79"/>
  <c r="CG13" i="79" s="1"/>
  <c r="CH7" i="79"/>
  <c r="CH8" i="79" l="1"/>
  <c r="CH15" i="79"/>
  <c r="CG16" i="79"/>
  <c r="CG17" i="79"/>
  <c r="CH12" i="79"/>
  <c r="CH13" i="79" s="1"/>
  <c r="CI7" i="79"/>
  <c r="CH17" i="79" l="1"/>
  <c r="CH16" i="79"/>
  <c r="CI8" i="79"/>
  <c r="CI15" i="79"/>
  <c r="CI12" i="79"/>
  <c r="CI13" i="79" s="1"/>
  <c r="CJ7" i="79"/>
  <c r="CI16" i="79" l="1"/>
  <c r="CI17" i="79"/>
  <c r="CJ8" i="79"/>
  <c r="CJ15" i="79"/>
  <c r="CJ12" i="79"/>
  <c r="CJ13" i="79" s="1"/>
  <c r="CK7" i="79"/>
  <c r="M4" i="79"/>
  <c r="CK8" i="79" l="1"/>
  <c r="CK15" i="79"/>
  <c r="CJ17" i="79"/>
  <c r="CJ16" i="79"/>
  <c r="CK12" i="79"/>
  <c r="CK13" i="79" s="1"/>
  <c r="CL7" i="79"/>
  <c r="CL15" i="79" l="1"/>
  <c r="CL8" i="79"/>
  <c r="CK16" i="79"/>
  <c r="CK17" i="79"/>
  <c r="CL12" i="79"/>
  <c r="CL13" i="79" s="1"/>
  <c r="CM7" i="79"/>
  <c r="CM15" i="79" l="1"/>
  <c r="CM8" i="79"/>
  <c r="CL17" i="79"/>
  <c r="CL16" i="79"/>
  <c r="CM12" i="79"/>
  <c r="CM13" i="79" s="1"/>
  <c r="CN7" i="79"/>
  <c r="CN8" i="79" l="1"/>
  <c r="CN15" i="79"/>
  <c r="CM17" i="79"/>
  <c r="CM16" i="79"/>
  <c r="CN12" i="79"/>
  <c r="CN13" i="79" s="1"/>
  <c r="CO7" i="79"/>
  <c r="CN17" i="79" l="1"/>
  <c r="CN16" i="79"/>
  <c r="CO8" i="79"/>
  <c r="CO15" i="79"/>
  <c r="CO12" i="79"/>
  <c r="CO13" i="79" s="1"/>
  <c r="CP7" i="79"/>
  <c r="CO16" i="79" l="1"/>
  <c r="CO17" i="79"/>
  <c r="CP8" i="79"/>
  <c r="CP15" i="79"/>
  <c r="CP12" i="79"/>
  <c r="CP13" i="79" s="1"/>
  <c r="CQ7" i="79"/>
  <c r="CP16" i="79" l="1"/>
  <c r="CP17" i="79"/>
  <c r="CQ15" i="79"/>
  <c r="CQ8" i="79"/>
  <c r="CQ12" i="79"/>
  <c r="CQ13" i="79" s="1"/>
  <c r="CR7" i="79"/>
  <c r="CQ16" i="79" l="1"/>
  <c r="CQ17" i="79"/>
  <c r="CR15" i="79"/>
  <c r="CR8" i="79"/>
  <c r="CR12" i="79"/>
  <c r="CR13" i="79" s="1"/>
  <c r="CS7" i="79"/>
  <c r="CS8" i="79" l="1"/>
  <c r="CS15" i="79"/>
  <c r="CR16" i="79"/>
  <c r="CR17" i="79"/>
  <c r="CS12" i="79"/>
  <c r="CS13" i="79" s="1"/>
  <c r="CT7" i="79"/>
  <c r="CS17" i="79" l="1"/>
  <c r="CS16" i="79"/>
  <c r="CT8" i="79"/>
  <c r="CT15" i="79"/>
  <c r="CT12" i="79"/>
  <c r="CT13" i="79" s="1"/>
  <c r="CU7" i="79"/>
  <c r="CU15" i="79" l="1"/>
  <c r="CU8" i="79"/>
  <c r="CT16" i="79"/>
  <c r="CT17" i="79"/>
  <c r="CU12" i="79"/>
  <c r="CU13" i="79" s="1"/>
  <c r="CV7" i="79"/>
  <c r="CU16" i="79" l="1"/>
  <c r="CU17" i="79"/>
  <c r="CV15" i="79"/>
  <c r="CV8" i="79"/>
  <c r="CV12" i="79"/>
  <c r="CV13" i="79" s="1"/>
  <c r="CW7" i="79"/>
  <c r="CV17" i="79" l="1"/>
  <c r="CV16" i="79"/>
  <c r="CW8" i="79"/>
  <c r="CW15" i="79"/>
  <c r="CW12" i="79"/>
  <c r="CW13" i="79" s="1"/>
  <c r="CX7" i="79"/>
  <c r="CX15" i="79" l="1"/>
  <c r="CX8" i="79"/>
  <c r="CW17" i="79"/>
  <c r="CW16" i="79"/>
  <c r="CX12" i="79"/>
  <c r="CX13" i="79" s="1"/>
  <c r="CY7" i="79"/>
  <c r="CY8" i="79" l="1"/>
  <c r="CY15" i="79"/>
  <c r="CX16" i="79"/>
  <c r="CX17" i="79"/>
  <c r="CY12" i="79"/>
  <c r="CY13" i="79" s="1"/>
  <c r="CZ7" i="79"/>
  <c r="CZ15" i="79" l="1"/>
  <c r="CZ8" i="79"/>
  <c r="CY16" i="79"/>
  <c r="CY17" i="79"/>
  <c r="CZ12" i="79"/>
  <c r="CZ13" i="79" s="1"/>
  <c r="DA7" i="79"/>
  <c r="DA8" i="79" l="1"/>
  <c r="DA15" i="79"/>
  <c r="CZ16" i="79"/>
  <c r="CZ17" i="79"/>
  <c r="DA12" i="79"/>
  <c r="DA13" i="79" s="1"/>
  <c r="DB7" i="79"/>
  <c r="DA16" i="79" l="1"/>
  <c r="DA17" i="79"/>
  <c r="DB8" i="79"/>
  <c r="DB15" i="79"/>
  <c r="DB12" i="79"/>
  <c r="DB13" i="79" s="1"/>
  <c r="DC7" i="79"/>
  <c r="DC15" i="79" l="1"/>
  <c r="DC8" i="79"/>
  <c r="DB17" i="79"/>
  <c r="DB16" i="79"/>
  <c r="DC12" i="79"/>
  <c r="DC13" i="79" s="1"/>
  <c r="DD7" i="79"/>
  <c r="DC16" i="79" l="1"/>
  <c r="DC17" i="79"/>
  <c r="DD8" i="79"/>
  <c r="DD15" i="79"/>
  <c r="DD12" i="79"/>
  <c r="DD13" i="79" s="1"/>
  <c r="DE7" i="79"/>
  <c r="N4" i="79"/>
  <c r="DD17" i="79" l="1"/>
  <c r="DD16" i="79"/>
  <c r="DE8" i="79"/>
  <c r="DE15" i="79"/>
  <c r="DE12" i="79"/>
  <c r="DE13" i="79" s="1"/>
  <c r="DF7" i="79"/>
  <c r="DE16" i="79" l="1"/>
  <c r="DE17" i="79"/>
  <c r="DF8" i="79"/>
  <c r="DF15" i="79"/>
  <c r="DF12" i="79"/>
  <c r="DF13" i="79" s="1"/>
  <c r="DG7" i="79"/>
  <c r="DG15" i="79" l="1"/>
  <c r="DG8" i="79"/>
  <c r="DF16" i="79"/>
  <c r="DF17" i="79"/>
  <c r="DG12" i="79"/>
  <c r="DG13" i="79" s="1"/>
  <c r="DH7" i="79"/>
  <c r="DG16" i="79" l="1"/>
  <c r="DG17" i="79"/>
  <c r="DH8" i="79"/>
  <c r="DH15" i="79"/>
  <c r="DH12" i="79"/>
  <c r="DH13" i="79" s="1"/>
  <c r="DI7" i="79"/>
  <c r="DH16" i="79" l="1"/>
  <c r="DH17" i="79"/>
  <c r="DI8" i="79"/>
  <c r="DI15" i="79"/>
  <c r="DI12" i="79"/>
  <c r="DI13" i="79" s="1"/>
  <c r="DJ7" i="79"/>
  <c r="DI17" i="79" l="1"/>
  <c r="DI16" i="79"/>
  <c r="DJ8" i="79"/>
  <c r="DJ15" i="79"/>
  <c r="DJ12" i="79"/>
  <c r="DJ13" i="79" s="1"/>
  <c r="DK7" i="79"/>
  <c r="DK15" i="79" l="1"/>
  <c r="DK8" i="79"/>
  <c r="DJ17" i="79"/>
  <c r="DJ16" i="79"/>
  <c r="DK12" i="79"/>
  <c r="DK13" i="79" s="1"/>
  <c r="DL7" i="79"/>
  <c r="DK16" i="79" l="1"/>
  <c r="DK17" i="79"/>
  <c r="DL8" i="79"/>
  <c r="DL15" i="79"/>
  <c r="DL12" i="79"/>
  <c r="DL13" i="79" s="1"/>
  <c r="DM7" i="79"/>
  <c r="DM8" i="79" l="1"/>
  <c r="DM15" i="79"/>
  <c r="DL16" i="79"/>
  <c r="DL17" i="79"/>
  <c r="DM12" i="79"/>
  <c r="DM13" i="79" s="1"/>
  <c r="DN7" i="79"/>
  <c r="DN15" i="79" l="1"/>
  <c r="DN8" i="79"/>
  <c r="DM17" i="79"/>
  <c r="DM16" i="79"/>
  <c r="DN12" i="79"/>
  <c r="DN13" i="79" s="1"/>
  <c r="DO7" i="79"/>
  <c r="DO15" i="79" l="1"/>
  <c r="DO8" i="79"/>
  <c r="DN17" i="79"/>
  <c r="DN16" i="79"/>
  <c r="DO12" i="79"/>
  <c r="DO13" i="79" s="1"/>
  <c r="DP7" i="79"/>
  <c r="DP15" i="79" l="1"/>
  <c r="DP8" i="79"/>
  <c r="DO17" i="79"/>
  <c r="DO16" i="79"/>
  <c r="DP12" i="79"/>
  <c r="DP13" i="79" s="1"/>
  <c r="DQ7" i="79"/>
  <c r="DQ8" i="79" l="1"/>
  <c r="DQ15" i="79"/>
  <c r="DP16" i="79"/>
  <c r="DP17" i="79"/>
  <c r="DQ12" i="79"/>
  <c r="DQ13" i="79" s="1"/>
  <c r="DR7" i="79"/>
  <c r="DQ16" i="79" l="1"/>
  <c r="DQ17" i="79"/>
  <c r="DR8" i="79"/>
  <c r="DR15" i="79"/>
  <c r="DS7" i="79"/>
  <c r="DR12" i="79"/>
  <c r="DR13" i="79" s="1"/>
  <c r="DS15" i="79" l="1"/>
  <c r="DS8" i="79"/>
  <c r="DR17" i="79"/>
  <c r="DR16" i="79"/>
  <c r="DT7" i="79"/>
  <c r="DS12" i="79"/>
  <c r="DS13" i="79" s="1"/>
  <c r="DS16" i="79" l="1"/>
  <c r="DS17" i="79"/>
  <c r="DT15" i="79"/>
  <c r="DT8" i="79"/>
  <c r="DT12" i="79"/>
  <c r="DT13" i="79" s="1"/>
  <c r="DU7" i="79"/>
  <c r="DT16" i="79" l="1"/>
  <c r="DT17" i="79"/>
  <c r="DU8" i="79"/>
  <c r="DU15" i="79"/>
  <c r="DU12" i="79"/>
  <c r="DU13" i="79" s="1"/>
  <c r="DV7" i="79"/>
  <c r="DV8" i="79" l="1"/>
  <c r="DV15" i="79"/>
  <c r="DU16" i="79"/>
  <c r="DU17" i="79"/>
  <c r="DV12" i="79"/>
  <c r="DV13" i="79" s="1"/>
  <c r="DW7" i="79"/>
  <c r="DV16" i="79" l="1"/>
  <c r="DV17" i="79"/>
  <c r="DW15" i="79"/>
  <c r="DW8" i="79"/>
  <c r="DW12" i="79"/>
  <c r="DW13" i="79" s="1"/>
  <c r="DX7" i="79"/>
  <c r="DW17" i="79" l="1"/>
  <c r="DW16" i="79"/>
  <c r="DX8" i="79"/>
  <c r="DX15" i="79"/>
  <c r="DX12" i="79"/>
  <c r="DX13" i="79" s="1"/>
  <c r="DY7" i="79"/>
  <c r="O4" i="79"/>
  <c r="DY15" i="79" l="1"/>
  <c r="DY8" i="79"/>
  <c r="DX16" i="79"/>
  <c r="DX17" i="79"/>
  <c r="DY12" i="79"/>
  <c r="DY13" i="79" s="1"/>
  <c r="DZ7" i="79"/>
  <c r="DZ8" i="79" l="1"/>
  <c r="DZ15" i="79"/>
  <c r="DY16" i="79"/>
  <c r="DY17" i="79"/>
  <c r="DZ12" i="79"/>
  <c r="DZ13" i="79" s="1"/>
  <c r="EA7" i="79"/>
  <c r="EA8" i="79" l="1"/>
  <c r="EA15" i="79"/>
  <c r="DZ16" i="79"/>
  <c r="DZ17" i="79"/>
  <c r="EA12" i="79"/>
  <c r="EA13" i="79" s="1"/>
  <c r="EB7" i="79"/>
  <c r="EA17" i="79" l="1"/>
  <c r="EA16" i="79"/>
  <c r="EB8" i="79"/>
  <c r="EB15" i="79"/>
  <c r="EC7" i="79"/>
  <c r="EB12" i="79"/>
  <c r="EB13" i="79" s="1"/>
  <c r="EC15" i="79" l="1"/>
  <c r="EC8" i="79"/>
  <c r="EB16" i="79"/>
  <c r="EB17" i="79"/>
  <c r="EC12" i="79"/>
  <c r="EC13" i="79" s="1"/>
  <c r="ED7" i="79"/>
  <c r="ED8" i="79" l="1"/>
  <c r="ED15" i="79"/>
  <c r="EC17" i="79"/>
  <c r="EC16" i="79"/>
  <c r="ED12" i="79"/>
  <c r="ED13" i="79" s="1"/>
  <c r="EE7" i="79"/>
  <c r="ED16" i="79" l="1"/>
  <c r="ED17" i="79"/>
  <c r="EE8" i="79"/>
  <c r="EE15" i="79"/>
  <c r="EE12" i="79"/>
  <c r="EE13" i="79" s="1"/>
  <c r="EF7" i="79"/>
  <c r="EE16" i="79" l="1"/>
  <c r="EE17" i="79"/>
  <c r="EF8" i="79"/>
  <c r="EF15" i="79"/>
  <c r="EF12" i="79"/>
  <c r="EF13" i="79" s="1"/>
  <c r="EG7" i="79"/>
  <c r="EF17" i="79" l="1"/>
  <c r="EF16" i="79"/>
  <c r="EG15" i="79"/>
  <c r="EG8" i="79"/>
  <c r="EH7" i="79"/>
  <c r="EG12" i="79"/>
  <c r="EG13" i="79" s="1"/>
  <c r="EH15" i="79" l="1"/>
  <c r="EH8" i="79"/>
  <c r="EG17" i="79"/>
  <c r="EG16" i="79"/>
  <c r="EI7" i="79"/>
  <c r="EH12" i="79"/>
  <c r="EH13" i="79" s="1"/>
  <c r="EI8" i="79" l="1"/>
  <c r="EI15" i="79"/>
  <c r="EH17" i="79"/>
  <c r="EH16" i="79"/>
  <c r="EJ7" i="79"/>
  <c r="EI12" i="79"/>
  <c r="EI13" i="79" s="1"/>
  <c r="EJ15" i="79" l="1"/>
  <c r="EJ8" i="79"/>
  <c r="EI17" i="79"/>
  <c r="EI16" i="79"/>
  <c r="EJ12" i="79"/>
  <c r="EJ13" i="79" s="1"/>
  <c r="EK7" i="79"/>
  <c r="EJ16" i="79" l="1"/>
  <c r="EJ17" i="79"/>
  <c r="EK15" i="79"/>
  <c r="EK8" i="79"/>
  <c r="EL7" i="79"/>
  <c r="EK12" i="79"/>
  <c r="EK13" i="79" s="1"/>
  <c r="EK16" i="79" l="1"/>
  <c r="EK17" i="79"/>
  <c r="EL15" i="79"/>
  <c r="EL8" i="79"/>
  <c r="EM7" i="79"/>
  <c r="EL12" i="79"/>
  <c r="EL13" i="79" s="1"/>
  <c r="EL16" i="79" l="1"/>
  <c r="EL17" i="79"/>
  <c r="EM8" i="79"/>
  <c r="EM15" i="79"/>
  <c r="EM12" i="79"/>
  <c r="EM13" i="79" s="1"/>
  <c r="EN7" i="79"/>
  <c r="EM16" i="79" l="1"/>
  <c r="EM17" i="79"/>
  <c r="EN8" i="79"/>
  <c r="EN15" i="79"/>
  <c r="EN12" i="79"/>
  <c r="EN13" i="79" s="1"/>
  <c r="EO7" i="79"/>
  <c r="EN16" i="79" l="1"/>
  <c r="EN17" i="79"/>
  <c r="EO15" i="79"/>
  <c r="EO8" i="79"/>
  <c r="EP7" i="79"/>
  <c r="EO12" i="79"/>
  <c r="EO13" i="79" s="1"/>
  <c r="EO17" i="79" l="1"/>
  <c r="EO16" i="79"/>
  <c r="EP15" i="79"/>
  <c r="EP8" i="79"/>
  <c r="EQ7" i="79"/>
  <c r="EP12" i="79"/>
  <c r="EP13" i="79" s="1"/>
  <c r="EQ15" i="79" l="1"/>
  <c r="EQ8" i="79"/>
  <c r="EP16" i="79"/>
  <c r="EP17" i="79"/>
  <c r="ER7" i="79"/>
  <c r="EQ12" i="79"/>
  <c r="EQ13" i="79" s="1"/>
  <c r="ER8" i="79" l="1"/>
  <c r="ER15" i="79"/>
  <c r="EQ16" i="79"/>
  <c r="EQ17" i="79"/>
  <c r="ES7" i="79"/>
  <c r="ER12" i="79"/>
  <c r="ER13" i="79" s="1"/>
  <c r="P4" i="79"/>
  <c r="ER17" i="79" l="1"/>
  <c r="ER16" i="79"/>
  <c r="ES15" i="79"/>
  <c r="ES8" i="79"/>
  <c r="ES12" i="79"/>
  <c r="ES13" i="79" s="1"/>
  <c r="ET7" i="79"/>
  <c r="ES17" i="79" l="1"/>
  <c r="ES16" i="79"/>
  <c r="ET15" i="79"/>
  <c r="ET8" i="79"/>
  <c r="EU7" i="79"/>
  <c r="ET12" i="79"/>
  <c r="ET13" i="79" s="1"/>
  <c r="ET16" i="79" l="1"/>
  <c r="ET17" i="79"/>
  <c r="EU8" i="79"/>
  <c r="EU15" i="79"/>
  <c r="EU12" i="79"/>
  <c r="EU13" i="79" s="1"/>
  <c r="EV7" i="79"/>
  <c r="EU16" i="79" l="1"/>
  <c r="EU17" i="79"/>
  <c r="EV8" i="79"/>
  <c r="EV15" i="79"/>
  <c r="EV12" i="79"/>
  <c r="EV13" i="79" s="1"/>
  <c r="EW7" i="79"/>
  <c r="EV16" i="79" l="1"/>
  <c r="EV17" i="79"/>
  <c r="EW15" i="79"/>
  <c r="EW8" i="79"/>
  <c r="EX7" i="79"/>
  <c r="EW12" i="79"/>
  <c r="EW13" i="79" s="1"/>
  <c r="EW17" i="79" l="1"/>
  <c r="EW16" i="79"/>
  <c r="EX15" i="79"/>
  <c r="EX8" i="79"/>
  <c r="EX12" i="79"/>
  <c r="EX13" i="79" s="1"/>
  <c r="EY7" i="79"/>
  <c r="EX16" i="79" l="1"/>
  <c r="EX17" i="79"/>
  <c r="EY8" i="79"/>
  <c r="EY15" i="79"/>
  <c r="EY12" i="79"/>
  <c r="EY13" i="79" s="1"/>
  <c r="EZ7" i="79"/>
  <c r="EY16" i="79" l="1"/>
  <c r="EY17" i="79"/>
  <c r="EZ8" i="79"/>
  <c r="EZ15" i="79"/>
  <c r="EZ12" i="79"/>
  <c r="EZ13" i="79" s="1"/>
  <c r="FA7" i="79"/>
  <c r="EZ16" i="79" l="1"/>
  <c r="EZ17" i="79"/>
  <c r="FA15" i="79"/>
  <c r="FA8" i="79"/>
  <c r="FB7" i="79"/>
  <c r="FA12" i="79"/>
  <c r="FA13" i="79" s="1"/>
  <c r="FB8" i="79" l="1"/>
  <c r="FB15" i="79"/>
  <c r="FA16" i="79"/>
  <c r="FA17" i="79"/>
  <c r="FC7" i="79"/>
  <c r="FB12" i="79"/>
  <c r="FB13" i="79" s="1"/>
  <c r="FB17" i="79" l="1"/>
  <c r="FB16" i="79"/>
  <c r="FC15" i="79"/>
  <c r="FC8" i="79"/>
  <c r="FD7" i="79"/>
  <c r="FC12" i="79"/>
  <c r="FC13" i="79" s="1"/>
  <c r="FC17" i="79" l="1"/>
  <c r="FC16" i="79"/>
  <c r="FD15" i="79"/>
  <c r="FD8" i="79"/>
  <c r="FD12" i="79"/>
  <c r="FD13" i="79" s="1"/>
  <c r="FE7" i="79"/>
  <c r="FD17" i="79" l="1"/>
  <c r="FD16" i="79"/>
  <c r="FE15" i="79"/>
  <c r="FE8" i="79"/>
  <c r="FE12" i="79"/>
  <c r="FE13" i="79" s="1"/>
  <c r="FF7" i="79"/>
  <c r="FE17" i="79" l="1"/>
  <c r="FE16" i="79"/>
  <c r="FF15" i="79"/>
  <c r="FF8" i="79"/>
  <c r="FF12" i="79"/>
  <c r="FF13" i="79" s="1"/>
  <c r="FG7" i="79"/>
  <c r="FG8" i="79" l="1"/>
  <c r="FG15" i="79"/>
  <c r="FF17" i="79"/>
  <c r="FF16" i="79"/>
  <c r="FG12" i="79"/>
  <c r="FG13" i="79" s="1"/>
  <c r="FH7" i="79"/>
  <c r="FH15" i="79" l="1"/>
  <c r="FH8" i="79"/>
  <c r="FG16" i="79"/>
  <c r="FG17" i="79"/>
  <c r="FI7" i="79"/>
  <c r="FH12" i="79"/>
  <c r="FH13" i="79" s="1"/>
  <c r="FI15" i="79" l="1"/>
  <c r="FI8" i="79"/>
  <c r="FH17" i="79"/>
  <c r="FH16" i="79"/>
  <c r="FJ7" i="79"/>
  <c r="FI12" i="79"/>
  <c r="FI13" i="79" s="1"/>
  <c r="FI17" i="79" l="1"/>
  <c r="FI16" i="79"/>
  <c r="FJ15" i="79"/>
  <c r="FJ8" i="79"/>
  <c r="FK7" i="79"/>
  <c r="FJ12" i="79"/>
  <c r="FJ13" i="79" s="1"/>
  <c r="FK15" i="79" l="1"/>
  <c r="FK8" i="79"/>
  <c r="FJ17" i="79"/>
  <c r="FJ16" i="79"/>
  <c r="FL7" i="79"/>
  <c r="FK12" i="79"/>
  <c r="FK13" i="79" s="1"/>
  <c r="FK16" i="79" l="1"/>
  <c r="FK17" i="79"/>
  <c r="FL8" i="79"/>
  <c r="FL15" i="79"/>
  <c r="FM7" i="79"/>
  <c r="FL12" i="79"/>
  <c r="FL13" i="79" s="1"/>
  <c r="Q4" i="79"/>
  <c r="FL16" i="79" l="1"/>
  <c r="FL17" i="79"/>
  <c r="FM15" i="79"/>
  <c r="FM8" i="79"/>
  <c r="FM12" i="79"/>
  <c r="FM13" i="79" s="1"/>
  <c r="FN7" i="79"/>
  <c r="FM17" i="79" l="1"/>
  <c r="FM16" i="79"/>
  <c r="FN8" i="79"/>
  <c r="FN15" i="79"/>
  <c r="FO7" i="79"/>
  <c r="FN12" i="79"/>
  <c r="FN13" i="79" s="1"/>
  <c r="FN16" i="79" l="1"/>
  <c r="FN17" i="79"/>
  <c r="FO15" i="79"/>
  <c r="FO8" i="79"/>
  <c r="FP7" i="79"/>
  <c r="FO12" i="79"/>
  <c r="FO13" i="79" s="1"/>
  <c r="FO17" i="79" l="1"/>
  <c r="FO16" i="79"/>
  <c r="FP8" i="79"/>
  <c r="FP15" i="79"/>
  <c r="FP12" i="79"/>
  <c r="FP13" i="79" s="1"/>
  <c r="FQ7" i="79"/>
  <c r="FQ15" i="79" l="1"/>
  <c r="FQ8" i="79"/>
  <c r="FP17" i="79"/>
  <c r="FP16" i="79"/>
  <c r="FR7" i="79"/>
  <c r="FQ12" i="79"/>
  <c r="FQ13" i="79" s="1"/>
  <c r="FQ17" i="79" l="1"/>
  <c r="FQ16" i="79"/>
  <c r="FR8" i="79"/>
  <c r="FR15" i="79"/>
  <c r="FS7" i="79"/>
  <c r="FR12" i="79"/>
  <c r="FR13" i="79" s="1"/>
  <c r="FS8" i="79" l="1"/>
  <c r="FS15" i="79"/>
  <c r="FR17" i="79"/>
  <c r="FR16" i="79"/>
  <c r="FS12" i="79"/>
  <c r="FS13" i="79" s="1"/>
  <c r="FT7" i="79"/>
  <c r="FS17" i="79" l="1"/>
  <c r="FS16" i="79"/>
  <c r="FT15" i="79"/>
  <c r="FT8" i="79"/>
  <c r="FT12" i="79"/>
  <c r="FT13" i="79" s="1"/>
  <c r="FU7" i="79"/>
  <c r="FU8" i="79" l="1"/>
  <c r="FU15" i="79"/>
  <c r="FT17" i="79"/>
  <c r="FT16" i="79"/>
  <c r="FU12" i="79"/>
  <c r="FU13" i="79" s="1"/>
  <c r="FV7" i="79"/>
  <c r="FU17" i="79" l="1"/>
  <c r="FU16" i="79"/>
  <c r="FV8" i="79"/>
  <c r="FV15" i="79"/>
  <c r="G15" i="79"/>
  <c r="I3" i="94"/>
  <c r="J3" i="94" s="1"/>
  <c r="L3" i="102"/>
  <c r="N3" i="102" s="1"/>
  <c r="FW7" i="79"/>
  <c r="FV12" i="79"/>
  <c r="FV13" i="79" s="1"/>
  <c r="FV16" i="79" l="1"/>
  <c r="FV17" i="79"/>
  <c r="FW15" i="79"/>
  <c r="FW8" i="79"/>
  <c r="FX7" i="79"/>
  <c r="FW12" i="79"/>
  <c r="FW13" i="79" s="1"/>
  <c r="FW16" i="79" l="1"/>
  <c r="FW17" i="79"/>
  <c r="FX8" i="79"/>
  <c r="FX15" i="79"/>
  <c r="FY7" i="79"/>
  <c r="FX12" i="79"/>
  <c r="FX13" i="79" s="1"/>
  <c r="FX17" i="79" l="1"/>
  <c r="FX16" i="79"/>
  <c r="FY8" i="79"/>
  <c r="FY15" i="79"/>
  <c r="FZ7" i="79"/>
  <c r="FY12" i="79"/>
  <c r="FY13" i="79" s="1"/>
  <c r="FY17" i="79" l="1"/>
  <c r="FY16" i="79"/>
  <c r="FZ15" i="79"/>
  <c r="FZ8" i="79"/>
  <c r="FZ12" i="79"/>
  <c r="FZ13" i="79" s="1"/>
  <c r="GA7" i="79"/>
  <c r="FZ16" i="79" l="1"/>
  <c r="FZ17" i="79"/>
  <c r="GA15" i="79"/>
  <c r="GA8" i="79"/>
  <c r="I8" i="79" s="1"/>
  <c r="GA12" i="79"/>
  <c r="I12" i="79" s="1"/>
  <c r="G5" i="102"/>
  <c r="GB7" i="79"/>
  <c r="GB15" i="79" l="1"/>
  <c r="GB8" i="79"/>
  <c r="J5" i="102"/>
  <c r="J6" i="102"/>
  <c r="GA16" i="79"/>
  <c r="GA17" i="79"/>
  <c r="GB12" i="79"/>
  <c r="GC7" i="79"/>
  <c r="GA13" i="79"/>
  <c r="I13" i="79" s="1"/>
  <c r="F7" i="102" s="1"/>
  <c r="B7" i="94" s="1"/>
  <c r="GC8" i="79" l="1"/>
  <c r="GC15" i="79"/>
  <c r="GB16" i="79"/>
  <c r="GB17" i="79"/>
  <c r="GD7" i="79"/>
  <c r="GC12" i="79"/>
  <c r="GB13" i="79"/>
  <c r="GC16" i="79" l="1"/>
  <c r="GC17" i="79"/>
  <c r="GD15" i="79"/>
  <c r="GD8" i="79"/>
  <c r="GC13" i="79"/>
  <c r="GD12" i="79"/>
  <c r="GE7" i="79"/>
  <c r="GD16" i="79" l="1"/>
  <c r="GD17" i="79"/>
  <c r="GE15" i="79"/>
  <c r="GE8" i="79"/>
  <c r="GF7" i="79"/>
  <c r="GE12" i="79"/>
  <c r="GD13" i="79"/>
  <c r="GF15" i="79" l="1"/>
  <c r="GF8" i="79"/>
  <c r="GE17" i="79"/>
  <c r="GE16" i="79"/>
  <c r="GE13" i="79"/>
  <c r="GF12" i="79"/>
  <c r="GG7" i="79"/>
  <c r="R4" i="79"/>
  <c r="GG15" i="79" l="1"/>
  <c r="GG8" i="79"/>
  <c r="GF17" i="79"/>
  <c r="GF16" i="79"/>
  <c r="GF13" i="79"/>
  <c r="GH7" i="79"/>
  <c r="GG12" i="79"/>
  <c r="GG13" i="79" l="1"/>
  <c r="GH15" i="79"/>
  <c r="GH8" i="79"/>
  <c r="GG17" i="79"/>
  <c r="GG16" i="79"/>
  <c r="GH12" i="79"/>
  <c r="GI7" i="79"/>
  <c r="GH13" i="79" l="1"/>
  <c r="GH16" i="79"/>
  <c r="GH17" i="79"/>
  <c r="GI8" i="79"/>
  <c r="GI15" i="79"/>
  <c r="GJ7" i="79"/>
  <c r="GI12" i="79"/>
  <c r="GI13" i="79" l="1"/>
  <c r="GI17" i="79"/>
  <c r="GI16" i="79"/>
  <c r="GJ15" i="79"/>
  <c r="GJ8" i="79"/>
  <c r="GK7" i="79"/>
  <c r="GJ12" i="79"/>
  <c r="GJ13" i="79" l="1"/>
  <c r="GK15" i="79"/>
  <c r="GK8" i="79"/>
  <c r="GJ17" i="79"/>
  <c r="GJ16" i="79"/>
  <c r="GL7" i="79"/>
  <c r="GK12" i="79"/>
  <c r="GK13" i="79" l="1"/>
  <c r="GL15" i="79"/>
  <c r="GL8" i="79"/>
  <c r="GK17" i="79"/>
  <c r="GK16" i="79"/>
  <c r="GL12" i="79"/>
  <c r="GM7" i="79"/>
  <c r="GL13" i="79" l="1"/>
  <c r="GM15" i="79"/>
  <c r="GM8" i="79"/>
  <c r="GL17" i="79"/>
  <c r="GL16" i="79"/>
  <c r="GM12" i="79"/>
  <c r="GN7" i="79"/>
  <c r="GM13" i="79" l="1"/>
  <c r="GM16" i="79"/>
  <c r="GM17" i="79"/>
  <c r="GN8" i="79"/>
  <c r="GN15" i="79"/>
  <c r="GO7" i="79"/>
  <c r="GN12" i="79"/>
  <c r="GN13" i="79" l="1"/>
  <c r="GO15" i="79"/>
  <c r="GO8" i="79"/>
  <c r="GN17" i="79"/>
  <c r="GN16" i="79"/>
  <c r="GO12" i="79"/>
  <c r="GP7" i="79"/>
  <c r="GO13" i="79" l="1"/>
  <c r="GP8" i="79"/>
  <c r="GP15" i="79"/>
  <c r="GO16" i="79"/>
  <c r="GO17" i="79"/>
  <c r="GQ7" i="79"/>
  <c r="GP12" i="79"/>
  <c r="GP13" i="79" l="1"/>
  <c r="GQ15" i="79"/>
  <c r="GQ8" i="79"/>
  <c r="GP17" i="79"/>
  <c r="GP16" i="79"/>
  <c r="GR7" i="79"/>
  <c r="GQ12" i="79"/>
  <c r="GQ13" i="79" l="1"/>
  <c r="GR8" i="79"/>
  <c r="GR15" i="79"/>
  <c r="GQ17" i="79"/>
  <c r="GQ16" i="79"/>
  <c r="GS7" i="79"/>
  <c r="GR12" i="79"/>
  <c r="GR13" i="79" l="1"/>
  <c r="GR16" i="79"/>
  <c r="GR17" i="79"/>
  <c r="GS15" i="79"/>
  <c r="GS8" i="79"/>
  <c r="GT7" i="79"/>
  <c r="GS12" i="79"/>
  <c r="GS13" i="79" l="1"/>
  <c r="GT8" i="79"/>
  <c r="GT15" i="79"/>
  <c r="GS16" i="79"/>
  <c r="GS17" i="79"/>
  <c r="GT12" i="79"/>
  <c r="GU7" i="79"/>
  <c r="GT13" i="79" l="1"/>
  <c r="GT16" i="79"/>
  <c r="GT17" i="79"/>
  <c r="GU8" i="79"/>
  <c r="GU15" i="79"/>
  <c r="GU12" i="79"/>
  <c r="GV7" i="79"/>
  <c r="GU13" i="79" l="1"/>
  <c r="GV8" i="79"/>
  <c r="GV15" i="79"/>
  <c r="GU17" i="79"/>
  <c r="GU16" i="79"/>
  <c r="GV12" i="79"/>
  <c r="GW7" i="79"/>
  <c r="GV13" i="79" l="1"/>
  <c r="GV16" i="79"/>
  <c r="GV17" i="79"/>
  <c r="GW8" i="79"/>
  <c r="GW15" i="79"/>
  <c r="GX7" i="79"/>
  <c r="GW12" i="79"/>
  <c r="GW13" i="79" l="1"/>
  <c r="GX15" i="79"/>
  <c r="GX8" i="79"/>
  <c r="GW16" i="79"/>
  <c r="GW17" i="79"/>
  <c r="GX12" i="79"/>
  <c r="GY7" i="79"/>
  <c r="GX13" i="79" l="1"/>
  <c r="GX17" i="79"/>
  <c r="GX16" i="79"/>
  <c r="GY15" i="79"/>
  <c r="GY8" i="79"/>
  <c r="GZ7" i="79"/>
  <c r="GY12" i="79"/>
  <c r="GY13" i="79" l="1"/>
  <c r="GY16" i="79"/>
  <c r="GY17" i="79"/>
  <c r="GZ8" i="79"/>
  <c r="GZ15" i="79"/>
  <c r="GZ12" i="79"/>
  <c r="HA7" i="79"/>
  <c r="S4" i="79"/>
  <c r="GZ13" i="79" l="1"/>
  <c r="GZ16" i="79"/>
  <c r="GZ17" i="79"/>
  <c r="HA15" i="79"/>
  <c r="HA8" i="79"/>
  <c r="HA12" i="79"/>
  <c r="HB7" i="79"/>
  <c r="HA13" i="79" l="1"/>
  <c r="HB15" i="79"/>
  <c r="HB8" i="79"/>
  <c r="HA16" i="79"/>
  <c r="HA17" i="79"/>
  <c r="HB12" i="79"/>
  <c r="HC7" i="79"/>
  <c r="HB13" i="79" l="1"/>
  <c r="HC15" i="79"/>
  <c r="HC8" i="79"/>
  <c r="HB17" i="79"/>
  <c r="HB16" i="79"/>
  <c r="HD7" i="79"/>
  <c r="HC12" i="79"/>
  <c r="HC13" i="79" l="1"/>
  <c r="HD15" i="79"/>
  <c r="HD8" i="79"/>
  <c r="HC17" i="79"/>
  <c r="HC16" i="79"/>
  <c r="HE7" i="79"/>
  <c r="HD12" i="79"/>
  <c r="HD13" i="79" l="1"/>
  <c r="HD16" i="79"/>
  <c r="HD17" i="79"/>
  <c r="HE8" i="79"/>
  <c r="HE15" i="79"/>
  <c r="HE12" i="79"/>
  <c r="HF7" i="79"/>
  <c r="HE13" i="79" l="1"/>
  <c r="HE16" i="79"/>
  <c r="HE17" i="79"/>
  <c r="HF15" i="79"/>
  <c r="HF8" i="79"/>
  <c r="HG7" i="79"/>
  <c r="HF12" i="79"/>
  <c r="HF13" i="79" l="1"/>
  <c r="HG8" i="79"/>
  <c r="HG15" i="79"/>
  <c r="HF17" i="79"/>
  <c r="HF16" i="79"/>
  <c r="HG12" i="79"/>
  <c r="HH7" i="79"/>
  <c r="HG13" i="79" l="1"/>
  <c r="HH15" i="79"/>
  <c r="HG16" i="79"/>
  <c r="HG17" i="79"/>
  <c r="HH8" i="79"/>
  <c r="HH12" i="79"/>
  <c r="HI7" i="79"/>
  <c r="HH13" i="79" l="1"/>
  <c r="HI15" i="79"/>
  <c r="HH17" i="79"/>
  <c r="HH16" i="79"/>
  <c r="HI8" i="79"/>
  <c r="HJ7" i="79"/>
  <c r="HI12" i="79"/>
  <c r="HI13" i="79" l="1"/>
  <c r="HI16" i="79"/>
  <c r="HI17" i="79"/>
  <c r="HJ15" i="79"/>
  <c r="HJ12" i="79"/>
  <c r="HK7" i="79"/>
  <c r="HJ8" i="79"/>
  <c r="HJ13" i="79" l="1"/>
  <c r="HK15" i="79"/>
  <c r="HJ16" i="79"/>
  <c r="HJ17" i="79"/>
  <c r="HK12" i="79"/>
  <c r="HK8" i="79"/>
  <c r="HL7" i="79"/>
  <c r="HK13" i="79" l="1"/>
  <c r="HK16" i="79"/>
  <c r="HK17" i="79"/>
  <c r="HL15" i="79"/>
  <c r="HL8" i="79"/>
  <c r="HM7" i="79"/>
  <c r="HL12" i="79"/>
  <c r="HL13" i="79" l="1"/>
  <c r="HM15" i="79"/>
  <c r="HL16" i="79"/>
  <c r="HL17" i="79"/>
  <c r="HN7" i="79"/>
  <c r="HM12" i="79"/>
  <c r="HM8" i="79"/>
  <c r="HM13" i="79" l="1"/>
  <c r="HN15" i="79"/>
  <c r="HM16" i="79"/>
  <c r="HM17" i="79"/>
  <c r="HN12" i="79"/>
  <c r="HN8" i="79"/>
  <c r="HO7" i="79"/>
  <c r="HN13" i="79" l="1"/>
  <c r="HN17" i="79"/>
  <c r="HN16" i="79"/>
  <c r="HO15" i="79"/>
  <c r="HO12" i="79"/>
  <c r="HO8" i="79"/>
  <c r="HP7" i="79"/>
  <c r="HO13" i="79" l="1"/>
  <c r="HP15" i="79"/>
  <c r="HO17" i="79"/>
  <c r="HO16" i="79"/>
  <c r="HP12" i="79"/>
  <c r="HP8" i="79"/>
  <c r="HQ7" i="79"/>
  <c r="HP13" i="79" l="1"/>
  <c r="HP17" i="79"/>
  <c r="HP16" i="79"/>
  <c r="HQ15" i="79"/>
  <c r="HQ8" i="79"/>
  <c r="HQ12" i="79"/>
  <c r="HR7" i="79"/>
  <c r="HQ13" i="79" l="1"/>
  <c r="HQ16" i="79"/>
  <c r="HQ17" i="79"/>
  <c r="HR15" i="79"/>
  <c r="HS7" i="79"/>
  <c r="HR12" i="79"/>
  <c r="HR8" i="79"/>
  <c r="HR13" i="79" l="1"/>
  <c r="HS15" i="79"/>
  <c r="HR16" i="79"/>
  <c r="HR17" i="79"/>
  <c r="HS12" i="79"/>
  <c r="HS8" i="79"/>
  <c r="HT7" i="79"/>
  <c r="HS13" i="79" l="1"/>
  <c r="HT15" i="79"/>
  <c r="HS17" i="79"/>
  <c r="HS16" i="79"/>
  <c r="HU7" i="79"/>
  <c r="HT8" i="79"/>
  <c r="HT12" i="79"/>
  <c r="T4" i="79"/>
  <c r="HT13" i="79" l="1"/>
  <c r="HT17" i="79"/>
  <c r="HT16" i="79"/>
  <c r="HU15" i="79"/>
  <c r="HU8" i="79"/>
  <c r="HU12" i="79"/>
  <c r="HV7" i="79"/>
  <c r="HU13" i="79" l="1"/>
  <c r="HV15" i="79"/>
  <c r="HU17" i="79"/>
  <c r="HU16" i="79"/>
  <c r="HW7" i="79"/>
  <c r="HV12" i="79"/>
  <c r="HV13" i="79" s="1"/>
  <c r="HV8" i="79"/>
  <c r="HW15" i="79" l="1"/>
  <c r="HV16" i="79"/>
  <c r="HV17" i="79"/>
  <c r="HW8" i="79"/>
  <c r="HW12" i="79"/>
  <c r="HW13" i="79" s="1"/>
  <c r="HX7" i="79"/>
  <c r="HX15" i="79" l="1"/>
  <c r="HW16" i="79"/>
  <c r="HW17" i="79"/>
  <c r="HX8" i="79"/>
  <c r="HY7" i="79"/>
  <c r="HX12" i="79"/>
  <c r="HX13" i="79" s="1"/>
  <c r="HY15" i="79" l="1"/>
  <c r="HX17" i="79"/>
  <c r="HX16" i="79"/>
  <c r="HY12" i="79"/>
  <c r="HY13" i="79" s="1"/>
  <c r="HY8" i="79"/>
  <c r="HZ7" i="79"/>
  <c r="HY17" i="79" l="1"/>
  <c r="HY16" i="79"/>
  <c r="HZ15" i="79"/>
  <c r="HZ12" i="79"/>
  <c r="HZ13" i="79" s="1"/>
  <c r="IA7" i="79"/>
  <c r="HZ8" i="79"/>
  <c r="HZ16" i="79" l="1"/>
  <c r="HZ17" i="79"/>
  <c r="IA15" i="79"/>
  <c r="IB7" i="79"/>
  <c r="IA12" i="79"/>
  <c r="IA13" i="79" s="1"/>
  <c r="IA8" i="79"/>
  <c r="IB15" i="79" l="1"/>
  <c r="IA16" i="79"/>
  <c r="IA17" i="79"/>
  <c r="IB12" i="79"/>
  <c r="IB13" i="79" s="1"/>
  <c r="IB8" i="79"/>
  <c r="IC7" i="79"/>
  <c r="IB16" i="79" l="1"/>
  <c r="IB17" i="79"/>
  <c r="IC15" i="79"/>
  <c r="ID7" i="79"/>
  <c r="IC8" i="79"/>
  <c r="IC12" i="79"/>
  <c r="IC13" i="79" s="1"/>
  <c r="IC17" i="79" l="1"/>
  <c r="IC16" i="79"/>
  <c r="ID15" i="79"/>
  <c r="IE7" i="79"/>
  <c r="ID12" i="79"/>
  <c r="ID13" i="79" s="1"/>
  <c r="ID8" i="79"/>
  <c r="ID16" i="79" l="1"/>
  <c r="ID17" i="79"/>
  <c r="IE15" i="79"/>
  <c r="IE8" i="79"/>
  <c r="IF7" i="79"/>
  <c r="IE12" i="79"/>
  <c r="IE13" i="79" s="1"/>
  <c r="IE17" i="79" l="1"/>
  <c r="IE16" i="79"/>
  <c r="IF15" i="79"/>
  <c r="IF12" i="79"/>
  <c r="IF13" i="79" s="1"/>
  <c r="IG7" i="79"/>
  <c r="IF8" i="79"/>
  <c r="IF16" i="79" l="1"/>
  <c r="IF17" i="79"/>
  <c r="IG15" i="79"/>
  <c r="IG8" i="79"/>
  <c r="IG12" i="79"/>
  <c r="IG13" i="79" s="1"/>
  <c r="IH7" i="79"/>
  <c r="IG16" i="79" l="1"/>
  <c r="IG17" i="79"/>
  <c r="IH15" i="79"/>
  <c r="II7" i="79"/>
  <c r="IH12" i="79"/>
  <c r="IH13" i="79" s="1"/>
  <c r="IH8" i="79"/>
  <c r="II15" i="79" l="1"/>
  <c r="IH17" i="79"/>
  <c r="IH16" i="79"/>
  <c r="IJ7" i="79"/>
  <c r="II8" i="79"/>
  <c r="II12" i="79"/>
  <c r="II13" i="79" s="1"/>
  <c r="IJ15" i="79" l="1"/>
  <c r="II16" i="79"/>
  <c r="II17" i="79"/>
  <c r="IK7" i="79"/>
  <c r="IJ8" i="79"/>
  <c r="IJ12" i="79"/>
  <c r="IJ13" i="79" s="1"/>
  <c r="IK15" i="79" l="1"/>
  <c r="IJ16" i="79"/>
  <c r="IJ17" i="79"/>
  <c r="IL7" i="79"/>
  <c r="IK8" i="79"/>
  <c r="IK12" i="79"/>
  <c r="IK13" i="79" s="1"/>
  <c r="IK16" i="79" l="1"/>
  <c r="IK17" i="79"/>
  <c r="IL15" i="79"/>
  <c r="IM7" i="79"/>
  <c r="IL8" i="79"/>
  <c r="IL12" i="79"/>
  <c r="IL13" i="79" s="1"/>
  <c r="IM15" i="79" l="1"/>
  <c r="IL17" i="79"/>
  <c r="IL16" i="79"/>
  <c r="IN7" i="79"/>
  <c r="IM8" i="79"/>
  <c r="IM12" i="79"/>
  <c r="IM13" i="79" s="1"/>
  <c r="IN15" i="79" l="1"/>
  <c r="IM16" i="79"/>
  <c r="IM17" i="79"/>
  <c r="IO7" i="79"/>
  <c r="IN12" i="79"/>
  <c r="IN13" i="79" s="1"/>
  <c r="IN8" i="79"/>
  <c r="U4" i="79"/>
  <c r="IN16" i="79" l="1"/>
  <c r="IN17" i="79"/>
  <c r="IO15" i="79"/>
  <c r="IO12" i="79"/>
  <c r="IO13" i="79" s="1"/>
  <c r="IO8" i="79"/>
  <c r="IP15" i="79" l="1"/>
  <c r="IO17" i="79"/>
  <c r="IO16" i="79"/>
  <c r="IP17" i="79" l="1"/>
  <c r="IP16" i="79"/>
  <c r="IQ15" i="79"/>
  <c r="IP7" i="79" l="1"/>
  <c r="IP12" i="79" s="1"/>
  <c r="IP13" i="79" s="1"/>
  <c r="IQ16" i="79"/>
  <c r="IQ17" i="79"/>
  <c r="IR15" i="79"/>
  <c r="IP8" i="79" l="1"/>
  <c r="IQ7" i="79"/>
  <c r="IQ12" i="79" s="1"/>
  <c r="IQ13" i="79" s="1"/>
  <c r="IR17" i="79"/>
  <c r="IR16" i="79"/>
  <c r="IS15" i="79"/>
  <c r="IR7" i="79" l="1"/>
  <c r="IR8" i="79" s="1"/>
  <c r="IQ8" i="79"/>
  <c r="IU15" i="79"/>
  <c r="IT15" i="79"/>
  <c r="IS17" i="79"/>
  <c r="IS16" i="79"/>
  <c r="IR12" i="79" l="1"/>
  <c r="IR13" i="79" s="1"/>
  <c r="IT16" i="79"/>
  <c r="IT17" i="79"/>
  <c r="IU17" i="79"/>
  <c r="IU16" i="79"/>
  <c r="IS7" i="79"/>
  <c r="IS12" i="79" l="1"/>
  <c r="IS13" i="79" s="1"/>
  <c r="IS8" i="79"/>
  <c r="IT7" i="79"/>
  <c r="IT12" i="79" l="1"/>
  <c r="IT13" i="79" s="1"/>
  <c r="IT8" i="79"/>
  <c r="IU7" i="79"/>
  <c r="X4" i="79"/>
  <c r="AF4" i="79"/>
  <c r="AI4" i="79"/>
  <c r="IU12" i="79" l="1"/>
  <c r="IU13" i="79" s="1"/>
  <c r="IU8" i="79"/>
  <c r="AE4" i="79"/>
  <c r="AA4" i="79"/>
  <c r="AB4" i="79"/>
  <c r="AD4" i="79"/>
  <c r="AG4" i="79"/>
  <c r="AH4" i="79"/>
  <c r="W4" i="79"/>
  <c r="Z4" i="79"/>
  <c r="AC4" i="79"/>
  <c r="Y4" i="79"/>
  <c r="V4" i="7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16" authorId="0" shapeId="0" xr:uid="{00000000-0006-0000-0400-000001000000}">
      <text>
        <r>
          <rPr>
            <sz val="12"/>
            <color indexed="81"/>
            <rFont val="新細明體"/>
            <family val="1"/>
            <charset val="136"/>
          </rPr>
          <t>不含例假日國定假日</t>
        </r>
      </text>
    </comment>
    <comment ref="F17" authorId="0" shapeId="0" xr:uid="{00000000-0006-0000-0400-000002000000}">
      <text>
        <r>
          <rPr>
            <sz val="12"/>
            <color indexed="81"/>
            <rFont val="新細明體"/>
            <family val="1"/>
            <charset val="136"/>
          </rPr>
          <t>不含例假日國定假日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<sst xmlns="http://schemas.openxmlformats.org/spreadsheetml/2006/main" count="343" uniqueCount="234">
  <si>
    <t>本日完成</t>
    <phoneticPr fontId="4" type="noConversion"/>
  </si>
  <si>
    <t>代表位置</t>
    <phoneticPr fontId="4" type="noConversion"/>
  </si>
  <si>
    <t>(一)混凝土抗壓強度</t>
    <phoneticPr fontId="4" type="noConversion"/>
  </si>
  <si>
    <t>(二)工地密度試驗</t>
    <phoneticPr fontId="4" type="noConversion"/>
  </si>
  <si>
    <t>(三)混凝土鑽心試驗</t>
    <phoneticPr fontId="4" type="noConversion"/>
  </si>
  <si>
    <t>(四) 鋼筋試驗</t>
    <phoneticPr fontId="4" type="noConversion"/>
  </si>
  <si>
    <t xml:space="preserve">(五) </t>
    <phoneticPr fontId="4" type="noConversion"/>
  </si>
  <si>
    <t xml:space="preserve">(六) </t>
    <phoneticPr fontId="4" type="noConversion"/>
  </si>
  <si>
    <t>取樣數量</t>
    <phoneticPr fontId="4" type="noConversion"/>
  </si>
  <si>
    <t>備註</t>
    <phoneticPr fontId="4" type="noConversion"/>
  </si>
  <si>
    <t>鋼筋工</t>
  </si>
  <si>
    <t>單位</t>
  </si>
  <si>
    <t>案號及契約號：</t>
  </si>
  <si>
    <t>一、重要施工項目完成數量：</t>
  </si>
  <si>
    <t>本日完成數量</t>
  </si>
  <si>
    <t>二、出工人數及機具使用</t>
  </si>
  <si>
    <t>本日人數</t>
  </si>
  <si>
    <t>累計人數</t>
  </si>
  <si>
    <t>機具名稱</t>
  </si>
  <si>
    <t>本日使用數量</t>
  </si>
  <si>
    <t>累計使用數量</t>
  </si>
  <si>
    <t>三、施工取樣試驗紀錄：</t>
  </si>
  <si>
    <t>上午：</t>
    <phoneticPr fontId="2" type="noConversion"/>
  </si>
  <si>
    <t>下午：</t>
    <phoneticPr fontId="2" type="noConversion"/>
  </si>
  <si>
    <t>備註</t>
  </si>
  <si>
    <t>工別</t>
  </si>
  <si>
    <t>日期</t>
    <phoneticPr fontId="4" type="noConversion"/>
  </si>
  <si>
    <t>星期</t>
    <phoneticPr fontId="4" type="noConversion"/>
  </si>
  <si>
    <t>剩餘工期</t>
    <phoneticPr fontId="4" type="noConversion"/>
  </si>
  <si>
    <t>累計工期</t>
    <phoneticPr fontId="4" type="noConversion"/>
  </si>
  <si>
    <t>工期：</t>
    <phoneticPr fontId="4" type="noConversion"/>
  </si>
  <si>
    <t>六、其他事項紀錄：(含變更預算、工程展延、停工及其他應載明事項)</t>
  </si>
  <si>
    <t>契約單價</t>
    <phoneticPr fontId="4" type="noConversion"/>
  </si>
  <si>
    <t>單位</t>
    <phoneticPr fontId="4" type="noConversion"/>
  </si>
  <si>
    <t>契約數量</t>
    <phoneticPr fontId="4" type="noConversion"/>
  </si>
  <si>
    <t>累計完成</t>
    <phoneticPr fontId="4" type="noConversion"/>
  </si>
  <si>
    <t>剩餘數量</t>
    <phoneticPr fontId="4" type="noConversion"/>
  </si>
  <si>
    <t>進度調整因子=&gt;</t>
    <phoneticPr fontId="4" type="noConversion"/>
  </si>
  <si>
    <t>完成數量==&gt;</t>
    <phoneticPr fontId="4" type="noConversion"/>
  </si>
  <si>
    <t>材料=&gt;</t>
    <phoneticPr fontId="4" type="noConversion"/>
  </si>
  <si>
    <t>1區</t>
    <phoneticPr fontId="4" type="noConversion"/>
  </si>
  <si>
    <t>在黃色區域輸入不計工期之日期；若為"停工"則建議一列一列輸入</t>
    <phoneticPr fontId="4" type="noConversion"/>
  </si>
  <si>
    <t>2區</t>
    <phoneticPr fontId="4" type="noConversion"/>
  </si>
  <si>
    <t>在淺橙色區域輸入不計工期之日期；若為"停工"則建議一列一列輸入</t>
    <phoneticPr fontId="4" type="noConversion"/>
  </si>
  <si>
    <t>==&gt;</t>
    <phoneticPr fontId="4" type="noConversion"/>
  </si>
  <si>
    <t>上午天氣；自行輸入1 , 2 或 0</t>
    <phoneticPr fontId="4" type="noConversion"/>
  </si>
  <si>
    <t>下午天氣；自行輸入1 , 2 或 0</t>
    <phoneticPr fontId="4" type="noConversion"/>
  </si>
  <si>
    <t xml:space="preserve">表報編號：                                                                        </t>
  </si>
  <si>
    <t>工程名稱</t>
  </si>
  <si>
    <t>契約工期</t>
  </si>
  <si>
    <t>累計工期</t>
  </si>
  <si>
    <t>契約變更次數</t>
  </si>
  <si>
    <t>工期展延天數</t>
  </si>
  <si>
    <t>預定完工日期</t>
  </si>
  <si>
    <t>契約金額</t>
  </si>
  <si>
    <t>累計完成數量</t>
  </si>
  <si>
    <t>二、工地材料管理概況（含約定之重要材料使用狀況及數量等）：</t>
  </si>
  <si>
    <t>材料名稱</t>
  </si>
  <si>
    <t xml:space="preserve">填報日期：    </t>
    <phoneticPr fontId="4" type="noConversion"/>
  </si>
  <si>
    <t>本日天氣：</t>
    <phoneticPr fontId="4" type="noConversion"/>
  </si>
  <si>
    <t>公共工程監造報表</t>
  </si>
  <si>
    <t>預定進度(%)</t>
  </si>
  <si>
    <t>實際進度(%)</t>
  </si>
  <si>
    <t>監造單位簽章：</t>
  </si>
  <si>
    <t>預訂完工日：</t>
    <phoneticPr fontId="4" type="noConversion"/>
  </si>
  <si>
    <t>承攬廠商名稱</t>
  </si>
  <si>
    <t>剩餘工期</t>
  </si>
  <si>
    <r>
      <t>工</t>
    </r>
    <r>
      <rPr>
        <b/>
        <sz val="20"/>
        <rFont val="Times New Roman"/>
        <family val="1"/>
      </rPr>
      <t xml:space="preserve">  </t>
    </r>
    <r>
      <rPr>
        <b/>
        <sz val="20"/>
        <rFont val="華康中明體"/>
        <family val="3"/>
        <charset val="136"/>
      </rPr>
      <t>程</t>
    </r>
    <r>
      <rPr>
        <b/>
        <sz val="20"/>
        <rFont val="Times New Roman"/>
        <family val="1"/>
      </rPr>
      <t xml:space="preserve">  </t>
    </r>
    <r>
      <rPr>
        <b/>
        <sz val="20"/>
        <rFont val="華康中明體"/>
        <family val="3"/>
        <charset val="136"/>
      </rPr>
      <t>名</t>
    </r>
    <r>
      <rPr>
        <b/>
        <sz val="20"/>
        <rFont val="Times New Roman"/>
        <family val="1"/>
      </rPr>
      <t xml:space="preserve">  </t>
    </r>
    <r>
      <rPr>
        <b/>
        <sz val="20"/>
        <rFont val="華康中明體"/>
        <family val="3"/>
        <charset val="136"/>
      </rPr>
      <t>稱</t>
    </r>
    <r>
      <rPr>
        <b/>
        <sz val="20"/>
        <rFont val="Times New Roman"/>
        <family val="1"/>
      </rPr>
      <t xml:space="preserve"> </t>
    </r>
    <r>
      <rPr>
        <b/>
        <sz val="20"/>
        <rFont val="華康中明體"/>
        <family val="3"/>
        <charset val="136"/>
      </rPr>
      <t>:</t>
    </r>
  </si>
  <si>
    <t>實際完工日</t>
    <phoneticPr fontId="4" type="noConversion"/>
  </si>
  <si>
    <t>契約金額：</t>
    <phoneticPr fontId="4" type="noConversion"/>
  </si>
  <si>
    <t>星期</t>
    <phoneticPr fontId="4" type="noConversion"/>
  </si>
  <si>
    <t>工程師</t>
    <phoneticPr fontId="4" type="noConversion"/>
  </si>
  <si>
    <t>模板工</t>
    <phoneticPr fontId="4" type="noConversion"/>
  </si>
  <si>
    <t>混凝土28天
其他試驗合格</t>
    <phoneticPr fontId="4" type="noConversion"/>
  </si>
  <si>
    <t>壓送車</t>
    <phoneticPr fontId="4" type="noConversion"/>
  </si>
  <si>
    <t>吊卡車</t>
    <phoneticPr fontId="4" type="noConversion"/>
  </si>
  <si>
    <t>打樁機</t>
    <phoneticPr fontId="4" type="noConversion"/>
  </si>
  <si>
    <t>天數</t>
    <phoneticPr fontId="4" type="noConversion"/>
  </si>
  <si>
    <t>每日進度</t>
    <phoneticPr fontId="4" type="noConversion"/>
  </si>
  <si>
    <t>預定進度</t>
    <phoneticPr fontId="4" type="noConversion"/>
  </si>
  <si>
    <t>日期</t>
    <phoneticPr fontId="4" type="noConversion"/>
  </si>
  <si>
    <t>星期</t>
    <phoneticPr fontId="4" type="noConversion"/>
  </si>
  <si>
    <t>工作項目位置</t>
    <phoneticPr fontId="4" type="noConversion"/>
  </si>
  <si>
    <t>抽驗</t>
    <phoneticPr fontId="4" type="noConversion"/>
  </si>
  <si>
    <t>本日開工</t>
    <phoneticPr fontId="4" type="noConversion"/>
  </si>
  <si>
    <t>小工</t>
    <phoneticPr fontId="4" type="noConversion"/>
  </si>
  <si>
    <t>技工</t>
    <phoneticPr fontId="4" type="noConversion"/>
  </si>
  <si>
    <t>監造日誌</t>
    <phoneticPr fontId="2" type="noConversion"/>
  </si>
  <si>
    <t>五、其他約定監造事項（含重要事項紀錄、主辦機關指示及通知廠商辦理事項等）：</t>
    <phoneticPr fontId="4" type="noConversion"/>
  </si>
  <si>
    <t>四、督導工地職業安全衛生事項：</t>
    <phoneticPr fontId="4" type="noConversion"/>
  </si>
  <si>
    <t>四、督導工地職業安全衛生事項：</t>
    <phoneticPr fontId="4" type="noConversion"/>
  </si>
  <si>
    <t/>
  </si>
  <si>
    <t>月</t>
    <phoneticPr fontId="4" type="noConversion"/>
  </si>
  <si>
    <t>中華民國</t>
    <phoneticPr fontId="4" type="noConversion"/>
  </si>
  <si>
    <t>承包廠商:</t>
    <phoneticPr fontId="4" type="noConversion"/>
  </si>
  <si>
    <t>監造單位:</t>
    <phoneticPr fontId="4" type="noConversion"/>
  </si>
  <si>
    <t>主辦單位:</t>
    <phoneticPr fontId="4" type="noConversion"/>
  </si>
  <si>
    <t>自主檢查表</t>
    <phoneticPr fontId="4" type="noConversion"/>
  </si>
  <si>
    <t>施工日誌</t>
    <phoneticPr fontId="4" type="noConversion"/>
  </si>
  <si>
    <t>實際完工日期</t>
    <phoneticPr fontId="4" type="noConversion"/>
  </si>
  <si>
    <t>上午：</t>
  </si>
  <si>
    <t>"0"表示雨天；"1"表示晴天；"2"表示陰天</t>
    <phoneticPr fontId="4" type="noConversion"/>
  </si>
  <si>
    <t>開工日期</t>
    <phoneticPr fontId="4" type="noConversion"/>
  </si>
  <si>
    <t>公共工程施工日誌</t>
    <phoneticPr fontId="45" type="noConversion"/>
  </si>
  <si>
    <t>表報編號：</t>
    <phoneticPr fontId="45" type="noConversion"/>
  </si>
  <si>
    <t>填表日期：</t>
    <phoneticPr fontId="45" type="noConversion"/>
  </si>
  <si>
    <t>核定工期</t>
  </si>
  <si>
    <t>開工日期</t>
  </si>
  <si>
    <t>預定完工日期</t>
    <phoneticPr fontId="45" type="noConversion"/>
  </si>
  <si>
    <t>七、通知協力廠商辦理事項：</t>
  </si>
  <si>
    <t>八、重要事項記錄：</t>
    <phoneticPr fontId="45" type="noConversion"/>
  </si>
  <si>
    <t>簽章：【工地主任】（註3）：</t>
  </si>
  <si>
    <t>工程名稱：</t>
    <phoneticPr fontId="4" type="noConversion"/>
  </si>
  <si>
    <t>工程名稱</t>
    <phoneticPr fontId="45" type="noConversion"/>
  </si>
  <si>
    <t>本日天氣：</t>
    <phoneticPr fontId="45" type="noConversion"/>
  </si>
  <si>
    <t>下午：</t>
    <phoneticPr fontId="45" type="noConversion"/>
  </si>
  <si>
    <t>三、工地人員及機具管理（含約定之出工人數及機具使用情形及數量）：</t>
    <phoneticPr fontId="45" type="noConversion"/>
  </si>
  <si>
    <t>挖土機</t>
    <phoneticPr fontId="4" type="noConversion"/>
  </si>
  <si>
    <t>破碎機</t>
    <phoneticPr fontId="4" type="noConversion"/>
  </si>
  <si>
    <t>施工項目</t>
    <phoneticPr fontId="45" type="noConversion"/>
  </si>
  <si>
    <t>M2</t>
  </si>
  <si>
    <t>註：1.監造報告表原則應包含上述欄位；惟若上述欄位之內容業詳載於廠商填報之施工日誌，並按時陳報監造單位核備者，則監造報表之該等欄位可載明參詳施工日誌。
2.本表原則應按日填寫，機關另有規定者，從其規定；若屬委外監造之工程，則一律按日填寫。未達新臺幣五千萬元或工期為九十日曆天以下之工程，得由機關統一訂定內部稽查程序及監造報告表之填報方式與周期。
3.本監造報告表格式僅供參考，各機關亦得依契約約定事項，自行增訂之。
4.契約工期如有修正，應填修正後之契約工期，含展延工期及不計工期天數；如有依契約變更設計，預定進度及實際進度應填變更設計後計算之進度。
5.公共工程屬建築物者，仍應依本表辦理。惟該工程之監造人（建築師），應另依內政部最新訂頒之「建築物（監督、查核）報告表」填報。</t>
    <phoneticPr fontId="4" type="noConversion"/>
  </si>
  <si>
    <t>三、查核材料規格及品質（含約定之檢驗停留點、材料設備管制及檢（試）驗等抽驗情形）：</t>
    <phoneticPr fontId="4" type="noConversion"/>
  </si>
  <si>
    <t>二、監督依照設計圖說及核定施工圖說施工（含約定之檢驗停留點及施工抽查等情形）：</t>
    <phoneticPr fontId="4" type="noConversion"/>
  </si>
  <si>
    <t>一、工程進行情況（含約定之重要施工項目及數量）：</t>
    <phoneticPr fontId="4" type="noConversion"/>
  </si>
  <si>
    <t>一、依施工計畫書執行按圖施工概況（含約定之重要施工項目及完成數量等）：</t>
    <phoneticPr fontId="45" type="noConversion"/>
  </si>
  <si>
    <t>營造業專業工程特定施工項目</t>
    <phoneticPr fontId="45" type="noConversion"/>
  </si>
  <si>
    <t>A.</t>
    <phoneticPr fontId="45" type="noConversion"/>
  </si>
  <si>
    <t>B.</t>
    <phoneticPr fontId="45" type="noConversion"/>
  </si>
  <si>
    <t>五、工地職業安全衛生事項之督導、公共環境與安全之維護及其他工地行政事務：</t>
    <phoneticPr fontId="45" type="noConversion"/>
  </si>
  <si>
    <t xml:space="preserve">註：1.依營造業法第32條第1項第2款規定，工地主任應按日填報施工日誌
2.本施工日誌格式僅供參考，惟原則應包含上開欄位，各機關亦得依工程性質及契約約定事項自行增訂之。
3.本工程依營造業法第30條規定須置工地主任者，由工地主任簽章；依上開規定免置工地主任者，則由營造業法第32條第2項所定之人員簽章。廠商非屬營造業者，由工地負責人簽章。
4.契約工期如有修正，應填修正後之契約工期，含展延工期及不計工期天數；如有依契約變更設計，預定進度及實際進度應填變更設計後計算之進度。
5.上開重要事項記錄包含（1）主辦機關及監造單位指示（2）工地遇緊急異常狀況之通報處理情形（3）本日是否由專任工程人員督察按圖施工、解決施工技術問題等。
6.上開施工前檢查事項所列工作應由職業安全衛生管理辦法第3條規定所置職業安全衛生人員於每日施工前辦理(檢查紀錄參考範例如附工地職業安全衛生施工前檢查紀錄表)，工地主任負責督導及確認該事項完成後於施工日誌填載。
7.公共工程屬建築物者，請依內政部最新訂頒之「建築物施工日誌」填寫。
 </t>
    <phoneticPr fontId="45" type="noConversion"/>
  </si>
  <si>
    <t>展延天數</t>
    <phoneticPr fontId="4" type="noConversion"/>
  </si>
  <si>
    <t>契約數量</t>
    <phoneticPr fontId="45" type="noConversion"/>
  </si>
  <si>
    <t>派工數量</t>
    <phoneticPr fontId="45" type="noConversion"/>
  </si>
  <si>
    <t>施工項目</t>
  </si>
  <si>
    <t xml:space="preserve">  (ㄧ)施工前檢查事項：</t>
    <phoneticPr fontId="45" type="noConversion"/>
  </si>
  <si>
    <t xml:space="preserve">  (二)其他事項：</t>
    <phoneticPr fontId="45" type="noConversion"/>
  </si>
  <si>
    <t>六、施工取樣試驗紀錄：</t>
    <phoneticPr fontId="45" type="noConversion"/>
  </si>
  <si>
    <t>契約金額：</t>
    <phoneticPr fontId="45" type="noConversion"/>
  </si>
  <si>
    <r>
      <t>（一）施工廠商施工前檢查事項辦理情形：</t>
    </r>
    <r>
      <rPr>
        <sz val="12"/>
        <rFont val="新細明體"/>
        <family val="1"/>
        <charset val="136"/>
      </rPr>
      <t>▓</t>
    </r>
    <r>
      <rPr>
        <sz val="12"/>
        <rFont val="標楷體"/>
        <family val="4"/>
        <charset val="136"/>
      </rPr>
      <t>完成 □未完成
（二）其他工地安全衛生督導</t>
    </r>
    <phoneticPr fontId="4" type="noConversion"/>
  </si>
  <si>
    <t>龍井區</t>
    <phoneticPr fontId="2" type="noConversion"/>
  </si>
  <si>
    <t xml:space="preserve"> 工期(以10天為一單位)</t>
    <phoneticPr fontId="4" type="noConversion"/>
  </si>
  <si>
    <t>預定進度(%)</t>
    <phoneticPr fontId="4" type="noConversion"/>
  </si>
  <si>
    <t>累積預定進度(%)</t>
    <phoneticPr fontId="4" type="noConversion"/>
  </si>
  <si>
    <t>實際累計完成%</t>
    <phoneticPr fontId="4" type="noConversion"/>
  </si>
  <si>
    <t>本日完成%</t>
    <phoneticPr fontId="4" type="noConversion"/>
  </si>
  <si>
    <t>預定進度%</t>
    <phoneticPr fontId="4" type="noConversion"/>
  </si>
  <si>
    <t>預定累積進度%</t>
    <phoneticPr fontId="4" type="noConversion"/>
  </si>
  <si>
    <t>施工%基準金額</t>
    <phoneticPr fontId="4" type="noConversion"/>
  </si>
  <si>
    <t>工期計算(日曆天)</t>
    <phoneticPr fontId="4" type="noConversion"/>
  </si>
  <si>
    <t>人工=&gt;</t>
    <phoneticPr fontId="4" type="noConversion"/>
  </si>
  <si>
    <t>機具=&gt;</t>
    <phoneticPr fontId="4" type="noConversion"/>
  </si>
  <si>
    <t>四、通知承包商辦理事項：(含不合格之改善事項)抽驗</t>
    <phoneticPr fontId="4" type="noConversion"/>
  </si>
  <si>
    <t>M</t>
    <phoneticPr fontId="4" type="noConversion"/>
  </si>
  <si>
    <t>M2</t>
    <phoneticPr fontId="4" type="noConversion"/>
  </si>
  <si>
    <t>式</t>
    <phoneticPr fontId="4" type="noConversion"/>
  </si>
  <si>
    <t>組</t>
    <phoneticPr fontId="4" type="noConversion"/>
  </si>
  <si>
    <t>115年</t>
    <phoneticPr fontId="4" type="noConversion"/>
  </si>
  <si>
    <r>
      <t>工</t>
    </r>
    <r>
      <rPr>
        <b/>
        <sz val="20"/>
        <rFont val="Times New Roman"/>
        <family val="1"/>
      </rPr>
      <t xml:space="preserve">  </t>
    </r>
    <r>
      <rPr>
        <b/>
        <sz val="20"/>
        <rFont val="華康中明體"/>
        <family val="3"/>
        <charset val="136"/>
      </rPr>
      <t>程</t>
    </r>
    <r>
      <rPr>
        <b/>
        <sz val="20"/>
        <rFont val="Times New Roman"/>
        <family val="1"/>
      </rPr>
      <t xml:space="preserve">  </t>
    </r>
    <r>
      <rPr>
        <b/>
        <sz val="20"/>
        <rFont val="華康中明體"/>
        <family val="3"/>
        <charset val="136"/>
      </rPr>
      <t>地</t>
    </r>
    <r>
      <rPr>
        <b/>
        <sz val="20"/>
        <rFont val="Times New Roman"/>
        <family val="1"/>
      </rPr>
      <t xml:space="preserve">  </t>
    </r>
    <r>
      <rPr>
        <b/>
        <sz val="20"/>
        <rFont val="華康中明體"/>
        <family val="3"/>
        <charset val="136"/>
      </rPr>
      <t>點</t>
    </r>
    <r>
      <rPr>
        <b/>
        <sz val="20"/>
        <rFont val="Times New Roman"/>
        <family val="1"/>
      </rPr>
      <t xml:space="preserve"> </t>
    </r>
    <r>
      <rPr>
        <b/>
        <sz val="20"/>
        <rFont val="華康中明體"/>
        <family val="3"/>
        <charset val="136"/>
      </rPr>
      <t>:</t>
    </r>
    <phoneticPr fontId="2" type="noConversion"/>
  </si>
  <si>
    <t>永安土木技師事務所</t>
    <phoneticPr fontId="4" type="noConversion"/>
  </si>
  <si>
    <t>永安土木技師事務所</t>
    <phoneticPr fontId="2" type="noConversion"/>
  </si>
  <si>
    <t>五、重要事項紀錄：</t>
    <phoneticPr fontId="4" type="noConversion"/>
  </si>
  <si>
    <t>龍井國小114-116年公立國民中小學老舊廁所整修工程</t>
    <phoneticPr fontId="4" type="noConversion"/>
  </si>
  <si>
    <t>銘佑營造有限公司</t>
    <phoneticPr fontId="4" type="noConversion"/>
  </si>
  <si>
    <t>臺中市龍井區龍井國民小學</t>
    <phoneticPr fontId="4" type="noConversion"/>
  </si>
  <si>
    <t>1jes11503</t>
    <phoneticPr fontId="4" type="noConversion"/>
  </si>
  <si>
    <t>壹</t>
    <phoneticPr fontId="4" type="noConversion"/>
  </si>
  <si>
    <t>直接工程費</t>
    <phoneticPr fontId="4" type="noConversion"/>
  </si>
  <si>
    <t>乙種施工圍籬、警示帶、安全警示燈等安全措施(租用)</t>
    <phoneticPr fontId="4" type="noConversion"/>
  </si>
  <si>
    <t>式</t>
  </si>
  <si>
    <t>工程告示牌與職安衛告示牌(租用)</t>
    <phoneticPr fontId="4" type="noConversion"/>
  </si>
  <si>
    <t>施工動線開闢與損壞復原，既有設備管線遷移與復原；測量與放樣</t>
    <phoneticPr fontId="4" type="noConversion"/>
  </si>
  <si>
    <t>既有牆面、地坪、磁磚、衛生設備、給排水設施、搗擺及天花板等拆除(含切割)及運棄(含合法證明);環境保護與清潔</t>
    <phoneticPr fontId="4" type="noConversion"/>
  </si>
  <si>
    <t>既有污水處理設施抽水肥(含清潔孔開挖與復原)</t>
    <phoneticPr fontId="4" type="noConversion"/>
  </si>
  <si>
    <t>地坪與蹲便台階增築</t>
    <phoneticPr fontId="4" type="noConversion"/>
  </si>
  <si>
    <t>砌1/2B磚牆</t>
  </si>
  <si>
    <t>施工範圍內樓板穿管處與既有無用穿管及孔洞需以水泥砂漿封閉；樓板防水層試水</t>
    <phoneticPr fontId="4" type="noConversion"/>
  </si>
  <si>
    <t>地坪、牆面1:3水泥砂漿粉刷(含地坪硬底)</t>
    <phoneticPr fontId="4" type="noConversion"/>
  </si>
  <si>
    <t>地坪及牆面(H=1.5m)塗刷彈性防水材</t>
    <phoneticPr fontId="4" type="noConversion"/>
  </si>
  <si>
    <t>安裝不銹鋼方形地板落水頭(10cm*10cm,連工帶料)</t>
    <phoneticPr fontId="4" type="noConversion"/>
  </si>
  <si>
    <t>地坪貼止滑石英磚30cm*30cm，本色水泥勾縫(連工帶料)</t>
    <phoneticPr fontId="4" type="noConversion"/>
  </si>
  <si>
    <t>地坪貼60cm*60cm止滑石英磚，本色水泥勾縫(連工帶料)</t>
    <phoneticPr fontId="4" type="noConversion"/>
  </si>
  <si>
    <t>牆面貼石英磚30*60cm，白色水泥抹縫(連工帶料)</t>
    <phoneticPr fontId="4" type="noConversion"/>
  </si>
  <si>
    <t>安裝鋁合金陽角收邊條</t>
    <phoneticPr fontId="4" type="noConversion"/>
  </si>
  <si>
    <t>施做抿石子(1~2分霓虹石，抿石子專用泥)</t>
    <phoneticPr fontId="4" type="noConversion"/>
  </si>
  <si>
    <t>牆面與平頂塗刷水泥漆(含清潔，批土整平，一底漆二度面漆)</t>
    <phoneticPr fontId="4" type="noConversion"/>
  </si>
  <si>
    <t>安裝13mm熱固性樹脂板隔間含門片(頂面H=200cm以上)</t>
    <phoneticPr fontId="4" type="noConversion"/>
  </si>
  <si>
    <t>13mm熱固性樹脂板小便斗隔屏</t>
  </si>
  <si>
    <t>片</t>
  </si>
  <si>
    <t>廁間安裝不鏽鋼掛鈎與置物板</t>
    <phoneticPr fontId="4" type="noConversion"/>
  </si>
  <si>
    <t>間</t>
    <phoneticPr fontId="4" type="noConversion"/>
  </si>
  <si>
    <t>新設面盆浴櫃組與人造石檯面洗手台</t>
    <phoneticPr fontId="4" type="noConversion"/>
  </si>
  <si>
    <t>貼深色石材檯面(t=2cm，倒圓角)</t>
    <phoneticPr fontId="4" type="noConversion"/>
  </si>
  <si>
    <t>才</t>
    <phoneticPr fontId="4" type="noConversion"/>
  </si>
  <si>
    <t>安裝輕鋼架、金屬烤漆透空網與耐燃一級貼皮天花板(含必要之側封板與窗簾盒批土刷漆)</t>
    <phoneticPr fontId="4" type="noConversion"/>
  </si>
  <si>
    <t>廁所安裝衛生設備(連工帶料)</t>
    <phoneticPr fontId="4" type="noConversion"/>
  </si>
  <si>
    <t>安裝開關、插座與燈具(連工帶料)</t>
    <phoneticPr fontId="4" type="noConversion"/>
  </si>
  <si>
    <t>給排水系統配管與安裝(連工帶料)</t>
    <phoneticPr fontId="4" type="noConversion"/>
  </si>
  <si>
    <t>施做緊急求救按鈕(含閃光與蜂嗚警報器、線材、五金配件, 各層樓每間廁所皆有求救鈕，連工帶料，責任施工)</t>
    <phoneticPr fontId="4" type="noConversion"/>
  </si>
  <si>
    <t>安裝廁所指標系統(連工帶料，責任施工)</t>
    <phoneticPr fontId="4" type="noConversion"/>
  </si>
  <si>
    <t>施做拖布盆(砌磚粉刷貼磁磚，H=35cm)</t>
    <phoneticPr fontId="4" type="noConversion"/>
  </si>
  <si>
    <t>門窗與雜項工程</t>
    <phoneticPr fontId="4" type="noConversion"/>
  </si>
  <si>
    <t>貳</t>
  </si>
  <si>
    <t>職業安全衛生管理費(壹*0.6%)</t>
  </si>
  <si>
    <t>參</t>
  </si>
  <si>
    <t>公共工程品質管制作業費(壹*1%)</t>
  </si>
  <si>
    <t>肆</t>
  </si>
  <si>
    <t>包商利潤及管理費(約壹*7%)</t>
  </si>
  <si>
    <t>伍</t>
  </si>
  <si>
    <t>營造綜合保險費</t>
  </si>
  <si>
    <t>陸</t>
  </si>
  <si>
    <t>營業稅((壹~伍)*5%)</t>
  </si>
  <si>
    <t>變更金額：</t>
    <phoneticPr fontId="4" type="noConversion"/>
  </si>
  <si>
    <t>一至三樓廁所隔間拆除</t>
    <phoneticPr fontId="4" type="noConversion"/>
  </si>
  <si>
    <r>
      <t xml:space="preserve">四、本日施工項目是否有須依「營造業專業工程特定施工項目應置之技術士種類、比率或人數標準表」規定應設置技術士之專業工程：□有 </t>
    </r>
    <r>
      <rPr>
        <sz val="12"/>
        <rFont val="新細明體"/>
        <family val="1"/>
        <charset val="136"/>
      </rPr>
      <t>□</t>
    </r>
    <r>
      <rPr>
        <sz val="12"/>
        <rFont val="標楷體"/>
        <family val="4"/>
        <charset val="136"/>
      </rPr>
      <t>無（此項如勾選”有”，則應填寫後附「公共工程施工日誌之技術士簽章表」）</t>
    </r>
    <phoneticPr fontId="45" type="noConversion"/>
  </si>
  <si>
    <r>
      <t xml:space="preserve">   1.實施勤前教育(含工地預防災變及危害告知)：</t>
    </r>
    <r>
      <rPr>
        <sz val="12"/>
        <color rgb="FF000000"/>
        <rFont val="標楷體"/>
        <family val="1"/>
        <charset val="136"/>
      </rPr>
      <t>□</t>
    </r>
    <r>
      <rPr>
        <sz val="12"/>
        <color indexed="8"/>
        <rFont val="標楷體"/>
        <family val="4"/>
        <charset val="136"/>
      </rPr>
      <t>有 □無</t>
    </r>
    <phoneticPr fontId="45" type="noConversion"/>
  </si>
  <si>
    <r>
      <t xml:space="preserve">   3.檢查勞工個人防護具：</t>
    </r>
    <r>
      <rPr>
        <sz val="12"/>
        <color rgb="FF000000"/>
        <rFont val="新細明體"/>
        <family val="1"/>
        <charset val="136"/>
      </rPr>
      <t>□</t>
    </r>
    <r>
      <rPr>
        <sz val="12"/>
        <color rgb="FF000000"/>
        <rFont val="標楷體"/>
        <family val="4"/>
        <charset val="136"/>
      </rPr>
      <t>有 □無</t>
    </r>
    <phoneticPr fontId="45" type="noConversion"/>
  </si>
  <si>
    <t xml:space="preserve">   2.確認新進勞工是否提報勞工保險(或其他商業保險)資料及安全衛生教育訓練紀錄：□有 □無□無新進勞工</t>
    <phoneticPr fontId="45" type="noConversion"/>
  </si>
  <si>
    <t>一至三樓廁所隔間拆除</t>
    <phoneticPr fontId="4" type="noConversion"/>
  </si>
  <si>
    <t>本日無施工</t>
  </si>
  <si>
    <t>本日無施工</t>
    <phoneticPr fontId="4" type="noConversion"/>
  </si>
  <si>
    <t>本日無施工</t>
    <phoneticPr fontId="4" type="noConversion"/>
  </si>
  <si>
    <t>水電測量放樣</t>
    <phoneticPr fontId="4" type="noConversion"/>
  </si>
  <si>
    <t>1.水電測量放樣
2.會同建築師查驗 汙水管路配件</t>
    <phoneticPr fontId="4" type="noConversion"/>
  </si>
  <si>
    <t>1.本日申報開工
2.一至三樓廁所隔間拆除</t>
    <phoneticPr fontId="4" type="noConversion"/>
  </si>
  <si>
    <t>本日無施工</t>
    <phoneticPr fontId="4" type="noConversion"/>
  </si>
  <si>
    <t>清潔孔開挖</t>
    <phoneticPr fontId="4" type="noConversion"/>
  </si>
  <si>
    <t>本日無施工</t>
    <phoneticPr fontId="4" type="noConversion"/>
  </si>
  <si>
    <t>本日無施工</t>
    <phoneticPr fontId="4" type="noConversion"/>
  </si>
  <si>
    <t>汙水管路接管</t>
    <phoneticPr fontId="4" type="noConversion"/>
  </si>
  <si>
    <t>1.清潔孔開挖2.汙水管路接管</t>
    <phoneticPr fontId="4" type="noConversion"/>
  </si>
  <si>
    <t>1.汙水管路接管      2.砌磚3F</t>
    <phoneticPr fontId="4" type="noConversion"/>
  </si>
  <si>
    <t>1.汙水管路接管      2.砌磚2F</t>
    <phoneticPr fontId="4" type="noConversion"/>
  </si>
  <si>
    <t>1.汙水管路接管      2.砌磚1F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</si>
</sst>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0_ "/>
    <numFmt numFmtId="177" formatCode="aaa"/>
    <numFmt numFmtId="178" formatCode="0.00_ "/>
    <numFmt numFmtId="179" formatCode="m&quot;月&quot;d&quot;日&quot;"/>
    <numFmt numFmtId="180" formatCode="[$-404]e/m/d;@"/>
    <numFmt numFmtId="181" formatCode="[$-404]e&quot;年&quot;m&quot;月&quot;d&quot;日&quot;;@"/>
    <numFmt numFmtId="182" formatCode="0.00_);[Red]\(0.00\)"/>
    <numFmt numFmtId="183" formatCode="0.000_ "/>
    <numFmt numFmtId="184" formatCode="#,##0.00_ "/>
    <numFmt numFmtId="185" formatCode="#,##0.00_);[Red]\(#,##0.00\)"/>
    <numFmt numFmtId="186" formatCode="General&quot; 區&quot;"/>
    <numFmt numFmtId="187" formatCode="#,##0_);[Red]\(#,##0\)"/>
    <numFmt numFmtId="188" formatCode="#,##0_ "/>
    <numFmt numFmtId="189" formatCode="[DBNum1]\(\ &quot;星&quot;&quot;期&quot;[$-404]General\ \)"/>
    <numFmt numFmtId="190" formatCode="General&quot;日曆天&quot;"/>
    <numFmt numFmtId="191" formatCode="[$-404]aaaa;@"/>
    <numFmt numFmtId="192" formatCode="0.000_);[Red]\(0.000\)"/>
    <numFmt numFmtId="193" formatCode="[DBNum2][$-404]General"/>
    <numFmt numFmtId="194" formatCode="000"/>
    <numFmt numFmtId="195" formatCode="0\ &quot;天&quot;"/>
    <numFmt numFmtId="196" formatCode="General_)"/>
    <numFmt numFmtId="197" formatCode="0.00_)"/>
    <numFmt numFmtId="198" formatCode="0.000"/>
    <numFmt numFmtId="199" formatCode="#,##0.0"/>
    <numFmt numFmtId="200" formatCode="\300.00"/>
    <numFmt numFmtId="201" formatCode="\300"/>
    <numFmt numFmtId="202" formatCode="#,##0.0_);\(#,##0.0\)"/>
    <numFmt numFmtId="203" formatCode="_-&quot;F&quot;\ * #,##0.00_-;_-&quot;F&quot;\ * #,##0.00\-;_-&quot;F&quot;\ * &quot;-&quot;??_-;_-@_-"/>
    <numFmt numFmtId="204" formatCode="#,##0\ &quot;F&quot;;[Red]\-#,##0\ &quot;F&quot;"/>
    <numFmt numFmtId="205" formatCode="#,##0.00\ &quot;F&quot;;[Red]\-#,##0.00\ &quot;F&quot;"/>
    <numFmt numFmtId="206" formatCode="0.00000%"/>
    <numFmt numFmtId="207" formatCode="0.00000&quot;  &quot;"/>
    <numFmt numFmtId="208" formatCode="m/d/yy\ hh:mm"/>
    <numFmt numFmtId="209" formatCode="0.0000;[Red]0.0000"/>
    <numFmt numFmtId="210" formatCode="0.00_);\(0.00\)"/>
    <numFmt numFmtId="211" formatCode="00\-000"/>
    <numFmt numFmtId="212" formatCode="_-&quot;$&quot;* #,##0_-;\-&quot;$&quot;* #,##0_-;_-&quot;$&quot;* &quot;-&quot;??_-;_-@_-"/>
    <numFmt numFmtId="213" formatCode="0.0_);[Red]\(0.0\)"/>
    <numFmt numFmtId="214" formatCode="0.0"/>
  </numFmts>
  <fonts count="113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2"/>
      <color indexed="10"/>
      <name val="新細明體"/>
      <family val="1"/>
      <charset val="136"/>
    </font>
    <font>
      <sz val="9"/>
      <name val="新細明體"/>
      <family val="1"/>
      <charset val="136"/>
    </font>
    <font>
      <sz val="12"/>
      <name val="標楷體"/>
      <family val="4"/>
      <charset val="136"/>
    </font>
    <font>
      <sz val="10"/>
      <name val="標楷體"/>
      <family val="4"/>
      <charset val="136"/>
    </font>
    <font>
      <sz val="10"/>
      <name val="Times New Roman"/>
      <family val="1"/>
    </font>
    <font>
      <sz val="12"/>
      <name val="細明體"/>
      <family val="3"/>
      <charset val="136"/>
    </font>
    <font>
      <sz val="12"/>
      <name val="新細明體"/>
      <family val="1"/>
      <charset val="136"/>
    </font>
    <font>
      <b/>
      <sz val="14"/>
      <name val="標楷體"/>
      <family val="4"/>
      <charset val="136"/>
    </font>
    <font>
      <sz val="11"/>
      <name val="標楷體"/>
      <family val="4"/>
      <charset val="136"/>
    </font>
    <font>
      <sz val="9"/>
      <color indexed="81"/>
      <name val="新細明體"/>
      <family val="1"/>
      <charset val="136"/>
    </font>
    <font>
      <sz val="12"/>
      <color indexed="81"/>
      <name val="新細明體"/>
      <family val="1"/>
      <charset val="136"/>
    </font>
    <font>
      <b/>
      <u/>
      <sz val="14"/>
      <name val="新細明體"/>
      <family val="1"/>
      <charset val="136"/>
    </font>
    <font>
      <sz val="10"/>
      <name val="Helv"/>
      <family val="2"/>
    </font>
    <font>
      <sz val="12"/>
      <name val="細圓體"/>
      <family val="1"/>
      <charset val="136"/>
    </font>
    <font>
      <sz val="12"/>
      <name val="바탕체"/>
      <family val="3"/>
    </font>
    <font>
      <sz val="10"/>
      <name val="新細明體"/>
      <family val="1"/>
      <charset val="136"/>
    </font>
    <font>
      <b/>
      <sz val="16"/>
      <color indexed="9"/>
      <name val="標楷體"/>
      <family val="4"/>
      <charset val="136"/>
    </font>
    <font>
      <b/>
      <sz val="12"/>
      <name val="Times New Roman"/>
      <family val="1"/>
    </font>
    <font>
      <b/>
      <sz val="12"/>
      <name val="標楷體"/>
      <family val="4"/>
      <charset val="136"/>
    </font>
    <font>
      <b/>
      <sz val="12"/>
      <name val="新細明體"/>
      <family val="1"/>
      <charset val="136"/>
    </font>
    <font>
      <b/>
      <sz val="22"/>
      <name val="標楷體"/>
      <family val="4"/>
      <charset val="136"/>
    </font>
    <font>
      <sz val="11"/>
      <name val="新細明體"/>
      <family val="1"/>
      <charset val="136"/>
    </font>
    <font>
      <sz val="12"/>
      <name val="新細明體"/>
      <family val="1"/>
      <charset val="136"/>
    </font>
    <font>
      <sz val="12"/>
      <name val="華康中明體"/>
      <family val="3"/>
      <charset val="136"/>
    </font>
    <font>
      <b/>
      <sz val="12"/>
      <name val="華康中明體"/>
      <family val="3"/>
      <charset val="136"/>
    </font>
    <font>
      <b/>
      <sz val="36"/>
      <name val="華康中明體"/>
      <family val="3"/>
      <charset val="136"/>
    </font>
    <font>
      <b/>
      <sz val="32"/>
      <name val="華康中明體"/>
      <family val="3"/>
      <charset val="136"/>
    </font>
    <font>
      <b/>
      <sz val="14"/>
      <name val="華康中明體"/>
      <family val="3"/>
      <charset val="136"/>
    </font>
    <font>
      <b/>
      <sz val="24"/>
      <name val="華康中明體"/>
      <family val="3"/>
      <charset val="136"/>
    </font>
    <font>
      <b/>
      <sz val="20"/>
      <name val="Times New Roman"/>
      <family val="1"/>
    </font>
    <font>
      <b/>
      <sz val="20"/>
      <name val="華康中明體"/>
      <family val="3"/>
      <charset val="136"/>
    </font>
    <font>
      <sz val="20"/>
      <name val="華康中明體"/>
      <family val="3"/>
      <charset val="136"/>
    </font>
    <font>
      <b/>
      <sz val="18"/>
      <name val="華康中明體"/>
      <family val="3"/>
      <charset val="136"/>
    </font>
    <font>
      <sz val="16"/>
      <name val="華康中明體"/>
      <family val="3"/>
      <charset val="136"/>
    </font>
    <font>
      <b/>
      <sz val="22"/>
      <name val="華康中明體"/>
      <family val="3"/>
      <charset val="136"/>
    </font>
    <font>
      <sz val="10"/>
      <name val="Arial"/>
      <family val="2"/>
    </font>
    <font>
      <b/>
      <sz val="20"/>
      <name val="標楷體"/>
      <family val="4"/>
      <charset val="136"/>
    </font>
    <font>
      <b/>
      <sz val="20"/>
      <name val="新細明體"/>
      <family val="1"/>
      <charset val="136"/>
    </font>
    <font>
      <b/>
      <sz val="48"/>
      <name val="新細明體"/>
      <family val="1"/>
      <charset val="136"/>
    </font>
    <font>
      <b/>
      <sz val="48"/>
      <name val="標楷體"/>
      <family val="4"/>
      <charset val="136"/>
    </font>
    <font>
      <b/>
      <sz val="32"/>
      <name val="標楷體"/>
      <family val="4"/>
      <charset val="136"/>
    </font>
    <font>
      <sz val="11"/>
      <name val="Times New Roman"/>
      <family val="1"/>
    </font>
    <font>
      <sz val="9"/>
      <name val="新細明體"/>
      <family val="1"/>
      <charset val="136"/>
    </font>
    <font>
      <sz val="14"/>
      <name val="新細明體"/>
      <family val="1"/>
      <charset val="136"/>
    </font>
    <font>
      <sz val="12"/>
      <color indexed="8"/>
      <name val="標楷體"/>
      <family val="4"/>
      <charset val="136"/>
    </font>
    <font>
      <sz val="13"/>
      <name val="新細明體"/>
      <family val="1"/>
      <charset val="136"/>
    </font>
    <font>
      <sz val="13"/>
      <name val="標楷體"/>
      <family val="4"/>
      <charset val="136"/>
    </font>
    <font>
      <sz val="12"/>
      <name val="Courier"/>
      <family val="3"/>
    </font>
    <font>
      <sz val="12"/>
      <name val="Microsoft JhengHei UI"/>
      <family val="2"/>
    </font>
    <font>
      <sz val="12"/>
      <name val="Microsoft JhengHei UI"/>
      <family val="2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u/>
      <sz val="12"/>
      <color indexed="12"/>
      <name val="Courier"/>
      <family val="3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12"/>
      <color indexed="8"/>
      <name val="Times New Roman"/>
      <family val="1"/>
    </font>
    <font>
      <sz val="10"/>
      <color indexed="8"/>
      <name val="MS Sans Serif"/>
      <family val="2"/>
    </font>
    <font>
      <b/>
      <sz val="12"/>
      <name val="MS Sans Serif"/>
      <family val="2"/>
    </font>
    <font>
      <sz val="12"/>
      <name val="MS Sans Serif"/>
      <family val="2"/>
    </font>
    <font>
      <sz val="12"/>
      <name val="華康中楷體"/>
      <family val="3"/>
      <charset val="136"/>
    </font>
    <font>
      <sz val="16"/>
      <name val="華康中楷體"/>
      <family val="3"/>
      <charset val="136"/>
    </font>
    <font>
      <sz val="9"/>
      <name val="華康仿宋體"/>
      <family val="3"/>
      <charset val="136"/>
    </font>
    <font>
      <sz val="10"/>
      <name val="華康中楷體"/>
      <family val="3"/>
      <charset val="136"/>
    </font>
    <font>
      <sz val="10"/>
      <color indexed="12"/>
      <name val="華康中楷體"/>
      <family val="3"/>
      <charset val="136"/>
    </font>
    <font>
      <sz val="12"/>
      <color indexed="17"/>
      <name val="標楷體"/>
      <family val="4"/>
      <charset val="136"/>
    </font>
    <font>
      <sz val="12"/>
      <color indexed="2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2"/>
      <color theme="1" tint="0.249977111117893"/>
      <name val="標楷體"/>
      <family val="4"/>
      <charset val="136"/>
    </font>
    <font>
      <sz val="11"/>
      <color theme="1"/>
      <name val="標楷體"/>
      <family val="4"/>
      <charset val="136"/>
    </font>
    <font>
      <sz val="13"/>
      <color theme="1"/>
      <name val="標楷體"/>
      <family val="4"/>
      <charset val="136"/>
    </font>
    <font>
      <sz val="14"/>
      <color theme="1"/>
      <name val="標楷體"/>
      <family val="4"/>
      <charset val="136"/>
    </font>
    <font>
      <b/>
      <sz val="12"/>
      <color rgb="FFFF0000"/>
      <name val="Microsoft JhengHei UI"/>
      <family val="2"/>
    </font>
    <font>
      <sz val="13"/>
      <color theme="1" tint="0.249977111117893"/>
      <name val="標楷體"/>
      <family val="4"/>
      <charset val="136"/>
    </font>
    <font>
      <sz val="12"/>
      <color rgb="FF000000"/>
      <name val="標楷體"/>
      <family val="4"/>
      <charset val="136"/>
    </font>
    <font>
      <sz val="12"/>
      <color rgb="FF000000"/>
      <name val="新細明體"/>
      <family val="1"/>
      <charset val="136"/>
    </font>
    <font>
      <sz val="12"/>
      <color rgb="FF000000"/>
      <name val="標楷體"/>
      <family val="1"/>
      <charset val="136"/>
    </font>
    <font>
      <b/>
      <sz val="20"/>
      <name val="新細明體"/>
      <family val="3"/>
      <charset val="136"/>
    </font>
    <font>
      <b/>
      <sz val="22"/>
      <name val="新細明體"/>
      <family val="3"/>
      <charset val="136"/>
    </font>
    <font>
      <sz val="12"/>
      <name val="新細明體"/>
      <family val="1"/>
      <charset val="136"/>
      <scheme val="major"/>
    </font>
    <font>
      <sz val="10"/>
      <name val="新細明體"/>
      <family val="1"/>
      <charset val="136"/>
      <scheme val="major"/>
    </font>
    <font>
      <sz val="12"/>
      <color indexed="10"/>
      <name val="新細明體"/>
      <family val="1"/>
      <charset val="136"/>
      <scheme val="major"/>
    </font>
    <font>
      <b/>
      <sz val="12"/>
      <name val="新細明體"/>
      <family val="1"/>
      <charset val="136"/>
      <scheme val="major"/>
    </font>
    <font>
      <b/>
      <u/>
      <sz val="14"/>
      <name val="新細明體"/>
      <family val="1"/>
      <charset val="136"/>
      <scheme val="major"/>
    </font>
    <font>
      <sz val="12"/>
      <color indexed="62"/>
      <name val="新細明體"/>
      <family val="1"/>
      <charset val="136"/>
      <scheme val="major"/>
    </font>
    <font>
      <sz val="10"/>
      <color indexed="10"/>
      <name val="新細明體"/>
      <family val="1"/>
      <charset val="136"/>
      <scheme val="major"/>
    </font>
    <font>
      <sz val="12"/>
      <color indexed="12"/>
      <name val="新細明體"/>
      <family val="1"/>
      <charset val="136"/>
      <scheme val="major"/>
    </font>
    <font>
      <sz val="12"/>
      <color rgb="FF0000FF"/>
      <name val="新細明體"/>
      <family val="1"/>
      <charset val="136"/>
      <scheme val="major"/>
    </font>
    <font>
      <sz val="11"/>
      <name val="新細明體"/>
      <family val="1"/>
      <charset val="136"/>
      <scheme val="major"/>
    </font>
    <font>
      <sz val="8"/>
      <name val="新細明體"/>
      <family val="1"/>
      <charset val="136"/>
      <scheme val="major"/>
    </font>
    <font>
      <sz val="11"/>
      <color indexed="10"/>
      <name val="新細明體"/>
      <family val="1"/>
      <charset val="136"/>
      <scheme val="major"/>
    </font>
    <font>
      <sz val="10"/>
      <color indexed="10"/>
      <name val="新細明體"/>
      <family val="1"/>
      <charset val="136"/>
    </font>
    <font>
      <sz val="11"/>
      <name val="Helv"/>
      <family val="2"/>
    </font>
    <font>
      <sz val="11"/>
      <name val="細明體"/>
      <family val="3"/>
      <charset val="136"/>
    </font>
    <font>
      <sz val="8"/>
      <name val="Times New Roman"/>
      <family val="1"/>
    </font>
    <font>
      <sz val="8"/>
      <name val="細明體"/>
      <family val="3"/>
      <charset val="136"/>
    </font>
    <font>
      <sz val="8"/>
      <name val="新細明體"/>
      <family val="1"/>
      <charset val="136"/>
    </font>
    <font>
      <sz val="11"/>
      <name val="Microsoft JhengHei UI"/>
      <family val="2"/>
      <charset val="136"/>
    </font>
    <font>
      <sz val="12"/>
      <color rgb="FFFF0000"/>
      <name val="新細明體"/>
      <family val="1"/>
      <charset val="136"/>
      <scheme val="major"/>
    </font>
    <font>
      <sz val="12"/>
      <color theme="1"/>
      <name val="新細明體"/>
      <family val="1"/>
      <charset val="136"/>
      <scheme val="major"/>
    </font>
    <font>
      <sz val="6"/>
      <name val="標楷體"/>
      <family val="4"/>
      <charset val="136"/>
    </font>
    <font>
      <sz val="7"/>
      <name val="標楷體"/>
      <family val="4"/>
      <charset val="136"/>
    </font>
    <font>
      <sz val="12"/>
      <color indexed="10"/>
      <name val="標楷體"/>
      <family val="4"/>
      <charset val="136"/>
    </font>
  </fonts>
  <fills count="21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44">
    <xf numFmtId="0" fontId="0" fillId="0" borderId="0"/>
    <xf numFmtId="41" fontId="38" fillId="0" borderId="0" applyFont="0" applyFill="0" applyBorder="0" applyAlignment="0" applyProtection="0"/>
    <xf numFmtId="0" fontId="50" fillId="0" borderId="0"/>
    <xf numFmtId="0" fontId="9" fillId="0" borderId="0"/>
    <xf numFmtId="0" fontId="8" fillId="0" borderId="0"/>
    <xf numFmtId="209" fontId="9" fillId="0" borderId="0" applyFill="0" applyBorder="0" applyAlignment="0"/>
    <xf numFmtId="199" fontId="9" fillId="0" borderId="0" applyFill="0" applyBorder="0" applyAlignment="0"/>
    <xf numFmtId="198" fontId="56" fillId="0" borderId="0" applyFill="0" applyBorder="0" applyAlignment="0"/>
    <xf numFmtId="202" fontId="57" fillId="0" borderId="0" applyFill="0" applyBorder="0" applyAlignment="0"/>
    <xf numFmtId="206" fontId="9" fillId="0" borderId="0" applyFill="0" applyBorder="0" applyAlignment="0"/>
    <xf numFmtId="209" fontId="9" fillId="0" borderId="0" applyFill="0" applyBorder="0" applyAlignment="0"/>
    <xf numFmtId="207" fontId="9" fillId="0" borderId="0" applyFill="0" applyBorder="0" applyAlignment="0"/>
    <xf numFmtId="199" fontId="9" fillId="0" borderId="0" applyFill="0" applyBorder="0" applyAlignment="0"/>
    <xf numFmtId="41" fontId="38" fillId="0" borderId="0" applyFont="0" applyFill="0" applyBorder="0" applyAlignment="0" applyProtection="0"/>
    <xf numFmtId="209" fontId="9" fillId="0" borderId="0" applyFont="0" applyFill="0" applyBorder="0" applyAlignment="0" applyProtection="0"/>
    <xf numFmtId="43" fontId="38" fillId="0" borderId="0" applyFont="0" applyFill="0" applyBorder="0" applyAlignment="0" applyProtection="0"/>
    <xf numFmtId="42" fontId="38" fillId="0" borderId="0" applyFont="0" applyFill="0" applyBorder="0" applyAlignment="0" applyProtection="0"/>
    <xf numFmtId="199" fontId="9" fillId="0" borderId="0" applyFont="0" applyFill="0" applyBorder="0" applyAlignment="0" applyProtection="0"/>
    <xf numFmtId="44" fontId="38" fillId="0" borderId="0" applyFont="0" applyFill="0" applyBorder="0" applyAlignment="0" applyProtection="0"/>
    <xf numFmtId="14" fontId="58" fillId="0" borderId="0" applyFill="0" applyBorder="0" applyAlignment="0"/>
    <xf numFmtId="210" fontId="9" fillId="0" borderId="1">
      <alignment vertical="center"/>
    </xf>
    <xf numFmtId="38" fontId="44" fillId="0" borderId="0" applyBorder="0" applyAlignment="0"/>
    <xf numFmtId="209" fontId="9" fillId="0" borderId="0" applyFill="0" applyBorder="0" applyAlignment="0"/>
    <xf numFmtId="199" fontId="9" fillId="0" borderId="0" applyFill="0" applyBorder="0" applyAlignment="0"/>
    <xf numFmtId="209" fontId="9" fillId="0" borderId="0" applyFill="0" applyBorder="0" applyAlignment="0"/>
    <xf numFmtId="207" fontId="9" fillId="0" borderId="0" applyFill="0" applyBorder="0" applyAlignment="0"/>
    <xf numFmtId="199" fontId="9" fillId="0" borderId="0" applyFill="0" applyBorder="0" applyAlignment="0"/>
    <xf numFmtId="38" fontId="59" fillId="6" borderId="0" applyNumberFormat="0" applyBorder="0" applyAlignment="0" applyProtection="0"/>
    <xf numFmtId="0" fontId="60" fillId="0" borderId="2" applyNumberFormat="0" applyAlignment="0" applyProtection="0">
      <alignment horizontal="left" vertical="center"/>
    </xf>
    <xf numFmtId="0" fontId="60" fillId="0" borderId="3">
      <alignment horizontal="left" vertical="center"/>
    </xf>
    <xf numFmtId="0" fontId="61" fillId="0" borderId="0" applyNumberFormat="0" applyFill="0" applyBorder="0" applyAlignment="0" applyProtection="0">
      <alignment vertical="top"/>
      <protection locked="0"/>
    </xf>
    <xf numFmtId="10" fontId="59" fillId="7" borderId="4" applyNumberFormat="0" applyBorder="0" applyAlignment="0" applyProtection="0"/>
    <xf numFmtId="209" fontId="9" fillId="0" borderId="0" applyFill="0" applyBorder="0" applyAlignment="0"/>
    <xf numFmtId="199" fontId="9" fillId="0" borderId="0" applyFill="0" applyBorder="0" applyAlignment="0"/>
    <xf numFmtId="209" fontId="9" fillId="0" borderId="0" applyFill="0" applyBorder="0" applyAlignment="0"/>
    <xf numFmtId="207" fontId="9" fillId="0" borderId="0" applyFill="0" applyBorder="0" applyAlignment="0"/>
    <xf numFmtId="199" fontId="9" fillId="0" borderId="0" applyFill="0" applyBorder="0" applyAlignment="0"/>
    <xf numFmtId="196" fontId="50" fillId="8" borderId="4" applyNumberFormat="0" applyFont="0" applyFill="0" applyBorder="0">
      <alignment horizontal="center" vertical="center"/>
    </xf>
    <xf numFmtId="38" fontId="62" fillId="0" borderId="0" applyFont="0" applyFill="0" applyBorder="0" applyAlignment="0" applyProtection="0"/>
    <xf numFmtId="40" fontId="62" fillId="0" borderId="0" applyFont="0" applyFill="0" applyBorder="0" applyAlignment="0" applyProtection="0"/>
    <xf numFmtId="204" fontId="62" fillId="0" borderId="0" applyFont="0" applyFill="0" applyBorder="0" applyAlignment="0" applyProtection="0"/>
    <xf numFmtId="205" fontId="62" fillId="0" borderId="0" applyFont="0" applyFill="0" applyBorder="0" applyAlignment="0" applyProtection="0"/>
    <xf numFmtId="37" fontId="63" fillId="0" borderId="0"/>
    <xf numFmtId="197" fontId="64" fillId="0" borderId="0"/>
    <xf numFmtId="0" fontId="38" fillId="0" borderId="0"/>
    <xf numFmtId="0" fontId="65" fillId="8" borderId="0"/>
    <xf numFmtId="206" fontId="9" fillId="0" borderId="0" applyFont="0" applyFill="0" applyBorder="0" applyAlignment="0" applyProtection="0"/>
    <xf numFmtId="211" fontId="9" fillId="0" borderId="0" applyFont="0" applyFill="0" applyBorder="0" applyAlignment="0" applyProtection="0"/>
    <xf numFmtId="10" fontId="38" fillId="0" borderId="0" applyFont="0" applyFill="0" applyBorder="0" applyAlignment="0" applyProtection="0"/>
    <xf numFmtId="9" fontId="66" fillId="0" borderId="0" applyFont="0" applyFill="0" applyProtection="0"/>
    <xf numFmtId="209" fontId="9" fillId="0" borderId="0" applyFill="0" applyBorder="0" applyAlignment="0"/>
    <xf numFmtId="199" fontId="9" fillId="0" borderId="0" applyFill="0" applyBorder="0" applyAlignment="0"/>
    <xf numFmtId="209" fontId="9" fillId="0" borderId="0" applyFill="0" applyBorder="0" applyAlignment="0"/>
    <xf numFmtId="207" fontId="9" fillId="0" borderId="0" applyFill="0" applyBorder="0" applyAlignment="0"/>
    <xf numFmtId="199" fontId="9" fillId="0" borderId="0" applyFill="0" applyBorder="0" applyAlignment="0"/>
    <xf numFmtId="205" fontId="62" fillId="0" borderId="0">
      <alignment horizontal="center"/>
    </xf>
    <xf numFmtId="0" fontId="67" fillId="0" borderId="4">
      <alignment horizontal="center"/>
    </xf>
    <xf numFmtId="0" fontId="67" fillId="0" borderId="0">
      <alignment horizontal="center" vertical="center"/>
    </xf>
    <xf numFmtId="0" fontId="68" fillId="9" borderId="0" applyNumberFormat="0" applyFill="0">
      <alignment horizontal="left" vertical="center"/>
    </xf>
    <xf numFmtId="49" fontId="58" fillId="0" borderId="0" applyFill="0" applyBorder="0" applyAlignment="0"/>
    <xf numFmtId="208" fontId="9" fillId="0" borderId="0" applyFill="0" applyBorder="0" applyAlignment="0"/>
    <xf numFmtId="203" fontId="9" fillId="0" borderId="0" applyFill="0" applyBorder="0" applyAlignment="0"/>
    <xf numFmtId="39" fontId="69" fillId="0" borderId="0">
      <alignment vertical="center"/>
    </xf>
    <xf numFmtId="0" fontId="50" fillId="0" borderId="0"/>
    <xf numFmtId="0" fontId="9" fillId="0" borderId="0">
      <alignment vertical="center"/>
    </xf>
    <xf numFmtId="0" fontId="38" fillId="0" borderId="0"/>
    <xf numFmtId="0" fontId="46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9" fillId="0" borderId="0"/>
    <xf numFmtId="0" fontId="38" fillId="0" borderId="0"/>
    <xf numFmtId="0" fontId="15" fillId="0" borderId="0"/>
    <xf numFmtId="0" fontId="9" fillId="0" borderId="0">
      <alignment vertical="center"/>
    </xf>
    <xf numFmtId="200" fontId="69" fillId="0" borderId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0" fontId="50" fillId="0" borderId="0" applyFont="0" applyFill="0" applyBorder="0" applyAlignment="0" applyProtection="0"/>
    <xf numFmtId="0" fontId="70" fillId="0" borderId="0">
      <alignment vertical="center"/>
    </xf>
    <xf numFmtId="0" fontId="25" fillId="0" borderId="0"/>
    <xf numFmtId="0" fontId="50" fillId="0" borderId="0"/>
    <xf numFmtId="0" fontId="53" fillId="3" borderId="0" applyNumberFormat="0" applyBorder="0" applyAlignment="0" applyProtection="0">
      <alignment vertical="center"/>
    </xf>
    <xf numFmtId="0" fontId="74" fillId="3" borderId="0" applyNumberFormat="0" applyBorder="0" applyAlignment="0" applyProtection="0">
      <alignment vertical="center"/>
    </xf>
    <xf numFmtId="0" fontId="74" fillId="3" borderId="0" applyNumberFormat="0" applyBorder="0" applyAlignment="0" applyProtection="0">
      <alignment vertical="center"/>
    </xf>
    <xf numFmtId="0" fontId="74" fillId="3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3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3" borderId="0" applyNumberFormat="0" applyBorder="0" applyAlignment="0" applyProtection="0">
      <alignment vertical="center"/>
    </xf>
    <xf numFmtId="0" fontId="53" fillId="3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3" borderId="0" applyNumberFormat="0" applyBorder="0" applyAlignment="0" applyProtection="0">
      <alignment vertical="center"/>
    </xf>
    <xf numFmtId="0" fontId="53" fillId="3" borderId="0" applyNumberFormat="0" applyBorder="0" applyAlignment="0" applyProtection="0">
      <alignment vertical="center"/>
    </xf>
    <xf numFmtId="0" fontId="53" fillId="3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0" fontId="5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71" fillId="0" borderId="4">
      <alignment vertical="center" wrapText="1"/>
    </xf>
    <xf numFmtId="201" fontId="72" fillId="0" borderId="5">
      <alignment vertical="center"/>
    </xf>
    <xf numFmtId="6" fontId="50" fillId="0" borderId="0" applyFont="0" applyFill="0" applyBorder="0" applyAlignment="0" applyProtection="0"/>
    <xf numFmtId="2" fontId="16" fillId="8" borderId="6" applyProtection="0">
      <alignment horizontal="left"/>
    </xf>
    <xf numFmtId="0" fontId="55" fillId="0" borderId="0" applyNumberFormat="0" applyFill="0" applyBorder="0" applyAlignment="0" applyProtection="0">
      <alignment vertical="top"/>
      <protection locked="0"/>
    </xf>
    <xf numFmtId="0" fontId="25" fillId="0" borderId="0"/>
    <xf numFmtId="0" fontId="50" fillId="0" borderId="0"/>
    <xf numFmtId="0" fontId="15" fillId="0" borderId="0"/>
    <xf numFmtId="39" fontId="73" fillId="0" borderId="7">
      <alignment horizontal="right"/>
    </xf>
    <xf numFmtId="0" fontId="54" fillId="2" borderId="0" applyNumberFormat="0" applyBorder="0" applyAlignment="0" applyProtection="0">
      <alignment vertical="center"/>
    </xf>
    <xf numFmtId="0" fontId="75" fillId="2" borderId="0" applyNumberFormat="0" applyBorder="0" applyAlignment="0" applyProtection="0">
      <alignment vertical="center"/>
    </xf>
    <xf numFmtId="0" fontId="75" fillId="2" borderId="0" applyNumberFormat="0" applyBorder="0" applyAlignment="0" applyProtection="0">
      <alignment vertical="center"/>
    </xf>
    <xf numFmtId="0" fontId="75" fillId="2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2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54" fillId="4" borderId="0" applyNumberFormat="0" applyBorder="0" applyAlignment="0" applyProtection="0">
      <alignment vertical="center"/>
    </xf>
    <xf numFmtId="0" fontId="17" fillId="0" borderId="0" applyFont="0" applyFill="0" applyBorder="0" applyAlignment="0" applyProtection="0"/>
    <xf numFmtId="44" fontId="1" fillId="0" borderId="0" applyFont="0" applyFill="0" applyBorder="0" applyAlignment="0" applyProtection="0">
      <alignment vertical="center"/>
    </xf>
    <xf numFmtId="0" fontId="1" fillId="0" borderId="0"/>
    <xf numFmtId="43" fontId="1" fillId="0" borderId="0" applyFont="0" applyFill="0" applyBorder="0" applyAlignment="0" applyProtection="0"/>
    <xf numFmtId="0" fontId="15" fillId="0" borderId="0"/>
  </cellStyleXfs>
  <cellXfs count="470">
    <xf numFmtId="0" fontId="0" fillId="0" borderId="0" xfId="0"/>
    <xf numFmtId="0" fontId="5" fillId="0" borderId="0" xfId="0" applyFont="1"/>
    <xf numFmtId="0" fontId="3" fillId="0" borderId="0" xfId="0" applyFont="1"/>
    <xf numFmtId="0" fontId="0" fillId="10" borderId="4" xfId="0" applyFill="1" applyBorder="1"/>
    <xf numFmtId="0" fontId="14" fillId="10" borderId="0" xfId="0" applyFont="1" applyFill="1" applyAlignment="1">
      <alignment horizontal="center" vertical="top"/>
    </xf>
    <xf numFmtId="0" fontId="14" fillId="11" borderId="0" xfId="0" applyFont="1" applyFill="1" applyAlignment="1">
      <alignment horizontal="center" vertical="top"/>
    </xf>
    <xf numFmtId="0" fontId="0" fillId="11" borderId="4" xfId="0" applyFill="1" applyBorder="1" applyAlignment="1">
      <alignment vertical="top"/>
    </xf>
    <xf numFmtId="0" fontId="0" fillId="11" borderId="4" xfId="0" applyFill="1" applyBorder="1"/>
    <xf numFmtId="179" fontId="0" fillId="11" borderId="4" xfId="0" applyNumberFormat="1" applyFill="1" applyBorder="1"/>
    <xf numFmtId="183" fontId="0" fillId="11" borderId="4" xfId="0" applyNumberFormat="1" applyFill="1" applyBorder="1"/>
    <xf numFmtId="184" fontId="18" fillId="0" borderId="0" xfId="0" applyNumberFormat="1" applyFont="1"/>
    <xf numFmtId="0" fontId="7" fillId="0" borderId="0" xfId="0" applyFont="1" applyAlignment="1">
      <alignment wrapText="1"/>
    </xf>
    <xf numFmtId="0" fontId="19" fillId="0" borderId="0" xfId="0" applyFon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0" fillId="0" borderId="0" xfId="0" applyAlignment="1">
      <alignment horizontal="left"/>
    </xf>
    <xf numFmtId="0" fontId="22" fillId="0" borderId="0" xfId="0" applyFont="1"/>
    <xf numFmtId="189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81" fontId="5" fillId="0" borderId="0" xfId="0" applyNumberFormat="1" applyFont="1" applyAlignment="1">
      <alignment horizontal="distributed" vertical="distributed"/>
    </xf>
    <xf numFmtId="0" fontId="5" fillId="0" borderId="0" xfId="0" applyFont="1" applyAlignment="1">
      <alignment horizontal="right" vertical="center"/>
    </xf>
    <xf numFmtId="187" fontId="0" fillId="0" borderId="0" xfId="0" applyNumberFormat="1"/>
    <xf numFmtId="180" fontId="0" fillId="10" borderId="4" xfId="0" applyNumberFormat="1" applyFill="1" applyBorder="1" applyAlignment="1">
      <alignment vertical="top"/>
    </xf>
    <xf numFmtId="180" fontId="0" fillId="10" borderId="4" xfId="0" applyNumberFormat="1" applyFill="1" applyBorder="1"/>
    <xf numFmtId="0" fontId="26" fillId="10" borderId="0" xfId="75" applyFont="1" applyFill="1"/>
    <xf numFmtId="0" fontId="27" fillId="0" borderId="0" xfId="75" applyFont="1" applyProtection="1">
      <protection hidden="1"/>
    </xf>
    <xf numFmtId="0" fontId="28" fillId="0" borderId="0" xfId="75" applyFont="1" applyAlignment="1" applyProtection="1">
      <alignment horizontal="centerContinuous"/>
      <protection hidden="1"/>
    </xf>
    <xf numFmtId="0" fontId="26" fillId="0" borderId="0" xfId="75" applyFont="1"/>
    <xf numFmtId="0" fontId="29" fillId="0" borderId="0" xfId="75" applyFont="1" applyAlignment="1" applyProtection="1">
      <alignment horizontal="centerContinuous"/>
      <protection hidden="1"/>
    </xf>
    <xf numFmtId="0" fontId="30" fillId="0" borderId="0" xfId="75" applyFont="1" applyAlignment="1" applyProtection="1">
      <alignment horizontal="center"/>
      <protection hidden="1"/>
    </xf>
    <xf numFmtId="0" fontId="31" fillId="0" borderId="0" xfId="75" applyFont="1" applyAlignment="1" applyProtection="1">
      <alignment horizontal="center"/>
      <protection hidden="1"/>
    </xf>
    <xf numFmtId="0" fontId="30" fillId="0" borderId="0" xfId="75" applyFont="1"/>
    <xf numFmtId="0" fontId="30" fillId="0" borderId="0" xfId="75" applyFont="1" applyAlignment="1" applyProtection="1">
      <alignment horizontal="center" vertical="center"/>
      <protection hidden="1"/>
    </xf>
    <xf numFmtId="0" fontId="34" fillId="0" borderId="0" xfId="75" applyFont="1"/>
    <xf numFmtId="0" fontId="33" fillId="0" borderId="0" xfId="75" applyFont="1" applyProtection="1">
      <protection hidden="1"/>
    </xf>
    <xf numFmtId="0" fontId="33" fillId="0" borderId="0" xfId="75" applyFont="1"/>
    <xf numFmtId="0" fontId="33" fillId="0" borderId="0" xfId="75" applyFont="1" applyAlignment="1">
      <alignment horizontal="center" vertical="top" textRotation="255"/>
    </xf>
    <xf numFmtId="0" fontId="27" fillId="0" borderId="0" xfId="75" applyFont="1" applyAlignment="1">
      <alignment horizontal="center" vertical="top" textRotation="255"/>
    </xf>
    <xf numFmtId="0" fontId="35" fillId="0" borderId="0" xfId="76" applyFont="1" applyAlignment="1">
      <alignment horizontal="centerContinuous" vertical="center" wrapText="1"/>
    </xf>
    <xf numFmtId="0" fontId="35" fillId="0" borderId="0" xfId="76" applyFont="1" applyAlignment="1">
      <alignment horizontal="centerContinuous" vertical="center"/>
    </xf>
    <xf numFmtId="0" fontId="36" fillId="0" borderId="0" xfId="76" applyFont="1" applyAlignment="1">
      <alignment horizontal="centerContinuous" vertical="center" wrapText="1"/>
    </xf>
    <xf numFmtId="0" fontId="36" fillId="0" borderId="0" xfId="76" applyFont="1" applyAlignment="1">
      <alignment horizontal="centerContinuous" vertical="center"/>
    </xf>
    <xf numFmtId="0" fontId="37" fillId="0" borderId="0" xfId="75" applyFont="1" applyAlignment="1" applyProtection="1">
      <alignment horizontal="centerContinuous"/>
      <protection hidden="1"/>
    </xf>
    <xf numFmtId="0" fontId="33" fillId="0" borderId="0" xfId="75" applyFont="1" applyAlignment="1" applyProtection="1">
      <alignment horizontal="left"/>
      <protection hidden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18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vertical="top" wrapText="1"/>
    </xf>
    <xf numFmtId="190" fontId="5" fillId="0" borderId="4" xfId="0" applyNumberFormat="1" applyFont="1" applyBorder="1" applyAlignment="1">
      <alignment horizontal="center" vertical="center" wrapText="1"/>
    </xf>
    <xf numFmtId="179" fontId="0" fillId="11" borderId="4" xfId="0" applyNumberFormat="1" applyFill="1" applyBorder="1" applyAlignment="1">
      <alignment vertical="top"/>
    </xf>
    <xf numFmtId="181" fontId="6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181" fontId="0" fillId="0" borderId="4" xfId="0" applyNumberFormat="1" applyBorder="1" applyAlignment="1">
      <alignment vertical="center"/>
    </xf>
    <xf numFmtId="191" fontId="0" fillId="0" borderId="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2" fontId="0" fillId="10" borderId="0" xfId="0" applyNumberFormat="1" applyFill="1" applyAlignment="1">
      <alignment vertical="center"/>
    </xf>
    <xf numFmtId="2" fontId="0" fillId="0" borderId="0" xfId="0" applyNumberFormat="1" applyAlignment="1">
      <alignment horizontal="center" vertical="center"/>
    </xf>
    <xf numFmtId="192" fontId="3" fillId="0" borderId="0" xfId="0" applyNumberFormat="1" applyFont="1" applyAlignment="1">
      <alignment horizontal="center" vertical="center"/>
    </xf>
    <xf numFmtId="181" fontId="5" fillId="0" borderId="4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distributed" vertical="distributed" shrinkToFit="1"/>
    </xf>
    <xf numFmtId="189" fontId="5" fillId="0" borderId="0" xfId="0" applyNumberFormat="1" applyFont="1" applyAlignment="1">
      <alignment horizontal="left" vertical="center" shrinkToFit="1"/>
    </xf>
    <xf numFmtId="0" fontId="39" fillId="0" borderId="0" xfId="0" applyFont="1"/>
    <xf numFmtId="0" fontId="40" fillId="0" borderId="0" xfId="0" applyFont="1"/>
    <xf numFmtId="0" fontId="0" fillId="0" borderId="10" xfId="0" applyBorder="1"/>
    <xf numFmtId="0" fontId="9" fillId="8" borderId="4" xfId="107" applyNumberFormat="1" applyFont="1" applyFill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wrapText="1"/>
    </xf>
    <xf numFmtId="0" fontId="24" fillId="0" borderId="0" xfId="0" applyFont="1"/>
    <xf numFmtId="0" fontId="6" fillId="0" borderId="4" xfId="0" applyFont="1" applyBorder="1" applyAlignment="1">
      <alignment horizontal="center" vertical="center" wrapText="1"/>
    </xf>
    <xf numFmtId="0" fontId="76" fillId="0" borderId="0" xfId="0" applyFont="1"/>
    <xf numFmtId="0" fontId="77" fillId="0" borderId="0" xfId="0" applyFont="1" applyAlignment="1">
      <alignment vertical="center"/>
    </xf>
    <xf numFmtId="0" fontId="78" fillId="16" borderId="3" xfId="3" applyFont="1" applyFill="1" applyBorder="1" applyAlignment="1">
      <alignment horizontal="left" vertical="center" wrapText="1"/>
    </xf>
    <xf numFmtId="0" fontId="78" fillId="16" borderId="12" xfId="3" applyFont="1" applyFill="1" applyBorder="1" applyAlignment="1">
      <alignment horizontal="left" vertical="center" wrapText="1"/>
    </xf>
    <xf numFmtId="0" fontId="78" fillId="16" borderId="13" xfId="3" applyFont="1" applyFill="1" applyBorder="1" applyAlignment="1">
      <alignment horizontal="left" vertical="center" wrapText="1"/>
    </xf>
    <xf numFmtId="0" fontId="48" fillId="0" borderId="0" xfId="0" applyFont="1"/>
    <xf numFmtId="0" fontId="49" fillId="0" borderId="4" xfId="0" applyFont="1" applyBorder="1" applyAlignment="1">
      <alignment horizontal="center" vertical="center" wrapText="1"/>
    </xf>
    <xf numFmtId="0" fontId="76" fillId="0" borderId="15" xfId="0" applyFont="1" applyBorder="1" applyAlignment="1">
      <alignment vertical="center" wrapText="1"/>
    </xf>
    <xf numFmtId="0" fontId="76" fillId="0" borderId="0" xfId="0" applyFont="1" applyAlignment="1">
      <alignment vertical="center" wrapText="1"/>
    </xf>
    <xf numFmtId="0" fontId="0" fillId="0" borderId="16" xfId="0" applyBorder="1" applyAlignment="1">
      <alignment horizontal="center" vertical="center"/>
    </xf>
    <xf numFmtId="2" fontId="0" fillId="10" borderId="12" xfId="0" applyNumberFormat="1" applyFill="1" applyBorder="1" applyAlignment="1">
      <alignment vertical="center"/>
    </xf>
    <xf numFmtId="14" fontId="0" fillId="11" borderId="4" xfId="0" applyNumberFormat="1" applyFill="1" applyBorder="1" applyAlignment="1">
      <alignment vertical="top"/>
    </xf>
    <xf numFmtId="0" fontId="81" fillId="0" borderId="0" xfId="0" applyFont="1" applyAlignment="1">
      <alignment vertical="top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43" fontId="0" fillId="0" borderId="0" xfId="78" applyFont="1"/>
    <xf numFmtId="43" fontId="51" fillId="0" borderId="0" xfId="78" applyFont="1"/>
    <xf numFmtId="43" fontId="51" fillId="0" borderId="0" xfId="78" applyFont="1" applyAlignment="1">
      <alignment horizontal="center"/>
    </xf>
    <xf numFmtId="43" fontId="52" fillId="0" borderId="0" xfId="78" applyFont="1" applyBorder="1"/>
    <xf numFmtId="43" fontId="51" fillId="0" borderId="0" xfId="78" applyFont="1" applyBorder="1"/>
    <xf numFmtId="43" fontId="0" fillId="0" borderId="0" xfId="78" applyFont="1" applyFill="1" applyAlignment="1">
      <alignment horizontal="center"/>
    </xf>
    <xf numFmtId="14" fontId="0" fillId="11" borderId="4" xfId="0" applyNumberFormat="1" applyFill="1" applyBorder="1"/>
    <xf numFmtId="190" fontId="5" fillId="0" borderId="4" xfId="0" applyNumberFormat="1" applyFont="1" applyBorder="1" applyAlignment="1">
      <alignment horizontal="right" vertical="center" wrapText="1"/>
    </xf>
    <xf numFmtId="10" fontId="0" fillId="18" borderId="0" xfId="0" applyNumberFormat="1" applyFill="1"/>
    <xf numFmtId="0" fontId="0" fillId="18" borderId="0" xfId="0" applyFill="1" applyAlignment="1">
      <alignment shrinkToFit="1"/>
    </xf>
    <xf numFmtId="0" fontId="5" fillId="0" borderId="24" xfId="0" applyFont="1" applyBorder="1" applyAlignment="1">
      <alignment horizontal="center" vertical="center" wrapText="1"/>
    </xf>
    <xf numFmtId="176" fontId="5" fillId="0" borderId="16" xfId="0" applyNumberFormat="1" applyFont="1" applyBorder="1" applyAlignment="1">
      <alignment horizontal="center" vertical="center" wrapText="1"/>
    </xf>
    <xf numFmtId="0" fontId="5" fillId="0" borderId="12" xfId="0" applyFont="1" applyBorder="1" applyAlignment="1">
      <alignment vertical="center" wrapText="1"/>
    </xf>
    <xf numFmtId="0" fontId="5" fillId="0" borderId="38" xfId="0" applyFont="1" applyBorder="1" applyAlignment="1">
      <alignment horizontal="center" vertical="center" wrapText="1"/>
    </xf>
    <xf numFmtId="178" fontId="5" fillId="0" borderId="12" xfId="0" applyNumberFormat="1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176" fontId="5" fillId="0" borderId="16" xfId="0" applyNumberFormat="1" applyFont="1" applyBorder="1" applyAlignment="1">
      <alignment vertical="center" wrapText="1"/>
    </xf>
    <xf numFmtId="0" fontId="5" fillId="0" borderId="16" xfId="0" applyFont="1" applyBorder="1" applyAlignment="1">
      <alignment vertical="center" wrapText="1"/>
    </xf>
    <xf numFmtId="0" fontId="76" fillId="0" borderId="4" xfId="0" applyFont="1" applyBorder="1" applyAlignment="1">
      <alignment horizontal="center" vertical="center"/>
    </xf>
    <xf numFmtId="0" fontId="0" fillId="0" borderId="34" xfId="0" applyBorder="1"/>
    <xf numFmtId="0" fontId="0" fillId="0" borderId="37" xfId="0" applyBorder="1"/>
    <xf numFmtId="0" fontId="0" fillId="0" borderId="24" xfId="0" applyBorder="1"/>
    <xf numFmtId="0" fontId="0" fillId="0" borderId="39" xfId="0" applyBorder="1"/>
    <xf numFmtId="195" fontId="80" fillId="0" borderId="47" xfId="0" applyNumberFormat="1" applyFont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178" fontId="11" fillId="0" borderId="4" xfId="0" applyNumberFormat="1" applyFont="1" applyBorder="1" applyAlignment="1">
      <alignment vertical="center" wrapText="1"/>
    </xf>
    <xf numFmtId="178" fontId="5" fillId="0" borderId="18" xfId="0" applyNumberFormat="1" applyFont="1" applyBorder="1" applyAlignment="1">
      <alignment vertical="center" wrapText="1"/>
    </xf>
    <xf numFmtId="0" fontId="5" fillId="0" borderId="18" xfId="0" applyFont="1" applyBorder="1" applyAlignment="1">
      <alignment vertical="center" wrapText="1"/>
    </xf>
    <xf numFmtId="0" fontId="5" fillId="0" borderId="33" xfId="0" applyFont="1" applyBorder="1" applyAlignment="1">
      <alignment vertical="center" wrapText="1"/>
    </xf>
    <xf numFmtId="2" fontId="11" fillId="0" borderId="4" xfId="0" applyNumberFormat="1" applyFont="1" applyBorder="1" applyAlignment="1">
      <alignment vertical="center" shrinkToFit="1"/>
    </xf>
    <xf numFmtId="0" fontId="5" fillId="0" borderId="16" xfId="0" applyFont="1" applyBorder="1" applyAlignment="1">
      <alignment vertical="center" shrinkToFit="1"/>
    </xf>
    <xf numFmtId="0" fontId="49" fillId="0" borderId="4" xfId="0" applyFont="1" applyBorder="1" applyAlignment="1">
      <alignment vertical="center"/>
    </xf>
    <xf numFmtId="0" fontId="87" fillId="0" borderId="0" xfId="75" applyFont="1" applyProtection="1">
      <protection hidden="1"/>
    </xf>
    <xf numFmtId="57" fontId="88" fillId="0" borderId="0" xfId="75" applyNumberFormat="1" applyFont="1" applyAlignment="1" applyProtection="1">
      <alignment horizontal="centerContinuous"/>
      <protection hidden="1"/>
    </xf>
    <xf numFmtId="0" fontId="89" fillId="0" borderId="0" xfId="0" applyFont="1"/>
    <xf numFmtId="0" fontId="90" fillId="0" borderId="0" xfId="0" applyFont="1"/>
    <xf numFmtId="0" fontId="89" fillId="0" borderId="0" xfId="0" applyFont="1" applyAlignment="1">
      <alignment horizontal="center"/>
    </xf>
    <xf numFmtId="187" fontId="89" fillId="0" borderId="0" xfId="0" applyNumberFormat="1" applyFont="1" applyAlignment="1">
      <alignment horizontal="center"/>
    </xf>
    <xf numFmtId="0" fontId="89" fillId="12" borderId="0" xfId="0" applyFont="1" applyFill="1" applyAlignment="1">
      <alignment horizontal="center"/>
    </xf>
    <xf numFmtId="0" fontId="91" fillId="0" borderId="0" xfId="0" applyFont="1"/>
    <xf numFmtId="187" fontId="91" fillId="0" borderId="0" xfId="0" applyNumberFormat="1" applyFont="1"/>
    <xf numFmtId="0" fontId="92" fillId="12" borderId="0" xfId="0" applyFont="1" applyFill="1" applyAlignment="1">
      <alignment horizontal="center"/>
    </xf>
    <xf numFmtId="186" fontId="89" fillId="0" borderId="4" xfId="0" applyNumberFormat="1" applyFont="1" applyBorder="1" applyAlignment="1">
      <alignment horizontal="center"/>
    </xf>
    <xf numFmtId="187" fontId="89" fillId="0" borderId="0" xfId="0" applyNumberFormat="1" applyFont="1"/>
    <xf numFmtId="178" fontId="89" fillId="12" borderId="0" xfId="0" applyNumberFormat="1" applyFont="1" applyFill="1" applyAlignment="1">
      <alignment horizontal="center"/>
    </xf>
    <xf numFmtId="0" fontId="89" fillId="0" borderId="0" xfId="0" applyFont="1" applyAlignment="1">
      <alignment horizontal="center" vertical="top"/>
    </xf>
    <xf numFmtId="0" fontId="89" fillId="10" borderId="0" xfId="0" applyFont="1" applyFill="1" applyAlignment="1">
      <alignment horizontal="left" shrinkToFit="1"/>
    </xf>
    <xf numFmtId="183" fontId="89" fillId="12" borderId="0" xfId="0" applyNumberFormat="1" applyFont="1" applyFill="1" applyAlignment="1">
      <alignment horizontal="center"/>
    </xf>
    <xf numFmtId="43" fontId="89" fillId="0" borderId="0" xfId="0" applyNumberFormat="1" applyFont="1"/>
    <xf numFmtId="0" fontId="89" fillId="0" borderId="0" xfId="0" applyFont="1" applyAlignment="1">
      <alignment horizontal="right"/>
    </xf>
    <xf numFmtId="178" fontId="89" fillId="0" borderId="0" xfId="0" applyNumberFormat="1" applyFont="1"/>
    <xf numFmtId="176" fontId="89" fillId="12" borderId="0" xfId="0" applyNumberFormat="1" applyFont="1" applyFill="1" applyAlignment="1">
      <alignment horizontal="center"/>
    </xf>
    <xf numFmtId="190" fontId="89" fillId="0" borderId="0" xfId="0" applyNumberFormat="1" applyFont="1"/>
    <xf numFmtId="183" fontId="89" fillId="0" borderId="0" xfId="0" applyNumberFormat="1" applyFont="1"/>
    <xf numFmtId="182" fontId="89" fillId="0" borderId="0" xfId="0" applyNumberFormat="1" applyFont="1"/>
    <xf numFmtId="212" fontId="89" fillId="0" borderId="0" xfId="140" applyNumberFormat="1" applyFont="1" applyFill="1" applyAlignment="1"/>
    <xf numFmtId="183" fontId="90" fillId="14" borderId="0" xfId="0" applyNumberFormat="1" applyFont="1" applyFill="1" applyAlignment="1">
      <alignment horizontal="center"/>
    </xf>
    <xf numFmtId="57" fontId="89" fillId="0" borderId="0" xfId="0" applyNumberFormat="1" applyFont="1"/>
    <xf numFmtId="57" fontId="89" fillId="0" borderId="0" xfId="0" applyNumberFormat="1" applyFont="1" applyAlignment="1">
      <alignment horizontal="center"/>
    </xf>
    <xf numFmtId="57" fontId="89" fillId="12" borderId="0" xfId="0" applyNumberFormat="1" applyFont="1" applyFill="1" applyAlignment="1">
      <alignment horizontal="center"/>
    </xf>
    <xf numFmtId="57" fontId="89" fillId="10" borderId="0" xfId="0" applyNumberFormat="1" applyFont="1" applyFill="1"/>
    <xf numFmtId="177" fontId="89" fillId="0" borderId="0" xfId="0" applyNumberFormat="1" applyFont="1"/>
    <xf numFmtId="177" fontId="89" fillId="0" borderId="0" xfId="0" applyNumberFormat="1" applyFont="1" applyAlignment="1">
      <alignment horizontal="center"/>
    </xf>
    <xf numFmtId="179" fontId="91" fillId="0" borderId="0" xfId="0" applyNumberFormat="1" applyFont="1"/>
    <xf numFmtId="0" fontId="94" fillId="0" borderId="0" xfId="0" applyFont="1"/>
    <xf numFmtId="0" fontId="95" fillId="0" borderId="0" xfId="0" applyFont="1"/>
    <xf numFmtId="184" fontId="90" fillId="0" borderId="0" xfId="0" applyNumberFormat="1" applyFont="1"/>
    <xf numFmtId="0" fontId="90" fillId="12" borderId="0" xfId="0" applyFont="1" applyFill="1" applyAlignment="1">
      <alignment horizontal="center"/>
    </xf>
    <xf numFmtId="185" fontId="90" fillId="0" borderId="0" xfId="0" applyNumberFormat="1" applyFont="1"/>
    <xf numFmtId="0" fontId="91" fillId="17" borderId="0" xfId="0" applyFont="1" applyFill="1"/>
    <xf numFmtId="0" fontId="89" fillId="13" borderId="0" xfId="0" applyFont="1" applyFill="1"/>
    <xf numFmtId="0" fontId="91" fillId="15" borderId="0" xfId="0" applyFont="1" applyFill="1"/>
    <xf numFmtId="0" fontId="89" fillId="13" borderId="0" xfId="0" applyFont="1" applyFill="1" applyAlignment="1">
      <alignment horizontal="right"/>
    </xf>
    <xf numFmtId="0" fontId="89" fillId="13" borderId="0" xfId="0" quotePrefix="1" applyFont="1" applyFill="1" applyAlignment="1">
      <alignment horizontal="center"/>
    </xf>
    <xf numFmtId="187" fontId="89" fillId="13" borderId="0" xfId="0" applyNumberFormat="1" applyFont="1" applyFill="1"/>
    <xf numFmtId="0" fontId="90" fillId="13" borderId="0" xfId="0" applyFont="1" applyFill="1"/>
    <xf numFmtId="0" fontId="91" fillId="13" borderId="0" xfId="0" applyFont="1" applyFill="1"/>
    <xf numFmtId="0" fontId="96" fillId="0" borderId="0" xfId="0" applyFont="1"/>
    <xf numFmtId="182" fontId="91" fillId="0" borderId="0" xfId="0" applyNumberFormat="1" applyFont="1"/>
    <xf numFmtId="42" fontId="90" fillId="0" borderId="0" xfId="0" applyNumberFormat="1" applyFont="1" applyAlignment="1">
      <alignment horizontal="left" indent="1" shrinkToFit="1"/>
    </xf>
    <xf numFmtId="14" fontId="89" fillId="0" borderId="0" xfId="0" applyNumberFormat="1" applyFont="1"/>
    <xf numFmtId="14" fontId="90" fillId="0" borderId="0" xfId="0" applyNumberFormat="1" applyFont="1"/>
    <xf numFmtId="182" fontId="96" fillId="0" borderId="0" xfId="0" applyNumberFormat="1" applyFont="1"/>
    <xf numFmtId="182" fontId="97" fillId="0" borderId="0" xfId="0" applyNumberFormat="1" applyFont="1"/>
    <xf numFmtId="0" fontId="89" fillId="0" borderId="0" xfId="0" applyFont="1" applyAlignment="1">
      <alignment wrapText="1"/>
    </xf>
    <xf numFmtId="182" fontId="89" fillId="0" borderId="0" xfId="0" applyNumberFormat="1" applyFont="1" applyAlignment="1">
      <alignment wrapText="1"/>
    </xf>
    <xf numFmtId="0" fontId="90" fillId="0" borderId="0" xfId="0" applyFont="1" applyAlignment="1">
      <alignment wrapText="1"/>
    </xf>
    <xf numFmtId="0" fontId="98" fillId="0" borderId="0" xfId="0" applyFont="1" applyAlignment="1">
      <alignment vertical="top" wrapText="1"/>
    </xf>
    <xf numFmtId="0" fontId="99" fillId="0" borderId="0" xfId="0" applyFont="1" applyAlignment="1">
      <alignment wrapText="1"/>
    </xf>
    <xf numFmtId="182" fontId="90" fillId="0" borderId="0" xfId="0" applyNumberFormat="1" applyFont="1" applyAlignment="1">
      <alignment horizontal="center" vertical="top" wrapText="1"/>
    </xf>
    <xf numFmtId="182" fontId="90" fillId="0" borderId="0" xfId="0" applyNumberFormat="1" applyFont="1" applyAlignment="1">
      <alignment wrapText="1"/>
    </xf>
    <xf numFmtId="182" fontId="98" fillId="0" borderId="0" xfId="0" applyNumberFormat="1" applyFont="1" applyAlignment="1">
      <alignment vertical="top" wrapText="1"/>
    </xf>
    <xf numFmtId="0" fontId="100" fillId="0" borderId="0" xfId="0" applyFont="1"/>
    <xf numFmtId="0" fontId="90" fillId="0" borderId="0" xfId="0" applyFont="1" applyAlignment="1">
      <alignment vertical="top"/>
    </xf>
    <xf numFmtId="0" fontId="90" fillId="0" borderId="8" xfId="0" applyFont="1" applyBorder="1"/>
    <xf numFmtId="0" fontId="89" fillId="0" borderId="8" xfId="0" applyFont="1" applyBorder="1"/>
    <xf numFmtId="187" fontId="89" fillId="0" borderId="8" xfId="0" applyNumberFormat="1" applyFont="1" applyBorder="1"/>
    <xf numFmtId="0" fontId="90" fillId="0" borderId="9" xfId="0" applyFont="1" applyBorder="1"/>
    <xf numFmtId="0" fontId="89" fillId="0" borderId="9" xfId="0" applyFont="1" applyBorder="1"/>
    <xf numFmtId="187" fontId="89" fillId="0" borderId="9" xfId="0" applyNumberFormat="1" applyFont="1" applyBorder="1"/>
    <xf numFmtId="0" fontId="90" fillId="0" borderId="0" xfId="0" applyFont="1" applyAlignment="1">
      <alignment horizontal="left"/>
    </xf>
    <xf numFmtId="0" fontId="90" fillId="0" borderId="0" xfId="0" applyFont="1" applyAlignment="1">
      <alignment vertical="center" wrapText="1"/>
    </xf>
    <xf numFmtId="14" fontId="0" fillId="0" borderId="0" xfId="0" applyNumberFormat="1"/>
    <xf numFmtId="0" fontId="90" fillId="0" borderId="0" xfId="0" quotePrefix="1" applyFont="1" applyAlignment="1">
      <alignment horizontal="left" vertical="center" shrinkToFit="1"/>
    </xf>
    <xf numFmtId="0" fontId="11" fillId="0" borderId="16" xfId="0" applyFont="1" applyBorder="1" applyAlignment="1">
      <alignment vertical="center"/>
    </xf>
    <xf numFmtId="0" fontId="89" fillId="19" borderId="0" xfId="0" applyFont="1" applyFill="1"/>
    <xf numFmtId="0" fontId="89" fillId="19" borderId="0" xfId="0" applyFont="1" applyFill="1" applyAlignment="1">
      <alignment horizontal="center"/>
    </xf>
    <xf numFmtId="0" fontId="90" fillId="19" borderId="0" xfId="0" applyFont="1" applyFill="1"/>
    <xf numFmtId="0" fontId="90" fillId="0" borderId="0" xfId="0" quotePrefix="1" applyFont="1" applyAlignment="1">
      <alignment horizontal="center" vertical="center" shrinkToFit="1"/>
    </xf>
    <xf numFmtId="2" fontId="90" fillId="0" borderId="0" xfId="0" quotePrefix="1" applyNumberFormat="1" applyFont="1" applyAlignment="1">
      <alignment horizontal="right" vertical="center" shrinkToFit="1"/>
    </xf>
    <xf numFmtId="2" fontId="5" fillId="0" borderId="16" xfId="78" applyNumberFormat="1" applyFont="1" applyBorder="1" applyAlignment="1">
      <alignment horizontal="right" vertical="center" wrapText="1"/>
    </xf>
    <xf numFmtId="0" fontId="5" fillId="0" borderId="36" xfId="0" applyFont="1" applyBorder="1" applyAlignment="1">
      <alignment horizontal="center" vertical="center" wrapText="1"/>
    </xf>
    <xf numFmtId="194" fontId="76" fillId="0" borderId="0" xfId="0" applyNumberFormat="1" applyFont="1" applyAlignment="1">
      <alignment horizontal="center" vertical="center"/>
    </xf>
    <xf numFmtId="0" fontId="80" fillId="0" borderId="48" xfId="0" applyFont="1" applyBorder="1" applyAlignment="1">
      <alignment horizontal="center" vertical="center" wrapText="1"/>
    </xf>
    <xf numFmtId="195" fontId="79" fillId="0" borderId="49" xfId="0" applyNumberFormat="1" applyFont="1" applyBorder="1" applyAlignment="1">
      <alignment horizontal="center" vertical="center" wrapText="1"/>
    </xf>
    <xf numFmtId="0" fontId="11" fillId="0" borderId="49" xfId="0" applyFont="1" applyBorder="1" applyAlignment="1">
      <alignment vertical="center" wrapText="1"/>
    </xf>
    <xf numFmtId="2" fontId="5" fillId="0" borderId="49" xfId="78" applyNumberFormat="1" applyFont="1" applyBorder="1" applyAlignment="1">
      <alignment horizontal="right" vertical="center" wrapText="1"/>
    </xf>
    <xf numFmtId="43" fontId="5" fillId="0" borderId="49" xfId="78" applyFont="1" applyBorder="1" applyAlignment="1">
      <alignment vertical="center" shrinkToFit="1"/>
    </xf>
    <xf numFmtId="0" fontId="0" fillId="0" borderId="50" xfId="0" applyBorder="1"/>
    <xf numFmtId="0" fontId="79" fillId="0" borderId="0" xfId="0" applyFont="1"/>
    <xf numFmtId="0" fontId="79" fillId="0" borderId="35" xfId="0" applyFont="1" applyBorder="1"/>
    <xf numFmtId="0" fontId="76" fillId="0" borderId="35" xfId="0" applyFont="1" applyBorder="1"/>
    <xf numFmtId="0" fontId="9" fillId="0" borderId="35" xfId="0" applyFont="1" applyBorder="1"/>
    <xf numFmtId="191" fontId="76" fillId="0" borderId="35" xfId="0" applyNumberFormat="1" applyFont="1" applyBorder="1" applyAlignment="1">
      <alignment horizontal="left"/>
    </xf>
    <xf numFmtId="178" fontId="0" fillId="0" borderId="0" xfId="0" applyNumberFormat="1"/>
    <xf numFmtId="178" fontId="0" fillId="18" borderId="0" xfId="0" applyNumberFormat="1" applyFill="1"/>
    <xf numFmtId="178" fontId="22" fillId="0" borderId="0" xfId="0" applyNumberFormat="1" applyFont="1"/>
    <xf numFmtId="0" fontId="101" fillId="0" borderId="0" xfId="0" applyFont="1"/>
    <xf numFmtId="0" fontId="1" fillId="8" borderId="4" xfId="107" applyNumberFormat="1" applyFont="1" applyFill="1" applyBorder="1" applyAlignment="1">
      <alignment horizontal="center" vertical="center" shrinkToFit="1"/>
    </xf>
    <xf numFmtId="43" fontId="101" fillId="0" borderId="0" xfId="0" applyNumberFormat="1" applyFont="1"/>
    <xf numFmtId="57" fontId="0" fillId="0" borderId="0" xfId="0" applyNumberFormat="1"/>
    <xf numFmtId="182" fontId="0" fillId="0" borderId="0" xfId="0" applyNumberFormat="1"/>
    <xf numFmtId="3" fontId="108" fillId="0" borderId="0" xfId="0" applyNumberFormat="1" applyFont="1"/>
    <xf numFmtId="41" fontId="108" fillId="0" borderId="0" xfId="0" applyNumberFormat="1" applyFont="1"/>
    <xf numFmtId="190" fontId="108" fillId="0" borderId="0" xfId="0" applyNumberFormat="1" applyFont="1"/>
    <xf numFmtId="181" fontId="108" fillId="0" borderId="0" xfId="0" applyNumberFormat="1" applyFont="1"/>
    <xf numFmtId="57" fontId="108" fillId="10" borderId="0" xfId="0" applyNumberFormat="1" applyFont="1" applyFill="1"/>
    <xf numFmtId="0" fontId="89" fillId="0" borderId="0" xfId="141" applyFont="1" applyAlignment="1">
      <alignment horizontal="center" vertical="center" wrapText="1"/>
    </xf>
    <xf numFmtId="0" fontId="89" fillId="0" borderId="0" xfId="141" applyFont="1" applyAlignment="1">
      <alignment horizontal="left" vertical="center" wrapText="1"/>
    </xf>
    <xf numFmtId="213" fontId="89" fillId="0" borderId="0" xfId="142" applyNumberFormat="1" applyFont="1" applyFill="1" applyBorder="1" applyAlignment="1">
      <alignment horizontal="right" vertical="center" wrapText="1" shrinkToFit="1"/>
    </xf>
    <xf numFmtId="187" fontId="89" fillId="0" borderId="0" xfId="141" applyNumberFormat="1" applyFont="1" applyAlignment="1">
      <alignment vertical="center" wrapText="1" shrinkToFit="1"/>
    </xf>
    <xf numFmtId="0" fontId="89" fillId="0" borderId="0" xfId="143" applyFont="1" applyAlignment="1">
      <alignment horizontal="left" vertical="center" wrapText="1"/>
    </xf>
    <xf numFmtId="0" fontId="89" fillId="0" borderId="0" xfId="0" applyFont="1" applyAlignment="1">
      <alignment horizontal="center" vertical="center" wrapText="1"/>
    </xf>
    <xf numFmtId="187" fontId="89" fillId="0" borderId="0" xfId="142" applyNumberFormat="1" applyFont="1" applyFill="1" applyBorder="1" applyAlignment="1">
      <alignment horizontal="right" vertical="center" wrapText="1" shrinkToFit="1"/>
    </xf>
    <xf numFmtId="187" fontId="89" fillId="0" borderId="0" xfId="141" applyNumberFormat="1" applyFont="1" applyAlignment="1">
      <alignment horizontal="left" vertical="center" wrapText="1"/>
    </xf>
    <xf numFmtId="187" fontId="89" fillId="0" borderId="0" xfId="0" applyNumberFormat="1" applyFont="1" applyAlignment="1">
      <alignment horizontal="center" vertical="center" wrapText="1"/>
    </xf>
    <xf numFmtId="187" fontId="109" fillId="0" borderId="0" xfId="0" applyNumberFormat="1" applyFont="1" applyAlignment="1">
      <alignment horizontal="center" vertical="center" wrapText="1"/>
    </xf>
    <xf numFmtId="187" fontId="109" fillId="0" borderId="0" xfId="141" applyNumberFormat="1" applyFont="1" applyAlignment="1">
      <alignment horizontal="left" vertical="center" wrapText="1"/>
    </xf>
    <xf numFmtId="187" fontId="89" fillId="0" borderId="0" xfId="141" applyNumberFormat="1" applyFont="1" applyAlignment="1">
      <alignment horizontal="right" vertical="center" wrapText="1"/>
    </xf>
    <xf numFmtId="187" fontId="89" fillId="0" borderId="0" xfId="141" applyNumberFormat="1" applyFont="1" applyAlignment="1">
      <alignment horizontal="center" vertical="center" wrapText="1"/>
    </xf>
    <xf numFmtId="43" fontId="82" fillId="0" borderId="0" xfId="78" applyFont="1" applyBorder="1"/>
    <xf numFmtId="188" fontId="89" fillId="0" borderId="0" xfId="0" applyNumberFormat="1" applyFont="1"/>
    <xf numFmtId="0" fontId="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184" fontId="90" fillId="0" borderId="0" xfId="0" applyNumberFormat="1" applyFont="1" applyAlignment="1">
      <alignment vertical="center"/>
    </xf>
    <xf numFmtId="43" fontId="101" fillId="0" borderId="0" xfId="0" applyNumberFormat="1" applyFont="1" applyAlignment="1">
      <alignment vertical="center"/>
    </xf>
    <xf numFmtId="178" fontId="101" fillId="0" borderId="0" xfId="0" applyNumberFormat="1" applyFont="1" applyAlignment="1">
      <alignment vertical="center"/>
    </xf>
    <xf numFmtId="0" fontId="101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57" fontId="0" fillId="0" borderId="0" xfId="0" applyNumberFormat="1" applyAlignment="1">
      <alignment vertical="center"/>
    </xf>
    <xf numFmtId="57" fontId="89" fillId="0" borderId="0" xfId="0" applyNumberFormat="1" applyFont="1" applyAlignment="1">
      <alignment vertical="center"/>
    </xf>
    <xf numFmtId="0" fontId="89" fillId="0" borderId="0" xfId="0" applyFont="1" applyAlignment="1">
      <alignment vertical="center"/>
    </xf>
    <xf numFmtId="177" fontId="0" fillId="0" borderId="0" xfId="0" applyNumberFormat="1" applyAlignment="1">
      <alignment vertical="center"/>
    </xf>
    <xf numFmtId="0" fontId="15" fillId="0" borderId="0" xfId="0" applyFont="1" applyAlignment="1">
      <alignment vertical="center"/>
    </xf>
    <xf numFmtId="177" fontId="89" fillId="0" borderId="0" xfId="0" applyNumberFormat="1" applyFont="1" applyAlignment="1">
      <alignment vertical="center"/>
    </xf>
    <xf numFmtId="0" fontId="0" fillId="13" borderId="0" xfId="0" applyFill="1" applyAlignment="1">
      <alignment vertical="center"/>
    </xf>
    <xf numFmtId="0" fontId="89" fillId="13" borderId="0" xfId="0" applyFont="1" applyFill="1" applyAlignment="1">
      <alignment vertical="center"/>
    </xf>
    <xf numFmtId="0" fontId="90" fillId="13" borderId="0" xfId="0" applyFont="1" applyFill="1" applyAlignment="1">
      <alignment vertical="center"/>
    </xf>
    <xf numFmtId="0" fontId="90" fillId="0" borderId="0" xfId="0" applyFont="1" applyAlignment="1">
      <alignment vertical="center"/>
    </xf>
    <xf numFmtId="1" fontId="91" fillId="0" borderId="0" xfId="0" applyNumberFormat="1" applyFont="1" applyAlignment="1">
      <alignment vertical="center"/>
    </xf>
    <xf numFmtId="1" fontId="95" fillId="0" borderId="0" xfId="0" applyNumberFormat="1" applyFont="1" applyAlignment="1">
      <alignment vertical="center"/>
    </xf>
    <xf numFmtId="0" fontId="0" fillId="0" borderId="0" xfId="0" applyAlignment="1">
      <alignment vertical="center" wrapText="1"/>
    </xf>
    <xf numFmtId="0" fontId="18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102" fillId="0" borderId="0" xfId="0" applyFont="1" applyAlignment="1">
      <alignment vertical="center" wrapText="1"/>
    </xf>
    <xf numFmtId="0" fontId="24" fillId="0" borderId="0" xfId="0" applyFont="1" applyAlignment="1">
      <alignment vertical="center" wrapText="1"/>
    </xf>
    <xf numFmtId="0" fontId="103" fillId="0" borderId="0" xfId="0" applyFont="1" applyAlignment="1">
      <alignment vertical="center" wrapText="1"/>
    </xf>
    <xf numFmtId="0" fontId="104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05" fillId="0" borderId="0" xfId="0" applyFont="1" applyAlignment="1">
      <alignment vertical="center" wrapText="1"/>
    </xf>
    <xf numFmtId="0" fontId="44" fillId="0" borderId="0" xfId="0" applyFont="1" applyAlignment="1">
      <alignment vertical="center" wrapText="1"/>
    </xf>
    <xf numFmtId="0" fontId="106" fillId="0" borderId="0" xfId="0" applyFont="1" applyAlignment="1">
      <alignment vertical="center" wrapText="1"/>
    </xf>
    <xf numFmtId="0" fontId="99" fillId="0" borderId="0" xfId="0" applyFont="1" applyAlignment="1">
      <alignment vertical="center" wrapText="1"/>
    </xf>
    <xf numFmtId="0" fontId="98" fillId="0" borderId="0" xfId="0" applyFont="1" applyAlignment="1">
      <alignment vertical="center" wrapText="1"/>
    </xf>
    <xf numFmtId="0" fontId="89" fillId="0" borderId="0" xfId="0" applyFont="1" applyAlignment="1">
      <alignment vertical="center" wrapText="1"/>
    </xf>
    <xf numFmtId="0" fontId="107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11" fillId="0" borderId="0" xfId="0" applyFont="1" applyAlignment="1">
      <alignment horizontal="left" vertical="center" wrapText="1"/>
    </xf>
    <xf numFmtId="0" fontId="98" fillId="0" borderId="0" xfId="0" applyFont="1" applyAlignment="1">
      <alignment horizontal="left" vertical="center" wrapText="1"/>
    </xf>
    <xf numFmtId="0" fontId="18" fillId="0" borderId="0" xfId="0" applyFont="1" applyAlignment="1">
      <alignment vertical="center"/>
    </xf>
    <xf numFmtId="0" fontId="90" fillId="19" borderId="0" xfId="0" applyFont="1" applyFill="1" applyAlignment="1">
      <alignment vertical="center"/>
    </xf>
    <xf numFmtId="0" fontId="91" fillId="20" borderId="0" xfId="0" applyFont="1" applyFill="1"/>
    <xf numFmtId="0" fontId="89" fillId="20" borderId="0" xfId="0" applyFont="1" applyFill="1"/>
    <xf numFmtId="43" fontId="89" fillId="20" borderId="0" xfId="0" applyNumberFormat="1" applyFont="1" applyFill="1"/>
    <xf numFmtId="190" fontId="89" fillId="20" borderId="0" xfId="0" applyNumberFormat="1" applyFont="1" applyFill="1"/>
    <xf numFmtId="183" fontId="89" fillId="20" borderId="0" xfId="0" applyNumberFormat="1" applyFont="1" applyFill="1"/>
    <xf numFmtId="182" fontId="89" fillId="20" borderId="0" xfId="0" applyNumberFormat="1" applyFont="1" applyFill="1"/>
    <xf numFmtId="57" fontId="108" fillId="20" borderId="0" xfId="0" applyNumberFormat="1" applyFont="1" applyFill="1"/>
    <xf numFmtId="177" fontId="89" fillId="20" borderId="0" xfId="0" applyNumberFormat="1" applyFont="1" applyFill="1"/>
    <xf numFmtId="0" fontId="11" fillId="0" borderId="4" xfId="0" applyFont="1" applyBorder="1" applyAlignment="1">
      <alignment horizontal="center" shrinkToFit="1"/>
    </xf>
    <xf numFmtId="0" fontId="11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112" fillId="0" borderId="0" xfId="0" applyFont="1" applyAlignment="1">
      <alignment horizontal="left"/>
    </xf>
    <xf numFmtId="2" fontId="101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214" fontId="3" fillId="0" borderId="0" xfId="0" applyNumberFormat="1" applyFont="1" applyAlignment="1">
      <alignment vertical="center"/>
    </xf>
    <xf numFmtId="0" fontId="5" fillId="16" borderId="13" xfId="3" applyFont="1" applyFill="1" applyBorder="1" applyAlignment="1">
      <alignment horizontal="left" vertical="center" shrinkToFit="1"/>
    </xf>
    <xf numFmtId="0" fontId="5" fillId="16" borderId="3" xfId="3" applyFont="1" applyFill="1" applyBorder="1" applyAlignment="1">
      <alignment horizontal="left" vertical="center" shrinkToFit="1"/>
    </xf>
    <xf numFmtId="0" fontId="5" fillId="16" borderId="12" xfId="3" applyFont="1" applyFill="1" applyBorder="1" applyAlignment="1">
      <alignment horizontal="left" vertical="center" shrinkToFit="1"/>
    </xf>
    <xf numFmtId="0" fontId="5" fillId="0" borderId="16" xfId="0" applyFont="1" applyBorder="1" applyAlignment="1">
      <alignment horizontal="left" vertical="center" shrinkToFit="1"/>
    </xf>
    <xf numFmtId="0" fontId="5" fillId="0" borderId="12" xfId="0" applyFont="1" applyBorder="1" applyAlignment="1">
      <alignment horizontal="left" vertical="center" shrinkToFit="1"/>
    </xf>
    <xf numFmtId="0" fontId="76" fillId="0" borderId="35" xfId="0" applyFont="1" applyBorder="1" applyAlignment="1">
      <alignment horizontal="right"/>
    </xf>
    <xf numFmtId="0" fontId="111" fillId="16" borderId="13" xfId="3" applyFont="1" applyFill="1" applyBorder="1" applyAlignment="1">
      <alignment horizontal="left" vertical="center" wrapText="1" shrinkToFit="1"/>
    </xf>
    <xf numFmtId="0" fontId="111" fillId="16" borderId="3" xfId="3" applyFont="1" applyFill="1" applyBorder="1" applyAlignment="1">
      <alignment horizontal="left" vertical="center" wrapText="1" shrinkToFit="1"/>
    </xf>
    <xf numFmtId="0" fontId="111" fillId="16" borderId="12" xfId="3" applyFont="1" applyFill="1" applyBorder="1" applyAlignment="1">
      <alignment horizontal="left" vertical="center" wrapText="1" shrinkToFit="1"/>
    </xf>
    <xf numFmtId="0" fontId="76" fillId="0" borderId="48" xfId="0" applyFont="1" applyBorder="1" applyAlignment="1">
      <alignment horizontal="left" vertical="center" wrapText="1"/>
    </xf>
    <xf numFmtId="0" fontId="76" fillId="0" borderId="4" xfId="0" applyFont="1" applyBorder="1" applyAlignment="1">
      <alignment horizontal="left" vertical="center" wrapText="1"/>
    </xf>
    <xf numFmtId="0" fontId="76" fillId="0" borderId="49" xfId="0" applyFont="1" applyBorder="1" applyAlignment="1">
      <alignment horizontal="left" vertical="center" wrapText="1"/>
    </xf>
    <xf numFmtId="0" fontId="49" fillId="0" borderId="16" xfId="0" applyFont="1" applyBorder="1" applyAlignment="1">
      <alignment horizontal="center" vertical="center" wrapText="1"/>
    </xf>
    <xf numFmtId="0" fontId="49" fillId="0" borderId="12" xfId="0" applyFont="1" applyBorder="1" applyAlignment="1">
      <alignment horizontal="center" vertical="center" wrapText="1"/>
    </xf>
    <xf numFmtId="0" fontId="111" fillId="0" borderId="16" xfId="0" applyFont="1" applyBorder="1" applyAlignment="1">
      <alignment horizontal="left" vertical="center" wrapText="1" shrinkToFit="1"/>
    </xf>
    <xf numFmtId="0" fontId="111" fillId="0" borderId="12" xfId="0" applyFont="1" applyBorder="1" applyAlignment="1">
      <alignment horizontal="left" vertical="center" wrapText="1" shrinkToFit="1"/>
    </xf>
    <xf numFmtId="0" fontId="78" fillId="16" borderId="13" xfId="3" applyFont="1" applyFill="1" applyBorder="1" applyAlignment="1">
      <alignment horizontal="center" vertical="center" wrapText="1"/>
    </xf>
    <xf numFmtId="0" fontId="78" fillId="16" borderId="3" xfId="3" applyFont="1" applyFill="1" applyBorder="1" applyAlignment="1">
      <alignment horizontal="center" vertical="center" wrapText="1"/>
    </xf>
    <xf numFmtId="0" fontId="78" fillId="16" borderId="12" xfId="3" applyFont="1" applyFill="1" applyBorder="1" applyAlignment="1">
      <alignment horizontal="center" vertical="center" wrapText="1"/>
    </xf>
    <xf numFmtId="0" fontId="110" fillId="16" borderId="13" xfId="3" applyFont="1" applyFill="1" applyBorder="1" applyAlignment="1">
      <alignment horizontal="left" vertical="center" wrapText="1" shrinkToFit="1"/>
    </xf>
    <xf numFmtId="0" fontId="110" fillId="16" borderId="3" xfId="3" applyFont="1" applyFill="1" applyBorder="1" applyAlignment="1">
      <alignment horizontal="left" vertical="center" wrapText="1" shrinkToFit="1"/>
    </xf>
    <xf numFmtId="0" fontId="110" fillId="16" borderId="12" xfId="3" applyFont="1" applyFill="1" applyBorder="1" applyAlignment="1">
      <alignment horizontal="left" vertical="center" wrapText="1" shrinkToFit="1"/>
    </xf>
    <xf numFmtId="0" fontId="81" fillId="0" borderId="0" xfId="0" applyFont="1" applyAlignment="1">
      <alignment horizontal="center" vertical="center"/>
    </xf>
    <xf numFmtId="0" fontId="80" fillId="0" borderId="13" xfId="0" applyFont="1" applyBorder="1" applyAlignment="1">
      <alignment horizontal="center" vertical="center" wrapText="1"/>
    </xf>
    <xf numFmtId="0" fontId="80" fillId="0" borderId="3" xfId="0" applyFont="1" applyBorder="1" applyAlignment="1">
      <alignment horizontal="center" vertical="center" wrapText="1"/>
    </xf>
    <xf numFmtId="0" fontId="80" fillId="0" borderId="12" xfId="0" applyFont="1" applyBorder="1" applyAlignment="1">
      <alignment horizontal="center" vertical="center" wrapText="1"/>
    </xf>
    <xf numFmtId="0" fontId="80" fillId="0" borderId="7" xfId="0" applyFont="1" applyBorder="1" applyAlignment="1">
      <alignment horizontal="center" vertical="center" wrapText="1"/>
    </xf>
    <xf numFmtId="0" fontId="80" fillId="0" borderId="42" xfId="0" applyFont="1" applyBorder="1" applyAlignment="1">
      <alignment horizontal="center" vertical="center" wrapText="1"/>
    </xf>
    <xf numFmtId="0" fontId="80" fillId="0" borderId="46" xfId="0" applyFont="1" applyBorder="1" applyAlignment="1">
      <alignment horizontal="left" vertical="center" wrapText="1"/>
    </xf>
    <xf numFmtId="0" fontId="80" fillId="0" borderId="16" xfId="0" applyFont="1" applyBorder="1" applyAlignment="1">
      <alignment horizontal="center" vertical="center" wrapText="1"/>
    </xf>
    <xf numFmtId="181" fontId="80" fillId="0" borderId="16" xfId="0" applyNumberFormat="1" applyFont="1" applyBorder="1" applyAlignment="1">
      <alignment horizontal="center" vertical="center" wrapText="1"/>
    </xf>
    <xf numFmtId="181" fontId="80" fillId="0" borderId="12" xfId="0" applyNumberFormat="1" applyFont="1" applyBorder="1" applyAlignment="1">
      <alignment horizontal="center" vertical="center" wrapText="1"/>
    </xf>
    <xf numFmtId="9" fontId="80" fillId="0" borderId="16" xfId="106" applyFont="1" applyBorder="1" applyAlignment="1">
      <alignment horizontal="center" vertical="center" wrapText="1"/>
    </xf>
    <xf numFmtId="9" fontId="80" fillId="0" borderId="12" xfId="106" applyFont="1" applyBorder="1" applyAlignment="1">
      <alignment horizontal="center" vertical="center" wrapText="1"/>
    </xf>
    <xf numFmtId="181" fontId="80" fillId="0" borderId="16" xfId="106" applyNumberFormat="1" applyFont="1" applyBorder="1" applyAlignment="1">
      <alignment horizontal="center" vertical="center" wrapText="1"/>
    </xf>
    <xf numFmtId="181" fontId="80" fillId="0" borderId="3" xfId="106" applyNumberFormat="1" applyFont="1" applyBorder="1" applyAlignment="1">
      <alignment horizontal="center" vertical="center" wrapText="1"/>
    </xf>
    <xf numFmtId="193" fontId="80" fillId="0" borderId="16" xfId="106" applyNumberFormat="1" applyFont="1" applyBorder="1" applyAlignment="1">
      <alignment horizontal="left" vertical="center" shrinkToFit="1"/>
    </xf>
    <xf numFmtId="193" fontId="80" fillId="0" borderId="24" xfId="106" applyNumberFormat="1" applyFont="1" applyBorder="1" applyAlignment="1">
      <alignment horizontal="left" vertical="center" shrinkToFit="1"/>
    </xf>
    <xf numFmtId="193" fontId="81" fillId="0" borderId="16" xfId="106" applyNumberFormat="1" applyFont="1" applyBorder="1" applyAlignment="1">
      <alignment horizontal="left" vertical="center" shrinkToFit="1"/>
    </xf>
    <xf numFmtId="193" fontId="81" fillId="0" borderId="24" xfId="106" applyNumberFormat="1" applyFont="1" applyBorder="1" applyAlignment="1">
      <alignment horizontal="left" vertical="center" shrinkToFit="1"/>
    </xf>
    <xf numFmtId="181" fontId="76" fillId="0" borderId="35" xfId="0" applyNumberFormat="1" applyFont="1" applyBorder="1" applyAlignment="1">
      <alignment horizontal="center"/>
    </xf>
    <xf numFmtId="57" fontId="80" fillId="0" borderId="46" xfId="0" applyNumberFormat="1" applyFont="1" applyBorder="1" applyAlignment="1">
      <alignment horizontal="center" vertical="center" wrapText="1"/>
    </xf>
    <xf numFmtId="57" fontId="80" fillId="0" borderId="52" xfId="0" applyNumberFormat="1" applyFont="1" applyBorder="1" applyAlignment="1">
      <alignment horizontal="center" vertical="center" wrapText="1"/>
    </xf>
    <xf numFmtId="195" fontId="80" fillId="0" borderId="4" xfId="0" applyNumberFormat="1" applyFont="1" applyBorder="1" applyAlignment="1">
      <alignment horizontal="center" vertical="center" wrapText="1"/>
    </xf>
    <xf numFmtId="0" fontId="80" fillId="0" borderId="51" xfId="0" applyFont="1" applyBorder="1" applyAlignment="1">
      <alignment horizontal="center" vertical="center"/>
    </xf>
    <xf numFmtId="0" fontId="80" fillId="0" borderId="46" xfId="0" applyFont="1" applyBorder="1" applyAlignment="1">
      <alignment horizontal="center" vertical="center"/>
    </xf>
    <xf numFmtId="0" fontId="80" fillId="0" borderId="46" xfId="0" applyFont="1" applyBorder="1" applyAlignment="1">
      <alignment horizontal="center" vertical="center" wrapText="1"/>
    </xf>
    <xf numFmtId="0" fontId="80" fillId="0" borderId="47" xfId="0" applyFont="1" applyBorder="1" applyAlignment="1">
      <alignment horizontal="center" vertical="center" wrapText="1"/>
    </xf>
    <xf numFmtId="195" fontId="80" fillId="0" borderId="46" xfId="0" applyNumberFormat="1" applyFont="1" applyBorder="1" applyAlignment="1">
      <alignment horizontal="center" vertical="center" wrapText="1"/>
    </xf>
    <xf numFmtId="0" fontId="77" fillId="0" borderId="22" xfId="0" applyFont="1" applyBorder="1" applyAlignment="1">
      <alignment horizontal="left" vertical="top" wrapText="1"/>
    </xf>
    <xf numFmtId="0" fontId="77" fillId="0" borderId="0" xfId="0" applyFont="1" applyAlignment="1">
      <alignment horizontal="left" vertical="top" wrapText="1"/>
    </xf>
    <xf numFmtId="0" fontId="77" fillId="0" borderId="37" xfId="0" applyFont="1" applyBorder="1" applyAlignment="1">
      <alignment horizontal="left" vertical="top" wrapText="1"/>
    </xf>
    <xf numFmtId="0" fontId="77" fillId="0" borderId="23" xfId="0" applyFont="1" applyBorder="1" applyAlignment="1">
      <alignment horizontal="left" vertical="top" wrapText="1"/>
    </xf>
    <xf numFmtId="0" fontId="77" fillId="0" borderId="9" xfId="0" applyFont="1" applyBorder="1" applyAlignment="1">
      <alignment horizontal="left" vertical="top" wrapText="1"/>
    </xf>
    <xf numFmtId="0" fontId="77" fillId="0" borderId="40" xfId="0" applyFont="1" applyBorder="1" applyAlignment="1">
      <alignment horizontal="left" vertical="top" wrapText="1"/>
    </xf>
    <xf numFmtId="0" fontId="76" fillId="0" borderId="15" xfId="0" applyFont="1" applyBorder="1" applyAlignment="1">
      <alignment horizontal="left" vertical="center" wrapText="1"/>
    </xf>
    <xf numFmtId="0" fontId="76" fillId="0" borderId="35" xfId="0" applyFont="1" applyBorder="1" applyAlignment="1">
      <alignment horizontal="left" vertical="center" wrapText="1"/>
    </xf>
    <xf numFmtId="0" fontId="76" fillId="0" borderId="36" xfId="0" applyFont="1" applyBorder="1" applyAlignment="1">
      <alignment horizontal="left" vertical="center" wrapText="1"/>
    </xf>
    <xf numFmtId="0" fontId="76" fillId="0" borderId="13" xfId="0" applyFont="1" applyBorder="1" applyAlignment="1">
      <alignment horizontal="left" vertical="center" wrapText="1"/>
    </xf>
    <xf numFmtId="0" fontId="76" fillId="0" borderId="3" xfId="0" applyFont="1" applyBorder="1" applyAlignment="1">
      <alignment horizontal="left" vertical="center" wrapText="1"/>
    </xf>
    <xf numFmtId="0" fontId="76" fillId="0" borderId="24" xfId="0" applyFont="1" applyBorder="1" applyAlignment="1">
      <alignment horizontal="left" vertical="center" wrapText="1"/>
    </xf>
    <xf numFmtId="0" fontId="76" fillId="0" borderId="13" xfId="0" applyFont="1" applyBorder="1" applyAlignment="1">
      <alignment horizontal="left" vertical="top" wrapText="1"/>
    </xf>
    <xf numFmtId="0" fontId="76" fillId="0" borderId="3" xfId="0" applyFont="1" applyBorder="1" applyAlignment="1">
      <alignment horizontal="left" vertical="top" wrapText="1"/>
    </xf>
    <xf numFmtId="0" fontId="76" fillId="0" borderId="24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center" wrapText="1"/>
    </xf>
    <xf numFmtId="0" fontId="5" fillId="0" borderId="33" xfId="0" applyFont="1" applyBorder="1" applyAlignment="1">
      <alignment horizontal="left" vertical="center" wrapText="1"/>
    </xf>
    <xf numFmtId="0" fontId="5" fillId="0" borderId="34" xfId="0" applyFont="1" applyBorder="1" applyAlignment="1">
      <alignment horizontal="left" vertical="center" wrapText="1"/>
    </xf>
    <xf numFmtId="0" fontId="76" fillId="0" borderId="14" xfId="0" applyFont="1" applyBorder="1" applyAlignment="1">
      <alignment horizontal="left" vertical="center" wrapText="1"/>
    </xf>
    <xf numFmtId="0" fontId="76" fillId="0" borderId="33" xfId="0" applyFont="1" applyBorder="1" applyAlignment="1">
      <alignment horizontal="left" vertical="center" wrapText="1"/>
    </xf>
    <xf numFmtId="0" fontId="76" fillId="0" borderId="34" xfId="0" applyFont="1" applyBorder="1" applyAlignment="1">
      <alignment horizontal="left" vertical="center" wrapText="1"/>
    </xf>
    <xf numFmtId="0" fontId="84" fillId="0" borderId="22" xfId="0" applyFont="1" applyBorder="1" applyAlignment="1">
      <alignment horizontal="left" vertical="center" wrapText="1"/>
    </xf>
    <xf numFmtId="0" fontId="84" fillId="0" borderId="0" xfId="0" applyFont="1" applyAlignment="1">
      <alignment horizontal="left" vertical="center" wrapText="1"/>
    </xf>
    <xf numFmtId="0" fontId="84" fillId="0" borderId="37" xfId="0" applyFont="1" applyBorder="1" applyAlignment="1">
      <alignment horizontal="left" vertical="center" wrapText="1"/>
    </xf>
    <xf numFmtId="0" fontId="84" fillId="0" borderId="13" xfId="0" applyFont="1" applyBorder="1" applyAlignment="1">
      <alignment horizontal="left" vertical="center" wrapText="1"/>
    </xf>
    <xf numFmtId="0" fontId="84" fillId="0" borderId="3" xfId="0" applyFont="1" applyBorder="1" applyAlignment="1">
      <alignment horizontal="left" vertical="center" wrapText="1"/>
    </xf>
    <xf numFmtId="0" fontId="84" fillId="0" borderId="24" xfId="0" applyFont="1" applyBorder="1" applyAlignment="1">
      <alignment horizontal="left" vertical="center" wrapText="1"/>
    </xf>
    <xf numFmtId="0" fontId="76" fillId="0" borderId="48" xfId="0" applyFont="1" applyBorder="1" applyAlignment="1">
      <alignment horizontal="justify" vertical="center" wrapText="1"/>
    </xf>
    <xf numFmtId="0" fontId="76" fillId="0" borderId="4" xfId="0" applyFont="1" applyBorder="1" applyAlignment="1">
      <alignment horizontal="justify" vertical="center" wrapText="1"/>
    </xf>
    <xf numFmtId="0" fontId="76" fillId="0" borderId="16" xfId="0" applyFont="1" applyBorder="1" applyAlignment="1">
      <alignment horizontal="justify" vertical="center" wrapText="1"/>
    </xf>
    <xf numFmtId="0" fontId="110" fillId="0" borderId="16" xfId="0" applyFont="1" applyBorder="1" applyAlignment="1">
      <alignment horizontal="left" vertical="center" wrapText="1" shrinkToFit="1"/>
    </xf>
    <xf numFmtId="0" fontId="110" fillId="0" borderId="12" xfId="0" applyFont="1" applyBorder="1" applyAlignment="1">
      <alignment horizontal="left" vertical="center" wrapText="1" shrinkToFit="1"/>
    </xf>
    <xf numFmtId="0" fontId="5" fillId="0" borderId="13" xfId="0" applyFont="1" applyBorder="1" applyAlignment="1">
      <alignment horizontal="justify" vertical="center" wrapText="1"/>
    </xf>
    <xf numFmtId="0" fontId="5" fillId="0" borderId="3" xfId="0" applyFont="1" applyBorder="1" applyAlignment="1">
      <alignment horizontal="justify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center" vertical="center" wrapText="1"/>
    </xf>
    <xf numFmtId="0" fontId="78" fillId="16" borderId="29" xfId="3" applyFont="1" applyFill="1" applyBorder="1" applyAlignment="1">
      <alignment horizontal="left" vertical="center" shrinkToFit="1"/>
    </xf>
    <xf numFmtId="0" fontId="78" fillId="16" borderId="30" xfId="3" applyFont="1" applyFill="1" applyBorder="1" applyAlignment="1">
      <alignment horizontal="left" vertical="center" shrinkToFit="1"/>
    </xf>
    <xf numFmtId="0" fontId="78" fillId="16" borderId="26" xfId="3" applyFont="1" applyFill="1" applyBorder="1" applyAlignment="1">
      <alignment horizontal="left" vertical="center" shrinkToFit="1"/>
    </xf>
    <xf numFmtId="0" fontId="78" fillId="16" borderId="13" xfId="3" applyFont="1" applyFill="1" applyBorder="1" applyAlignment="1">
      <alignment horizontal="left" vertical="center" shrinkToFit="1"/>
    </xf>
    <xf numFmtId="0" fontId="78" fillId="16" borderId="3" xfId="3" applyFont="1" applyFill="1" applyBorder="1" applyAlignment="1">
      <alignment horizontal="left" vertical="center" shrinkToFit="1"/>
    </xf>
    <xf numFmtId="0" fontId="78" fillId="16" borderId="12" xfId="3" applyFont="1" applyFill="1" applyBorder="1" applyAlignment="1">
      <alignment horizontal="left" vertical="center" shrinkToFit="1"/>
    </xf>
    <xf numFmtId="0" fontId="78" fillId="16" borderId="31" xfId="3" applyFont="1" applyFill="1" applyBorder="1" applyAlignment="1">
      <alignment horizontal="left" vertical="center" shrinkToFit="1"/>
    </xf>
    <xf numFmtId="0" fontId="78" fillId="16" borderId="32" xfId="3" applyFont="1" applyFill="1" applyBorder="1" applyAlignment="1">
      <alignment horizontal="left" vertical="center" shrinkToFit="1"/>
    </xf>
    <xf numFmtId="0" fontId="78" fillId="16" borderId="28" xfId="3" applyFont="1" applyFill="1" applyBorder="1" applyAlignment="1">
      <alignment horizontal="left" vertical="center" shrinkToFit="1"/>
    </xf>
    <xf numFmtId="178" fontId="5" fillId="0" borderId="16" xfId="0" applyNumberFormat="1" applyFont="1" applyBorder="1" applyAlignment="1">
      <alignment horizontal="center" vertical="center" wrapText="1"/>
    </xf>
    <xf numFmtId="178" fontId="5" fillId="0" borderId="12" xfId="0" applyNumberFormat="1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76" fontId="5" fillId="0" borderId="16" xfId="0" applyNumberFormat="1" applyFont="1" applyBorder="1" applyAlignment="1">
      <alignment horizontal="center" vertical="center" wrapText="1"/>
    </xf>
    <xf numFmtId="176" fontId="5" fillId="0" borderId="12" xfId="0" applyNumberFormat="1" applyFont="1" applyBorder="1" applyAlignment="1">
      <alignment horizontal="center" vertical="center" wrapText="1"/>
    </xf>
    <xf numFmtId="0" fontId="5" fillId="0" borderId="15" xfId="0" applyFont="1" applyBorder="1" applyAlignment="1">
      <alignment horizontal="justify" vertical="center" wrapText="1"/>
    </xf>
    <xf numFmtId="0" fontId="5" fillId="0" borderId="35" xfId="0" applyFont="1" applyBorder="1" applyAlignment="1">
      <alignment horizontal="justify" vertical="center" wrapText="1"/>
    </xf>
    <xf numFmtId="178" fontId="5" fillId="0" borderId="25" xfId="0" applyNumberFormat="1" applyFont="1" applyBorder="1" applyAlignment="1">
      <alignment horizontal="center" vertical="center" wrapText="1"/>
    </xf>
    <xf numFmtId="178" fontId="5" fillId="0" borderId="26" xfId="0" applyNumberFormat="1" applyFont="1" applyBorder="1" applyAlignment="1">
      <alignment horizontal="center" vertical="center" wrapText="1"/>
    </xf>
    <xf numFmtId="176" fontId="49" fillId="0" borderId="16" xfId="0" applyNumberFormat="1" applyFont="1" applyBorder="1" applyAlignment="1">
      <alignment horizontal="center" vertical="center" wrapText="1"/>
    </xf>
    <xf numFmtId="176" fontId="49" fillId="0" borderId="12" xfId="0" applyNumberFormat="1" applyFont="1" applyBorder="1" applyAlignment="1">
      <alignment horizontal="center" vertical="center" wrapText="1"/>
    </xf>
    <xf numFmtId="0" fontId="83" fillId="16" borderId="13" xfId="3" applyFont="1" applyFill="1" applyBorder="1" applyAlignment="1">
      <alignment horizontal="center" vertical="center" wrapText="1"/>
    </xf>
    <xf numFmtId="0" fontId="83" fillId="16" borderId="3" xfId="3" applyFont="1" applyFill="1" applyBorder="1" applyAlignment="1">
      <alignment horizontal="center" vertical="center" wrapText="1"/>
    </xf>
    <xf numFmtId="0" fontId="83" fillId="16" borderId="12" xfId="3" applyFont="1" applyFill="1" applyBorder="1" applyAlignment="1">
      <alignment horizontal="center" vertical="center" wrapText="1"/>
    </xf>
    <xf numFmtId="0" fontId="5" fillId="0" borderId="13" xfId="0" applyFont="1" applyBorder="1" applyAlignment="1">
      <alignment vertical="center" wrapText="1"/>
    </xf>
    <xf numFmtId="0" fontId="5" fillId="0" borderId="12" xfId="0" applyFont="1" applyBorder="1" applyAlignment="1">
      <alignment vertical="center" wrapText="1"/>
    </xf>
    <xf numFmtId="0" fontId="49" fillId="0" borderId="3" xfId="0" applyFont="1" applyBorder="1" applyAlignment="1">
      <alignment horizontal="center" vertical="center" wrapText="1"/>
    </xf>
    <xf numFmtId="0" fontId="49" fillId="0" borderId="13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178" fontId="5" fillId="0" borderId="27" xfId="0" applyNumberFormat="1" applyFont="1" applyBorder="1" applyAlignment="1">
      <alignment horizontal="center" vertical="center" wrapText="1"/>
    </xf>
    <xf numFmtId="178" fontId="5" fillId="0" borderId="28" xfId="0" applyNumberFormat="1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4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42" fillId="0" borderId="19" xfId="0" applyFont="1" applyBorder="1" applyAlignment="1">
      <alignment horizontal="center" vertical="center" shrinkToFit="1"/>
    </xf>
    <xf numFmtId="0" fontId="41" fillId="0" borderId="1" xfId="0" applyFont="1" applyBorder="1" applyAlignment="1">
      <alignment horizontal="center" vertical="center" shrinkToFit="1"/>
    </xf>
    <xf numFmtId="0" fontId="41" fillId="0" borderId="20" xfId="0" applyFont="1" applyBorder="1" applyAlignment="1">
      <alignment horizontal="center" vertical="center" shrinkToFit="1"/>
    </xf>
    <xf numFmtId="0" fontId="39" fillId="0" borderId="0" xfId="0" applyFont="1" applyAlignment="1">
      <alignment horizontal="center"/>
    </xf>
    <xf numFmtId="0" fontId="39" fillId="0" borderId="0" xfId="0" applyFont="1" applyAlignment="1">
      <alignment horizontal="left"/>
    </xf>
    <xf numFmtId="57" fontId="39" fillId="0" borderId="0" xfId="0" applyNumberFormat="1" applyFont="1" applyAlignment="1">
      <alignment horizontal="left"/>
    </xf>
    <xf numFmtId="0" fontId="33" fillId="0" borderId="0" xfId="75" applyFont="1" applyAlignment="1" applyProtection="1">
      <alignment horizontal="center"/>
      <protection hidden="1"/>
    </xf>
    <xf numFmtId="176" fontId="33" fillId="0" borderId="0" xfId="75" applyNumberFormat="1" applyFont="1" applyAlignment="1" applyProtection="1">
      <alignment horizontal="center" wrapText="1"/>
      <protection hidden="1"/>
    </xf>
    <xf numFmtId="0" fontId="33" fillId="0" borderId="0" xfId="75" applyFont="1" applyAlignment="1" applyProtection="1">
      <alignment horizontal="center" vertical="center"/>
      <protection hidden="1"/>
    </xf>
    <xf numFmtId="0" fontId="90" fillId="0" borderId="21" xfId="0" applyFont="1" applyBorder="1" applyAlignment="1">
      <alignment horizontal="center" vertical="center" textRotation="255"/>
    </xf>
    <xf numFmtId="0" fontId="90" fillId="0" borderId="22" xfId="0" applyFont="1" applyBorder="1" applyAlignment="1">
      <alignment horizontal="center" vertical="center" textRotation="255"/>
    </xf>
    <xf numFmtId="0" fontId="90" fillId="0" borderId="23" xfId="0" applyFont="1" applyBorder="1" applyAlignment="1">
      <alignment horizontal="center" vertical="center" textRotation="255"/>
    </xf>
    <xf numFmtId="0" fontId="89" fillId="0" borderId="0" xfId="0" applyFont="1" applyAlignment="1">
      <alignment horizontal="right"/>
    </xf>
    <xf numFmtId="186" fontId="93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left" wrapText="1"/>
    </xf>
    <xf numFmtId="0" fontId="5" fillId="0" borderId="0" xfId="0" applyFont="1" applyAlignment="1">
      <alignment vertical="top" wrapText="1"/>
    </xf>
    <xf numFmtId="0" fontId="21" fillId="0" borderId="0" xfId="0" applyFont="1" applyAlignment="1">
      <alignment horizontal="left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top" wrapText="1"/>
    </xf>
    <xf numFmtId="0" fontId="21" fillId="0" borderId="0" xfId="0" applyFont="1" applyAlignment="1">
      <alignment vertical="top" wrapText="1"/>
    </xf>
    <xf numFmtId="0" fontId="6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top" wrapText="1"/>
    </xf>
    <xf numFmtId="0" fontId="21" fillId="0" borderId="33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21" fillId="0" borderId="11" xfId="0" applyFont="1" applyBorder="1" applyAlignment="1">
      <alignment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35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23" fillId="0" borderId="0" xfId="0" applyFont="1" applyAlignment="1">
      <alignment horizontal="center"/>
    </xf>
    <xf numFmtId="181" fontId="5" fillId="0" borderId="0" xfId="0" applyNumberFormat="1" applyFont="1" applyAlignment="1">
      <alignment horizontal="right" vertical="distributed"/>
    </xf>
    <xf numFmtId="0" fontId="5" fillId="0" borderId="4" xfId="0" applyFont="1" applyBorder="1" applyAlignment="1">
      <alignment vertical="top" wrapText="1"/>
    </xf>
    <xf numFmtId="0" fontId="21" fillId="0" borderId="43" xfId="0" applyFont="1" applyBorder="1" applyAlignment="1">
      <alignment horizontal="left" vertical="top" wrapText="1"/>
    </xf>
    <xf numFmtId="0" fontId="21" fillId="0" borderId="44" xfId="0" applyFont="1" applyBorder="1" applyAlignment="1">
      <alignment horizontal="left" vertical="top" wrapText="1"/>
    </xf>
    <xf numFmtId="0" fontId="21" fillId="0" borderId="7" xfId="0" applyFont="1" applyBorder="1" applyAlignment="1">
      <alignment horizontal="left" vertical="top" wrapText="1"/>
    </xf>
    <xf numFmtId="0" fontId="21" fillId="0" borderId="35" xfId="0" applyFont="1" applyBorder="1" applyAlignment="1">
      <alignment horizontal="left" vertical="top" wrapText="1"/>
    </xf>
    <xf numFmtId="0" fontId="21" fillId="0" borderId="42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center" wrapText="1"/>
    </xf>
    <xf numFmtId="181" fontId="5" fillId="0" borderId="0" xfId="0" applyNumberFormat="1" applyFont="1" applyAlignment="1">
      <alignment horizontal="center" vertical="center" wrapText="1"/>
    </xf>
    <xf numFmtId="0" fontId="21" fillId="0" borderId="41" xfId="0" applyFont="1" applyBorder="1" applyAlignment="1">
      <alignment horizontal="left" vertical="top" wrapText="1"/>
    </xf>
    <xf numFmtId="0" fontId="21" fillId="0" borderId="33" xfId="0" applyFont="1" applyBorder="1" applyAlignment="1">
      <alignment horizontal="left" vertical="top" wrapText="1"/>
    </xf>
    <xf numFmtId="0" fontId="21" fillId="0" borderId="45" xfId="0" applyFont="1" applyBorder="1" applyAlignment="1">
      <alignment horizontal="left" vertical="top" wrapText="1"/>
    </xf>
    <xf numFmtId="181" fontId="5" fillId="0" borderId="35" xfId="0" applyNumberFormat="1" applyFont="1" applyBorder="1" applyAlignment="1">
      <alignment horizontal="right" vertical="distributed"/>
    </xf>
    <xf numFmtId="0" fontId="5" fillId="0" borderId="4" xfId="0" applyFont="1" applyBorder="1" applyAlignment="1">
      <alignment horizontal="center" vertical="center" wrapText="1"/>
    </xf>
    <xf numFmtId="9" fontId="5" fillId="0" borderId="4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left" vertical="center" wrapText="1"/>
    </xf>
    <xf numFmtId="181" fontId="6" fillId="0" borderId="16" xfId="0" applyNumberFormat="1" applyFont="1" applyBorder="1" applyAlignment="1">
      <alignment horizontal="center" vertical="center" wrapText="1"/>
    </xf>
    <xf numFmtId="181" fontId="6" fillId="0" borderId="12" xfId="0" applyNumberFormat="1" applyFont="1" applyBorder="1" applyAlignment="1">
      <alignment horizontal="center" vertical="center" wrapText="1"/>
    </xf>
    <xf numFmtId="193" fontId="5" fillId="0" borderId="41" xfId="0" applyNumberFormat="1" applyFont="1" applyBorder="1" applyAlignment="1">
      <alignment horizontal="left" vertical="center" wrapText="1" shrinkToFit="1"/>
    </xf>
    <xf numFmtId="193" fontId="5" fillId="0" borderId="45" xfId="0" applyNumberFormat="1" applyFont="1" applyBorder="1" applyAlignment="1">
      <alignment horizontal="left" vertical="center" wrapText="1" shrinkToFit="1"/>
    </xf>
    <xf numFmtId="193" fontId="5" fillId="0" borderId="7" xfId="0" applyNumberFormat="1" applyFont="1" applyBorder="1" applyAlignment="1">
      <alignment horizontal="left" vertical="center" wrapText="1" shrinkToFit="1"/>
    </xf>
    <xf numFmtId="193" fontId="5" fillId="0" borderId="42" xfId="0" applyNumberFormat="1" applyFont="1" applyBorder="1" applyAlignment="1">
      <alignment horizontal="left" vertical="center" wrapText="1" shrinkToFit="1"/>
    </xf>
  </cellXfs>
  <cellStyles count="144">
    <cellStyle name="??&amp;?G_x0008__x0009_X_x000a__x0007__x0001__x0001_" xfId="1" xr:uid="{00000000-0005-0000-0000-000000000000}"/>
    <cellStyle name="?@¯e_1woa3aaRai" xfId="2" xr:uid="{00000000-0005-0000-0000-000001000000}"/>
    <cellStyle name="0,0_x000d__x000a_NA_x000d__x000a_" xfId="3" xr:uid="{00000000-0005-0000-0000-000002000000}"/>
    <cellStyle name="aa" xfId="4" xr:uid="{00000000-0005-0000-0000-000003000000}"/>
    <cellStyle name="Calc Currency (0)" xfId="5" xr:uid="{00000000-0005-0000-0000-000004000000}"/>
    <cellStyle name="Calc Currency (2)" xfId="6" xr:uid="{00000000-0005-0000-0000-000005000000}"/>
    <cellStyle name="Calc Percent (0)" xfId="7" xr:uid="{00000000-0005-0000-0000-000006000000}"/>
    <cellStyle name="Calc Percent (1)" xfId="8" xr:uid="{00000000-0005-0000-0000-000007000000}"/>
    <cellStyle name="Calc Percent (2)" xfId="9" xr:uid="{00000000-0005-0000-0000-000008000000}"/>
    <cellStyle name="Calc Units (0)" xfId="10" xr:uid="{00000000-0005-0000-0000-000009000000}"/>
    <cellStyle name="Calc Units (1)" xfId="11" xr:uid="{00000000-0005-0000-0000-00000A000000}"/>
    <cellStyle name="Calc Units (2)" xfId="12" xr:uid="{00000000-0005-0000-0000-00000B000000}"/>
    <cellStyle name="Comma [0]_ '96  delivery" xfId="13" xr:uid="{00000000-0005-0000-0000-00000C000000}"/>
    <cellStyle name="Comma [00]" xfId="14" xr:uid="{00000000-0005-0000-0000-00000D000000}"/>
    <cellStyle name="Comma_ '96  delivery" xfId="15" xr:uid="{00000000-0005-0000-0000-00000E000000}"/>
    <cellStyle name="Currency [0]_ '96  delivery" xfId="16" xr:uid="{00000000-0005-0000-0000-00000F000000}"/>
    <cellStyle name="Currency [00]" xfId="17" xr:uid="{00000000-0005-0000-0000-000010000000}"/>
    <cellStyle name="Currency_ '96  delivery" xfId="18" xr:uid="{00000000-0005-0000-0000-000011000000}"/>
    <cellStyle name="Date Short" xfId="19" xr:uid="{00000000-0005-0000-0000-000012000000}"/>
    <cellStyle name="DELTA" xfId="20" xr:uid="{00000000-0005-0000-0000-000013000000}"/>
    <cellStyle name="eng" xfId="21" xr:uid="{00000000-0005-0000-0000-000014000000}"/>
    <cellStyle name="Enter Currency (0)" xfId="22" xr:uid="{00000000-0005-0000-0000-000015000000}"/>
    <cellStyle name="Enter Currency (2)" xfId="23" xr:uid="{00000000-0005-0000-0000-000016000000}"/>
    <cellStyle name="Enter Units (0)" xfId="24" xr:uid="{00000000-0005-0000-0000-000017000000}"/>
    <cellStyle name="Enter Units (1)" xfId="25" xr:uid="{00000000-0005-0000-0000-000018000000}"/>
    <cellStyle name="Enter Units (2)" xfId="26" xr:uid="{00000000-0005-0000-0000-000019000000}"/>
    <cellStyle name="Grey" xfId="27" xr:uid="{00000000-0005-0000-0000-00001A000000}"/>
    <cellStyle name="Header1" xfId="28" xr:uid="{00000000-0005-0000-0000-00001B000000}"/>
    <cellStyle name="Header2" xfId="29" xr:uid="{00000000-0005-0000-0000-00001C000000}"/>
    <cellStyle name="Hyperlink_RESULTS" xfId="30" xr:uid="{00000000-0005-0000-0000-00001D000000}"/>
    <cellStyle name="Input [yellow]" xfId="31" xr:uid="{00000000-0005-0000-0000-00001E000000}"/>
    <cellStyle name="Link Currency (0)" xfId="32" xr:uid="{00000000-0005-0000-0000-00001F000000}"/>
    <cellStyle name="Link Currency (2)" xfId="33" xr:uid="{00000000-0005-0000-0000-000020000000}"/>
    <cellStyle name="Link Units (0)" xfId="34" xr:uid="{00000000-0005-0000-0000-000021000000}"/>
    <cellStyle name="Link Units (1)" xfId="35" xr:uid="{00000000-0005-0000-0000-000022000000}"/>
    <cellStyle name="Link Units (2)" xfId="36" xr:uid="{00000000-0005-0000-0000-000023000000}"/>
    <cellStyle name="lu" xfId="37" xr:uid="{00000000-0005-0000-0000-000024000000}"/>
    <cellStyle name="Milliers [0]_!!!GO" xfId="38" xr:uid="{00000000-0005-0000-0000-000025000000}"/>
    <cellStyle name="Milliers_!!!GO" xfId="39" xr:uid="{00000000-0005-0000-0000-000026000000}"/>
    <cellStyle name="Mon彋aire [0]_!!!GO" xfId="40" xr:uid="{00000000-0005-0000-0000-000027000000}"/>
    <cellStyle name="Mon彋aire_!!!GO" xfId="41" xr:uid="{00000000-0005-0000-0000-000028000000}"/>
    <cellStyle name="no dec" xfId="42" xr:uid="{00000000-0005-0000-0000-000029000000}"/>
    <cellStyle name="Normal - Style1" xfId="43" xr:uid="{00000000-0005-0000-0000-00002A000000}"/>
    <cellStyle name="Normal_ '96  delivery" xfId="44" xr:uid="{00000000-0005-0000-0000-00002B000000}"/>
    <cellStyle name="paint" xfId="45" xr:uid="{00000000-0005-0000-0000-00002C000000}"/>
    <cellStyle name="Percent [0]" xfId="46" xr:uid="{00000000-0005-0000-0000-00002D000000}"/>
    <cellStyle name="Percent [00]" xfId="47" xr:uid="{00000000-0005-0000-0000-00002E000000}"/>
    <cellStyle name="Percent [2]" xfId="48" xr:uid="{00000000-0005-0000-0000-00002F000000}"/>
    <cellStyle name="Percent_!!!GO" xfId="49" xr:uid="{00000000-0005-0000-0000-000030000000}"/>
    <cellStyle name="PrePop Currency (0)" xfId="50" xr:uid="{00000000-0005-0000-0000-000031000000}"/>
    <cellStyle name="PrePop Currency (2)" xfId="51" xr:uid="{00000000-0005-0000-0000-000032000000}"/>
    <cellStyle name="PrePop Units (0)" xfId="52" xr:uid="{00000000-0005-0000-0000-000033000000}"/>
    <cellStyle name="PrePop Units (1)" xfId="53" xr:uid="{00000000-0005-0000-0000-000034000000}"/>
    <cellStyle name="PrePop Units (2)" xfId="54" xr:uid="{00000000-0005-0000-0000-000035000000}"/>
    <cellStyle name="STANDARD" xfId="55" xr:uid="{00000000-0005-0000-0000-000036000000}"/>
    <cellStyle name="style" xfId="56" xr:uid="{00000000-0005-0000-0000-000037000000}"/>
    <cellStyle name="style1" xfId="57" xr:uid="{00000000-0005-0000-0000-000038000000}"/>
    <cellStyle name="style2" xfId="58" xr:uid="{00000000-0005-0000-0000-000039000000}"/>
    <cellStyle name="Text Indent A" xfId="59" xr:uid="{00000000-0005-0000-0000-00003A000000}"/>
    <cellStyle name="Text Indent B" xfId="60" xr:uid="{00000000-0005-0000-0000-00003B000000}"/>
    <cellStyle name="Text Indent C" xfId="61" xr:uid="{00000000-0005-0000-0000-00003C000000}"/>
    <cellStyle name="yann" xfId="62" xr:uid="{00000000-0005-0000-0000-00003D000000}"/>
    <cellStyle name="一般" xfId="0" builtinId="0"/>
    <cellStyle name="一般 13" xfId="63" xr:uid="{00000000-0005-0000-0000-00003F000000}"/>
    <cellStyle name="一般 15" xfId="64" xr:uid="{00000000-0005-0000-0000-000040000000}"/>
    <cellStyle name="一般 2" xfId="65" xr:uid="{00000000-0005-0000-0000-000041000000}"/>
    <cellStyle name="一般 2 2" xfId="66" xr:uid="{00000000-0005-0000-0000-000042000000}"/>
    <cellStyle name="一般 2 2 2" xfId="67" xr:uid="{00000000-0005-0000-0000-000043000000}"/>
    <cellStyle name="一般 2 3" xfId="68" xr:uid="{00000000-0005-0000-0000-000044000000}"/>
    <cellStyle name="一般 3" xfId="69" xr:uid="{00000000-0005-0000-0000-000045000000}"/>
    <cellStyle name="一般 4" xfId="70" xr:uid="{00000000-0005-0000-0000-000046000000}"/>
    <cellStyle name="一般 5" xfId="71" xr:uid="{00000000-0005-0000-0000-000047000000}"/>
    <cellStyle name="一般 6" xfId="72" xr:uid="{00000000-0005-0000-0000-000048000000}"/>
    <cellStyle name="一般 7" xfId="73" xr:uid="{00000000-0005-0000-0000-000049000000}"/>
    <cellStyle name="一般 9" xfId="74" xr:uid="{00000000-0005-0000-0000-00004A000000}"/>
    <cellStyle name="一般_SS133dt" xfId="75" xr:uid="{00000000-0005-0000-0000-00004B000000}"/>
    <cellStyle name="一般_大德2(97.09.05)" xfId="143" xr:uid="{00000000-0005-0000-0000-00004C000000}"/>
    <cellStyle name="一般_太平藝文清單總表(1)" xfId="141" xr:uid="{00000000-0005-0000-0000-00004D000000}"/>
    <cellStyle name="一般_水保課封面94.02.15" xfId="76" xr:uid="{00000000-0005-0000-0000-00004E000000}"/>
    <cellStyle name="人工挖方" xfId="77" xr:uid="{00000000-0005-0000-0000-00004F000000}"/>
    <cellStyle name="千分位" xfId="78" builtinId="3"/>
    <cellStyle name="千分位 2" xfId="79" xr:uid="{00000000-0005-0000-0000-000051000000}"/>
    <cellStyle name="千分位 3" xfId="80" xr:uid="{00000000-0005-0000-0000-000052000000}"/>
    <cellStyle name="千分位_太平藝文清單總表(1)" xfId="142" xr:uid="{00000000-0005-0000-0000-000053000000}"/>
    <cellStyle name="水保計畫書" xfId="81" xr:uid="{00000000-0005-0000-0000-000054000000}"/>
    <cellStyle name="未定義" xfId="82" xr:uid="{00000000-0005-0000-0000-000055000000}"/>
    <cellStyle name="未定義 2" xfId="83" xr:uid="{00000000-0005-0000-0000-000056000000}"/>
    <cellStyle name="好_102年度臺中市農路野溪及水土保持維護改善工程-標價調整-446" xfId="84" xr:uid="{00000000-0005-0000-0000-000057000000}"/>
    <cellStyle name="好_1064(決算)101.01.09" xfId="85" xr:uid="{00000000-0005-0000-0000-000058000000}"/>
    <cellStyle name="好_1064(結算)100.12.28" xfId="86" xr:uid="{00000000-0005-0000-0000-000059000000}"/>
    <cellStyle name="好_1064(變更設計)0708" xfId="87" xr:uid="{00000000-0005-0000-0000-00005A000000}"/>
    <cellStyle name="好_12" xfId="88" xr:uid="{00000000-0005-0000-0000-00005B000000}"/>
    <cellStyle name="好_大甲鎮中山路1064巷護欄及道路等工程-預算 - 1000627002" xfId="89" xr:uid="{00000000-0005-0000-0000-00005C000000}"/>
    <cellStyle name="好_大坑巷預算-2" xfId="90" xr:uid="{00000000-0005-0000-0000-00005D000000}"/>
    <cellStyle name="好_甲后路變更" xfId="91" xr:uid="{00000000-0005-0000-0000-00005E000000}"/>
    <cellStyle name="好_甲安福安重劃區決算" xfId="92" xr:uid="{00000000-0005-0000-0000-00005F000000}"/>
    <cellStyle name="好_甲安福安重劃區預算-修正" xfId="93" xr:uid="{00000000-0005-0000-0000-000060000000}"/>
    <cellStyle name="好_甲安福安重劃區變更1129v1" xfId="94" xr:uid="{00000000-0005-0000-0000-000061000000}"/>
    <cellStyle name="好_東勢中嵙溪0817" xfId="95" xr:uid="{00000000-0005-0000-0000-000062000000}"/>
    <cellStyle name="好_清水區10-14-1道路工程(調整單價)-1" xfId="96" xr:uid="{00000000-0005-0000-0000-000063000000}"/>
    <cellStyle name="好_第12公墓合約單價" xfId="97" xr:uid="{00000000-0005-0000-0000-000064000000}"/>
    <cellStyle name="好_農路野溪預算第一派0804簽證說明進度" xfId="98" xr:uid="{00000000-0005-0000-0000-000065000000}"/>
    <cellStyle name="好_預算書-1" xfId="99" xr:uid="{00000000-0005-0000-0000-000066000000}"/>
    <cellStyle name="好_預算標價清單" xfId="100" xr:uid="{00000000-0005-0000-0000-000067000000}"/>
    <cellStyle name="好_臨江路預算" xfId="101" xr:uid="{00000000-0005-0000-0000-000068000000}"/>
    <cellStyle name="好_臨江路預算xxxx" xfId="102" xr:uid="{00000000-0005-0000-0000-000069000000}"/>
    <cellStyle name="好_豐原區南嵩里中坑巷道路復建工程dddd" xfId="103" xr:uid="{00000000-0005-0000-0000-00006A000000}"/>
    <cellStyle name="好_豐原區第12公墓納骨堂聯外道路復建工程" xfId="104" xr:uid="{00000000-0005-0000-0000-00006B000000}"/>
    <cellStyle name="好_豐原區第12公墓納骨堂聯外道路復建工程C" xfId="105" xr:uid="{00000000-0005-0000-0000-00006C000000}"/>
    <cellStyle name="百分比" xfId="106" builtinId="5"/>
    <cellStyle name="百分比 2" xfId="107" xr:uid="{00000000-0005-0000-0000-00006E000000}"/>
    <cellStyle name="附註" xfId="108" xr:uid="{00000000-0005-0000-0000-00006F000000}"/>
    <cellStyle name="挖方" xfId="109" xr:uid="{00000000-0005-0000-0000-000070000000}"/>
    <cellStyle name="貨幣" xfId="140" builtinId="4"/>
    <cellStyle name="貨幣[0]_1估明" xfId="110" xr:uid="{00000000-0005-0000-0000-000072000000}"/>
    <cellStyle name="單價分析表表格[1]" xfId="111" xr:uid="{00000000-0005-0000-0000-000073000000}"/>
    <cellStyle name="超連結 2" xfId="112" xr:uid="{00000000-0005-0000-0000-000074000000}"/>
    <cellStyle name="詳細表" xfId="113" xr:uid="{00000000-0005-0000-0000-000075000000}"/>
    <cellStyle name="詳細表 2" xfId="114" xr:uid="{00000000-0005-0000-0000-000076000000}"/>
    <cellStyle name="樣式 1" xfId="115" xr:uid="{00000000-0005-0000-0000-000077000000}"/>
    <cellStyle name="機械挖方" xfId="116" xr:uid="{00000000-0005-0000-0000-000078000000}"/>
    <cellStyle name="壞_102年度臺中市農路野溪及水土保持維護改善工程-標價調整-446" xfId="117" xr:uid="{00000000-0005-0000-0000-000079000000}"/>
    <cellStyle name="壞_1064(決算)101.01.09" xfId="118" xr:uid="{00000000-0005-0000-0000-00007A000000}"/>
    <cellStyle name="壞_1064(結算)100.12.28" xfId="119" xr:uid="{00000000-0005-0000-0000-00007B000000}"/>
    <cellStyle name="壞_1064(變更設計)0708" xfId="120" xr:uid="{00000000-0005-0000-0000-00007C000000}"/>
    <cellStyle name="壞_12" xfId="121" xr:uid="{00000000-0005-0000-0000-00007D000000}"/>
    <cellStyle name="壞_大甲鎮中山路1064巷護欄及道路等工程-預算 - 1000627002" xfId="122" xr:uid="{00000000-0005-0000-0000-00007E000000}"/>
    <cellStyle name="壞_大坑巷預算-2" xfId="123" xr:uid="{00000000-0005-0000-0000-00007F000000}"/>
    <cellStyle name="壞_甲后路變更" xfId="124" xr:uid="{00000000-0005-0000-0000-000080000000}"/>
    <cellStyle name="壞_甲安福安重劃區決算" xfId="125" xr:uid="{00000000-0005-0000-0000-000081000000}"/>
    <cellStyle name="壞_甲安福安重劃區預算-修正" xfId="126" xr:uid="{00000000-0005-0000-0000-000082000000}"/>
    <cellStyle name="壞_甲安福安重劃區變更1129v1" xfId="127" xr:uid="{00000000-0005-0000-0000-000083000000}"/>
    <cellStyle name="壞_東勢中嵙溪0817" xfId="128" xr:uid="{00000000-0005-0000-0000-000084000000}"/>
    <cellStyle name="壞_清水區10-14-1道路工程(調整單價)-1" xfId="129" xr:uid="{00000000-0005-0000-0000-000085000000}"/>
    <cellStyle name="壞_第12公墓合約單價" xfId="130" xr:uid="{00000000-0005-0000-0000-000086000000}"/>
    <cellStyle name="壞_農路野溪預算第一派0804簽證說明進度" xfId="131" xr:uid="{00000000-0005-0000-0000-000087000000}"/>
    <cellStyle name="壞_預算書-1" xfId="132" xr:uid="{00000000-0005-0000-0000-000088000000}"/>
    <cellStyle name="壞_預算標價清單" xfId="133" xr:uid="{00000000-0005-0000-0000-000089000000}"/>
    <cellStyle name="壞_臨江路預算" xfId="134" xr:uid="{00000000-0005-0000-0000-00008A000000}"/>
    <cellStyle name="壞_臨江路預算xxxx" xfId="135" xr:uid="{00000000-0005-0000-0000-00008B000000}"/>
    <cellStyle name="壞_豐原區南嵩里中坑巷道路復建工程dddd" xfId="136" xr:uid="{00000000-0005-0000-0000-00008C000000}"/>
    <cellStyle name="壞_豐原區第12公墓納骨堂聯外道路復建工程" xfId="137" xr:uid="{00000000-0005-0000-0000-00008D000000}"/>
    <cellStyle name="壞_豐原區第12公墓納骨堂聯外道路復建工程C" xfId="138" xr:uid="{00000000-0005-0000-0000-00008E000000}"/>
    <cellStyle name="콤마 [0]_M103CDT" xfId="139" xr:uid="{00000000-0005-0000-0000-00008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9" Type="http://schemas.openxmlformats.org/officeDocument/2006/relationships/theme" Target="theme/theme1.xml"/><Relationship Id="rId21" Type="http://schemas.openxmlformats.org/officeDocument/2006/relationships/externalLink" Target="externalLinks/externalLink12.xml"/><Relationship Id="rId34" Type="http://schemas.openxmlformats.org/officeDocument/2006/relationships/externalLink" Target="externalLinks/externalLink25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externalLink" Target="externalLinks/externalLink23.xml"/><Relationship Id="rId37" Type="http://schemas.openxmlformats.org/officeDocument/2006/relationships/externalLink" Target="externalLinks/externalLink28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externalLink" Target="externalLinks/externalLink27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externalLink" Target="externalLinks/externalLink2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externalLink" Target="externalLinks/externalLink24.xml"/><Relationship Id="rId38" Type="http://schemas.openxmlformats.org/officeDocument/2006/relationships/externalLink" Target="externalLinks/externalLink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444501</xdr:colOff>
      <xdr:row>2</xdr:row>
      <xdr:rowOff>206374</xdr:rowOff>
    </xdr:from>
    <xdr:to>
      <xdr:col>3</xdr:col>
      <xdr:colOff>182339</xdr:colOff>
      <xdr:row>4</xdr:row>
      <xdr:rowOff>95249</xdr:rowOff>
    </xdr:to>
    <xdr:pic>
      <xdr:nvPicPr>
        <xdr:cNvPr id="3" name="圖片 2" descr="臺中市龍井區公所-熱門服務-區徽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126" y="619124"/>
          <a:ext cx="1103088" cy="77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412750</xdr:colOff>
      <xdr:row>3</xdr:row>
      <xdr:rowOff>15875</xdr:rowOff>
    </xdr:from>
    <xdr:to>
      <xdr:col>3</xdr:col>
      <xdr:colOff>150588</xdr:colOff>
      <xdr:row>4</xdr:row>
      <xdr:rowOff>111125</xdr:rowOff>
    </xdr:to>
    <xdr:pic>
      <xdr:nvPicPr>
        <xdr:cNvPr id="3" name="圖片 2" descr="臺中市龍井區公所-熱門服務-區徽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635000"/>
          <a:ext cx="1103088" cy="77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30" name="Text Box 2315">
          <a:extLst>
            <a:ext uri="{FF2B5EF4-FFF2-40B4-BE49-F238E27FC236}">
              <a16:creationId xmlns:a16="http://schemas.microsoft.com/office/drawing/2014/main" id="{00000000-0008-0000-0400-000062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31" name="Text Box 2316">
          <a:extLst>
            <a:ext uri="{FF2B5EF4-FFF2-40B4-BE49-F238E27FC236}">
              <a16:creationId xmlns:a16="http://schemas.microsoft.com/office/drawing/2014/main" id="{00000000-0008-0000-0400-000063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32" name="Text Box 2317">
          <a:extLst>
            <a:ext uri="{FF2B5EF4-FFF2-40B4-BE49-F238E27FC236}">
              <a16:creationId xmlns:a16="http://schemas.microsoft.com/office/drawing/2014/main" id="{00000000-0008-0000-0400-000064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33" name="Text Box 2318">
          <a:extLst>
            <a:ext uri="{FF2B5EF4-FFF2-40B4-BE49-F238E27FC236}">
              <a16:creationId xmlns:a16="http://schemas.microsoft.com/office/drawing/2014/main" id="{00000000-0008-0000-0400-000065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34" name="Text Box 2319">
          <a:extLst>
            <a:ext uri="{FF2B5EF4-FFF2-40B4-BE49-F238E27FC236}">
              <a16:creationId xmlns:a16="http://schemas.microsoft.com/office/drawing/2014/main" id="{00000000-0008-0000-0400-000066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35" name="Text Box 2320">
          <a:extLst>
            <a:ext uri="{FF2B5EF4-FFF2-40B4-BE49-F238E27FC236}">
              <a16:creationId xmlns:a16="http://schemas.microsoft.com/office/drawing/2014/main" id="{00000000-0008-0000-0400-000067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36" name="Text Box 2321">
          <a:extLst>
            <a:ext uri="{FF2B5EF4-FFF2-40B4-BE49-F238E27FC236}">
              <a16:creationId xmlns:a16="http://schemas.microsoft.com/office/drawing/2014/main" id="{00000000-0008-0000-0400-000068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37" name="Text Box 2322">
          <a:extLst>
            <a:ext uri="{FF2B5EF4-FFF2-40B4-BE49-F238E27FC236}">
              <a16:creationId xmlns:a16="http://schemas.microsoft.com/office/drawing/2014/main" id="{00000000-0008-0000-0400-000069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38" name="Text Box 2323">
          <a:extLst>
            <a:ext uri="{FF2B5EF4-FFF2-40B4-BE49-F238E27FC236}">
              <a16:creationId xmlns:a16="http://schemas.microsoft.com/office/drawing/2014/main" id="{00000000-0008-0000-0400-00006A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39" name="Text Box 2324">
          <a:extLst>
            <a:ext uri="{FF2B5EF4-FFF2-40B4-BE49-F238E27FC236}">
              <a16:creationId xmlns:a16="http://schemas.microsoft.com/office/drawing/2014/main" id="{00000000-0008-0000-0400-00006B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40" name="Text Box 2325">
          <a:extLst>
            <a:ext uri="{FF2B5EF4-FFF2-40B4-BE49-F238E27FC236}">
              <a16:creationId xmlns:a16="http://schemas.microsoft.com/office/drawing/2014/main" id="{00000000-0008-0000-0400-00006C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41" name="Text Box 2326">
          <a:extLst>
            <a:ext uri="{FF2B5EF4-FFF2-40B4-BE49-F238E27FC236}">
              <a16:creationId xmlns:a16="http://schemas.microsoft.com/office/drawing/2014/main" id="{00000000-0008-0000-0400-00006D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42" name="Text Box 2327">
          <a:extLst>
            <a:ext uri="{FF2B5EF4-FFF2-40B4-BE49-F238E27FC236}">
              <a16:creationId xmlns:a16="http://schemas.microsoft.com/office/drawing/2014/main" id="{00000000-0008-0000-0400-00006E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43" name="Text Box 2328">
          <a:extLst>
            <a:ext uri="{FF2B5EF4-FFF2-40B4-BE49-F238E27FC236}">
              <a16:creationId xmlns:a16="http://schemas.microsoft.com/office/drawing/2014/main" id="{00000000-0008-0000-0400-00006F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44" name="Text Box 2329">
          <a:extLst>
            <a:ext uri="{FF2B5EF4-FFF2-40B4-BE49-F238E27FC236}">
              <a16:creationId xmlns:a16="http://schemas.microsoft.com/office/drawing/2014/main" id="{00000000-0008-0000-0400-000070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45" name="Text Box 2330">
          <a:extLst>
            <a:ext uri="{FF2B5EF4-FFF2-40B4-BE49-F238E27FC236}">
              <a16:creationId xmlns:a16="http://schemas.microsoft.com/office/drawing/2014/main" id="{00000000-0008-0000-0400-000071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46" name="Text Box 2331">
          <a:extLst>
            <a:ext uri="{FF2B5EF4-FFF2-40B4-BE49-F238E27FC236}">
              <a16:creationId xmlns:a16="http://schemas.microsoft.com/office/drawing/2014/main" id="{00000000-0008-0000-0400-000072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47" name="Text Box 2332">
          <a:extLst>
            <a:ext uri="{FF2B5EF4-FFF2-40B4-BE49-F238E27FC236}">
              <a16:creationId xmlns:a16="http://schemas.microsoft.com/office/drawing/2014/main" id="{00000000-0008-0000-0400-000073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48" name="Text Box 2333">
          <a:extLst>
            <a:ext uri="{FF2B5EF4-FFF2-40B4-BE49-F238E27FC236}">
              <a16:creationId xmlns:a16="http://schemas.microsoft.com/office/drawing/2014/main" id="{00000000-0008-0000-0400-000074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49" name="Text Box 2334">
          <a:extLst>
            <a:ext uri="{FF2B5EF4-FFF2-40B4-BE49-F238E27FC236}">
              <a16:creationId xmlns:a16="http://schemas.microsoft.com/office/drawing/2014/main" id="{00000000-0008-0000-0400-000075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50" name="Text Box 2335">
          <a:extLst>
            <a:ext uri="{FF2B5EF4-FFF2-40B4-BE49-F238E27FC236}">
              <a16:creationId xmlns:a16="http://schemas.microsoft.com/office/drawing/2014/main" id="{00000000-0008-0000-0400-000076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51" name="Text Box 2336">
          <a:extLst>
            <a:ext uri="{FF2B5EF4-FFF2-40B4-BE49-F238E27FC236}">
              <a16:creationId xmlns:a16="http://schemas.microsoft.com/office/drawing/2014/main" id="{00000000-0008-0000-0400-000077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52" name="Text Box 2337">
          <a:extLst>
            <a:ext uri="{FF2B5EF4-FFF2-40B4-BE49-F238E27FC236}">
              <a16:creationId xmlns:a16="http://schemas.microsoft.com/office/drawing/2014/main" id="{00000000-0008-0000-0400-000078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53" name="Text Box 2338">
          <a:extLst>
            <a:ext uri="{FF2B5EF4-FFF2-40B4-BE49-F238E27FC236}">
              <a16:creationId xmlns:a16="http://schemas.microsoft.com/office/drawing/2014/main" id="{00000000-0008-0000-0400-000079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54" name="Text Box 2339">
          <a:extLst>
            <a:ext uri="{FF2B5EF4-FFF2-40B4-BE49-F238E27FC236}">
              <a16:creationId xmlns:a16="http://schemas.microsoft.com/office/drawing/2014/main" id="{00000000-0008-0000-0400-00007A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55" name="Text Box 2340">
          <a:extLst>
            <a:ext uri="{FF2B5EF4-FFF2-40B4-BE49-F238E27FC236}">
              <a16:creationId xmlns:a16="http://schemas.microsoft.com/office/drawing/2014/main" id="{00000000-0008-0000-0400-00007B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56" name="Text Box 2341">
          <a:extLst>
            <a:ext uri="{FF2B5EF4-FFF2-40B4-BE49-F238E27FC236}">
              <a16:creationId xmlns:a16="http://schemas.microsoft.com/office/drawing/2014/main" id="{00000000-0008-0000-0400-00007C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57" name="Text Box 2342">
          <a:extLst>
            <a:ext uri="{FF2B5EF4-FFF2-40B4-BE49-F238E27FC236}">
              <a16:creationId xmlns:a16="http://schemas.microsoft.com/office/drawing/2014/main" id="{00000000-0008-0000-0400-00007D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58" name="Text Box 2343">
          <a:extLst>
            <a:ext uri="{FF2B5EF4-FFF2-40B4-BE49-F238E27FC236}">
              <a16:creationId xmlns:a16="http://schemas.microsoft.com/office/drawing/2014/main" id="{00000000-0008-0000-0400-00007E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59" name="Text Box 2344">
          <a:extLst>
            <a:ext uri="{FF2B5EF4-FFF2-40B4-BE49-F238E27FC236}">
              <a16:creationId xmlns:a16="http://schemas.microsoft.com/office/drawing/2014/main" id="{00000000-0008-0000-0400-00007F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60" name="Text Box 2345">
          <a:extLst>
            <a:ext uri="{FF2B5EF4-FFF2-40B4-BE49-F238E27FC236}">
              <a16:creationId xmlns:a16="http://schemas.microsoft.com/office/drawing/2014/main" id="{00000000-0008-0000-0400-000080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61" name="Text Box 2346">
          <a:extLst>
            <a:ext uri="{FF2B5EF4-FFF2-40B4-BE49-F238E27FC236}">
              <a16:creationId xmlns:a16="http://schemas.microsoft.com/office/drawing/2014/main" id="{00000000-0008-0000-0400-000081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62" name="Text Box 2347">
          <a:extLst>
            <a:ext uri="{FF2B5EF4-FFF2-40B4-BE49-F238E27FC236}">
              <a16:creationId xmlns:a16="http://schemas.microsoft.com/office/drawing/2014/main" id="{00000000-0008-0000-0400-000082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63" name="Text Box 2348">
          <a:extLst>
            <a:ext uri="{FF2B5EF4-FFF2-40B4-BE49-F238E27FC236}">
              <a16:creationId xmlns:a16="http://schemas.microsoft.com/office/drawing/2014/main" id="{00000000-0008-0000-0400-000083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64" name="Text Box 2349">
          <a:extLst>
            <a:ext uri="{FF2B5EF4-FFF2-40B4-BE49-F238E27FC236}">
              <a16:creationId xmlns:a16="http://schemas.microsoft.com/office/drawing/2014/main" id="{00000000-0008-0000-0400-000084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65" name="Text Box 2350">
          <a:extLst>
            <a:ext uri="{FF2B5EF4-FFF2-40B4-BE49-F238E27FC236}">
              <a16:creationId xmlns:a16="http://schemas.microsoft.com/office/drawing/2014/main" id="{00000000-0008-0000-0400-000085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66" name="Text Box 2351">
          <a:extLst>
            <a:ext uri="{FF2B5EF4-FFF2-40B4-BE49-F238E27FC236}">
              <a16:creationId xmlns:a16="http://schemas.microsoft.com/office/drawing/2014/main" id="{00000000-0008-0000-0400-000086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67" name="Text Box 2352">
          <a:extLst>
            <a:ext uri="{FF2B5EF4-FFF2-40B4-BE49-F238E27FC236}">
              <a16:creationId xmlns:a16="http://schemas.microsoft.com/office/drawing/2014/main" id="{00000000-0008-0000-0400-000087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68" name="Text Box 2353">
          <a:extLst>
            <a:ext uri="{FF2B5EF4-FFF2-40B4-BE49-F238E27FC236}">
              <a16:creationId xmlns:a16="http://schemas.microsoft.com/office/drawing/2014/main" id="{00000000-0008-0000-0400-000088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69" name="Text Box 2354">
          <a:extLst>
            <a:ext uri="{FF2B5EF4-FFF2-40B4-BE49-F238E27FC236}">
              <a16:creationId xmlns:a16="http://schemas.microsoft.com/office/drawing/2014/main" id="{00000000-0008-0000-0400-000089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70" name="Text Box 2355">
          <a:extLst>
            <a:ext uri="{FF2B5EF4-FFF2-40B4-BE49-F238E27FC236}">
              <a16:creationId xmlns:a16="http://schemas.microsoft.com/office/drawing/2014/main" id="{00000000-0008-0000-0400-00008A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71" name="Text Box 2356">
          <a:extLst>
            <a:ext uri="{FF2B5EF4-FFF2-40B4-BE49-F238E27FC236}">
              <a16:creationId xmlns:a16="http://schemas.microsoft.com/office/drawing/2014/main" id="{00000000-0008-0000-0400-00008B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72" name="Text Box 2357">
          <a:extLst>
            <a:ext uri="{FF2B5EF4-FFF2-40B4-BE49-F238E27FC236}">
              <a16:creationId xmlns:a16="http://schemas.microsoft.com/office/drawing/2014/main" id="{00000000-0008-0000-0400-00008C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73" name="Text Box 2358">
          <a:extLst>
            <a:ext uri="{FF2B5EF4-FFF2-40B4-BE49-F238E27FC236}">
              <a16:creationId xmlns:a16="http://schemas.microsoft.com/office/drawing/2014/main" id="{00000000-0008-0000-0400-00008D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74" name="Text Box 2359">
          <a:extLst>
            <a:ext uri="{FF2B5EF4-FFF2-40B4-BE49-F238E27FC236}">
              <a16:creationId xmlns:a16="http://schemas.microsoft.com/office/drawing/2014/main" id="{00000000-0008-0000-0400-00008E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75" name="Text Box 2360">
          <a:extLst>
            <a:ext uri="{FF2B5EF4-FFF2-40B4-BE49-F238E27FC236}">
              <a16:creationId xmlns:a16="http://schemas.microsoft.com/office/drawing/2014/main" id="{00000000-0008-0000-0400-00008F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76" name="Text Box 2361">
          <a:extLst>
            <a:ext uri="{FF2B5EF4-FFF2-40B4-BE49-F238E27FC236}">
              <a16:creationId xmlns:a16="http://schemas.microsoft.com/office/drawing/2014/main" id="{00000000-0008-0000-0400-000090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77" name="Text Box 2362">
          <a:extLst>
            <a:ext uri="{FF2B5EF4-FFF2-40B4-BE49-F238E27FC236}">
              <a16:creationId xmlns:a16="http://schemas.microsoft.com/office/drawing/2014/main" id="{00000000-0008-0000-0400-000091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78" name="Text Box 2363">
          <a:extLst>
            <a:ext uri="{FF2B5EF4-FFF2-40B4-BE49-F238E27FC236}">
              <a16:creationId xmlns:a16="http://schemas.microsoft.com/office/drawing/2014/main" id="{00000000-0008-0000-0400-000092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79" name="Text Box 2364">
          <a:extLst>
            <a:ext uri="{FF2B5EF4-FFF2-40B4-BE49-F238E27FC236}">
              <a16:creationId xmlns:a16="http://schemas.microsoft.com/office/drawing/2014/main" id="{00000000-0008-0000-0400-000093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80" name="Text Box 2365">
          <a:extLst>
            <a:ext uri="{FF2B5EF4-FFF2-40B4-BE49-F238E27FC236}">
              <a16:creationId xmlns:a16="http://schemas.microsoft.com/office/drawing/2014/main" id="{00000000-0008-0000-0400-000094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81" name="Text Box 2366">
          <a:extLst>
            <a:ext uri="{FF2B5EF4-FFF2-40B4-BE49-F238E27FC236}">
              <a16:creationId xmlns:a16="http://schemas.microsoft.com/office/drawing/2014/main" id="{00000000-0008-0000-0400-000095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82" name="Text Box 2367">
          <a:extLst>
            <a:ext uri="{FF2B5EF4-FFF2-40B4-BE49-F238E27FC236}">
              <a16:creationId xmlns:a16="http://schemas.microsoft.com/office/drawing/2014/main" id="{00000000-0008-0000-0400-000096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83" name="Text Box 2368">
          <a:extLst>
            <a:ext uri="{FF2B5EF4-FFF2-40B4-BE49-F238E27FC236}">
              <a16:creationId xmlns:a16="http://schemas.microsoft.com/office/drawing/2014/main" id="{00000000-0008-0000-0400-000097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84" name="Text Box 2369">
          <a:extLst>
            <a:ext uri="{FF2B5EF4-FFF2-40B4-BE49-F238E27FC236}">
              <a16:creationId xmlns:a16="http://schemas.microsoft.com/office/drawing/2014/main" id="{00000000-0008-0000-0400-000098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85" name="Text Box 2370">
          <a:extLst>
            <a:ext uri="{FF2B5EF4-FFF2-40B4-BE49-F238E27FC236}">
              <a16:creationId xmlns:a16="http://schemas.microsoft.com/office/drawing/2014/main" id="{00000000-0008-0000-0400-000099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86" name="Text Box 2371">
          <a:extLst>
            <a:ext uri="{FF2B5EF4-FFF2-40B4-BE49-F238E27FC236}">
              <a16:creationId xmlns:a16="http://schemas.microsoft.com/office/drawing/2014/main" id="{00000000-0008-0000-0400-00009A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87" name="Text Box 2372">
          <a:extLst>
            <a:ext uri="{FF2B5EF4-FFF2-40B4-BE49-F238E27FC236}">
              <a16:creationId xmlns:a16="http://schemas.microsoft.com/office/drawing/2014/main" id="{00000000-0008-0000-0400-00009B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88" name="Text Box 2373">
          <a:extLst>
            <a:ext uri="{FF2B5EF4-FFF2-40B4-BE49-F238E27FC236}">
              <a16:creationId xmlns:a16="http://schemas.microsoft.com/office/drawing/2014/main" id="{00000000-0008-0000-0400-00009C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89" name="Text Box 2374">
          <a:extLst>
            <a:ext uri="{FF2B5EF4-FFF2-40B4-BE49-F238E27FC236}">
              <a16:creationId xmlns:a16="http://schemas.microsoft.com/office/drawing/2014/main" id="{00000000-0008-0000-0400-00009D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90" name="Text Box 2375">
          <a:extLst>
            <a:ext uri="{FF2B5EF4-FFF2-40B4-BE49-F238E27FC236}">
              <a16:creationId xmlns:a16="http://schemas.microsoft.com/office/drawing/2014/main" id="{00000000-0008-0000-0400-00009E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91" name="Text Box 2376">
          <a:extLst>
            <a:ext uri="{FF2B5EF4-FFF2-40B4-BE49-F238E27FC236}">
              <a16:creationId xmlns:a16="http://schemas.microsoft.com/office/drawing/2014/main" id="{00000000-0008-0000-0400-00009F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92" name="Text Box 2377">
          <a:extLst>
            <a:ext uri="{FF2B5EF4-FFF2-40B4-BE49-F238E27FC236}">
              <a16:creationId xmlns:a16="http://schemas.microsoft.com/office/drawing/2014/main" id="{00000000-0008-0000-0400-0000A0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93" name="Text Box 2378">
          <a:extLst>
            <a:ext uri="{FF2B5EF4-FFF2-40B4-BE49-F238E27FC236}">
              <a16:creationId xmlns:a16="http://schemas.microsoft.com/office/drawing/2014/main" id="{00000000-0008-0000-0400-0000A1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94" name="Text Box 2379">
          <a:extLst>
            <a:ext uri="{FF2B5EF4-FFF2-40B4-BE49-F238E27FC236}">
              <a16:creationId xmlns:a16="http://schemas.microsoft.com/office/drawing/2014/main" id="{00000000-0008-0000-0400-0000A2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95" name="Text Box 2380">
          <a:extLst>
            <a:ext uri="{FF2B5EF4-FFF2-40B4-BE49-F238E27FC236}">
              <a16:creationId xmlns:a16="http://schemas.microsoft.com/office/drawing/2014/main" id="{00000000-0008-0000-0400-0000A3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96" name="Text Box 2381">
          <a:extLst>
            <a:ext uri="{FF2B5EF4-FFF2-40B4-BE49-F238E27FC236}">
              <a16:creationId xmlns:a16="http://schemas.microsoft.com/office/drawing/2014/main" id="{00000000-0008-0000-0400-0000A4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97" name="Text Box 2382">
          <a:extLst>
            <a:ext uri="{FF2B5EF4-FFF2-40B4-BE49-F238E27FC236}">
              <a16:creationId xmlns:a16="http://schemas.microsoft.com/office/drawing/2014/main" id="{00000000-0008-0000-0400-0000A5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98" name="Text Box 2383">
          <a:extLst>
            <a:ext uri="{FF2B5EF4-FFF2-40B4-BE49-F238E27FC236}">
              <a16:creationId xmlns:a16="http://schemas.microsoft.com/office/drawing/2014/main" id="{00000000-0008-0000-0400-0000A6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599" name="Text Box 2384">
          <a:extLst>
            <a:ext uri="{FF2B5EF4-FFF2-40B4-BE49-F238E27FC236}">
              <a16:creationId xmlns:a16="http://schemas.microsoft.com/office/drawing/2014/main" id="{00000000-0008-0000-0400-0000A7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00" name="Text Box 2385">
          <a:extLst>
            <a:ext uri="{FF2B5EF4-FFF2-40B4-BE49-F238E27FC236}">
              <a16:creationId xmlns:a16="http://schemas.microsoft.com/office/drawing/2014/main" id="{00000000-0008-0000-0400-0000A8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01" name="Text Box 2386">
          <a:extLst>
            <a:ext uri="{FF2B5EF4-FFF2-40B4-BE49-F238E27FC236}">
              <a16:creationId xmlns:a16="http://schemas.microsoft.com/office/drawing/2014/main" id="{00000000-0008-0000-0400-0000A9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02" name="Text Box 2387">
          <a:extLst>
            <a:ext uri="{FF2B5EF4-FFF2-40B4-BE49-F238E27FC236}">
              <a16:creationId xmlns:a16="http://schemas.microsoft.com/office/drawing/2014/main" id="{00000000-0008-0000-0400-0000AA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03" name="Text Box 2388">
          <a:extLst>
            <a:ext uri="{FF2B5EF4-FFF2-40B4-BE49-F238E27FC236}">
              <a16:creationId xmlns:a16="http://schemas.microsoft.com/office/drawing/2014/main" id="{00000000-0008-0000-0400-0000AB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04" name="Text Box 2389">
          <a:extLst>
            <a:ext uri="{FF2B5EF4-FFF2-40B4-BE49-F238E27FC236}">
              <a16:creationId xmlns:a16="http://schemas.microsoft.com/office/drawing/2014/main" id="{00000000-0008-0000-0400-0000AC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05" name="Text Box 2390">
          <a:extLst>
            <a:ext uri="{FF2B5EF4-FFF2-40B4-BE49-F238E27FC236}">
              <a16:creationId xmlns:a16="http://schemas.microsoft.com/office/drawing/2014/main" id="{00000000-0008-0000-0400-0000AD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06" name="Text Box 2391">
          <a:extLst>
            <a:ext uri="{FF2B5EF4-FFF2-40B4-BE49-F238E27FC236}">
              <a16:creationId xmlns:a16="http://schemas.microsoft.com/office/drawing/2014/main" id="{00000000-0008-0000-0400-0000AE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07" name="Text Box 2392">
          <a:extLst>
            <a:ext uri="{FF2B5EF4-FFF2-40B4-BE49-F238E27FC236}">
              <a16:creationId xmlns:a16="http://schemas.microsoft.com/office/drawing/2014/main" id="{00000000-0008-0000-0400-0000AF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08" name="Text Box 2393">
          <a:extLst>
            <a:ext uri="{FF2B5EF4-FFF2-40B4-BE49-F238E27FC236}">
              <a16:creationId xmlns:a16="http://schemas.microsoft.com/office/drawing/2014/main" id="{00000000-0008-0000-0400-0000B0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09" name="Text Box 2394">
          <a:extLst>
            <a:ext uri="{FF2B5EF4-FFF2-40B4-BE49-F238E27FC236}">
              <a16:creationId xmlns:a16="http://schemas.microsoft.com/office/drawing/2014/main" id="{00000000-0008-0000-0400-0000B1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10" name="Text Box 2395">
          <a:extLst>
            <a:ext uri="{FF2B5EF4-FFF2-40B4-BE49-F238E27FC236}">
              <a16:creationId xmlns:a16="http://schemas.microsoft.com/office/drawing/2014/main" id="{00000000-0008-0000-0400-0000B2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11" name="Text Box 2396">
          <a:extLst>
            <a:ext uri="{FF2B5EF4-FFF2-40B4-BE49-F238E27FC236}">
              <a16:creationId xmlns:a16="http://schemas.microsoft.com/office/drawing/2014/main" id="{00000000-0008-0000-0400-0000B3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12" name="Text Box 2397">
          <a:extLst>
            <a:ext uri="{FF2B5EF4-FFF2-40B4-BE49-F238E27FC236}">
              <a16:creationId xmlns:a16="http://schemas.microsoft.com/office/drawing/2014/main" id="{00000000-0008-0000-0400-0000B4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13" name="Text Box 2398">
          <a:extLst>
            <a:ext uri="{FF2B5EF4-FFF2-40B4-BE49-F238E27FC236}">
              <a16:creationId xmlns:a16="http://schemas.microsoft.com/office/drawing/2014/main" id="{00000000-0008-0000-0400-0000B5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14" name="Text Box 2399">
          <a:extLst>
            <a:ext uri="{FF2B5EF4-FFF2-40B4-BE49-F238E27FC236}">
              <a16:creationId xmlns:a16="http://schemas.microsoft.com/office/drawing/2014/main" id="{00000000-0008-0000-0400-0000B6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15" name="Text Box 2400">
          <a:extLst>
            <a:ext uri="{FF2B5EF4-FFF2-40B4-BE49-F238E27FC236}">
              <a16:creationId xmlns:a16="http://schemas.microsoft.com/office/drawing/2014/main" id="{00000000-0008-0000-0400-0000B7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16" name="Text Box 2401">
          <a:extLst>
            <a:ext uri="{FF2B5EF4-FFF2-40B4-BE49-F238E27FC236}">
              <a16:creationId xmlns:a16="http://schemas.microsoft.com/office/drawing/2014/main" id="{00000000-0008-0000-0400-0000B8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17" name="Text Box 2402">
          <a:extLst>
            <a:ext uri="{FF2B5EF4-FFF2-40B4-BE49-F238E27FC236}">
              <a16:creationId xmlns:a16="http://schemas.microsoft.com/office/drawing/2014/main" id="{00000000-0008-0000-0400-0000B9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18" name="Text Box 2403">
          <a:extLst>
            <a:ext uri="{FF2B5EF4-FFF2-40B4-BE49-F238E27FC236}">
              <a16:creationId xmlns:a16="http://schemas.microsoft.com/office/drawing/2014/main" id="{00000000-0008-0000-0400-0000BA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19" name="Text Box 2404">
          <a:extLst>
            <a:ext uri="{FF2B5EF4-FFF2-40B4-BE49-F238E27FC236}">
              <a16:creationId xmlns:a16="http://schemas.microsoft.com/office/drawing/2014/main" id="{00000000-0008-0000-0400-0000BB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20" name="Text Box 2405">
          <a:extLst>
            <a:ext uri="{FF2B5EF4-FFF2-40B4-BE49-F238E27FC236}">
              <a16:creationId xmlns:a16="http://schemas.microsoft.com/office/drawing/2014/main" id="{00000000-0008-0000-0400-0000BC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21" name="Text Box 2406">
          <a:extLst>
            <a:ext uri="{FF2B5EF4-FFF2-40B4-BE49-F238E27FC236}">
              <a16:creationId xmlns:a16="http://schemas.microsoft.com/office/drawing/2014/main" id="{00000000-0008-0000-0400-0000BD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22" name="Text Box 2407">
          <a:extLst>
            <a:ext uri="{FF2B5EF4-FFF2-40B4-BE49-F238E27FC236}">
              <a16:creationId xmlns:a16="http://schemas.microsoft.com/office/drawing/2014/main" id="{00000000-0008-0000-0400-0000BE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23" name="Text Box 2408">
          <a:extLst>
            <a:ext uri="{FF2B5EF4-FFF2-40B4-BE49-F238E27FC236}">
              <a16:creationId xmlns:a16="http://schemas.microsoft.com/office/drawing/2014/main" id="{00000000-0008-0000-0400-0000BF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24" name="Text Box 2409">
          <a:extLst>
            <a:ext uri="{FF2B5EF4-FFF2-40B4-BE49-F238E27FC236}">
              <a16:creationId xmlns:a16="http://schemas.microsoft.com/office/drawing/2014/main" id="{00000000-0008-0000-0400-0000C0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25" name="Text Box 2410">
          <a:extLst>
            <a:ext uri="{FF2B5EF4-FFF2-40B4-BE49-F238E27FC236}">
              <a16:creationId xmlns:a16="http://schemas.microsoft.com/office/drawing/2014/main" id="{00000000-0008-0000-0400-0000C1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26" name="Text Box 2411">
          <a:extLst>
            <a:ext uri="{FF2B5EF4-FFF2-40B4-BE49-F238E27FC236}">
              <a16:creationId xmlns:a16="http://schemas.microsoft.com/office/drawing/2014/main" id="{00000000-0008-0000-0400-0000C2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27" name="Text Box 2412">
          <a:extLst>
            <a:ext uri="{FF2B5EF4-FFF2-40B4-BE49-F238E27FC236}">
              <a16:creationId xmlns:a16="http://schemas.microsoft.com/office/drawing/2014/main" id="{00000000-0008-0000-0400-0000C3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28" name="Text Box 2413">
          <a:extLst>
            <a:ext uri="{FF2B5EF4-FFF2-40B4-BE49-F238E27FC236}">
              <a16:creationId xmlns:a16="http://schemas.microsoft.com/office/drawing/2014/main" id="{00000000-0008-0000-0400-0000C4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29" name="Text Box 2414">
          <a:extLst>
            <a:ext uri="{FF2B5EF4-FFF2-40B4-BE49-F238E27FC236}">
              <a16:creationId xmlns:a16="http://schemas.microsoft.com/office/drawing/2014/main" id="{00000000-0008-0000-0400-0000C5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30" name="Text Box 2415">
          <a:extLst>
            <a:ext uri="{FF2B5EF4-FFF2-40B4-BE49-F238E27FC236}">
              <a16:creationId xmlns:a16="http://schemas.microsoft.com/office/drawing/2014/main" id="{00000000-0008-0000-0400-0000C6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31" name="Text Box 2416">
          <a:extLst>
            <a:ext uri="{FF2B5EF4-FFF2-40B4-BE49-F238E27FC236}">
              <a16:creationId xmlns:a16="http://schemas.microsoft.com/office/drawing/2014/main" id="{00000000-0008-0000-0400-0000C7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32" name="Text Box 2417">
          <a:extLst>
            <a:ext uri="{FF2B5EF4-FFF2-40B4-BE49-F238E27FC236}">
              <a16:creationId xmlns:a16="http://schemas.microsoft.com/office/drawing/2014/main" id="{00000000-0008-0000-0400-0000C8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33" name="Text Box 2418">
          <a:extLst>
            <a:ext uri="{FF2B5EF4-FFF2-40B4-BE49-F238E27FC236}">
              <a16:creationId xmlns:a16="http://schemas.microsoft.com/office/drawing/2014/main" id="{00000000-0008-0000-0400-0000C9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34" name="Text Box 2419">
          <a:extLst>
            <a:ext uri="{FF2B5EF4-FFF2-40B4-BE49-F238E27FC236}">
              <a16:creationId xmlns:a16="http://schemas.microsoft.com/office/drawing/2014/main" id="{00000000-0008-0000-0400-0000CA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35" name="Text Box 2420">
          <a:extLst>
            <a:ext uri="{FF2B5EF4-FFF2-40B4-BE49-F238E27FC236}">
              <a16:creationId xmlns:a16="http://schemas.microsoft.com/office/drawing/2014/main" id="{00000000-0008-0000-0400-0000CB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36" name="Text Box 2421">
          <a:extLst>
            <a:ext uri="{FF2B5EF4-FFF2-40B4-BE49-F238E27FC236}">
              <a16:creationId xmlns:a16="http://schemas.microsoft.com/office/drawing/2014/main" id="{00000000-0008-0000-0400-0000CC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37" name="Text Box 2422">
          <a:extLst>
            <a:ext uri="{FF2B5EF4-FFF2-40B4-BE49-F238E27FC236}">
              <a16:creationId xmlns:a16="http://schemas.microsoft.com/office/drawing/2014/main" id="{00000000-0008-0000-0400-0000CD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38" name="Text Box 2423">
          <a:extLst>
            <a:ext uri="{FF2B5EF4-FFF2-40B4-BE49-F238E27FC236}">
              <a16:creationId xmlns:a16="http://schemas.microsoft.com/office/drawing/2014/main" id="{00000000-0008-0000-0400-0000CE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39" name="Text Box 2424">
          <a:extLst>
            <a:ext uri="{FF2B5EF4-FFF2-40B4-BE49-F238E27FC236}">
              <a16:creationId xmlns:a16="http://schemas.microsoft.com/office/drawing/2014/main" id="{00000000-0008-0000-0400-0000CF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40" name="Text Box 2425">
          <a:extLst>
            <a:ext uri="{FF2B5EF4-FFF2-40B4-BE49-F238E27FC236}">
              <a16:creationId xmlns:a16="http://schemas.microsoft.com/office/drawing/2014/main" id="{00000000-0008-0000-0400-0000D0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41" name="Text Box 2426">
          <a:extLst>
            <a:ext uri="{FF2B5EF4-FFF2-40B4-BE49-F238E27FC236}">
              <a16:creationId xmlns:a16="http://schemas.microsoft.com/office/drawing/2014/main" id="{00000000-0008-0000-0400-0000D1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42" name="Text Box 2427">
          <a:extLst>
            <a:ext uri="{FF2B5EF4-FFF2-40B4-BE49-F238E27FC236}">
              <a16:creationId xmlns:a16="http://schemas.microsoft.com/office/drawing/2014/main" id="{00000000-0008-0000-0400-0000D2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43" name="Text Box 2428">
          <a:extLst>
            <a:ext uri="{FF2B5EF4-FFF2-40B4-BE49-F238E27FC236}">
              <a16:creationId xmlns:a16="http://schemas.microsoft.com/office/drawing/2014/main" id="{00000000-0008-0000-0400-0000D3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44" name="Text Box 2429">
          <a:extLst>
            <a:ext uri="{FF2B5EF4-FFF2-40B4-BE49-F238E27FC236}">
              <a16:creationId xmlns:a16="http://schemas.microsoft.com/office/drawing/2014/main" id="{00000000-0008-0000-0400-0000D4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45" name="Text Box 2430">
          <a:extLst>
            <a:ext uri="{FF2B5EF4-FFF2-40B4-BE49-F238E27FC236}">
              <a16:creationId xmlns:a16="http://schemas.microsoft.com/office/drawing/2014/main" id="{00000000-0008-0000-0400-0000D5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46" name="Text Box 2431">
          <a:extLst>
            <a:ext uri="{FF2B5EF4-FFF2-40B4-BE49-F238E27FC236}">
              <a16:creationId xmlns:a16="http://schemas.microsoft.com/office/drawing/2014/main" id="{00000000-0008-0000-0400-0000D6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47" name="Text Box 2432">
          <a:extLst>
            <a:ext uri="{FF2B5EF4-FFF2-40B4-BE49-F238E27FC236}">
              <a16:creationId xmlns:a16="http://schemas.microsoft.com/office/drawing/2014/main" id="{00000000-0008-0000-0400-0000D7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48" name="Text Box 2433">
          <a:extLst>
            <a:ext uri="{FF2B5EF4-FFF2-40B4-BE49-F238E27FC236}">
              <a16:creationId xmlns:a16="http://schemas.microsoft.com/office/drawing/2014/main" id="{00000000-0008-0000-0400-0000D8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49" name="Text Box 2434">
          <a:extLst>
            <a:ext uri="{FF2B5EF4-FFF2-40B4-BE49-F238E27FC236}">
              <a16:creationId xmlns:a16="http://schemas.microsoft.com/office/drawing/2014/main" id="{00000000-0008-0000-0400-0000D9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50" name="Text Box 2435">
          <a:extLst>
            <a:ext uri="{FF2B5EF4-FFF2-40B4-BE49-F238E27FC236}">
              <a16:creationId xmlns:a16="http://schemas.microsoft.com/office/drawing/2014/main" id="{00000000-0008-0000-0400-0000DA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51" name="Text Box 2436">
          <a:extLst>
            <a:ext uri="{FF2B5EF4-FFF2-40B4-BE49-F238E27FC236}">
              <a16:creationId xmlns:a16="http://schemas.microsoft.com/office/drawing/2014/main" id="{00000000-0008-0000-0400-0000DB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52" name="Text Box 2437">
          <a:extLst>
            <a:ext uri="{FF2B5EF4-FFF2-40B4-BE49-F238E27FC236}">
              <a16:creationId xmlns:a16="http://schemas.microsoft.com/office/drawing/2014/main" id="{00000000-0008-0000-0400-0000DC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53" name="Text Box 2438">
          <a:extLst>
            <a:ext uri="{FF2B5EF4-FFF2-40B4-BE49-F238E27FC236}">
              <a16:creationId xmlns:a16="http://schemas.microsoft.com/office/drawing/2014/main" id="{00000000-0008-0000-0400-0000DD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54" name="Text Box 2439">
          <a:extLst>
            <a:ext uri="{FF2B5EF4-FFF2-40B4-BE49-F238E27FC236}">
              <a16:creationId xmlns:a16="http://schemas.microsoft.com/office/drawing/2014/main" id="{00000000-0008-0000-0400-0000DE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55" name="Text Box 2440">
          <a:extLst>
            <a:ext uri="{FF2B5EF4-FFF2-40B4-BE49-F238E27FC236}">
              <a16:creationId xmlns:a16="http://schemas.microsoft.com/office/drawing/2014/main" id="{00000000-0008-0000-0400-0000DF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56" name="Text Box 2441">
          <a:extLst>
            <a:ext uri="{FF2B5EF4-FFF2-40B4-BE49-F238E27FC236}">
              <a16:creationId xmlns:a16="http://schemas.microsoft.com/office/drawing/2014/main" id="{00000000-0008-0000-0400-0000E0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57" name="Text Box 2442">
          <a:extLst>
            <a:ext uri="{FF2B5EF4-FFF2-40B4-BE49-F238E27FC236}">
              <a16:creationId xmlns:a16="http://schemas.microsoft.com/office/drawing/2014/main" id="{00000000-0008-0000-0400-0000E1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58" name="Text Box 2443">
          <a:extLst>
            <a:ext uri="{FF2B5EF4-FFF2-40B4-BE49-F238E27FC236}">
              <a16:creationId xmlns:a16="http://schemas.microsoft.com/office/drawing/2014/main" id="{00000000-0008-0000-0400-0000E2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59" name="Text Box 2444">
          <a:extLst>
            <a:ext uri="{FF2B5EF4-FFF2-40B4-BE49-F238E27FC236}">
              <a16:creationId xmlns:a16="http://schemas.microsoft.com/office/drawing/2014/main" id="{00000000-0008-0000-0400-0000E3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60" name="Text Box 2445">
          <a:extLst>
            <a:ext uri="{FF2B5EF4-FFF2-40B4-BE49-F238E27FC236}">
              <a16:creationId xmlns:a16="http://schemas.microsoft.com/office/drawing/2014/main" id="{00000000-0008-0000-0400-0000E4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61" name="Text Box 2446">
          <a:extLst>
            <a:ext uri="{FF2B5EF4-FFF2-40B4-BE49-F238E27FC236}">
              <a16:creationId xmlns:a16="http://schemas.microsoft.com/office/drawing/2014/main" id="{00000000-0008-0000-0400-0000E5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62" name="Text Box 2447">
          <a:extLst>
            <a:ext uri="{FF2B5EF4-FFF2-40B4-BE49-F238E27FC236}">
              <a16:creationId xmlns:a16="http://schemas.microsoft.com/office/drawing/2014/main" id="{00000000-0008-0000-0400-0000E6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63" name="Text Box 2448">
          <a:extLst>
            <a:ext uri="{FF2B5EF4-FFF2-40B4-BE49-F238E27FC236}">
              <a16:creationId xmlns:a16="http://schemas.microsoft.com/office/drawing/2014/main" id="{00000000-0008-0000-0400-0000E7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64" name="Text Box 2449">
          <a:extLst>
            <a:ext uri="{FF2B5EF4-FFF2-40B4-BE49-F238E27FC236}">
              <a16:creationId xmlns:a16="http://schemas.microsoft.com/office/drawing/2014/main" id="{00000000-0008-0000-0400-0000E8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65" name="Text Box 2450">
          <a:extLst>
            <a:ext uri="{FF2B5EF4-FFF2-40B4-BE49-F238E27FC236}">
              <a16:creationId xmlns:a16="http://schemas.microsoft.com/office/drawing/2014/main" id="{00000000-0008-0000-0400-0000E9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66" name="Text Box 2451">
          <a:extLst>
            <a:ext uri="{FF2B5EF4-FFF2-40B4-BE49-F238E27FC236}">
              <a16:creationId xmlns:a16="http://schemas.microsoft.com/office/drawing/2014/main" id="{00000000-0008-0000-0400-0000EA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67" name="Text Box 2452">
          <a:extLst>
            <a:ext uri="{FF2B5EF4-FFF2-40B4-BE49-F238E27FC236}">
              <a16:creationId xmlns:a16="http://schemas.microsoft.com/office/drawing/2014/main" id="{00000000-0008-0000-0400-0000EB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68" name="Text Box 2453">
          <a:extLst>
            <a:ext uri="{FF2B5EF4-FFF2-40B4-BE49-F238E27FC236}">
              <a16:creationId xmlns:a16="http://schemas.microsoft.com/office/drawing/2014/main" id="{00000000-0008-0000-0400-0000EC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69" name="Text Box 2454">
          <a:extLst>
            <a:ext uri="{FF2B5EF4-FFF2-40B4-BE49-F238E27FC236}">
              <a16:creationId xmlns:a16="http://schemas.microsoft.com/office/drawing/2014/main" id="{00000000-0008-0000-0400-0000ED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70" name="Text Box 2455">
          <a:extLst>
            <a:ext uri="{FF2B5EF4-FFF2-40B4-BE49-F238E27FC236}">
              <a16:creationId xmlns:a16="http://schemas.microsoft.com/office/drawing/2014/main" id="{00000000-0008-0000-0400-0000EE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71" name="Text Box 2456">
          <a:extLst>
            <a:ext uri="{FF2B5EF4-FFF2-40B4-BE49-F238E27FC236}">
              <a16:creationId xmlns:a16="http://schemas.microsoft.com/office/drawing/2014/main" id="{00000000-0008-0000-0400-0000EF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72" name="Text Box 2457">
          <a:extLst>
            <a:ext uri="{FF2B5EF4-FFF2-40B4-BE49-F238E27FC236}">
              <a16:creationId xmlns:a16="http://schemas.microsoft.com/office/drawing/2014/main" id="{00000000-0008-0000-0400-0000F0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73" name="Text Box 2458">
          <a:extLst>
            <a:ext uri="{FF2B5EF4-FFF2-40B4-BE49-F238E27FC236}">
              <a16:creationId xmlns:a16="http://schemas.microsoft.com/office/drawing/2014/main" id="{00000000-0008-0000-0400-0000F1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74" name="Text Box 2459">
          <a:extLst>
            <a:ext uri="{FF2B5EF4-FFF2-40B4-BE49-F238E27FC236}">
              <a16:creationId xmlns:a16="http://schemas.microsoft.com/office/drawing/2014/main" id="{00000000-0008-0000-0400-0000F2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75" name="Text Box 2460">
          <a:extLst>
            <a:ext uri="{FF2B5EF4-FFF2-40B4-BE49-F238E27FC236}">
              <a16:creationId xmlns:a16="http://schemas.microsoft.com/office/drawing/2014/main" id="{00000000-0008-0000-0400-0000F3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76" name="Text Box 2461">
          <a:extLst>
            <a:ext uri="{FF2B5EF4-FFF2-40B4-BE49-F238E27FC236}">
              <a16:creationId xmlns:a16="http://schemas.microsoft.com/office/drawing/2014/main" id="{00000000-0008-0000-0400-0000F4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77" name="Text Box 2462">
          <a:extLst>
            <a:ext uri="{FF2B5EF4-FFF2-40B4-BE49-F238E27FC236}">
              <a16:creationId xmlns:a16="http://schemas.microsoft.com/office/drawing/2014/main" id="{00000000-0008-0000-0400-0000F5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78" name="Text Box 2463">
          <a:extLst>
            <a:ext uri="{FF2B5EF4-FFF2-40B4-BE49-F238E27FC236}">
              <a16:creationId xmlns:a16="http://schemas.microsoft.com/office/drawing/2014/main" id="{00000000-0008-0000-0400-0000F6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79" name="Text Box 2464">
          <a:extLst>
            <a:ext uri="{FF2B5EF4-FFF2-40B4-BE49-F238E27FC236}">
              <a16:creationId xmlns:a16="http://schemas.microsoft.com/office/drawing/2014/main" id="{00000000-0008-0000-0400-0000F7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80" name="Text Box 2465">
          <a:extLst>
            <a:ext uri="{FF2B5EF4-FFF2-40B4-BE49-F238E27FC236}">
              <a16:creationId xmlns:a16="http://schemas.microsoft.com/office/drawing/2014/main" id="{00000000-0008-0000-0400-0000F8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81" name="Text Box 2466">
          <a:extLst>
            <a:ext uri="{FF2B5EF4-FFF2-40B4-BE49-F238E27FC236}">
              <a16:creationId xmlns:a16="http://schemas.microsoft.com/office/drawing/2014/main" id="{00000000-0008-0000-0400-0000F9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82" name="Text Box 2467">
          <a:extLst>
            <a:ext uri="{FF2B5EF4-FFF2-40B4-BE49-F238E27FC236}">
              <a16:creationId xmlns:a16="http://schemas.microsoft.com/office/drawing/2014/main" id="{00000000-0008-0000-0400-0000FA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83" name="Text Box 2468">
          <a:extLst>
            <a:ext uri="{FF2B5EF4-FFF2-40B4-BE49-F238E27FC236}">
              <a16:creationId xmlns:a16="http://schemas.microsoft.com/office/drawing/2014/main" id="{00000000-0008-0000-0400-0000FB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84" name="Text Box 2469">
          <a:extLst>
            <a:ext uri="{FF2B5EF4-FFF2-40B4-BE49-F238E27FC236}">
              <a16:creationId xmlns:a16="http://schemas.microsoft.com/office/drawing/2014/main" id="{00000000-0008-0000-0400-0000FC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85" name="Text Box 2470">
          <a:extLst>
            <a:ext uri="{FF2B5EF4-FFF2-40B4-BE49-F238E27FC236}">
              <a16:creationId xmlns:a16="http://schemas.microsoft.com/office/drawing/2014/main" id="{00000000-0008-0000-0400-0000FD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86" name="Text Box 2471">
          <a:extLst>
            <a:ext uri="{FF2B5EF4-FFF2-40B4-BE49-F238E27FC236}">
              <a16:creationId xmlns:a16="http://schemas.microsoft.com/office/drawing/2014/main" id="{00000000-0008-0000-0400-0000FE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87" name="Text Box 2472">
          <a:extLst>
            <a:ext uri="{FF2B5EF4-FFF2-40B4-BE49-F238E27FC236}">
              <a16:creationId xmlns:a16="http://schemas.microsoft.com/office/drawing/2014/main" id="{00000000-0008-0000-0400-0000FF81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88" name="Text Box 2473">
          <a:extLst>
            <a:ext uri="{FF2B5EF4-FFF2-40B4-BE49-F238E27FC236}">
              <a16:creationId xmlns:a16="http://schemas.microsoft.com/office/drawing/2014/main" id="{00000000-0008-0000-0400-00000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89" name="Text Box 2474">
          <a:extLst>
            <a:ext uri="{FF2B5EF4-FFF2-40B4-BE49-F238E27FC236}">
              <a16:creationId xmlns:a16="http://schemas.microsoft.com/office/drawing/2014/main" id="{00000000-0008-0000-0400-00000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90" name="Text Box 2475">
          <a:extLst>
            <a:ext uri="{FF2B5EF4-FFF2-40B4-BE49-F238E27FC236}">
              <a16:creationId xmlns:a16="http://schemas.microsoft.com/office/drawing/2014/main" id="{00000000-0008-0000-0400-00000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91" name="Text Box 2476">
          <a:extLst>
            <a:ext uri="{FF2B5EF4-FFF2-40B4-BE49-F238E27FC236}">
              <a16:creationId xmlns:a16="http://schemas.microsoft.com/office/drawing/2014/main" id="{00000000-0008-0000-0400-00000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92" name="Text Box 2477">
          <a:extLst>
            <a:ext uri="{FF2B5EF4-FFF2-40B4-BE49-F238E27FC236}">
              <a16:creationId xmlns:a16="http://schemas.microsoft.com/office/drawing/2014/main" id="{00000000-0008-0000-0400-00000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93" name="Text Box 2478">
          <a:extLst>
            <a:ext uri="{FF2B5EF4-FFF2-40B4-BE49-F238E27FC236}">
              <a16:creationId xmlns:a16="http://schemas.microsoft.com/office/drawing/2014/main" id="{00000000-0008-0000-0400-00000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94" name="Text Box 2479">
          <a:extLst>
            <a:ext uri="{FF2B5EF4-FFF2-40B4-BE49-F238E27FC236}">
              <a16:creationId xmlns:a16="http://schemas.microsoft.com/office/drawing/2014/main" id="{00000000-0008-0000-0400-00000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95" name="Text Box 2480">
          <a:extLst>
            <a:ext uri="{FF2B5EF4-FFF2-40B4-BE49-F238E27FC236}">
              <a16:creationId xmlns:a16="http://schemas.microsoft.com/office/drawing/2014/main" id="{00000000-0008-0000-0400-00000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96" name="Text Box 2481">
          <a:extLst>
            <a:ext uri="{FF2B5EF4-FFF2-40B4-BE49-F238E27FC236}">
              <a16:creationId xmlns:a16="http://schemas.microsoft.com/office/drawing/2014/main" id="{00000000-0008-0000-0400-00000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97" name="Text Box 2482">
          <a:extLst>
            <a:ext uri="{FF2B5EF4-FFF2-40B4-BE49-F238E27FC236}">
              <a16:creationId xmlns:a16="http://schemas.microsoft.com/office/drawing/2014/main" id="{00000000-0008-0000-0400-00000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98" name="Text Box 2483">
          <a:extLst>
            <a:ext uri="{FF2B5EF4-FFF2-40B4-BE49-F238E27FC236}">
              <a16:creationId xmlns:a16="http://schemas.microsoft.com/office/drawing/2014/main" id="{00000000-0008-0000-0400-00000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699" name="Text Box 2484">
          <a:extLst>
            <a:ext uri="{FF2B5EF4-FFF2-40B4-BE49-F238E27FC236}">
              <a16:creationId xmlns:a16="http://schemas.microsoft.com/office/drawing/2014/main" id="{00000000-0008-0000-0400-00000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00" name="Text Box 2485">
          <a:extLst>
            <a:ext uri="{FF2B5EF4-FFF2-40B4-BE49-F238E27FC236}">
              <a16:creationId xmlns:a16="http://schemas.microsoft.com/office/drawing/2014/main" id="{00000000-0008-0000-0400-00000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01" name="Text Box 2486">
          <a:extLst>
            <a:ext uri="{FF2B5EF4-FFF2-40B4-BE49-F238E27FC236}">
              <a16:creationId xmlns:a16="http://schemas.microsoft.com/office/drawing/2014/main" id="{00000000-0008-0000-0400-00000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02" name="Text Box 2487">
          <a:extLst>
            <a:ext uri="{FF2B5EF4-FFF2-40B4-BE49-F238E27FC236}">
              <a16:creationId xmlns:a16="http://schemas.microsoft.com/office/drawing/2014/main" id="{00000000-0008-0000-0400-00000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03" name="Text Box 2488">
          <a:extLst>
            <a:ext uri="{FF2B5EF4-FFF2-40B4-BE49-F238E27FC236}">
              <a16:creationId xmlns:a16="http://schemas.microsoft.com/office/drawing/2014/main" id="{00000000-0008-0000-0400-00000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04" name="Text Box 2489">
          <a:extLst>
            <a:ext uri="{FF2B5EF4-FFF2-40B4-BE49-F238E27FC236}">
              <a16:creationId xmlns:a16="http://schemas.microsoft.com/office/drawing/2014/main" id="{00000000-0008-0000-0400-00001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05" name="Text Box 2490">
          <a:extLst>
            <a:ext uri="{FF2B5EF4-FFF2-40B4-BE49-F238E27FC236}">
              <a16:creationId xmlns:a16="http://schemas.microsoft.com/office/drawing/2014/main" id="{00000000-0008-0000-0400-00001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06" name="Text Box 2491">
          <a:extLst>
            <a:ext uri="{FF2B5EF4-FFF2-40B4-BE49-F238E27FC236}">
              <a16:creationId xmlns:a16="http://schemas.microsoft.com/office/drawing/2014/main" id="{00000000-0008-0000-0400-00001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07" name="Text Box 2492">
          <a:extLst>
            <a:ext uri="{FF2B5EF4-FFF2-40B4-BE49-F238E27FC236}">
              <a16:creationId xmlns:a16="http://schemas.microsoft.com/office/drawing/2014/main" id="{00000000-0008-0000-0400-00001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08" name="Text Box 2493">
          <a:extLst>
            <a:ext uri="{FF2B5EF4-FFF2-40B4-BE49-F238E27FC236}">
              <a16:creationId xmlns:a16="http://schemas.microsoft.com/office/drawing/2014/main" id="{00000000-0008-0000-0400-00001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09" name="Text Box 2494">
          <a:extLst>
            <a:ext uri="{FF2B5EF4-FFF2-40B4-BE49-F238E27FC236}">
              <a16:creationId xmlns:a16="http://schemas.microsoft.com/office/drawing/2014/main" id="{00000000-0008-0000-0400-00001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10" name="Text Box 2495">
          <a:extLst>
            <a:ext uri="{FF2B5EF4-FFF2-40B4-BE49-F238E27FC236}">
              <a16:creationId xmlns:a16="http://schemas.microsoft.com/office/drawing/2014/main" id="{00000000-0008-0000-0400-00001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11" name="Text Box 2496">
          <a:extLst>
            <a:ext uri="{FF2B5EF4-FFF2-40B4-BE49-F238E27FC236}">
              <a16:creationId xmlns:a16="http://schemas.microsoft.com/office/drawing/2014/main" id="{00000000-0008-0000-0400-00001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12" name="Text Box 2497">
          <a:extLst>
            <a:ext uri="{FF2B5EF4-FFF2-40B4-BE49-F238E27FC236}">
              <a16:creationId xmlns:a16="http://schemas.microsoft.com/office/drawing/2014/main" id="{00000000-0008-0000-0400-00001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13" name="Text Box 2498">
          <a:extLst>
            <a:ext uri="{FF2B5EF4-FFF2-40B4-BE49-F238E27FC236}">
              <a16:creationId xmlns:a16="http://schemas.microsoft.com/office/drawing/2014/main" id="{00000000-0008-0000-0400-00001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14" name="Text Box 2499">
          <a:extLst>
            <a:ext uri="{FF2B5EF4-FFF2-40B4-BE49-F238E27FC236}">
              <a16:creationId xmlns:a16="http://schemas.microsoft.com/office/drawing/2014/main" id="{00000000-0008-0000-0400-00001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15" name="Text Box 2500">
          <a:extLst>
            <a:ext uri="{FF2B5EF4-FFF2-40B4-BE49-F238E27FC236}">
              <a16:creationId xmlns:a16="http://schemas.microsoft.com/office/drawing/2014/main" id="{00000000-0008-0000-0400-00001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16" name="Text Box 2501">
          <a:extLst>
            <a:ext uri="{FF2B5EF4-FFF2-40B4-BE49-F238E27FC236}">
              <a16:creationId xmlns:a16="http://schemas.microsoft.com/office/drawing/2014/main" id="{00000000-0008-0000-0400-00001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17" name="Text Box 2502">
          <a:extLst>
            <a:ext uri="{FF2B5EF4-FFF2-40B4-BE49-F238E27FC236}">
              <a16:creationId xmlns:a16="http://schemas.microsoft.com/office/drawing/2014/main" id="{00000000-0008-0000-0400-00001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18" name="Text Box 2503">
          <a:extLst>
            <a:ext uri="{FF2B5EF4-FFF2-40B4-BE49-F238E27FC236}">
              <a16:creationId xmlns:a16="http://schemas.microsoft.com/office/drawing/2014/main" id="{00000000-0008-0000-0400-00001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19" name="Text Box 2504">
          <a:extLst>
            <a:ext uri="{FF2B5EF4-FFF2-40B4-BE49-F238E27FC236}">
              <a16:creationId xmlns:a16="http://schemas.microsoft.com/office/drawing/2014/main" id="{00000000-0008-0000-0400-00001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20" name="Text Box 2505">
          <a:extLst>
            <a:ext uri="{FF2B5EF4-FFF2-40B4-BE49-F238E27FC236}">
              <a16:creationId xmlns:a16="http://schemas.microsoft.com/office/drawing/2014/main" id="{00000000-0008-0000-0400-00002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21" name="Text Box 2506">
          <a:extLst>
            <a:ext uri="{FF2B5EF4-FFF2-40B4-BE49-F238E27FC236}">
              <a16:creationId xmlns:a16="http://schemas.microsoft.com/office/drawing/2014/main" id="{00000000-0008-0000-0400-00002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22" name="Text Box 2507">
          <a:extLst>
            <a:ext uri="{FF2B5EF4-FFF2-40B4-BE49-F238E27FC236}">
              <a16:creationId xmlns:a16="http://schemas.microsoft.com/office/drawing/2014/main" id="{00000000-0008-0000-0400-00002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23" name="Text Box 2508">
          <a:extLst>
            <a:ext uri="{FF2B5EF4-FFF2-40B4-BE49-F238E27FC236}">
              <a16:creationId xmlns:a16="http://schemas.microsoft.com/office/drawing/2014/main" id="{00000000-0008-0000-0400-00002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24" name="Text Box 2509">
          <a:extLst>
            <a:ext uri="{FF2B5EF4-FFF2-40B4-BE49-F238E27FC236}">
              <a16:creationId xmlns:a16="http://schemas.microsoft.com/office/drawing/2014/main" id="{00000000-0008-0000-0400-00002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25" name="Text Box 2510">
          <a:extLst>
            <a:ext uri="{FF2B5EF4-FFF2-40B4-BE49-F238E27FC236}">
              <a16:creationId xmlns:a16="http://schemas.microsoft.com/office/drawing/2014/main" id="{00000000-0008-0000-0400-00002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26" name="Text Box 2511">
          <a:extLst>
            <a:ext uri="{FF2B5EF4-FFF2-40B4-BE49-F238E27FC236}">
              <a16:creationId xmlns:a16="http://schemas.microsoft.com/office/drawing/2014/main" id="{00000000-0008-0000-0400-00002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27" name="Text Box 2512">
          <a:extLst>
            <a:ext uri="{FF2B5EF4-FFF2-40B4-BE49-F238E27FC236}">
              <a16:creationId xmlns:a16="http://schemas.microsoft.com/office/drawing/2014/main" id="{00000000-0008-0000-0400-00002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28" name="Text Box 2513">
          <a:extLst>
            <a:ext uri="{FF2B5EF4-FFF2-40B4-BE49-F238E27FC236}">
              <a16:creationId xmlns:a16="http://schemas.microsoft.com/office/drawing/2014/main" id="{00000000-0008-0000-0400-00002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29" name="Text Box 2514">
          <a:extLst>
            <a:ext uri="{FF2B5EF4-FFF2-40B4-BE49-F238E27FC236}">
              <a16:creationId xmlns:a16="http://schemas.microsoft.com/office/drawing/2014/main" id="{00000000-0008-0000-0400-00002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30" name="Text Box 2515">
          <a:extLst>
            <a:ext uri="{FF2B5EF4-FFF2-40B4-BE49-F238E27FC236}">
              <a16:creationId xmlns:a16="http://schemas.microsoft.com/office/drawing/2014/main" id="{00000000-0008-0000-0400-00002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31" name="Text Box 2516">
          <a:extLst>
            <a:ext uri="{FF2B5EF4-FFF2-40B4-BE49-F238E27FC236}">
              <a16:creationId xmlns:a16="http://schemas.microsoft.com/office/drawing/2014/main" id="{00000000-0008-0000-0400-00002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32" name="Text Box 2517">
          <a:extLst>
            <a:ext uri="{FF2B5EF4-FFF2-40B4-BE49-F238E27FC236}">
              <a16:creationId xmlns:a16="http://schemas.microsoft.com/office/drawing/2014/main" id="{00000000-0008-0000-0400-00002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33" name="Text Box 2518">
          <a:extLst>
            <a:ext uri="{FF2B5EF4-FFF2-40B4-BE49-F238E27FC236}">
              <a16:creationId xmlns:a16="http://schemas.microsoft.com/office/drawing/2014/main" id="{00000000-0008-0000-0400-00002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34" name="Text Box 2519">
          <a:extLst>
            <a:ext uri="{FF2B5EF4-FFF2-40B4-BE49-F238E27FC236}">
              <a16:creationId xmlns:a16="http://schemas.microsoft.com/office/drawing/2014/main" id="{00000000-0008-0000-0400-00002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35" name="Text Box 2520">
          <a:extLst>
            <a:ext uri="{FF2B5EF4-FFF2-40B4-BE49-F238E27FC236}">
              <a16:creationId xmlns:a16="http://schemas.microsoft.com/office/drawing/2014/main" id="{00000000-0008-0000-0400-00002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36" name="Text Box 2521">
          <a:extLst>
            <a:ext uri="{FF2B5EF4-FFF2-40B4-BE49-F238E27FC236}">
              <a16:creationId xmlns:a16="http://schemas.microsoft.com/office/drawing/2014/main" id="{00000000-0008-0000-0400-00003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37" name="Text Box 2522">
          <a:extLst>
            <a:ext uri="{FF2B5EF4-FFF2-40B4-BE49-F238E27FC236}">
              <a16:creationId xmlns:a16="http://schemas.microsoft.com/office/drawing/2014/main" id="{00000000-0008-0000-0400-00003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38" name="Text Box 2523">
          <a:extLst>
            <a:ext uri="{FF2B5EF4-FFF2-40B4-BE49-F238E27FC236}">
              <a16:creationId xmlns:a16="http://schemas.microsoft.com/office/drawing/2014/main" id="{00000000-0008-0000-0400-00003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39" name="Text Box 2524">
          <a:extLst>
            <a:ext uri="{FF2B5EF4-FFF2-40B4-BE49-F238E27FC236}">
              <a16:creationId xmlns:a16="http://schemas.microsoft.com/office/drawing/2014/main" id="{00000000-0008-0000-0400-00003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40" name="Text Box 2525">
          <a:extLst>
            <a:ext uri="{FF2B5EF4-FFF2-40B4-BE49-F238E27FC236}">
              <a16:creationId xmlns:a16="http://schemas.microsoft.com/office/drawing/2014/main" id="{00000000-0008-0000-0400-00003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41" name="Text Box 2526">
          <a:extLst>
            <a:ext uri="{FF2B5EF4-FFF2-40B4-BE49-F238E27FC236}">
              <a16:creationId xmlns:a16="http://schemas.microsoft.com/office/drawing/2014/main" id="{00000000-0008-0000-0400-00003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42" name="Text Box 2527">
          <a:extLst>
            <a:ext uri="{FF2B5EF4-FFF2-40B4-BE49-F238E27FC236}">
              <a16:creationId xmlns:a16="http://schemas.microsoft.com/office/drawing/2014/main" id="{00000000-0008-0000-0400-00003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43" name="Text Box 2528">
          <a:extLst>
            <a:ext uri="{FF2B5EF4-FFF2-40B4-BE49-F238E27FC236}">
              <a16:creationId xmlns:a16="http://schemas.microsoft.com/office/drawing/2014/main" id="{00000000-0008-0000-0400-00003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44" name="Text Box 2529">
          <a:extLst>
            <a:ext uri="{FF2B5EF4-FFF2-40B4-BE49-F238E27FC236}">
              <a16:creationId xmlns:a16="http://schemas.microsoft.com/office/drawing/2014/main" id="{00000000-0008-0000-0400-00003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45" name="Text Box 2530">
          <a:extLst>
            <a:ext uri="{FF2B5EF4-FFF2-40B4-BE49-F238E27FC236}">
              <a16:creationId xmlns:a16="http://schemas.microsoft.com/office/drawing/2014/main" id="{00000000-0008-0000-0400-00003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46" name="Text Box 2531">
          <a:extLst>
            <a:ext uri="{FF2B5EF4-FFF2-40B4-BE49-F238E27FC236}">
              <a16:creationId xmlns:a16="http://schemas.microsoft.com/office/drawing/2014/main" id="{00000000-0008-0000-0400-00003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47" name="Text Box 2532">
          <a:extLst>
            <a:ext uri="{FF2B5EF4-FFF2-40B4-BE49-F238E27FC236}">
              <a16:creationId xmlns:a16="http://schemas.microsoft.com/office/drawing/2014/main" id="{00000000-0008-0000-0400-00003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48" name="Text Box 2533">
          <a:extLst>
            <a:ext uri="{FF2B5EF4-FFF2-40B4-BE49-F238E27FC236}">
              <a16:creationId xmlns:a16="http://schemas.microsoft.com/office/drawing/2014/main" id="{00000000-0008-0000-0400-00003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49" name="Text Box 2534">
          <a:extLst>
            <a:ext uri="{FF2B5EF4-FFF2-40B4-BE49-F238E27FC236}">
              <a16:creationId xmlns:a16="http://schemas.microsoft.com/office/drawing/2014/main" id="{00000000-0008-0000-0400-00003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50" name="Text Box 2535">
          <a:extLst>
            <a:ext uri="{FF2B5EF4-FFF2-40B4-BE49-F238E27FC236}">
              <a16:creationId xmlns:a16="http://schemas.microsoft.com/office/drawing/2014/main" id="{00000000-0008-0000-0400-00003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51" name="Text Box 2536">
          <a:extLst>
            <a:ext uri="{FF2B5EF4-FFF2-40B4-BE49-F238E27FC236}">
              <a16:creationId xmlns:a16="http://schemas.microsoft.com/office/drawing/2014/main" id="{00000000-0008-0000-0400-00003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52" name="Text Box 2537">
          <a:extLst>
            <a:ext uri="{FF2B5EF4-FFF2-40B4-BE49-F238E27FC236}">
              <a16:creationId xmlns:a16="http://schemas.microsoft.com/office/drawing/2014/main" id="{00000000-0008-0000-0400-00004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53" name="Text Box 2538">
          <a:extLst>
            <a:ext uri="{FF2B5EF4-FFF2-40B4-BE49-F238E27FC236}">
              <a16:creationId xmlns:a16="http://schemas.microsoft.com/office/drawing/2014/main" id="{00000000-0008-0000-0400-00004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54" name="Text Box 2539">
          <a:extLst>
            <a:ext uri="{FF2B5EF4-FFF2-40B4-BE49-F238E27FC236}">
              <a16:creationId xmlns:a16="http://schemas.microsoft.com/office/drawing/2014/main" id="{00000000-0008-0000-0400-00004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55" name="Text Box 2540">
          <a:extLst>
            <a:ext uri="{FF2B5EF4-FFF2-40B4-BE49-F238E27FC236}">
              <a16:creationId xmlns:a16="http://schemas.microsoft.com/office/drawing/2014/main" id="{00000000-0008-0000-0400-00004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56" name="Text Box 2541">
          <a:extLst>
            <a:ext uri="{FF2B5EF4-FFF2-40B4-BE49-F238E27FC236}">
              <a16:creationId xmlns:a16="http://schemas.microsoft.com/office/drawing/2014/main" id="{00000000-0008-0000-0400-00004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57" name="Text Box 2542">
          <a:extLst>
            <a:ext uri="{FF2B5EF4-FFF2-40B4-BE49-F238E27FC236}">
              <a16:creationId xmlns:a16="http://schemas.microsoft.com/office/drawing/2014/main" id="{00000000-0008-0000-0400-00004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58" name="Text Box 2543">
          <a:extLst>
            <a:ext uri="{FF2B5EF4-FFF2-40B4-BE49-F238E27FC236}">
              <a16:creationId xmlns:a16="http://schemas.microsoft.com/office/drawing/2014/main" id="{00000000-0008-0000-0400-00004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59" name="Text Box 2544">
          <a:extLst>
            <a:ext uri="{FF2B5EF4-FFF2-40B4-BE49-F238E27FC236}">
              <a16:creationId xmlns:a16="http://schemas.microsoft.com/office/drawing/2014/main" id="{00000000-0008-0000-0400-00004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60" name="Text Box 2545">
          <a:extLst>
            <a:ext uri="{FF2B5EF4-FFF2-40B4-BE49-F238E27FC236}">
              <a16:creationId xmlns:a16="http://schemas.microsoft.com/office/drawing/2014/main" id="{00000000-0008-0000-0400-00004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61" name="Text Box 2546">
          <a:extLst>
            <a:ext uri="{FF2B5EF4-FFF2-40B4-BE49-F238E27FC236}">
              <a16:creationId xmlns:a16="http://schemas.microsoft.com/office/drawing/2014/main" id="{00000000-0008-0000-0400-00004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62" name="Text Box 2547">
          <a:extLst>
            <a:ext uri="{FF2B5EF4-FFF2-40B4-BE49-F238E27FC236}">
              <a16:creationId xmlns:a16="http://schemas.microsoft.com/office/drawing/2014/main" id="{00000000-0008-0000-0400-00004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63" name="Text Box 2548">
          <a:extLst>
            <a:ext uri="{FF2B5EF4-FFF2-40B4-BE49-F238E27FC236}">
              <a16:creationId xmlns:a16="http://schemas.microsoft.com/office/drawing/2014/main" id="{00000000-0008-0000-0400-00004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64" name="Text Box 2549">
          <a:extLst>
            <a:ext uri="{FF2B5EF4-FFF2-40B4-BE49-F238E27FC236}">
              <a16:creationId xmlns:a16="http://schemas.microsoft.com/office/drawing/2014/main" id="{00000000-0008-0000-0400-00004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65" name="Text Box 2550">
          <a:extLst>
            <a:ext uri="{FF2B5EF4-FFF2-40B4-BE49-F238E27FC236}">
              <a16:creationId xmlns:a16="http://schemas.microsoft.com/office/drawing/2014/main" id="{00000000-0008-0000-0400-00004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66" name="Text Box 2551">
          <a:extLst>
            <a:ext uri="{FF2B5EF4-FFF2-40B4-BE49-F238E27FC236}">
              <a16:creationId xmlns:a16="http://schemas.microsoft.com/office/drawing/2014/main" id="{00000000-0008-0000-0400-00004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67" name="Text Box 2552">
          <a:extLst>
            <a:ext uri="{FF2B5EF4-FFF2-40B4-BE49-F238E27FC236}">
              <a16:creationId xmlns:a16="http://schemas.microsoft.com/office/drawing/2014/main" id="{00000000-0008-0000-0400-00004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68" name="Text Box 2553">
          <a:extLst>
            <a:ext uri="{FF2B5EF4-FFF2-40B4-BE49-F238E27FC236}">
              <a16:creationId xmlns:a16="http://schemas.microsoft.com/office/drawing/2014/main" id="{00000000-0008-0000-0400-00005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69" name="Text Box 2554">
          <a:extLst>
            <a:ext uri="{FF2B5EF4-FFF2-40B4-BE49-F238E27FC236}">
              <a16:creationId xmlns:a16="http://schemas.microsoft.com/office/drawing/2014/main" id="{00000000-0008-0000-0400-00005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70" name="Text Box 2555">
          <a:extLst>
            <a:ext uri="{FF2B5EF4-FFF2-40B4-BE49-F238E27FC236}">
              <a16:creationId xmlns:a16="http://schemas.microsoft.com/office/drawing/2014/main" id="{00000000-0008-0000-0400-00005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71" name="Text Box 2556">
          <a:extLst>
            <a:ext uri="{FF2B5EF4-FFF2-40B4-BE49-F238E27FC236}">
              <a16:creationId xmlns:a16="http://schemas.microsoft.com/office/drawing/2014/main" id="{00000000-0008-0000-0400-00005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72" name="Text Box 2557">
          <a:extLst>
            <a:ext uri="{FF2B5EF4-FFF2-40B4-BE49-F238E27FC236}">
              <a16:creationId xmlns:a16="http://schemas.microsoft.com/office/drawing/2014/main" id="{00000000-0008-0000-0400-00005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73" name="Text Box 2558">
          <a:extLst>
            <a:ext uri="{FF2B5EF4-FFF2-40B4-BE49-F238E27FC236}">
              <a16:creationId xmlns:a16="http://schemas.microsoft.com/office/drawing/2014/main" id="{00000000-0008-0000-0400-00005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74" name="Text Box 2559">
          <a:extLst>
            <a:ext uri="{FF2B5EF4-FFF2-40B4-BE49-F238E27FC236}">
              <a16:creationId xmlns:a16="http://schemas.microsoft.com/office/drawing/2014/main" id="{00000000-0008-0000-0400-00005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75" name="Text Box 2560">
          <a:extLst>
            <a:ext uri="{FF2B5EF4-FFF2-40B4-BE49-F238E27FC236}">
              <a16:creationId xmlns:a16="http://schemas.microsoft.com/office/drawing/2014/main" id="{00000000-0008-0000-0400-00005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76" name="Text Box 2561">
          <a:extLst>
            <a:ext uri="{FF2B5EF4-FFF2-40B4-BE49-F238E27FC236}">
              <a16:creationId xmlns:a16="http://schemas.microsoft.com/office/drawing/2014/main" id="{00000000-0008-0000-0400-00005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77" name="Text Box 2562">
          <a:extLst>
            <a:ext uri="{FF2B5EF4-FFF2-40B4-BE49-F238E27FC236}">
              <a16:creationId xmlns:a16="http://schemas.microsoft.com/office/drawing/2014/main" id="{00000000-0008-0000-0400-00005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78" name="Text Box 2563">
          <a:extLst>
            <a:ext uri="{FF2B5EF4-FFF2-40B4-BE49-F238E27FC236}">
              <a16:creationId xmlns:a16="http://schemas.microsoft.com/office/drawing/2014/main" id="{00000000-0008-0000-0400-00005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79" name="Text Box 2564">
          <a:extLst>
            <a:ext uri="{FF2B5EF4-FFF2-40B4-BE49-F238E27FC236}">
              <a16:creationId xmlns:a16="http://schemas.microsoft.com/office/drawing/2014/main" id="{00000000-0008-0000-0400-00005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80" name="Text Box 2565">
          <a:extLst>
            <a:ext uri="{FF2B5EF4-FFF2-40B4-BE49-F238E27FC236}">
              <a16:creationId xmlns:a16="http://schemas.microsoft.com/office/drawing/2014/main" id="{00000000-0008-0000-0400-00005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81" name="Text Box 2566">
          <a:extLst>
            <a:ext uri="{FF2B5EF4-FFF2-40B4-BE49-F238E27FC236}">
              <a16:creationId xmlns:a16="http://schemas.microsoft.com/office/drawing/2014/main" id="{00000000-0008-0000-0400-00005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82" name="Text Box 2567">
          <a:extLst>
            <a:ext uri="{FF2B5EF4-FFF2-40B4-BE49-F238E27FC236}">
              <a16:creationId xmlns:a16="http://schemas.microsoft.com/office/drawing/2014/main" id="{00000000-0008-0000-0400-00005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83" name="Text Box 2568">
          <a:extLst>
            <a:ext uri="{FF2B5EF4-FFF2-40B4-BE49-F238E27FC236}">
              <a16:creationId xmlns:a16="http://schemas.microsoft.com/office/drawing/2014/main" id="{00000000-0008-0000-0400-00005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84" name="Text Box 2569">
          <a:extLst>
            <a:ext uri="{FF2B5EF4-FFF2-40B4-BE49-F238E27FC236}">
              <a16:creationId xmlns:a16="http://schemas.microsoft.com/office/drawing/2014/main" id="{00000000-0008-0000-0400-00006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85" name="Text Box 2570">
          <a:extLst>
            <a:ext uri="{FF2B5EF4-FFF2-40B4-BE49-F238E27FC236}">
              <a16:creationId xmlns:a16="http://schemas.microsoft.com/office/drawing/2014/main" id="{00000000-0008-0000-0400-00006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86" name="Text Box 2571">
          <a:extLst>
            <a:ext uri="{FF2B5EF4-FFF2-40B4-BE49-F238E27FC236}">
              <a16:creationId xmlns:a16="http://schemas.microsoft.com/office/drawing/2014/main" id="{00000000-0008-0000-0400-00006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87" name="Text Box 2572">
          <a:extLst>
            <a:ext uri="{FF2B5EF4-FFF2-40B4-BE49-F238E27FC236}">
              <a16:creationId xmlns:a16="http://schemas.microsoft.com/office/drawing/2014/main" id="{00000000-0008-0000-0400-00006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88" name="Text Box 2573">
          <a:extLst>
            <a:ext uri="{FF2B5EF4-FFF2-40B4-BE49-F238E27FC236}">
              <a16:creationId xmlns:a16="http://schemas.microsoft.com/office/drawing/2014/main" id="{00000000-0008-0000-0400-00006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89" name="Text Box 2574">
          <a:extLst>
            <a:ext uri="{FF2B5EF4-FFF2-40B4-BE49-F238E27FC236}">
              <a16:creationId xmlns:a16="http://schemas.microsoft.com/office/drawing/2014/main" id="{00000000-0008-0000-0400-00006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90" name="Text Box 2575">
          <a:extLst>
            <a:ext uri="{FF2B5EF4-FFF2-40B4-BE49-F238E27FC236}">
              <a16:creationId xmlns:a16="http://schemas.microsoft.com/office/drawing/2014/main" id="{00000000-0008-0000-0400-00006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91" name="Text Box 2576">
          <a:extLst>
            <a:ext uri="{FF2B5EF4-FFF2-40B4-BE49-F238E27FC236}">
              <a16:creationId xmlns:a16="http://schemas.microsoft.com/office/drawing/2014/main" id="{00000000-0008-0000-0400-00006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92" name="Text Box 2577">
          <a:extLst>
            <a:ext uri="{FF2B5EF4-FFF2-40B4-BE49-F238E27FC236}">
              <a16:creationId xmlns:a16="http://schemas.microsoft.com/office/drawing/2014/main" id="{00000000-0008-0000-0400-00006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93" name="Text Box 2578">
          <a:extLst>
            <a:ext uri="{FF2B5EF4-FFF2-40B4-BE49-F238E27FC236}">
              <a16:creationId xmlns:a16="http://schemas.microsoft.com/office/drawing/2014/main" id="{00000000-0008-0000-0400-00006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94" name="Text Box 2579">
          <a:extLst>
            <a:ext uri="{FF2B5EF4-FFF2-40B4-BE49-F238E27FC236}">
              <a16:creationId xmlns:a16="http://schemas.microsoft.com/office/drawing/2014/main" id="{00000000-0008-0000-0400-00006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95" name="Text Box 2580">
          <a:extLst>
            <a:ext uri="{FF2B5EF4-FFF2-40B4-BE49-F238E27FC236}">
              <a16:creationId xmlns:a16="http://schemas.microsoft.com/office/drawing/2014/main" id="{00000000-0008-0000-0400-00006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96" name="Text Box 2581">
          <a:extLst>
            <a:ext uri="{FF2B5EF4-FFF2-40B4-BE49-F238E27FC236}">
              <a16:creationId xmlns:a16="http://schemas.microsoft.com/office/drawing/2014/main" id="{00000000-0008-0000-0400-00006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97" name="Text Box 2582">
          <a:extLst>
            <a:ext uri="{FF2B5EF4-FFF2-40B4-BE49-F238E27FC236}">
              <a16:creationId xmlns:a16="http://schemas.microsoft.com/office/drawing/2014/main" id="{00000000-0008-0000-0400-00006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98" name="Text Box 2583">
          <a:extLst>
            <a:ext uri="{FF2B5EF4-FFF2-40B4-BE49-F238E27FC236}">
              <a16:creationId xmlns:a16="http://schemas.microsoft.com/office/drawing/2014/main" id="{00000000-0008-0000-0400-00006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799" name="Text Box 2584">
          <a:extLst>
            <a:ext uri="{FF2B5EF4-FFF2-40B4-BE49-F238E27FC236}">
              <a16:creationId xmlns:a16="http://schemas.microsoft.com/office/drawing/2014/main" id="{00000000-0008-0000-0400-00006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00" name="Text Box 2585">
          <a:extLst>
            <a:ext uri="{FF2B5EF4-FFF2-40B4-BE49-F238E27FC236}">
              <a16:creationId xmlns:a16="http://schemas.microsoft.com/office/drawing/2014/main" id="{00000000-0008-0000-0400-00007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01" name="Text Box 2586">
          <a:extLst>
            <a:ext uri="{FF2B5EF4-FFF2-40B4-BE49-F238E27FC236}">
              <a16:creationId xmlns:a16="http://schemas.microsoft.com/office/drawing/2014/main" id="{00000000-0008-0000-0400-00007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02" name="Text Box 2587">
          <a:extLst>
            <a:ext uri="{FF2B5EF4-FFF2-40B4-BE49-F238E27FC236}">
              <a16:creationId xmlns:a16="http://schemas.microsoft.com/office/drawing/2014/main" id="{00000000-0008-0000-0400-00007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03" name="Text Box 2588">
          <a:extLst>
            <a:ext uri="{FF2B5EF4-FFF2-40B4-BE49-F238E27FC236}">
              <a16:creationId xmlns:a16="http://schemas.microsoft.com/office/drawing/2014/main" id="{00000000-0008-0000-0400-00007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04" name="Text Box 2589">
          <a:extLst>
            <a:ext uri="{FF2B5EF4-FFF2-40B4-BE49-F238E27FC236}">
              <a16:creationId xmlns:a16="http://schemas.microsoft.com/office/drawing/2014/main" id="{00000000-0008-0000-0400-00007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05" name="Text Box 2590">
          <a:extLst>
            <a:ext uri="{FF2B5EF4-FFF2-40B4-BE49-F238E27FC236}">
              <a16:creationId xmlns:a16="http://schemas.microsoft.com/office/drawing/2014/main" id="{00000000-0008-0000-0400-00007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06" name="Text Box 2591">
          <a:extLst>
            <a:ext uri="{FF2B5EF4-FFF2-40B4-BE49-F238E27FC236}">
              <a16:creationId xmlns:a16="http://schemas.microsoft.com/office/drawing/2014/main" id="{00000000-0008-0000-0400-00007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07" name="Text Box 2592">
          <a:extLst>
            <a:ext uri="{FF2B5EF4-FFF2-40B4-BE49-F238E27FC236}">
              <a16:creationId xmlns:a16="http://schemas.microsoft.com/office/drawing/2014/main" id="{00000000-0008-0000-0400-00007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08" name="Text Box 2593">
          <a:extLst>
            <a:ext uri="{FF2B5EF4-FFF2-40B4-BE49-F238E27FC236}">
              <a16:creationId xmlns:a16="http://schemas.microsoft.com/office/drawing/2014/main" id="{00000000-0008-0000-0400-00007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09" name="Text Box 2594">
          <a:extLst>
            <a:ext uri="{FF2B5EF4-FFF2-40B4-BE49-F238E27FC236}">
              <a16:creationId xmlns:a16="http://schemas.microsoft.com/office/drawing/2014/main" id="{00000000-0008-0000-0400-00007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10" name="Text Box 2595">
          <a:extLst>
            <a:ext uri="{FF2B5EF4-FFF2-40B4-BE49-F238E27FC236}">
              <a16:creationId xmlns:a16="http://schemas.microsoft.com/office/drawing/2014/main" id="{00000000-0008-0000-0400-00007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11" name="Text Box 2596">
          <a:extLst>
            <a:ext uri="{FF2B5EF4-FFF2-40B4-BE49-F238E27FC236}">
              <a16:creationId xmlns:a16="http://schemas.microsoft.com/office/drawing/2014/main" id="{00000000-0008-0000-0400-00007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12" name="Text Box 2597">
          <a:extLst>
            <a:ext uri="{FF2B5EF4-FFF2-40B4-BE49-F238E27FC236}">
              <a16:creationId xmlns:a16="http://schemas.microsoft.com/office/drawing/2014/main" id="{00000000-0008-0000-0400-00007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13" name="Text Box 2598">
          <a:extLst>
            <a:ext uri="{FF2B5EF4-FFF2-40B4-BE49-F238E27FC236}">
              <a16:creationId xmlns:a16="http://schemas.microsoft.com/office/drawing/2014/main" id="{00000000-0008-0000-0400-00007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14" name="Text Box 2599">
          <a:extLst>
            <a:ext uri="{FF2B5EF4-FFF2-40B4-BE49-F238E27FC236}">
              <a16:creationId xmlns:a16="http://schemas.microsoft.com/office/drawing/2014/main" id="{00000000-0008-0000-0400-00007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15" name="Text Box 2600">
          <a:extLst>
            <a:ext uri="{FF2B5EF4-FFF2-40B4-BE49-F238E27FC236}">
              <a16:creationId xmlns:a16="http://schemas.microsoft.com/office/drawing/2014/main" id="{00000000-0008-0000-0400-00007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16" name="Text Box 2601">
          <a:extLst>
            <a:ext uri="{FF2B5EF4-FFF2-40B4-BE49-F238E27FC236}">
              <a16:creationId xmlns:a16="http://schemas.microsoft.com/office/drawing/2014/main" id="{00000000-0008-0000-0400-00008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17" name="Text Box 2602">
          <a:extLst>
            <a:ext uri="{FF2B5EF4-FFF2-40B4-BE49-F238E27FC236}">
              <a16:creationId xmlns:a16="http://schemas.microsoft.com/office/drawing/2014/main" id="{00000000-0008-0000-0400-00008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18" name="Text Box 2603">
          <a:extLst>
            <a:ext uri="{FF2B5EF4-FFF2-40B4-BE49-F238E27FC236}">
              <a16:creationId xmlns:a16="http://schemas.microsoft.com/office/drawing/2014/main" id="{00000000-0008-0000-0400-00008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19" name="Text Box 2604">
          <a:extLst>
            <a:ext uri="{FF2B5EF4-FFF2-40B4-BE49-F238E27FC236}">
              <a16:creationId xmlns:a16="http://schemas.microsoft.com/office/drawing/2014/main" id="{00000000-0008-0000-0400-00008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20" name="Text Box 2605">
          <a:extLst>
            <a:ext uri="{FF2B5EF4-FFF2-40B4-BE49-F238E27FC236}">
              <a16:creationId xmlns:a16="http://schemas.microsoft.com/office/drawing/2014/main" id="{00000000-0008-0000-0400-00008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21" name="Text Box 2606">
          <a:extLst>
            <a:ext uri="{FF2B5EF4-FFF2-40B4-BE49-F238E27FC236}">
              <a16:creationId xmlns:a16="http://schemas.microsoft.com/office/drawing/2014/main" id="{00000000-0008-0000-0400-00008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22" name="Text Box 2607">
          <a:extLst>
            <a:ext uri="{FF2B5EF4-FFF2-40B4-BE49-F238E27FC236}">
              <a16:creationId xmlns:a16="http://schemas.microsoft.com/office/drawing/2014/main" id="{00000000-0008-0000-0400-00008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23" name="Text Box 2608">
          <a:extLst>
            <a:ext uri="{FF2B5EF4-FFF2-40B4-BE49-F238E27FC236}">
              <a16:creationId xmlns:a16="http://schemas.microsoft.com/office/drawing/2014/main" id="{00000000-0008-0000-0400-00008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24" name="Text Box 2609">
          <a:extLst>
            <a:ext uri="{FF2B5EF4-FFF2-40B4-BE49-F238E27FC236}">
              <a16:creationId xmlns:a16="http://schemas.microsoft.com/office/drawing/2014/main" id="{00000000-0008-0000-0400-00008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25" name="Text Box 2610">
          <a:extLst>
            <a:ext uri="{FF2B5EF4-FFF2-40B4-BE49-F238E27FC236}">
              <a16:creationId xmlns:a16="http://schemas.microsoft.com/office/drawing/2014/main" id="{00000000-0008-0000-0400-00008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26" name="Text Box 2611">
          <a:extLst>
            <a:ext uri="{FF2B5EF4-FFF2-40B4-BE49-F238E27FC236}">
              <a16:creationId xmlns:a16="http://schemas.microsoft.com/office/drawing/2014/main" id="{00000000-0008-0000-0400-00008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27" name="Text Box 2612">
          <a:extLst>
            <a:ext uri="{FF2B5EF4-FFF2-40B4-BE49-F238E27FC236}">
              <a16:creationId xmlns:a16="http://schemas.microsoft.com/office/drawing/2014/main" id="{00000000-0008-0000-0400-00008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28" name="Text Box 2613">
          <a:extLst>
            <a:ext uri="{FF2B5EF4-FFF2-40B4-BE49-F238E27FC236}">
              <a16:creationId xmlns:a16="http://schemas.microsoft.com/office/drawing/2014/main" id="{00000000-0008-0000-0400-00008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29" name="Text Box 2614">
          <a:extLst>
            <a:ext uri="{FF2B5EF4-FFF2-40B4-BE49-F238E27FC236}">
              <a16:creationId xmlns:a16="http://schemas.microsoft.com/office/drawing/2014/main" id="{00000000-0008-0000-0400-00008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30" name="Text Box 2615">
          <a:extLst>
            <a:ext uri="{FF2B5EF4-FFF2-40B4-BE49-F238E27FC236}">
              <a16:creationId xmlns:a16="http://schemas.microsoft.com/office/drawing/2014/main" id="{00000000-0008-0000-0400-00008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31" name="Text Box 2616">
          <a:extLst>
            <a:ext uri="{FF2B5EF4-FFF2-40B4-BE49-F238E27FC236}">
              <a16:creationId xmlns:a16="http://schemas.microsoft.com/office/drawing/2014/main" id="{00000000-0008-0000-0400-00008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32" name="Text Box 2617">
          <a:extLst>
            <a:ext uri="{FF2B5EF4-FFF2-40B4-BE49-F238E27FC236}">
              <a16:creationId xmlns:a16="http://schemas.microsoft.com/office/drawing/2014/main" id="{00000000-0008-0000-0400-00009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33" name="Text Box 2618">
          <a:extLst>
            <a:ext uri="{FF2B5EF4-FFF2-40B4-BE49-F238E27FC236}">
              <a16:creationId xmlns:a16="http://schemas.microsoft.com/office/drawing/2014/main" id="{00000000-0008-0000-0400-00009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34" name="Text Box 2619">
          <a:extLst>
            <a:ext uri="{FF2B5EF4-FFF2-40B4-BE49-F238E27FC236}">
              <a16:creationId xmlns:a16="http://schemas.microsoft.com/office/drawing/2014/main" id="{00000000-0008-0000-0400-00009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35" name="Text Box 2620">
          <a:extLst>
            <a:ext uri="{FF2B5EF4-FFF2-40B4-BE49-F238E27FC236}">
              <a16:creationId xmlns:a16="http://schemas.microsoft.com/office/drawing/2014/main" id="{00000000-0008-0000-0400-00009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36" name="Text Box 2621">
          <a:extLst>
            <a:ext uri="{FF2B5EF4-FFF2-40B4-BE49-F238E27FC236}">
              <a16:creationId xmlns:a16="http://schemas.microsoft.com/office/drawing/2014/main" id="{00000000-0008-0000-0400-00009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37" name="Text Box 2622">
          <a:extLst>
            <a:ext uri="{FF2B5EF4-FFF2-40B4-BE49-F238E27FC236}">
              <a16:creationId xmlns:a16="http://schemas.microsoft.com/office/drawing/2014/main" id="{00000000-0008-0000-0400-00009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38" name="Text Box 2623">
          <a:extLst>
            <a:ext uri="{FF2B5EF4-FFF2-40B4-BE49-F238E27FC236}">
              <a16:creationId xmlns:a16="http://schemas.microsoft.com/office/drawing/2014/main" id="{00000000-0008-0000-0400-00009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39" name="Text Box 2624">
          <a:extLst>
            <a:ext uri="{FF2B5EF4-FFF2-40B4-BE49-F238E27FC236}">
              <a16:creationId xmlns:a16="http://schemas.microsoft.com/office/drawing/2014/main" id="{00000000-0008-0000-0400-00009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40" name="Text Box 2625">
          <a:extLst>
            <a:ext uri="{FF2B5EF4-FFF2-40B4-BE49-F238E27FC236}">
              <a16:creationId xmlns:a16="http://schemas.microsoft.com/office/drawing/2014/main" id="{00000000-0008-0000-0400-00009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41" name="Text Box 2626">
          <a:extLst>
            <a:ext uri="{FF2B5EF4-FFF2-40B4-BE49-F238E27FC236}">
              <a16:creationId xmlns:a16="http://schemas.microsoft.com/office/drawing/2014/main" id="{00000000-0008-0000-0400-00009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42" name="Text Box 2627">
          <a:extLst>
            <a:ext uri="{FF2B5EF4-FFF2-40B4-BE49-F238E27FC236}">
              <a16:creationId xmlns:a16="http://schemas.microsoft.com/office/drawing/2014/main" id="{00000000-0008-0000-0400-00009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43" name="Text Box 2628">
          <a:extLst>
            <a:ext uri="{FF2B5EF4-FFF2-40B4-BE49-F238E27FC236}">
              <a16:creationId xmlns:a16="http://schemas.microsoft.com/office/drawing/2014/main" id="{00000000-0008-0000-0400-00009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44" name="Text Box 2629">
          <a:extLst>
            <a:ext uri="{FF2B5EF4-FFF2-40B4-BE49-F238E27FC236}">
              <a16:creationId xmlns:a16="http://schemas.microsoft.com/office/drawing/2014/main" id="{00000000-0008-0000-0400-00009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45" name="Text Box 2630">
          <a:extLst>
            <a:ext uri="{FF2B5EF4-FFF2-40B4-BE49-F238E27FC236}">
              <a16:creationId xmlns:a16="http://schemas.microsoft.com/office/drawing/2014/main" id="{00000000-0008-0000-0400-00009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46" name="Text Box 2631">
          <a:extLst>
            <a:ext uri="{FF2B5EF4-FFF2-40B4-BE49-F238E27FC236}">
              <a16:creationId xmlns:a16="http://schemas.microsoft.com/office/drawing/2014/main" id="{00000000-0008-0000-0400-00009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47" name="Text Box 2632">
          <a:extLst>
            <a:ext uri="{FF2B5EF4-FFF2-40B4-BE49-F238E27FC236}">
              <a16:creationId xmlns:a16="http://schemas.microsoft.com/office/drawing/2014/main" id="{00000000-0008-0000-0400-00009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48" name="Text Box 2633">
          <a:extLst>
            <a:ext uri="{FF2B5EF4-FFF2-40B4-BE49-F238E27FC236}">
              <a16:creationId xmlns:a16="http://schemas.microsoft.com/office/drawing/2014/main" id="{00000000-0008-0000-0400-0000A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49" name="Text Box 2634">
          <a:extLst>
            <a:ext uri="{FF2B5EF4-FFF2-40B4-BE49-F238E27FC236}">
              <a16:creationId xmlns:a16="http://schemas.microsoft.com/office/drawing/2014/main" id="{00000000-0008-0000-0400-0000A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50" name="Text Box 2635">
          <a:extLst>
            <a:ext uri="{FF2B5EF4-FFF2-40B4-BE49-F238E27FC236}">
              <a16:creationId xmlns:a16="http://schemas.microsoft.com/office/drawing/2014/main" id="{00000000-0008-0000-0400-0000A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51" name="Text Box 2636">
          <a:extLst>
            <a:ext uri="{FF2B5EF4-FFF2-40B4-BE49-F238E27FC236}">
              <a16:creationId xmlns:a16="http://schemas.microsoft.com/office/drawing/2014/main" id="{00000000-0008-0000-0400-0000A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52" name="Text Box 2637">
          <a:extLst>
            <a:ext uri="{FF2B5EF4-FFF2-40B4-BE49-F238E27FC236}">
              <a16:creationId xmlns:a16="http://schemas.microsoft.com/office/drawing/2014/main" id="{00000000-0008-0000-0400-0000A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53" name="Text Box 2638">
          <a:extLst>
            <a:ext uri="{FF2B5EF4-FFF2-40B4-BE49-F238E27FC236}">
              <a16:creationId xmlns:a16="http://schemas.microsoft.com/office/drawing/2014/main" id="{00000000-0008-0000-0400-0000A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54" name="Text Box 2639">
          <a:extLst>
            <a:ext uri="{FF2B5EF4-FFF2-40B4-BE49-F238E27FC236}">
              <a16:creationId xmlns:a16="http://schemas.microsoft.com/office/drawing/2014/main" id="{00000000-0008-0000-0400-0000A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55" name="Text Box 2640">
          <a:extLst>
            <a:ext uri="{FF2B5EF4-FFF2-40B4-BE49-F238E27FC236}">
              <a16:creationId xmlns:a16="http://schemas.microsoft.com/office/drawing/2014/main" id="{00000000-0008-0000-0400-0000A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56" name="Text Box 2641">
          <a:extLst>
            <a:ext uri="{FF2B5EF4-FFF2-40B4-BE49-F238E27FC236}">
              <a16:creationId xmlns:a16="http://schemas.microsoft.com/office/drawing/2014/main" id="{00000000-0008-0000-0400-0000A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57" name="Text Box 2642">
          <a:extLst>
            <a:ext uri="{FF2B5EF4-FFF2-40B4-BE49-F238E27FC236}">
              <a16:creationId xmlns:a16="http://schemas.microsoft.com/office/drawing/2014/main" id="{00000000-0008-0000-0400-0000A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58" name="Text Box 2643">
          <a:extLst>
            <a:ext uri="{FF2B5EF4-FFF2-40B4-BE49-F238E27FC236}">
              <a16:creationId xmlns:a16="http://schemas.microsoft.com/office/drawing/2014/main" id="{00000000-0008-0000-0400-0000A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59" name="Text Box 2644">
          <a:extLst>
            <a:ext uri="{FF2B5EF4-FFF2-40B4-BE49-F238E27FC236}">
              <a16:creationId xmlns:a16="http://schemas.microsoft.com/office/drawing/2014/main" id="{00000000-0008-0000-0400-0000A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60" name="Text Box 2645">
          <a:extLst>
            <a:ext uri="{FF2B5EF4-FFF2-40B4-BE49-F238E27FC236}">
              <a16:creationId xmlns:a16="http://schemas.microsoft.com/office/drawing/2014/main" id="{00000000-0008-0000-0400-0000A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61" name="Text Box 2646">
          <a:extLst>
            <a:ext uri="{FF2B5EF4-FFF2-40B4-BE49-F238E27FC236}">
              <a16:creationId xmlns:a16="http://schemas.microsoft.com/office/drawing/2014/main" id="{00000000-0008-0000-0400-0000A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62" name="Text Box 2647">
          <a:extLst>
            <a:ext uri="{FF2B5EF4-FFF2-40B4-BE49-F238E27FC236}">
              <a16:creationId xmlns:a16="http://schemas.microsoft.com/office/drawing/2014/main" id="{00000000-0008-0000-0400-0000A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63" name="Text Box 2648">
          <a:extLst>
            <a:ext uri="{FF2B5EF4-FFF2-40B4-BE49-F238E27FC236}">
              <a16:creationId xmlns:a16="http://schemas.microsoft.com/office/drawing/2014/main" id="{00000000-0008-0000-0400-0000A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64" name="Text Box 2649">
          <a:extLst>
            <a:ext uri="{FF2B5EF4-FFF2-40B4-BE49-F238E27FC236}">
              <a16:creationId xmlns:a16="http://schemas.microsoft.com/office/drawing/2014/main" id="{00000000-0008-0000-0400-0000B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65" name="Text Box 2650">
          <a:extLst>
            <a:ext uri="{FF2B5EF4-FFF2-40B4-BE49-F238E27FC236}">
              <a16:creationId xmlns:a16="http://schemas.microsoft.com/office/drawing/2014/main" id="{00000000-0008-0000-0400-0000B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66" name="Text Box 2651">
          <a:extLst>
            <a:ext uri="{FF2B5EF4-FFF2-40B4-BE49-F238E27FC236}">
              <a16:creationId xmlns:a16="http://schemas.microsoft.com/office/drawing/2014/main" id="{00000000-0008-0000-0400-0000B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67" name="Text Box 2652">
          <a:extLst>
            <a:ext uri="{FF2B5EF4-FFF2-40B4-BE49-F238E27FC236}">
              <a16:creationId xmlns:a16="http://schemas.microsoft.com/office/drawing/2014/main" id="{00000000-0008-0000-0400-0000B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68" name="Text Box 2653">
          <a:extLst>
            <a:ext uri="{FF2B5EF4-FFF2-40B4-BE49-F238E27FC236}">
              <a16:creationId xmlns:a16="http://schemas.microsoft.com/office/drawing/2014/main" id="{00000000-0008-0000-0400-0000B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69" name="Text Box 2654">
          <a:extLst>
            <a:ext uri="{FF2B5EF4-FFF2-40B4-BE49-F238E27FC236}">
              <a16:creationId xmlns:a16="http://schemas.microsoft.com/office/drawing/2014/main" id="{00000000-0008-0000-0400-0000B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70" name="Text Box 2655">
          <a:extLst>
            <a:ext uri="{FF2B5EF4-FFF2-40B4-BE49-F238E27FC236}">
              <a16:creationId xmlns:a16="http://schemas.microsoft.com/office/drawing/2014/main" id="{00000000-0008-0000-0400-0000B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71" name="Text Box 2656">
          <a:extLst>
            <a:ext uri="{FF2B5EF4-FFF2-40B4-BE49-F238E27FC236}">
              <a16:creationId xmlns:a16="http://schemas.microsoft.com/office/drawing/2014/main" id="{00000000-0008-0000-0400-0000B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72" name="Text Box 2657">
          <a:extLst>
            <a:ext uri="{FF2B5EF4-FFF2-40B4-BE49-F238E27FC236}">
              <a16:creationId xmlns:a16="http://schemas.microsoft.com/office/drawing/2014/main" id="{00000000-0008-0000-0400-0000B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73" name="Text Box 2658">
          <a:extLst>
            <a:ext uri="{FF2B5EF4-FFF2-40B4-BE49-F238E27FC236}">
              <a16:creationId xmlns:a16="http://schemas.microsoft.com/office/drawing/2014/main" id="{00000000-0008-0000-0400-0000B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74" name="Text Box 2659">
          <a:extLst>
            <a:ext uri="{FF2B5EF4-FFF2-40B4-BE49-F238E27FC236}">
              <a16:creationId xmlns:a16="http://schemas.microsoft.com/office/drawing/2014/main" id="{00000000-0008-0000-0400-0000B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75" name="Text Box 2660">
          <a:extLst>
            <a:ext uri="{FF2B5EF4-FFF2-40B4-BE49-F238E27FC236}">
              <a16:creationId xmlns:a16="http://schemas.microsoft.com/office/drawing/2014/main" id="{00000000-0008-0000-0400-0000B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76" name="Text Box 2661">
          <a:extLst>
            <a:ext uri="{FF2B5EF4-FFF2-40B4-BE49-F238E27FC236}">
              <a16:creationId xmlns:a16="http://schemas.microsoft.com/office/drawing/2014/main" id="{00000000-0008-0000-0400-0000B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77" name="Text Box 2662">
          <a:extLst>
            <a:ext uri="{FF2B5EF4-FFF2-40B4-BE49-F238E27FC236}">
              <a16:creationId xmlns:a16="http://schemas.microsoft.com/office/drawing/2014/main" id="{00000000-0008-0000-0400-0000B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78" name="Text Box 2663">
          <a:extLst>
            <a:ext uri="{FF2B5EF4-FFF2-40B4-BE49-F238E27FC236}">
              <a16:creationId xmlns:a16="http://schemas.microsoft.com/office/drawing/2014/main" id="{00000000-0008-0000-0400-0000B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79" name="Text Box 2664">
          <a:extLst>
            <a:ext uri="{FF2B5EF4-FFF2-40B4-BE49-F238E27FC236}">
              <a16:creationId xmlns:a16="http://schemas.microsoft.com/office/drawing/2014/main" id="{00000000-0008-0000-0400-0000B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80" name="Text Box 2665">
          <a:extLst>
            <a:ext uri="{FF2B5EF4-FFF2-40B4-BE49-F238E27FC236}">
              <a16:creationId xmlns:a16="http://schemas.microsoft.com/office/drawing/2014/main" id="{00000000-0008-0000-0400-0000C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81" name="Text Box 2666">
          <a:extLst>
            <a:ext uri="{FF2B5EF4-FFF2-40B4-BE49-F238E27FC236}">
              <a16:creationId xmlns:a16="http://schemas.microsoft.com/office/drawing/2014/main" id="{00000000-0008-0000-0400-0000C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82" name="Text Box 2667">
          <a:extLst>
            <a:ext uri="{FF2B5EF4-FFF2-40B4-BE49-F238E27FC236}">
              <a16:creationId xmlns:a16="http://schemas.microsoft.com/office/drawing/2014/main" id="{00000000-0008-0000-0400-0000C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83" name="Text Box 2668">
          <a:extLst>
            <a:ext uri="{FF2B5EF4-FFF2-40B4-BE49-F238E27FC236}">
              <a16:creationId xmlns:a16="http://schemas.microsoft.com/office/drawing/2014/main" id="{00000000-0008-0000-0400-0000C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84" name="Text Box 2669">
          <a:extLst>
            <a:ext uri="{FF2B5EF4-FFF2-40B4-BE49-F238E27FC236}">
              <a16:creationId xmlns:a16="http://schemas.microsoft.com/office/drawing/2014/main" id="{00000000-0008-0000-0400-0000C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85" name="Text Box 2670">
          <a:extLst>
            <a:ext uri="{FF2B5EF4-FFF2-40B4-BE49-F238E27FC236}">
              <a16:creationId xmlns:a16="http://schemas.microsoft.com/office/drawing/2014/main" id="{00000000-0008-0000-0400-0000C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86" name="Text Box 2671">
          <a:extLst>
            <a:ext uri="{FF2B5EF4-FFF2-40B4-BE49-F238E27FC236}">
              <a16:creationId xmlns:a16="http://schemas.microsoft.com/office/drawing/2014/main" id="{00000000-0008-0000-0400-0000C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87" name="Text Box 2672">
          <a:extLst>
            <a:ext uri="{FF2B5EF4-FFF2-40B4-BE49-F238E27FC236}">
              <a16:creationId xmlns:a16="http://schemas.microsoft.com/office/drawing/2014/main" id="{00000000-0008-0000-0400-0000C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88" name="Text Box 2673">
          <a:extLst>
            <a:ext uri="{FF2B5EF4-FFF2-40B4-BE49-F238E27FC236}">
              <a16:creationId xmlns:a16="http://schemas.microsoft.com/office/drawing/2014/main" id="{00000000-0008-0000-0400-0000C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89" name="Text Box 2674">
          <a:extLst>
            <a:ext uri="{FF2B5EF4-FFF2-40B4-BE49-F238E27FC236}">
              <a16:creationId xmlns:a16="http://schemas.microsoft.com/office/drawing/2014/main" id="{00000000-0008-0000-0400-0000C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90" name="Text Box 2675">
          <a:extLst>
            <a:ext uri="{FF2B5EF4-FFF2-40B4-BE49-F238E27FC236}">
              <a16:creationId xmlns:a16="http://schemas.microsoft.com/office/drawing/2014/main" id="{00000000-0008-0000-0400-0000C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91" name="Text Box 2676">
          <a:extLst>
            <a:ext uri="{FF2B5EF4-FFF2-40B4-BE49-F238E27FC236}">
              <a16:creationId xmlns:a16="http://schemas.microsoft.com/office/drawing/2014/main" id="{00000000-0008-0000-0400-0000C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92" name="Text Box 2677">
          <a:extLst>
            <a:ext uri="{FF2B5EF4-FFF2-40B4-BE49-F238E27FC236}">
              <a16:creationId xmlns:a16="http://schemas.microsoft.com/office/drawing/2014/main" id="{00000000-0008-0000-0400-0000C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93" name="Text Box 2678">
          <a:extLst>
            <a:ext uri="{FF2B5EF4-FFF2-40B4-BE49-F238E27FC236}">
              <a16:creationId xmlns:a16="http://schemas.microsoft.com/office/drawing/2014/main" id="{00000000-0008-0000-0400-0000C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94" name="Text Box 2679">
          <a:extLst>
            <a:ext uri="{FF2B5EF4-FFF2-40B4-BE49-F238E27FC236}">
              <a16:creationId xmlns:a16="http://schemas.microsoft.com/office/drawing/2014/main" id="{00000000-0008-0000-0400-0000C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95" name="Text Box 2680">
          <a:extLst>
            <a:ext uri="{FF2B5EF4-FFF2-40B4-BE49-F238E27FC236}">
              <a16:creationId xmlns:a16="http://schemas.microsoft.com/office/drawing/2014/main" id="{00000000-0008-0000-0400-0000C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96" name="Text Box 2681">
          <a:extLst>
            <a:ext uri="{FF2B5EF4-FFF2-40B4-BE49-F238E27FC236}">
              <a16:creationId xmlns:a16="http://schemas.microsoft.com/office/drawing/2014/main" id="{00000000-0008-0000-0400-0000D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97" name="Text Box 2682">
          <a:extLst>
            <a:ext uri="{FF2B5EF4-FFF2-40B4-BE49-F238E27FC236}">
              <a16:creationId xmlns:a16="http://schemas.microsoft.com/office/drawing/2014/main" id="{00000000-0008-0000-0400-0000D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98" name="Text Box 2683">
          <a:extLst>
            <a:ext uri="{FF2B5EF4-FFF2-40B4-BE49-F238E27FC236}">
              <a16:creationId xmlns:a16="http://schemas.microsoft.com/office/drawing/2014/main" id="{00000000-0008-0000-0400-0000D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899" name="Text Box 2684">
          <a:extLst>
            <a:ext uri="{FF2B5EF4-FFF2-40B4-BE49-F238E27FC236}">
              <a16:creationId xmlns:a16="http://schemas.microsoft.com/office/drawing/2014/main" id="{00000000-0008-0000-0400-0000D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00" name="Text Box 2685">
          <a:extLst>
            <a:ext uri="{FF2B5EF4-FFF2-40B4-BE49-F238E27FC236}">
              <a16:creationId xmlns:a16="http://schemas.microsoft.com/office/drawing/2014/main" id="{00000000-0008-0000-0400-0000D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01" name="Text Box 2686">
          <a:extLst>
            <a:ext uri="{FF2B5EF4-FFF2-40B4-BE49-F238E27FC236}">
              <a16:creationId xmlns:a16="http://schemas.microsoft.com/office/drawing/2014/main" id="{00000000-0008-0000-0400-0000D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02" name="Text Box 2687">
          <a:extLst>
            <a:ext uri="{FF2B5EF4-FFF2-40B4-BE49-F238E27FC236}">
              <a16:creationId xmlns:a16="http://schemas.microsoft.com/office/drawing/2014/main" id="{00000000-0008-0000-0400-0000D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03" name="Text Box 2688">
          <a:extLst>
            <a:ext uri="{FF2B5EF4-FFF2-40B4-BE49-F238E27FC236}">
              <a16:creationId xmlns:a16="http://schemas.microsoft.com/office/drawing/2014/main" id="{00000000-0008-0000-0400-0000D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04" name="Text Box 2689">
          <a:extLst>
            <a:ext uri="{FF2B5EF4-FFF2-40B4-BE49-F238E27FC236}">
              <a16:creationId xmlns:a16="http://schemas.microsoft.com/office/drawing/2014/main" id="{00000000-0008-0000-0400-0000D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05" name="Text Box 2690">
          <a:extLst>
            <a:ext uri="{FF2B5EF4-FFF2-40B4-BE49-F238E27FC236}">
              <a16:creationId xmlns:a16="http://schemas.microsoft.com/office/drawing/2014/main" id="{00000000-0008-0000-0400-0000D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06" name="Text Box 2691">
          <a:extLst>
            <a:ext uri="{FF2B5EF4-FFF2-40B4-BE49-F238E27FC236}">
              <a16:creationId xmlns:a16="http://schemas.microsoft.com/office/drawing/2014/main" id="{00000000-0008-0000-0400-0000D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07" name="Text Box 2692">
          <a:extLst>
            <a:ext uri="{FF2B5EF4-FFF2-40B4-BE49-F238E27FC236}">
              <a16:creationId xmlns:a16="http://schemas.microsoft.com/office/drawing/2014/main" id="{00000000-0008-0000-0400-0000D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08" name="Text Box 2693">
          <a:extLst>
            <a:ext uri="{FF2B5EF4-FFF2-40B4-BE49-F238E27FC236}">
              <a16:creationId xmlns:a16="http://schemas.microsoft.com/office/drawing/2014/main" id="{00000000-0008-0000-0400-0000D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09" name="Text Box 2694">
          <a:extLst>
            <a:ext uri="{FF2B5EF4-FFF2-40B4-BE49-F238E27FC236}">
              <a16:creationId xmlns:a16="http://schemas.microsoft.com/office/drawing/2014/main" id="{00000000-0008-0000-0400-0000D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10" name="Text Box 2695">
          <a:extLst>
            <a:ext uri="{FF2B5EF4-FFF2-40B4-BE49-F238E27FC236}">
              <a16:creationId xmlns:a16="http://schemas.microsoft.com/office/drawing/2014/main" id="{00000000-0008-0000-0400-0000D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11" name="Text Box 2696">
          <a:extLst>
            <a:ext uri="{FF2B5EF4-FFF2-40B4-BE49-F238E27FC236}">
              <a16:creationId xmlns:a16="http://schemas.microsoft.com/office/drawing/2014/main" id="{00000000-0008-0000-0400-0000D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12" name="Text Box 2697">
          <a:extLst>
            <a:ext uri="{FF2B5EF4-FFF2-40B4-BE49-F238E27FC236}">
              <a16:creationId xmlns:a16="http://schemas.microsoft.com/office/drawing/2014/main" id="{00000000-0008-0000-0400-0000E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13" name="Text Box 2698">
          <a:extLst>
            <a:ext uri="{FF2B5EF4-FFF2-40B4-BE49-F238E27FC236}">
              <a16:creationId xmlns:a16="http://schemas.microsoft.com/office/drawing/2014/main" id="{00000000-0008-0000-0400-0000E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14" name="Text Box 2699">
          <a:extLst>
            <a:ext uri="{FF2B5EF4-FFF2-40B4-BE49-F238E27FC236}">
              <a16:creationId xmlns:a16="http://schemas.microsoft.com/office/drawing/2014/main" id="{00000000-0008-0000-0400-0000E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15" name="Text Box 2700">
          <a:extLst>
            <a:ext uri="{FF2B5EF4-FFF2-40B4-BE49-F238E27FC236}">
              <a16:creationId xmlns:a16="http://schemas.microsoft.com/office/drawing/2014/main" id="{00000000-0008-0000-0400-0000E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16" name="Text Box 2701">
          <a:extLst>
            <a:ext uri="{FF2B5EF4-FFF2-40B4-BE49-F238E27FC236}">
              <a16:creationId xmlns:a16="http://schemas.microsoft.com/office/drawing/2014/main" id="{00000000-0008-0000-0400-0000E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17" name="Text Box 2702">
          <a:extLst>
            <a:ext uri="{FF2B5EF4-FFF2-40B4-BE49-F238E27FC236}">
              <a16:creationId xmlns:a16="http://schemas.microsoft.com/office/drawing/2014/main" id="{00000000-0008-0000-0400-0000E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18" name="Text Box 2703">
          <a:extLst>
            <a:ext uri="{FF2B5EF4-FFF2-40B4-BE49-F238E27FC236}">
              <a16:creationId xmlns:a16="http://schemas.microsoft.com/office/drawing/2014/main" id="{00000000-0008-0000-0400-0000E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19" name="Text Box 2704">
          <a:extLst>
            <a:ext uri="{FF2B5EF4-FFF2-40B4-BE49-F238E27FC236}">
              <a16:creationId xmlns:a16="http://schemas.microsoft.com/office/drawing/2014/main" id="{00000000-0008-0000-0400-0000E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20" name="Text Box 2705">
          <a:extLst>
            <a:ext uri="{FF2B5EF4-FFF2-40B4-BE49-F238E27FC236}">
              <a16:creationId xmlns:a16="http://schemas.microsoft.com/office/drawing/2014/main" id="{00000000-0008-0000-0400-0000E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21" name="Text Box 2706">
          <a:extLst>
            <a:ext uri="{FF2B5EF4-FFF2-40B4-BE49-F238E27FC236}">
              <a16:creationId xmlns:a16="http://schemas.microsoft.com/office/drawing/2014/main" id="{00000000-0008-0000-0400-0000E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22" name="Text Box 2707">
          <a:extLst>
            <a:ext uri="{FF2B5EF4-FFF2-40B4-BE49-F238E27FC236}">
              <a16:creationId xmlns:a16="http://schemas.microsoft.com/office/drawing/2014/main" id="{00000000-0008-0000-0400-0000E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23" name="Text Box 2708">
          <a:extLst>
            <a:ext uri="{FF2B5EF4-FFF2-40B4-BE49-F238E27FC236}">
              <a16:creationId xmlns:a16="http://schemas.microsoft.com/office/drawing/2014/main" id="{00000000-0008-0000-0400-0000E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24" name="Text Box 2709">
          <a:extLst>
            <a:ext uri="{FF2B5EF4-FFF2-40B4-BE49-F238E27FC236}">
              <a16:creationId xmlns:a16="http://schemas.microsoft.com/office/drawing/2014/main" id="{00000000-0008-0000-0400-0000E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25" name="Text Box 2710">
          <a:extLst>
            <a:ext uri="{FF2B5EF4-FFF2-40B4-BE49-F238E27FC236}">
              <a16:creationId xmlns:a16="http://schemas.microsoft.com/office/drawing/2014/main" id="{00000000-0008-0000-0400-0000E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26" name="Text Box 2711">
          <a:extLst>
            <a:ext uri="{FF2B5EF4-FFF2-40B4-BE49-F238E27FC236}">
              <a16:creationId xmlns:a16="http://schemas.microsoft.com/office/drawing/2014/main" id="{00000000-0008-0000-0400-0000E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27" name="Text Box 2712">
          <a:extLst>
            <a:ext uri="{FF2B5EF4-FFF2-40B4-BE49-F238E27FC236}">
              <a16:creationId xmlns:a16="http://schemas.microsoft.com/office/drawing/2014/main" id="{00000000-0008-0000-0400-0000E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28" name="Text Box 2713">
          <a:extLst>
            <a:ext uri="{FF2B5EF4-FFF2-40B4-BE49-F238E27FC236}">
              <a16:creationId xmlns:a16="http://schemas.microsoft.com/office/drawing/2014/main" id="{00000000-0008-0000-0400-0000F0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29" name="Text Box 2714">
          <a:extLst>
            <a:ext uri="{FF2B5EF4-FFF2-40B4-BE49-F238E27FC236}">
              <a16:creationId xmlns:a16="http://schemas.microsoft.com/office/drawing/2014/main" id="{00000000-0008-0000-0400-0000F1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30" name="Text Box 2715">
          <a:extLst>
            <a:ext uri="{FF2B5EF4-FFF2-40B4-BE49-F238E27FC236}">
              <a16:creationId xmlns:a16="http://schemas.microsoft.com/office/drawing/2014/main" id="{00000000-0008-0000-0400-0000F2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31" name="Text Box 2716">
          <a:extLst>
            <a:ext uri="{FF2B5EF4-FFF2-40B4-BE49-F238E27FC236}">
              <a16:creationId xmlns:a16="http://schemas.microsoft.com/office/drawing/2014/main" id="{00000000-0008-0000-0400-0000F3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32" name="Text Box 2717">
          <a:extLst>
            <a:ext uri="{FF2B5EF4-FFF2-40B4-BE49-F238E27FC236}">
              <a16:creationId xmlns:a16="http://schemas.microsoft.com/office/drawing/2014/main" id="{00000000-0008-0000-0400-0000F4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33" name="Text Box 2718">
          <a:extLst>
            <a:ext uri="{FF2B5EF4-FFF2-40B4-BE49-F238E27FC236}">
              <a16:creationId xmlns:a16="http://schemas.microsoft.com/office/drawing/2014/main" id="{00000000-0008-0000-0400-0000F5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34" name="Text Box 2719">
          <a:extLst>
            <a:ext uri="{FF2B5EF4-FFF2-40B4-BE49-F238E27FC236}">
              <a16:creationId xmlns:a16="http://schemas.microsoft.com/office/drawing/2014/main" id="{00000000-0008-0000-0400-0000F6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35" name="Text Box 2720">
          <a:extLst>
            <a:ext uri="{FF2B5EF4-FFF2-40B4-BE49-F238E27FC236}">
              <a16:creationId xmlns:a16="http://schemas.microsoft.com/office/drawing/2014/main" id="{00000000-0008-0000-0400-0000F7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36" name="Text Box 2721">
          <a:extLst>
            <a:ext uri="{FF2B5EF4-FFF2-40B4-BE49-F238E27FC236}">
              <a16:creationId xmlns:a16="http://schemas.microsoft.com/office/drawing/2014/main" id="{00000000-0008-0000-0400-0000F8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37" name="Text Box 2722">
          <a:extLst>
            <a:ext uri="{FF2B5EF4-FFF2-40B4-BE49-F238E27FC236}">
              <a16:creationId xmlns:a16="http://schemas.microsoft.com/office/drawing/2014/main" id="{00000000-0008-0000-0400-0000F9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38" name="Text Box 2723">
          <a:extLst>
            <a:ext uri="{FF2B5EF4-FFF2-40B4-BE49-F238E27FC236}">
              <a16:creationId xmlns:a16="http://schemas.microsoft.com/office/drawing/2014/main" id="{00000000-0008-0000-0400-0000FA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39" name="Text Box 2724">
          <a:extLst>
            <a:ext uri="{FF2B5EF4-FFF2-40B4-BE49-F238E27FC236}">
              <a16:creationId xmlns:a16="http://schemas.microsoft.com/office/drawing/2014/main" id="{00000000-0008-0000-0400-0000FB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40" name="Text Box 2725">
          <a:extLst>
            <a:ext uri="{FF2B5EF4-FFF2-40B4-BE49-F238E27FC236}">
              <a16:creationId xmlns:a16="http://schemas.microsoft.com/office/drawing/2014/main" id="{00000000-0008-0000-0400-0000FC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41" name="Text Box 2726">
          <a:extLst>
            <a:ext uri="{FF2B5EF4-FFF2-40B4-BE49-F238E27FC236}">
              <a16:creationId xmlns:a16="http://schemas.microsoft.com/office/drawing/2014/main" id="{00000000-0008-0000-0400-0000FD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42" name="Text Box 2727">
          <a:extLst>
            <a:ext uri="{FF2B5EF4-FFF2-40B4-BE49-F238E27FC236}">
              <a16:creationId xmlns:a16="http://schemas.microsoft.com/office/drawing/2014/main" id="{00000000-0008-0000-0400-0000FE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43" name="Text Box 2728">
          <a:extLst>
            <a:ext uri="{FF2B5EF4-FFF2-40B4-BE49-F238E27FC236}">
              <a16:creationId xmlns:a16="http://schemas.microsoft.com/office/drawing/2014/main" id="{00000000-0008-0000-0400-0000FF82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44" name="Text Box 2729">
          <a:extLst>
            <a:ext uri="{FF2B5EF4-FFF2-40B4-BE49-F238E27FC236}">
              <a16:creationId xmlns:a16="http://schemas.microsoft.com/office/drawing/2014/main" id="{00000000-0008-0000-0400-00000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45" name="Text Box 2730">
          <a:extLst>
            <a:ext uri="{FF2B5EF4-FFF2-40B4-BE49-F238E27FC236}">
              <a16:creationId xmlns:a16="http://schemas.microsoft.com/office/drawing/2014/main" id="{00000000-0008-0000-0400-00000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46" name="Text Box 2731">
          <a:extLst>
            <a:ext uri="{FF2B5EF4-FFF2-40B4-BE49-F238E27FC236}">
              <a16:creationId xmlns:a16="http://schemas.microsoft.com/office/drawing/2014/main" id="{00000000-0008-0000-0400-00000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47" name="Text Box 2732">
          <a:extLst>
            <a:ext uri="{FF2B5EF4-FFF2-40B4-BE49-F238E27FC236}">
              <a16:creationId xmlns:a16="http://schemas.microsoft.com/office/drawing/2014/main" id="{00000000-0008-0000-0400-00000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48" name="Text Box 2733">
          <a:extLst>
            <a:ext uri="{FF2B5EF4-FFF2-40B4-BE49-F238E27FC236}">
              <a16:creationId xmlns:a16="http://schemas.microsoft.com/office/drawing/2014/main" id="{00000000-0008-0000-0400-00000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49" name="Text Box 2734">
          <a:extLst>
            <a:ext uri="{FF2B5EF4-FFF2-40B4-BE49-F238E27FC236}">
              <a16:creationId xmlns:a16="http://schemas.microsoft.com/office/drawing/2014/main" id="{00000000-0008-0000-0400-00000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50" name="Text Box 2735">
          <a:extLst>
            <a:ext uri="{FF2B5EF4-FFF2-40B4-BE49-F238E27FC236}">
              <a16:creationId xmlns:a16="http://schemas.microsoft.com/office/drawing/2014/main" id="{00000000-0008-0000-0400-00000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51" name="Text Box 2736">
          <a:extLst>
            <a:ext uri="{FF2B5EF4-FFF2-40B4-BE49-F238E27FC236}">
              <a16:creationId xmlns:a16="http://schemas.microsoft.com/office/drawing/2014/main" id="{00000000-0008-0000-0400-00000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52" name="Text Box 2737">
          <a:extLst>
            <a:ext uri="{FF2B5EF4-FFF2-40B4-BE49-F238E27FC236}">
              <a16:creationId xmlns:a16="http://schemas.microsoft.com/office/drawing/2014/main" id="{00000000-0008-0000-0400-00000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53" name="Text Box 2738">
          <a:extLst>
            <a:ext uri="{FF2B5EF4-FFF2-40B4-BE49-F238E27FC236}">
              <a16:creationId xmlns:a16="http://schemas.microsoft.com/office/drawing/2014/main" id="{00000000-0008-0000-0400-00000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54" name="Text Box 2739">
          <a:extLst>
            <a:ext uri="{FF2B5EF4-FFF2-40B4-BE49-F238E27FC236}">
              <a16:creationId xmlns:a16="http://schemas.microsoft.com/office/drawing/2014/main" id="{00000000-0008-0000-0400-00000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55" name="Text Box 2740">
          <a:extLst>
            <a:ext uri="{FF2B5EF4-FFF2-40B4-BE49-F238E27FC236}">
              <a16:creationId xmlns:a16="http://schemas.microsoft.com/office/drawing/2014/main" id="{00000000-0008-0000-0400-00000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56" name="Text Box 2741">
          <a:extLst>
            <a:ext uri="{FF2B5EF4-FFF2-40B4-BE49-F238E27FC236}">
              <a16:creationId xmlns:a16="http://schemas.microsoft.com/office/drawing/2014/main" id="{00000000-0008-0000-0400-00000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57" name="Text Box 2742">
          <a:extLst>
            <a:ext uri="{FF2B5EF4-FFF2-40B4-BE49-F238E27FC236}">
              <a16:creationId xmlns:a16="http://schemas.microsoft.com/office/drawing/2014/main" id="{00000000-0008-0000-0400-00000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58" name="Text Box 2743">
          <a:extLst>
            <a:ext uri="{FF2B5EF4-FFF2-40B4-BE49-F238E27FC236}">
              <a16:creationId xmlns:a16="http://schemas.microsoft.com/office/drawing/2014/main" id="{00000000-0008-0000-0400-00000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59" name="Text Box 2744">
          <a:extLst>
            <a:ext uri="{FF2B5EF4-FFF2-40B4-BE49-F238E27FC236}">
              <a16:creationId xmlns:a16="http://schemas.microsoft.com/office/drawing/2014/main" id="{00000000-0008-0000-0400-00000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60" name="Text Box 2745">
          <a:extLst>
            <a:ext uri="{FF2B5EF4-FFF2-40B4-BE49-F238E27FC236}">
              <a16:creationId xmlns:a16="http://schemas.microsoft.com/office/drawing/2014/main" id="{00000000-0008-0000-0400-00001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61" name="Text Box 2746">
          <a:extLst>
            <a:ext uri="{FF2B5EF4-FFF2-40B4-BE49-F238E27FC236}">
              <a16:creationId xmlns:a16="http://schemas.microsoft.com/office/drawing/2014/main" id="{00000000-0008-0000-0400-00001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62" name="Text Box 2747">
          <a:extLst>
            <a:ext uri="{FF2B5EF4-FFF2-40B4-BE49-F238E27FC236}">
              <a16:creationId xmlns:a16="http://schemas.microsoft.com/office/drawing/2014/main" id="{00000000-0008-0000-0400-00001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63" name="Text Box 2748">
          <a:extLst>
            <a:ext uri="{FF2B5EF4-FFF2-40B4-BE49-F238E27FC236}">
              <a16:creationId xmlns:a16="http://schemas.microsoft.com/office/drawing/2014/main" id="{00000000-0008-0000-0400-00001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64" name="Text Box 2749">
          <a:extLst>
            <a:ext uri="{FF2B5EF4-FFF2-40B4-BE49-F238E27FC236}">
              <a16:creationId xmlns:a16="http://schemas.microsoft.com/office/drawing/2014/main" id="{00000000-0008-0000-0400-00001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65" name="Text Box 2750">
          <a:extLst>
            <a:ext uri="{FF2B5EF4-FFF2-40B4-BE49-F238E27FC236}">
              <a16:creationId xmlns:a16="http://schemas.microsoft.com/office/drawing/2014/main" id="{00000000-0008-0000-0400-00001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66" name="Text Box 2751">
          <a:extLst>
            <a:ext uri="{FF2B5EF4-FFF2-40B4-BE49-F238E27FC236}">
              <a16:creationId xmlns:a16="http://schemas.microsoft.com/office/drawing/2014/main" id="{00000000-0008-0000-0400-00001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67" name="Text Box 2752">
          <a:extLst>
            <a:ext uri="{FF2B5EF4-FFF2-40B4-BE49-F238E27FC236}">
              <a16:creationId xmlns:a16="http://schemas.microsoft.com/office/drawing/2014/main" id="{00000000-0008-0000-0400-00001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68" name="Text Box 2753">
          <a:extLst>
            <a:ext uri="{FF2B5EF4-FFF2-40B4-BE49-F238E27FC236}">
              <a16:creationId xmlns:a16="http://schemas.microsoft.com/office/drawing/2014/main" id="{00000000-0008-0000-0400-00001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69" name="Text Box 2754">
          <a:extLst>
            <a:ext uri="{FF2B5EF4-FFF2-40B4-BE49-F238E27FC236}">
              <a16:creationId xmlns:a16="http://schemas.microsoft.com/office/drawing/2014/main" id="{00000000-0008-0000-0400-00001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70" name="Text Box 2755">
          <a:extLst>
            <a:ext uri="{FF2B5EF4-FFF2-40B4-BE49-F238E27FC236}">
              <a16:creationId xmlns:a16="http://schemas.microsoft.com/office/drawing/2014/main" id="{00000000-0008-0000-0400-00001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71" name="Text Box 2756">
          <a:extLst>
            <a:ext uri="{FF2B5EF4-FFF2-40B4-BE49-F238E27FC236}">
              <a16:creationId xmlns:a16="http://schemas.microsoft.com/office/drawing/2014/main" id="{00000000-0008-0000-0400-00001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72" name="Text Box 2757">
          <a:extLst>
            <a:ext uri="{FF2B5EF4-FFF2-40B4-BE49-F238E27FC236}">
              <a16:creationId xmlns:a16="http://schemas.microsoft.com/office/drawing/2014/main" id="{00000000-0008-0000-0400-00001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73" name="Text Box 2758">
          <a:extLst>
            <a:ext uri="{FF2B5EF4-FFF2-40B4-BE49-F238E27FC236}">
              <a16:creationId xmlns:a16="http://schemas.microsoft.com/office/drawing/2014/main" id="{00000000-0008-0000-0400-00001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74" name="Text Box 2759">
          <a:extLst>
            <a:ext uri="{FF2B5EF4-FFF2-40B4-BE49-F238E27FC236}">
              <a16:creationId xmlns:a16="http://schemas.microsoft.com/office/drawing/2014/main" id="{00000000-0008-0000-0400-00001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75" name="Text Box 2760">
          <a:extLst>
            <a:ext uri="{FF2B5EF4-FFF2-40B4-BE49-F238E27FC236}">
              <a16:creationId xmlns:a16="http://schemas.microsoft.com/office/drawing/2014/main" id="{00000000-0008-0000-0400-00001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76" name="Text Box 2761">
          <a:extLst>
            <a:ext uri="{FF2B5EF4-FFF2-40B4-BE49-F238E27FC236}">
              <a16:creationId xmlns:a16="http://schemas.microsoft.com/office/drawing/2014/main" id="{00000000-0008-0000-0400-00002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77" name="Text Box 2762">
          <a:extLst>
            <a:ext uri="{FF2B5EF4-FFF2-40B4-BE49-F238E27FC236}">
              <a16:creationId xmlns:a16="http://schemas.microsoft.com/office/drawing/2014/main" id="{00000000-0008-0000-0400-00002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78" name="Text Box 2763">
          <a:extLst>
            <a:ext uri="{FF2B5EF4-FFF2-40B4-BE49-F238E27FC236}">
              <a16:creationId xmlns:a16="http://schemas.microsoft.com/office/drawing/2014/main" id="{00000000-0008-0000-0400-00002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79" name="Text Box 2764">
          <a:extLst>
            <a:ext uri="{FF2B5EF4-FFF2-40B4-BE49-F238E27FC236}">
              <a16:creationId xmlns:a16="http://schemas.microsoft.com/office/drawing/2014/main" id="{00000000-0008-0000-0400-00002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80" name="Text Box 2765">
          <a:extLst>
            <a:ext uri="{FF2B5EF4-FFF2-40B4-BE49-F238E27FC236}">
              <a16:creationId xmlns:a16="http://schemas.microsoft.com/office/drawing/2014/main" id="{00000000-0008-0000-0400-00002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81" name="Text Box 2766">
          <a:extLst>
            <a:ext uri="{FF2B5EF4-FFF2-40B4-BE49-F238E27FC236}">
              <a16:creationId xmlns:a16="http://schemas.microsoft.com/office/drawing/2014/main" id="{00000000-0008-0000-0400-00002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82" name="Text Box 2767">
          <a:extLst>
            <a:ext uri="{FF2B5EF4-FFF2-40B4-BE49-F238E27FC236}">
              <a16:creationId xmlns:a16="http://schemas.microsoft.com/office/drawing/2014/main" id="{00000000-0008-0000-0400-00002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83" name="Text Box 2768">
          <a:extLst>
            <a:ext uri="{FF2B5EF4-FFF2-40B4-BE49-F238E27FC236}">
              <a16:creationId xmlns:a16="http://schemas.microsoft.com/office/drawing/2014/main" id="{00000000-0008-0000-0400-00002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84" name="Text Box 2769">
          <a:extLst>
            <a:ext uri="{FF2B5EF4-FFF2-40B4-BE49-F238E27FC236}">
              <a16:creationId xmlns:a16="http://schemas.microsoft.com/office/drawing/2014/main" id="{00000000-0008-0000-0400-00002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85" name="Text Box 2770">
          <a:extLst>
            <a:ext uri="{FF2B5EF4-FFF2-40B4-BE49-F238E27FC236}">
              <a16:creationId xmlns:a16="http://schemas.microsoft.com/office/drawing/2014/main" id="{00000000-0008-0000-0400-00002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86" name="Text Box 2771">
          <a:extLst>
            <a:ext uri="{FF2B5EF4-FFF2-40B4-BE49-F238E27FC236}">
              <a16:creationId xmlns:a16="http://schemas.microsoft.com/office/drawing/2014/main" id="{00000000-0008-0000-0400-00002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87" name="Text Box 2772">
          <a:extLst>
            <a:ext uri="{FF2B5EF4-FFF2-40B4-BE49-F238E27FC236}">
              <a16:creationId xmlns:a16="http://schemas.microsoft.com/office/drawing/2014/main" id="{00000000-0008-0000-0400-00002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88" name="Text Box 2773">
          <a:extLst>
            <a:ext uri="{FF2B5EF4-FFF2-40B4-BE49-F238E27FC236}">
              <a16:creationId xmlns:a16="http://schemas.microsoft.com/office/drawing/2014/main" id="{00000000-0008-0000-0400-00002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89" name="Text Box 2774">
          <a:extLst>
            <a:ext uri="{FF2B5EF4-FFF2-40B4-BE49-F238E27FC236}">
              <a16:creationId xmlns:a16="http://schemas.microsoft.com/office/drawing/2014/main" id="{00000000-0008-0000-0400-00002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90" name="Text Box 2775">
          <a:extLst>
            <a:ext uri="{FF2B5EF4-FFF2-40B4-BE49-F238E27FC236}">
              <a16:creationId xmlns:a16="http://schemas.microsoft.com/office/drawing/2014/main" id="{00000000-0008-0000-0400-00002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91" name="Text Box 2776">
          <a:extLst>
            <a:ext uri="{FF2B5EF4-FFF2-40B4-BE49-F238E27FC236}">
              <a16:creationId xmlns:a16="http://schemas.microsoft.com/office/drawing/2014/main" id="{00000000-0008-0000-0400-00002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92" name="Text Box 2777">
          <a:extLst>
            <a:ext uri="{FF2B5EF4-FFF2-40B4-BE49-F238E27FC236}">
              <a16:creationId xmlns:a16="http://schemas.microsoft.com/office/drawing/2014/main" id="{00000000-0008-0000-0400-00003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93" name="Text Box 2778">
          <a:extLst>
            <a:ext uri="{FF2B5EF4-FFF2-40B4-BE49-F238E27FC236}">
              <a16:creationId xmlns:a16="http://schemas.microsoft.com/office/drawing/2014/main" id="{00000000-0008-0000-0400-00003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94" name="Text Box 2779">
          <a:extLst>
            <a:ext uri="{FF2B5EF4-FFF2-40B4-BE49-F238E27FC236}">
              <a16:creationId xmlns:a16="http://schemas.microsoft.com/office/drawing/2014/main" id="{00000000-0008-0000-0400-00003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95" name="Text Box 2780">
          <a:extLst>
            <a:ext uri="{FF2B5EF4-FFF2-40B4-BE49-F238E27FC236}">
              <a16:creationId xmlns:a16="http://schemas.microsoft.com/office/drawing/2014/main" id="{00000000-0008-0000-0400-00003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96" name="Text Box 2781">
          <a:extLst>
            <a:ext uri="{FF2B5EF4-FFF2-40B4-BE49-F238E27FC236}">
              <a16:creationId xmlns:a16="http://schemas.microsoft.com/office/drawing/2014/main" id="{00000000-0008-0000-0400-00003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97" name="Text Box 2782">
          <a:extLst>
            <a:ext uri="{FF2B5EF4-FFF2-40B4-BE49-F238E27FC236}">
              <a16:creationId xmlns:a16="http://schemas.microsoft.com/office/drawing/2014/main" id="{00000000-0008-0000-0400-00003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98" name="Text Box 2783">
          <a:extLst>
            <a:ext uri="{FF2B5EF4-FFF2-40B4-BE49-F238E27FC236}">
              <a16:creationId xmlns:a16="http://schemas.microsoft.com/office/drawing/2014/main" id="{00000000-0008-0000-0400-00003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6999" name="Text Box 2784">
          <a:extLst>
            <a:ext uri="{FF2B5EF4-FFF2-40B4-BE49-F238E27FC236}">
              <a16:creationId xmlns:a16="http://schemas.microsoft.com/office/drawing/2014/main" id="{00000000-0008-0000-0400-00003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00" name="Text Box 2785">
          <a:extLst>
            <a:ext uri="{FF2B5EF4-FFF2-40B4-BE49-F238E27FC236}">
              <a16:creationId xmlns:a16="http://schemas.microsoft.com/office/drawing/2014/main" id="{00000000-0008-0000-0400-00003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01" name="Text Box 2786">
          <a:extLst>
            <a:ext uri="{FF2B5EF4-FFF2-40B4-BE49-F238E27FC236}">
              <a16:creationId xmlns:a16="http://schemas.microsoft.com/office/drawing/2014/main" id="{00000000-0008-0000-0400-00003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02" name="Text Box 2787">
          <a:extLst>
            <a:ext uri="{FF2B5EF4-FFF2-40B4-BE49-F238E27FC236}">
              <a16:creationId xmlns:a16="http://schemas.microsoft.com/office/drawing/2014/main" id="{00000000-0008-0000-0400-00003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03" name="Text Box 2788">
          <a:extLst>
            <a:ext uri="{FF2B5EF4-FFF2-40B4-BE49-F238E27FC236}">
              <a16:creationId xmlns:a16="http://schemas.microsoft.com/office/drawing/2014/main" id="{00000000-0008-0000-0400-00003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04" name="Text Box 2789">
          <a:extLst>
            <a:ext uri="{FF2B5EF4-FFF2-40B4-BE49-F238E27FC236}">
              <a16:creationId xmlns:a16="http://schemas.microsoft.com/office/drawing/2014/main" id="{00000000-0008-0000-0400-00003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05" name="Text Box 2790">
          <a:extLst>
            <a:ext uri="{FF2B5EF4-FFF2-40B4-BE49-F238E27FC236}">
              <a16:creationId xmlns:a16="http://schemas.microsoft.com/office/drawing/2014/main" id="{00000000-0008-0000-0400-00003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06" name="Text Box 2791">
          <a:extLst>
            <a:ext uri="{FF2B5EF4-FFF2-40B4-BE49-F238E27FC236}">
              <a16:creationId xmlns:a16="http://schemas.microsoft.com/office/drawing/2014/main" id="{00000000-0008-0000-0400-00003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07" name="Text Box 2792">
          <a:extLst>
            <a:ext uri="{FF2B5EF4-FFF2-40B4-BE49-F238E27FC236}">
              <a16:creationId xmlns:a16="http://schemas.microsoft.com/office/drawing/2014/main" id="{00000000-0008-0000-0400-00003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08" name="Text Box 2793">
          <a:extLst>
            <a:ext uri="{FF2B5EF4-FFF2-40B4-BE49-F238E27FC236}">
              <a16:creationId xmlns:a16="http://schemas.microsoft.com/office/drawing/2014/main" id="{00000000-0008-0000-0400-00004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09" name="Text Box 2794">
          <a:extLst>
            <a:ext uri="{FF2B5EF4-FFF2-40B4-BE49-F238E27FC236}">
              <a16:creationId xmlns:a16="http://schemas.microsoft.com/office/drawing/2014/main" id="{00000000-0008-0000-0400-00004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10" name="Text Box 2795">
          <a:extLst>
            <a:ext uri="{FF2B5EF4-FFF2-40B4-BE49-F238E27FC236}">
              <a16:creationId xmlns:a16="http://schemas.microsoft.com/office/drawing/2014/main" id="{00000000-0008-0000-0400-00004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11" name="Text Box 2796">
          <a:extLst>
            <a:ext uri="{FF2B5EF4-FFF2-40B4-BE49-F238E27FC236}">
              <a16:creationId xmlns:a16="http://schemas.microsoft.com/office/drawing/2014/main" id="{00000000-0008-0000-0400-00004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12" name="Text Box 2797">
          <a:extLst>
            <a:ext uri="{FF2B5EF4-FFF2-40B4-BE49-F238E27FC236}">
              <a16:creationId xmlns:a16="http://schemas.microsoft.com/office/drawing/2014/main" id="{00000000-0008-0000-0400-00004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13" name="Text Box 2798">
          <a:extLst>
            <a:ext uri="{FF2B5EF4-FFF2-40B4-BE49-F238E27FC236}">
              <a16:creationId xmlns:a16="http://schemas.microsoft.com/office/drawing/2014/main" id="{00000000-0008-0000-0400-00004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14" name="Text Box 2799">
          <a:extLst>
            <a:ext uri="{FF2B5EF4-FFF2-40B4-BE49-F238E27FC236}">
              <a16:creationId xmlns:a16="http://schemas.microsoft.com/office/drawing/2014/main" id="{00000000-0008-0000-0400-00004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15" name="Text Box 2800">
          <a:extLst>
            <a:ext uri="{FF2B5EF4-FFF2-40B4-BE49-F238E27FC236}">
              <a16:creationId xmlns:a16="http://schemas.microsoft.com/office/drawing/2014/main" id="{00000000-0008-0000-0400-00004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16" name="Text Box 2801">
          <a:extLst>
            <a:ext uri="{FF2B5EF4-FFF2-40B4-BE49-F238E27FC236}">
              <a16:creationId xmlns:a16="http://schemas.microsoft.com/office/drawing/2014/main" id="{00000000-0008-0000-0400-00004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17" name="Text Box 2802">
          <a:extLst>
            <a:ext uri="{FF2B5EF4-FFF2-40B4-BE49-F238E27FC236}">
              <a16:creationId xmlns:a16="http://schemas.microsoft.com/office/drawing/2014/main" id="{00000000-0008-0000-0400-00004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18" name="Text Box 2803">
          <a:extLst>
            <a:ext uri="{FF2B5EF4-FFF2-40B4-BE49-F238E27FC236}">
              <a16:creationId xmlns:a16="http://schemas.microsoft.com/office/drawing/2014/main" id="{00000000-0008-0000-0400-00004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19" name="Text Box 2804">
          <a:extLst>
            <a:ext uri="{FF2B5EF4-FFF2-40B4-BE49-F238E27FC236}">
              <a16:creationId xmlns:a16="http://schemas.microsoft.com/office/drawing/2014/main" id="{00000000-0008-0000-0400-00004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20" name="Text Box 2805">
          <a:extLst>
            <a:ext uri="{FF2B5EF4-FFF2-40B4-BE49-F238E27FC236}">
              <a16:creationId xmlns:a16="http://schemas.microsoft.com/office/drawing/2014/main" id="{00000000-0008-0000-0400-00004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21" name="Text Box 2806">
          <a:extLst>
            <a:ext uri="{FF2B5EF4-FFF2-40B4-BE49-F238E27FC236}">
              <a16:creationId xmlns:a16="http://schemas.microsoft.com/office/drawing/2014/main" id="{00000000-0008-0000-0400-00004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22" name="Text Box 2807">
          <a:extLst>
            <a:ext uri="{FF2B5EF4-FFF2-40B4-BE49-F238E27FC236}">
              <a16:creationId xmlns:a16="http://schemas.microsoft.com/office/drawing/2014/main" id="{00000000-0008-0000-0400-00004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23" name="Text Box 2808">
          <a:extLst>
            <a:ext uri="{FF2B5EF4-FFF2-40B4-BE49-F238E27FC236}">
              <a16:creationId xmlns:a16="http://schemas.microsoft.com/office/drawing/2014/main" id="{00000000-0008-0000-0400-00004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24" name="Text Box 2809">
          <a:extLst>
            <a:ext uri="{FF2B5EF4-FFF2-40B4-BE49-F238E27FC236}">
              <a16:creationId xmlns:a16="http://schemas.microsoft.com/office/drawing/2014/main" id="{00000000-0008-0000-0400-00005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25" name="Text Box 2810">
          <a:extLst>
            <a:ext uri="{FF2B5EF4-FFF2-40B4-BE49-F238E27FC236}">
              <a16:creationId xmlns:a16="http://schemas.microsoft.com/office/drawing/2014/main" id="{00000000-0008-0000-0400-00005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26" name="Text Box 2811">
          <a:extLst>
            <a:ext uri="{FF2B5EF4-FFF2-40B4-BE49-F238E27FC236}">
              <a16:creationId xmlns:a16="http://schemas.microsoft.com/office/drawing/2014/main" id="{00000000-0008-0000-0400-00005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27" name="Text Box 2812">
          <a:extLst>
            <a:ext uri="{FF2B5EF4-FFF2-40B4-BE49-F238E27FC236}">
              <a16:creationId xmlns:a16="http://schemas.microsoft.com/office/drawing/2014/main" id="{00000000-0008-0000-0400-00005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28" name="Text Box 2813">
          <a:extLst>
            <a:ext uri="{FF2B5EF4-FFF2-40B4-BE49-F238E27FC236}">
              <a16:creationId xmlns:a16="http://schemas.microsoft.com/office/drawing/2014/main" id="{00000000-0008-0000-0400-00005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29" name="Text Box 2814">
          <a:extLst>
            <a:ext uri="{FF2B5EF4-FFF2-40B4-BE49-F238E27FC236}">
              <a16:creationId xmlns:a16="http://schemas.microsoft.com/office/drawing/2014/main" id="{00000000-0008-0000-0400-00005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30" name="Text Box 2815">
          <a:extLst>
            <a:ext uri="{FF2B5EF4-FFF2-40B4-BE49-F238E27FC236}">
              <a16:creationId xmlns:a16="http://schemas.microsoft.com/office/drawing/2014/main" id="{00000000-0008-0000-0400-00005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31" name="Text Box 2816">
          <a:extLst>
            <a:ext uri="{FF2B5EF4-FFF2-40B4-BE49-F238E27FC236}">
              <a16:creationId xmlns:a16="http://schemas.microsoft.com/office/drawing/2014/main" id="{00000000-0008-0000-0400-00005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32" name="Text Box 2817">
          <a:extLst>
            <a:ext uri="{FF2B5EF4-FFF2-40B4-BE49-F238E27FC236}">
              <a16:creationId xmlns:a16="http://schemas.microsoft.com/office/drawing/2014/main" id="{00000000-0008-0000-0400-00005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33" name="Text Box 2818">
          <a:extLst>
            <a:ext uri="{FF2B5EF4-FFF2-40B4-BE49-F238E27FC236}">
              <a16:creationId xmlns:a16="http://schemas.microsoft.com/office/drawing/2014/main" id="{00000000-0008-0000-0400-00005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34" name="Text Box 2819">
          <a:extLst>
            <a:ext uri="{FF2B5EF4-FFF2-40B4-BE49-F238E27FC236}">
              <a16:creationId xmlns:a16="http://schemas.microsoft.com/office/drawing/2014/main" id="{00000000-0008-0000-0400-00005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35" name="Text Box 2820">
          <a:extLst>
            <a:ext uri="{FF2B5EF4-FFF2-40B4-BE49-F238E27FC236}">
              <a16:creationId xmlns:a16="http://schemas.microsoft.com/office/drawing/2014/main" id="{00000000-0008-0000-0400-00005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36" name="Text Box 2821">
          <a:extLst>
            <a:ext uri="{FF2B5EF4-FFF2-40B4-BE49-F238E27FC236}">
              <a16:creationId xmlns:a16="http://schemas.microsoft.com/office/drawing/2014/main" id="{00000000-0008-0000-0400-00005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37" name="Text Box 2822">
          <a:extLst>
            <a:ext uri="{FF2B5EF4-FFF2-40B4-BE49-F238E27FC236}">
              <a16:creationId xmlns:a16="http://schemas.microsoft.com/office/drawing/2014/main" id="{00000000-0008-0000-0400-00005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38" name="Text Box 2823">
          <a:extLst>
            <a:ext uri="{FF2B5EF4-FFF2-40B4-BE49-F238E27FC236}">
              <a16:creationId xmlns:a16="http://schemas.microsoft.com/office/drawing/2014/main" id="{00000000-0008-0000-0400-00005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39" name="Text Box 2824">
          <a:extLst>
            <a:ext uri="{FF2B5EF4-FFF2-40B4-BE49-F238E27FC236}">
              <a16:creationId xmlns:a16="http://schemas.microsoft.com/office/drawing/2014/main" id="{00000000-0008-0000-0400-00005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40" name="Text Box 2825">
          <a:extLst>
            <a:ext uri="{FF2B5EF4-FFF2-40B4-BE49-F238E27FC236}">
              <a16:creationId xmlns:a16="http://schemas.microsoft.com/office/drawing/2014/main" id="{00000000-0008-0000-0400-00006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41" name="Text Box 2826">
          <a:extLst>
            <a:ext uri="{FF2B5EF4-FFF2-40B4-BE49-F238E27FC236}">
              <a16:creationId xmlns:a16="http://schemas.microsoft.com/office/drawing/2014/main" id="{00000000-0008-0000-0400-00006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42" name="Text Box 2827">
          <a:extLst>
            <a:ext uri="{FF2B5EF4-FFF2-40B4-BE49-F238E27FC236}">
              <a16:creationId xmlns:a16="http://schemas.microsoft.com/office/drawing/2014/main" id="{00000000-0008-0000-0400-00006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43" name="Text Box 2828">
          <a:extLst>
            <a:ext uri="{FF2B5EF4-FFF2-40B4-BE49-F238E27FC236}">
              <a16:creationId xmlns:a16="http://schemas.microsoft.com/office/drawing/2014/main" id="{00000000-0008-0000-0400-00006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44" name="Text Box 2829">
          <a:extLst>
            <a:ext uri="{FF2B5EF4-FFF2-40B4-BE49-F238E27FC236}">
              <a16:creationId xmlns:a16="http://schemas.microsoft.com/office/drawing/2014/main" id="{00000000-0008-0000-0400-00006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45" name="Text Box 2830">
          <a:extLst>
            <a:ext uri="{FF2B5EF4-FFF2-40B4-BE49-F238E27FC236}">
              <a16:creationId xmlns:a16="http://schemas.microsoft.com/office/drawing/2014/main" id="{00000000-0008-0000-0400-00006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46" name="Text Box 2831">
          <a:extLst>
            <a:ext uri="{FF2B5EF4-FFF2-40B4-BE49-F238E27FC236}">
              <a16:creationId xmlns:a16="http://schemas.microsoft.com/office/drawing/2014/main" id="{00000000-0008-0000-0400-00006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47" name="Text Box 2832">
          <a:extLst>
            <a:ext uri="{FF2B5EF4-FFF2-40B4-BE49-F238E27FC236}">
              <a16:creationId xmlns:a16="http://schemas.microsoft.com/office/drawing/2014/main" id="{00000000-0008-0000-0400-00006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48" name="Text Box 2833">
          <a:extLst>
            <a:ext uri="{FF2B5EF4-FFF2-40B4-BE49-F238E27FC236}">
              <a16:creationId xmlns:a16="http://schemas.microsoft.com/office/drawing/2014/main" id="{00000000-0008-0000-0400-00006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49" name="Text Box 2834">
          <a:extLst>
            <a:ext uri="{FF2B5EF4-FFF2-40B4-BE49-F238E27FC236}">
              <a16:creationId xmlns:a16="http://schemas.microsoft.com/office/drawing/2014/main" id="{00000000-0008-0000-0400-00006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50" name="Text Box 2835">
          <a:extLst>
            <a:ext uri="{FF2B5EF4-FFF2-40B4-BE49-F238E27FC236}">
              <a16:creationId xmlns:a16="http://schemas.microsoft.com/office/drawing/2014/main" id="{00000000-0008-0000-0400-00006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51" name="Text Box 2836">
          <a:extLst>
            <a:ext uri="{FF2B5EF4-FFF2-40B4-BE49-F238E27FC236}">
              <a16:creationId xmlns:a16="http://schemas.microsoft.com/office/drawing/2014/main" id="{00000000-0008-0000-0400-00006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52" name="Text Box 2837">
          <a:extLst>
            <a:ext uri="{FF2B5EF4-FFF2-40B4-BE49-F238E27FC236}">
              <a16:creationId xmlns:a16="http://schemas.microsoft.com/office/drawing/2014/main" id="{00000000-0008-0000-0400-00006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53" name="Text Box 2838">
          <a:extLst>
            <a:ext uri="{FF2B5EF4-FFF2-40B4-BE49-F238E27FC236}">
              <a16:creationId xmlns:a16="http://schemas.microsoft.com/office/drawing/2014/main" id="{00000000-0008-0000-0400-00006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54" name="Text Box 2839">
          <a:extLst>
            <a:ext uri="{FF2B5EF4-FFF2-40B4-BE49-F238E27FC236}">
              <a16:creationId xmlns:a16="http://schemas.microsoft.com/office/drawing/2014/main" id="{00000000-0008-0000-0400-00006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55" name="Text Box 2840">
          <a:extLst>
            <a:ext uri="{FF2B5EF4-FFF2-40B4-BE49-F238E27FC236}">
              <a16:creationId xmlns:a16="http://schemas.microsoft.com/office/drawing/2014/main" id="{00000000-0008-0000-0400-00006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56" name="Text Box 2841">
          <a:extLst>
            <a:ext uri="{FF2B5EF4-FFF2-40B4-BE49-F238E27FC236}">
              <a16:creationId xmlns:a16="http://schemas.microsoft.com/office/drawing/2014/main" id="{00000000-0008-0000-0400-00007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57" name="Text Box 2842">
          <a:extLst>
            <a:ext uri="{FF2B5EF4-FFF2-40B4-BE49-F238E27FC236}">
              <a16:creationId xmlns:a16="http://schemas.microsoft.com/office/drawing/2014/main" id="{00000000-0008-0000-0400-00007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58" name="Text Box 2843">
          <a:extLst>
            <a:ext uri="{FF2B5EF4-FFF2-40B4-BE49-F238E27FC236}">
              <a16:creationId xmlns:a16="http://schemas.microsoft.com/office/drawing/2014/main" id="{00000000-0008-0000-0400-00007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59" name="Text Box 2844">
          <a:extLst>
            <a:ext uri="{FF2B5EF4-FFF2-40B4-BE49-F238E27FC236}">
              <a16:creationId xmlns:a16="http://schemas.microsoft.com/office/drawing/2014/main" id="{00000000-0008-0000-0400-00007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60" name="Text Box 2845">
          <a:extLst>
            <a:ext uri="{FF2B5EF4-FFF2-40B4-BE49-F238E27FC236}">
              <a16:creationId xmlns:a16="http://schemas.microsoft.com/office/drawing/2014/main" id="{00000000-0008-0000-0400-00007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61" name="Text Box 2846">
          <a:extLst>
            <a:ext uri="{FF2B5EF4-FFF2-40B4-BE49-F238E27FC236}">
              <a16:creationId xmlns:a16="http://schemas.microsoft.com/office/drawing/2014/main" id="{00000000-0008-0000-0400-00007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62" name="Text Box 2847">
          <a:extLst>
            <a:ext uri="{FF2B5EF4-FFF2-40B4-BE49-F238E27FC236}">
              <a16:creationId xmlns:a16="http://schemas.microsoft.com/office/drawing/2014/main" id="{00000000-0008-0000-0400-00007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63" name="Text Box 2848">
          <a:extLst>
            <a:ext uri="{FF2B5EF4-FFF2-40B4-BE49-F238E27FC236}">
              <a16:creationId xmlns:a16="http://schemas.microsoft.com/office/drawing/2014/main" id="{00000000-0008-0000-0400-00007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64" name="Text Box 2849">
          <a:extLst>
            <a:ext uri="{FF2B5EF4-FFF2-40B4-BE49-F238E27FC236}">
              <a16:creationId xmlns:a16="http://schemas.microsoft.com/office/drawing/2014/main" id="{00000000-0008-0000-0400-00007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65" name="Text Box 2850">
          <a:extLst>
            <a:ext uri="{FF2B5EF4-FFF2-40B4-BE49-F238E27FC236}">
              <a16:creationId xmlns:a16="http://schemas.microsoft.com/office/drawing/2014/main" id="{00000000-0008-0000-0400-00007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66" name="Text Box 2851">
          <a:extLst>
            <a:ext uri="{FF2B5EF4-FFF2-40B4-BE49-F238E27FC236}">
              <a16:creationId xmlns:a16="http://schemas.microsoft.com/office/drawing/2014/main" id="{00000000-0008-0000-0400-00007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67" name="Text Box 2852">
          <a:extLst>
            <a:ext uri="{FF2B5EF4-FFF2-40B4-BE49-F238E27FC236}">
              <a16:creationId xmlns:a16="http://schemas.microsoft.com/office/drawing/2014/main" id="{00000000-0008-0000-0400-00007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68" name="Text Box 2853">
          <a:extLst>
            <a:ext uri="{FF2B5EF4-FFF2-40B4-BE49-F238E27FC236}">
              <a16:creationId xmlns:a16="http://schemas.microsoft.com/office/drawing/2014/main" id="{00000000-0008-0000-0400-00007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69" name="Text Box 2854">
          <a:extLst>
            <a:ext uri="{FF2B5EF4-FFF2-40B4-BE49-F238E27FC236}">
              <a16:creationId xmlns:a16="http://schemas.microsoft.com/office/drawing/2014/main" id="{00000000-0008-0000-0400-00007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70" name="Text Box 2855">
          <a:extLst>
            <a:ext uri="{FF2B5EF4-FFF2-40B4-BE49-F238E27FC236}">
              <a16:creationId xmlns:a16="http://schemas.microsoft.com/office/drawing/2014/main" id="{00000000-0008-0000-0400-00007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71" name="Text Box 2856">
          <a:extLst>
            <a:ext uri="{FF2B5EF4-FFF2-40B4-BE49-F238E27FC236}">
              <a16:creationId xmlns:a16="http://schemas.microsoft.com/office/drawing/2014/main" id="{00000000-0008-0000-0400-00007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72" name="Text Box 2857">
          <a:extLst>
            <a:ext uri="{FF2B5EF4-FFF2-40B4-BE49-F238E27FC236}">
              <a16:creationId xmlns:a16="http://schemas.microsoft.com/office/drawing/2014/main" id="{00000000-0008-0000-0400-00008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73" name="Text Box 2858">
          <a:extLst>
            <a:ext uri="{FF2B5EF4-FFF2-40B4-BE49-F238E27FC236}">
              <a16:creationId xmlns:a16="http://schemas.microsoft.com/office/drawing/2014/main" id="{00000000-0008-0000-0400-00008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74" name="Text Box 2859">
          <a:extLst>
            <a:ext uri="{FF2B5EF4-FFF2-40B4-BE49-F238E27FC236}">
              <a16:creationId xmlns:a16="http://schemas.microsoft.com/office/drawing/2014/main" id="{00000000-0008-0000-0400-00008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75" name="Text Box 2860">
          <a:extLst>
            <a:ext uri="{FF2B5EF4-FFF2-40B4-BE49-F238E27FC236}">
              <a16:creationId xmlns:a16="http://schemas.microsoft.com/office/drawing/2014/main" id="{00000000-0008-0000-0400-00008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76" name="Text Box 2861">
          <a:extLst>
            <a:ext uri="{FF2B5EF4-FFF2-40B4-BE49-F238E27FC236}">
              <a16:creationId xmlns:a16="http://schemas.microsoft.com/office/drawing/2014/main" id="{00000000-0008-0000-0400-00008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77" name="Text Box 2862">
          <a:extLst>
            <a:ext uri="{FF2B5EF4-FFF2-40B4-BE49-F238E27FC236}">
              <a16:creationId xmlns:a16="http://schemas.microsoft.com/office/drawing/2014/main" id="{00000000-0008-0000-0400-00008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78" name="Text Box 2863">
          <a:extLst>
            <a:ext uri="{FF2B5EF4-FFF2-40B4-BE49-F238E27FC236}">
              <a16:creationId xmlns:a16="http://schemas.microsoft.com/office/drawing/2014/main" id="{00000000-0008-0000-0400-00008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79" name="Text Box 2864">
          <a:extLst>
            <a:ext uri="{FF2B5EF4-FFF2-40B4-BE49-F238E27FC236}">
              <a16:creationId xmlns:a16="http://schemas.microsoft.com/office/drawing/2014/main" id="{00000000-0008-0000-0400-00008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80" name="Text Box 2865">
          <a:extLst>
            <a:ext uri="{FF2B5EF4-FFF2-40B4-BE49-F238E27FC236}">
              <a16:creationId xmlns:a16="http://schemas.microsoft.com/office/drawing/2014/main" id="{00000000-0008-0000-0400-00008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81" name="Text Box 2866">
          <a:extLst>
            <a:ext uri="{FF2B5EF4-FFF2-40B4-BE49-F238E27FC236}">
              <a16:creationId xmlns:a16="http://schemas.microsoft.com/office/drawing/2014/main" id="{00000000-0008-0000-0400-00008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82" name="Text Box 2867">
          <a:extLst>
            <a:ext uri="{FF2B5EF4-FFF2-40B4-BE49-F238E27FC236}">
              <a16:creationId xmlns:a16="http://schemas.microsoft.com/office/drawing/2014/main" id="{00000000-0008-0000-0400-00008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83" name="Text Box 2868">
          <a:extLst>
            <a:ext uri="{FF2B5EF4-FFF2-40B4-BE49-F238E27FC236}">
              <a16:creationId xmlns:a16="http://schemas.microsoft.com/office/drawing/2014/main" id="{00000000-0008-0000-0400-00008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84" name="Text Box 2869">
          <a:extLst>
            <a:ext uri="{FF2B5EF4-FFF2-40B4-BE49-F238E27FC236}">
              <a16:creationId xmlns:a16="http://schemas.microsoft.com/office/drawing/2014/main" id="{00000000-0008-0000-0400-00008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85" name="Text Box 2870">
          <a:extLst>
            <a:ext uri="{FF2B5EF4-FFF2-40B4-BE49-F238E27FC236}">
              <a16:creationId xmlns:a16="http://schemas.microsoft.com/office/drawing/2014/main" id="{00000000-0008-0000-0400-00008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86" name="Text Box 2871">
          <a:extLst>
            <a:ext uri="{FF2B5EF4-FFF2-40B4-BE49-F238E27FC236}">
              <a16:creationId xmlns:a16="http://schemas.microsoft.com/office/drawing/2014/main" id="{00000000-0008-0000-0400-00008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87" name="Text Box 2872">
          <a:extLst>
            <a:ext uri="{FF2B5EF4-FFF2-40B4-BE49-F238E27FC236}">
              <a16:creationId xmlns:a16="http://schemas.microsoft.com/office/drawing/2014/main" id="{00000000-0008-0000-0400-00008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88" name="Text Box 2873">
          <a:extLst>
            <a:ext uri="{FF2B5EF4-FFF2-40B4-BE49-F238E27FC236}">
              <a16:creationId xmlns:a16="http://schemas.microsoft.com/office/drawing/2014/main" id="{00000000-0008-0000-0400-00009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89" name="Text Box 2874">
          <a:extLst>
            <a:ext uri="{FF2B5EF4-FFF2-40B4-BE49-F238E27FC236}">
              <a16:creationId xmlns:a16="http://schemas.microsoft.com/office/drawing/2014/main" id="{00000000-0008-0000-0400-00009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90" name="Text Box 2875">
          <a:extLst>
            <a:ext uri="{FF2B5EF4-FFF2-40B4-BE49-F238E27FC236}">
              <a16:creationId xmlns:a16="http://schemas.microsoft.com/office/drawing/2014/main" id="{00000000-0008-0000-0400-00009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91" name="Text Box 2876">
          <a:extLst>
            <a:ext uri="{FF2B5EF4-FFF2-40B4-BE49-F238E27FC236}">
              <a16:creationId xmlns:a16="http://schemas.microsoft.com/office/drawing/2014/main" id="{00000000-0008-0000-0400-00009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92" name="Text Box 2877">
          <a:extLst>
            <a:ext uri="{FF2B5EF4-FFF2-40B4-BE49-F238E27FC236}">
              <a16:creationId xmlns:a16="http://schemas.microsoft.com/office/drawing/2014/main" id="{00000000-0008-0000-0400-00009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93" name="Text Box 2878">
          <a:extLst>
            <a:ext uri="{FF2B5EF4-FFF2-40B4-BE49-F238E27FC236}">
              <a16:creationId xmlns:a16="http://schemas.microsoft.com/office/drawing/2014/main" id="{00000000-0008-0000-0400-00009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94" name="Text Box 2879">
          <a:extLst>
            <a:ext uri="{FF2B5EF4-FFF2-40B4-BE49-F238E27FC236}">
              <a16:creationId xmlns:a16="http://schemas.microsoft.com/office/drawing/2014/main" id="{00000000-0008-0000-0400-00009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95" name="Text Box 2880">
          <a:extLst>
            <a:ext uri="{FF2B5EF4-FFF2-40B4-BE49-F238E27FC236}">
              <a16:creationId xmlns:a16="http://schemas.microsoft.com/office/drawing/2014/main" id="{00000000-0008-0000-0400-00009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96" name="Text Box 2881">
          <a:extLst>
            <a:ext uri="{FF2B5EF4-FFF2-40B4-BE49-F238E27FC236}">
              <a16:creationId xmlns:a16="http://schemas.microsoft.com/office/drawing/2014/main" id="{00000000-0008-0000-0400-00009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97" name="Text Box 2882">
          <a:extLst>
            <a:ext uri="{FF2B5EF4-FFF2-40B4-BE49-F238E27FC236}">
              <a16:creationId xmlns:a16="http://schemas.microsoft.com/office/drawing/2014/main" id="{00000000-0008-0000-0400-00009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98" name="Text Box 2883">
          <a:extLst>
            <a:ext uri="{FF2B5EF4-FFF2-40B4-BE49-F238E27FC236}">
              <a16:creationId xmlns:a16="http://schemas.microsoft.com/office/drawing/2014/main" id="{00000000-0008-0000-0400-00009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099" name="Text Box 2884">
          <a:extLst>
            <a:ext uri="{FF2B5EF4-FFF2-40B4-BE49-F238E27FC236}">
              <a16:creationId xmlns:a16="http://schemas.microsoft.com/office/drawing/2014/main" id="{00000000-0008-0000-0400-00009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00" name="Text Box 2885">
          <a:extLst>
            <a:ext uri="{FF2B5EF4-FFF2-40B4-BE49-F238E27FC236}">
              <a16:creationId xmlns:a16="http://schemas.microsoft.com/office/drawing/2014/main" id="{00000000-0008-0000-0400-00009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01" name="Text Box 2886">
          <a:extLst>
            <a:ext uri="{FF2B5EF4-FFF2-40B4-BE49-F238E27FC236}">
              <a16:creationId xmlns:a16="http://schemas.microsoft.com/office/drawing/2014/main" id="{00000000-0008-0000-0400-00009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02" name="Text Box 2887">
          <a:extLst>
            <a:ext uri="{FF2B5EF4-FFF2-40B4-BE49-F238E27FC236}">
              <a16:creationId xmlns:a16="http://schemas.microsoft.com/office/drawing/2014/main" id="{00000000-0008-0000-0400-00009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03" name="Text Box 2888">
          <a:extLst>
            <a:ext uri="{FF2B5EF4-FFF2-40B4-BE49-F238E27FC236}">
              <a16:creationId xmlns:a16="http://schemas.microsoft.com/office/drawing/2014/main" id="{00000000-0008-0000-0400-00009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04" name="Text Box 2889">
          <a:extLst>
            <a:ext uri="{FF2B5EF4-FFF2-40B4-BE49-F238E27FC236}">
              <a16:creationId xmlns:a16="http://schemas.microsoft.com/office/drawing/2014/main" id="{00000000-0008-0000-0400-0000A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05" name="Text Box 2890">
          <a:extLst>
            <a:ext uri="{FF2B5EF4-FFF2-40B4-BE49-F238E27FC236}">
              <a16:creationId xmlns:a16="http://schemas.microsoft.com/office/drawing/2014/main" id="{00000000-0008-0000-0400-0000A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06" name="Text Box 2891">
          <a:extLst>
            <a:ext uri="{FF2B5EF4-FFF2-40B4-BE49-F238E27FC236}">
              <a16:creationId xmlns:a16="http://schemas.microsoft.com/office/drawing/2014/main" id="{00000000-0008-0000-0400-0000A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07" name="Text Box 2892">
          <a:extLst>
            <a:ext uri="{FF2B5EF4-FFF2-40B4-BE49-F238E27FC236}">
              <a16:creationId xmlns:a16="http://schemas.microsoft.com/office/drawing/2014/main" id="{00000000-0008-0000-0400-0000A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08" name="Text Box 2893">
          <a:extLst>
            <a:ext uri="{FF2B5EF4-FFF2-40B4-BE49-F238E27FC236}">
              <a16:creationId xmlns:a16="http://schemas.microsoft.com/office/drawing/2014/main" id="{00000000-0008-0000-0400-0000A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09" name="Text Box 2894">
          <a:extLst>
            <a:ext uri="{FF2B5EF4-FFF2-40B4-BE49-F238E27FC236}">
              <a16:creationId xmlns:a16="http://schemas.microsoft.com/office/drawing/2014/main" id="{00000000-0008-0000-0400-0000A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10" name="Text Box 2895">
          <a:extLst>
            <a:ext uri="{FF2B5EF4-FFF2-40B4-BE49-F238E27FC236}">
              <a16:creationId xmlns:a16="http://schemas.microsoft.com/office/drawing/2014/main" id="{00000000-0008-0000-0400-0000A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11" name="Text Box 2896">
          <a:extLst>
            <a:ext uri="{FF2B5EF4-FFF2-40B4-BE49-F238E27FC236}">
              <a16:creationId xmlns:a16="http://schemas.microsoft.com/office/drawing/2014/main" id="{00000000-0008-0000-0400-0000A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12" name="Text Box 2897">
          <a:extLst>
            <a:ext uri="{FF2B5EF4-FFF2-40B4-BE49-F238E27FC236}">
              <a16:creationId xmlns:a16="http://schemas.microsoft.com/office/drawing/2014/main" id="{00000000-0008-0000-0400-0000A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13" name="Text Box 2898">
          <a:extLst>
            <a:ext uri="{FF2B5EF4-FFF2-40B4-BE49-F238E27FC236}">
              <a16:creationId xmlns:a16="http://schemas.microsoft.com/office/drawing/2014/main" id="{00000000-0008-0000-0400-0000A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14" name="Text Box 2899">
          <a:extLst>
            <a:ext uri="{FF2B5EF4-FFF2-40B4-BE49-F238E27FC236}">
              <a16:creationId xmlns:a16="http://schemas.microsoft.com/office/drawing/2014/main" id="{00000000-0008-0000-0400-0000A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15" name="Text Box 2900">
          <a:extLst>
            <a:ext uri="{FF2B5EF4-FFF2-40B4-BE49-F238E27FC236}">
              <a16:creationId xmlns:a16="http://schemas.microsoft.com/office/drawing/2014/main" id="{00000000-0008-0000-0400-0000A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16" name="Text Box 2901">
          <a:extLst>
            <a:ext uri="{FF2B5EF4-FFF2-40B4-BE49-F238E27FC236}">
              <a16:creationId xmlns:a16="http://schemas.microsoft.com/office/drawing/2014/main" id="{00000000-0008-0000-0400-0000A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17" name="Text Box 2902">
          <a:extLst>
            <a:ext uri="{FF2B5EF4-FFF2-40B4-BE49-F238E27FC236}">
              <a16:creationId xmlns:a16="http://schemas.microsoft.com/office/drawing/2014/main" id="{00000000-0008-0000-0400-0000A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18" name="Text Box 2903">
          <a:extLst>
            <a:ext uri="{FF2B5EF4-FFF2-40B4-BE49-F238E27FC236}">
              <a16:creationId xmlns:a16="http://schemas.microsoft.com/office/drawing/2014/main" id="{00000000-0008-0000-0400-0000A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19" name="Text Box 2904">
          <a:extLst>
            <a:ext uri="{FF2B5EF4-FFF2-40B4-BE49-F238E27FC236}">
              <a16:creationId xmlns:a16="http://schemas.microsoft.com/office/drawing/2014/main" id="{00000000-0008-0000-0400-0000A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20" name="Text Box 2905">
          <a:extLst>
            <a:ext uri="{FF2B5EF4-FFF2-40B4-BE49-F238E27FC236}">
              <a16:creationId xmlns:a16="http://schemas.microsoft.com/office/drawing/2014/main" id="{00000000-0008-0000-0400-0000B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21" name="Text Box 2906">
          <a:extLst>
            <a:ext uri="{FF2B5EF4-FFF2-40B4-BE49-F238E27FC236}">
              <a16:creationId xmlns:a16="http://schemas.microsoft.com/office/drawing/2014/main" id="{00000000-0008-0000-0400-0000B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22" name="Text Box 2907">
          <a:extLst>
            <a:ext uri="{FF2B5EF4-FFF2-40B4-BE49-F238E27FC236}">
              <a16:creationId xmlns:a16="http://schemas.microsoft.com/office/drawing/2014/main" id="{00000000-0008-0000-0400-0000B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23" name="Text Box 2908">
          <a:extLst>
            <a:ext uri="{FF2B5EF4-FFF2-40B4-BE49-F238E27FC236}">
              <a16:creationId xmlns:a16="http://schemas.microsoft.com/office/drawing/2014/main" id="{00000000-0008-0000-0400-0000B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24" name="Text Box 2909">
          <a:extLst>
            <a:ext uri="{FF2B5EF4-FFF2-40B4-BE49-F238E27FC236}">
              <a16:creationId xmlns:a16="http://schemas.microsoft.com/office/drawing/2014/main" id="{00000000-0008-0000-0400-0000B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25" name="Text Box 2910">
          <a:extLst>
            <a:ext uri="{FF2B5EF4-FFF2-40B4-BE49-F238E27FC236}">
              <a16:creationId xmlns:a16="http://schemas.microsoft.com/office/drawing/2014/main" id="{00000000-0008-0000-0400-0000B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26" name="Text Box 2911">
          <a:extLst>
            <a:ext uri="{FF2B5EF4-FFF2-40B4-BE49-F238E27FC236}">
              <a16:creationId xmlns:a16="http://schemas.microsoft.com/office/drawing/2014/main" id="{00000000-0008-0000-0400-0000B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27" name="Text Box 2912">
          <a:extLst>
            <a:ext uri="{FF2B5EF4-FFF2-40B4-BE49-F238E27FC236}">
              <a16:creationId xmlns:a16="http://schemas.microsoft.com/office/drawing/2014/main" id="{00000000-0008-0000-0400-0000B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28" name="Text Box 2913">
          <a:extLst>
            <a:ext uri="{FF2B5EF4-FFF2-40B4-BE49-F238E27FC236}">
              <a16:creationId xmlns:a16="http://schemas.microsoft.com/office/drawing/2014/main" id="{00000000-0008-0000-0400-0000B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29" name="Text Box 2914">
          <a:extLst>
            <a:ext uri="{FF2B5EF4-FFF2-40B4-BE49-F238E27FC236}">
              <a16:creationId xmlns:a16="http://schemas.microsoft.com/office/drawing/2014/main" id="{00000000-0008-0000-0400-0000B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30" name="Text Box 2915">
          <a:extLst>
            <a:ext uri="{FF2B5EF4-FFF2-40B4-BE49-F238E27FC236}">
              <a16:creationId xmlns:a16="http://schemas.microsoft.com/office/drawing/2014/main" id="{00000000-0008-0000-0400-0000B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31" name="Text Box 2916">
          <a:extLst>
            <a:ext uri="{FF2B5EF4-FFF2-40B4-BE49-F238E27FC236}">
              <a16:creationId xmlns:a16="http://schemas.microsoft.com/office/drawing/2014/main" id="{00000000-0008-0000-0400-0000B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32" name="Text Box 2917">
          <a:extLst>
            <a:ext uri="{FF2B5EF4-FFF2-40B4-BE49-F238E27FC236}">
              <a16:creationId xmlns:a16="http://schemas.microsoft.com/office/drawing/2014/main" id="{00000000-0008-0000-0400-0000B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33" name="Text Box 2918">
          <a:extLst>
            <a:ext uri="{FF2B5EF4-FFF2-40B4-BE49-F238E27FC236}">
              <a16:creationId xmlns:a16="http://schemas.microsoft.com/office/drawing/2014/main" id="{00000000-0008-0000-0400-0000B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34" name="Text Box 2919">
          <a:extLst>
            <a:ext uri="{FF2B5EF4-FFF2-40B4-BE49-F238E27FC236}">
              <a16:creationId xmlns:a16="http://schemas.microsoft.com/office/drawing/2014/main" id="{00000000-0008-0000-0400-0000B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35" name="Text Box 2920">
          <a:extLst>
            <a:ext uri="{FF2B5EF4-FFF2-40B4-BE49-F238E27FC236}">
              <a16:creationId xmlns:a16="http://schemas.microsoft.com/office/drawing/2014/main" id="{00000000-0008-0000-0400-0000B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36" name="Text Box 2921">
          <a:extLst>
            <a:ext uri="{FF2B5EF4-FFF2-40B4-BE49-F238E27FC236}">
              <a16:creationId xmlns:a16="http://schemas.microsoft.com/office/drawing/2014/main" id="{00000000-0008-0000-0400-0000C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37" name="Text Box 2922">
          <a:extLst>
            <a:ext uri="{FF2B5EF4-FFF2-40B4-BE49-F238E27FC236}">
              <a16:creationId xmlns:a16="http://schemas.microsoft.com/office/drawing/2014/main" id="{00000000-0008-0000-0400-0000C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38" name="Text Box 2923">
          <a:extLst>
            <a:ext uri="{FF2B5EF4-FFF2-40B4-BE49-F238E27FC236}">
              <a16:creationId xmlns:a16="http://schemas.microsoft.com/office/drawing/2014/main" id="{00000000-0008-0000-0400-0000C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39" name="Text Box 2924">
          <a:extLst>
            <a:ext uri="{FF2B5EF4-FFF2-40B4-BE49-F238E27FC236}">
              <a16:creationId xmlns:a16="http://schemas.microsoft.com/office/drawing/2014/main" id="{00000000-0008-0000-0400-0000C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40" name="Text Box 2925">
          <a:extLst>
            <a:ext uri="{FF2B5EF4-FFF2-40B4-BE49-F238E27FC236}">
              <a16:creationId xmlns:a16="http://schemas.microsoft.com/office/drawing/2014/main" id="{00000000-0008-0000-0400-0000C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41" name="Text Box 2926">
          <a:extLst>
            <a:ext uri="{FF2B5EF4-FFF2-40B4-BE49-F238E27FC236}">
              <a16:creationId xmlns:a16="http://schemas.microsoft.com/office/drawing/2014/main" id="{00000000-0008-0000-0400-0000C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42" name="Text Box 2927">
          <a:extLst>
            <a:ext uri="{FF2B5EF4-FFF2-40B4-BE49-F238E27FC236}">
              <a16:creationId xmlns:a16="http://schemas.microsoft.com/office/drawing/2014/main" id="{00000000-0008-0000-0400-0000C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43" name="Text Box 2928">
          <a:extLst>
            <a:ext uri="{FF2B5EF4-FFF2-40B4-BE49-F238E27FC236}">
              <a16:creationId xmlns:a16="http://schemas.microsoft.com/office/drawing/2014/main" id="{00000000-0008-0000-0400-0000C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44" name="Text Box 2929">
          <a:extLst>
            <a:ext uri="{FF2B5EF4-FFF2-40B4-BE49-F238E27FC236}">
              <a16:creationId xmlns:a16="http://schemas.microsoft.com/office/drawing/2014/main" id="{00000000-0008-0000-0400-0000C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45" name="Text Box 2930">
          <a:extLst>
            <a:ext uri="{FF2B5EF4-FFF2-40B4-BE49-F238E27FC236}">
              <a16:creationId xmlns:a16="http://schemas.microsoft.com/office/drawing/2014/main" id="{00000000-0008-0000-0400-0000C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46" name="Text Box 2931">
          <a:extLst>
            <a:ext uri="{FF2B5EF4-FFF2-40B4-BE49-F238E27FC236}">
              <a16:creationId xmlns:a16="http://schemas.microsoft.com/office/drawing/2014/main" id="{00000000-0008-0000-0400-0000C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47" name="Text Box 2932">
          <a:extLst>
            <a:ext uri="{FF2B5EF4-FFF2-40B4-BE49-F238E27FC236}">
              <a16:creationId xmlns:a16="http://schemas.microsoft.com/office/drawing/2014/main" id="{00000000-0008-0000-0400-0000C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48" name="Text Box 2933">
          <a:extLst>
            <a:ext uri="{FF2B5EF4-FFF2-40B4-BE49-F238E27FC236}">
              <a16:creationId xmlns:a16="http://schemas.microsoft.com/office/drawing/2014/main" id="{00000000-0008-0000-0400-0000C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49" name="Text Box 2934">
          <a:extLst>
            <a:ext uri="{FF2B5EF4-FFF2-40B4-BE49-F238E27FC236}">
              <a16:creationId xmlns:a16="http://schemas.microsoft.com/office/drawing/2014/main" id="{00000000-0008-0000-0400-0000C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50" name="Text Box 2935">
          <a:extLst>
            <a:ext uri="{FF2B5EF4-FFF2-40B4-BE49-F238E27FC236}">
              <a16:creationId xmlns:a16="http://schemas.microsoft.com/office/drawing/2014/main" id="{00000000-0008-0000-0400-0000C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51" name="Text Box 2936">
          <a:extLst>
            <a:ext uri="{FF2B5EF4-FFF2-40B4-BE49-F238E27FC236}">
              <a16:creationId xmlns:a16="http://schemas.microsoft.com/office/drawing/2014/main" id="{00000000-0008-0000-0400-0000C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52" name="Text Box 2937">
          <a:extLst>
            <a:ext uri="{FF2B5EF4-FFF2-40B4-BE49-F238E27FC236}">
              <a16:creationId xmlns:a16="http://schemas.microsoft.com/office/drawing/2014/main" id="{00000000-0008-0000-0400-0000D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53" name="Text Box 2938">
          <a:extLst>
            <a:ext uri="{FF2B5EF4-FFF2-40B4-BE49-F238E27FC236}">
              <a16:creationId xmlns:a16="http://schemas.microsoft.com/office/drawing/2014/main" id="{00000000-0008-0000-0400-0000D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54" name="Text Box 2939">
          <a:extLst>
            <a:ext uri="{FF2B5EF4-FFF2-40B4-BE49-F238E27FC236}">
              <a16:creationId xmlns:a16="http://schemas.microsoft.com/office/drawing/2014/main" id="{00000000-0008-0000-0400-0000D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55" name="Text Box 2940">
          <a:extLst>
            <a:ext uri="{FF2B5EF4-FFF2-40B4-BE49-F238E27FC236}">
              <a16:creationId xmlns:a16="http://schemas.microsoft.com/office/drawing/2014/main" id="{00000000-0008-0000-0400-0000D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56" name="Text Box 2941">
          <a:extLst>
            <a:ext uri="{FF2B5EF4-FFF2-40B4-BE49-F238E27FC236}">
              <a16:creationId xmlns:a16="http://schemas.microsoft.com/office/drawing/2014/main" id="{00000000-0008-0000-0400-0000D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57" name="Text Box 2942">
          <a:extLst>
            <a:ext uri="{FF2B5EF4-FFF2-40B4-BE49-F238E27FC236}">
              <a16:creationId xmlns:a16="http://schemas.microsoft.com/office/drawing/2014/main" id="{00000000-0008-0000-0400-0000D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58" name="Text Box 2943">
          <a:extLst>
            <a:ext uri="{FF2B5EF4-FFF2-40B4-BE49-F238E27FC236}">
              <a16:creationId xmlns:a16="http://schemas.microsoft.com/office/drawing/2014/main" id="{00000000-0008-0000-0400-0000D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59" name="Text Box 2944">
          <a:extLst>
            <a:ext uri="{FF2B5EF4-FFF2-40B4-BE49-F238E27FC236}">
              <a16:creationId xmlns:a16="http://schemas.microsoft.com/office/drawing/2014/main" id="{00000000-0008-0000-0400-0000D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60" name="Text Box 2945">
          <a:extLst>
            <a:ext uri="{FF2B5EF4-FFF2-40B4-BE49-F238E27FC236}">
              <a16:creationId xmlns:a16="http://schemas.microsoft.com/office/drawing/2014/main" id="{00000000-0008-0000-0400-0000D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61" name="Text Box 2946">
          <a:extLst>
            <a:ext uri="{FF2B5EF4-FFF2-40B4-BE49-F238E27FC236}">
              <a16:creationId xmlns:a16="http://schemas.microsoft.com/office/drawing/2014/main" id="{00000000-0008-0000-0400-0000D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62" name="Text Box 2947">
          <a:extLst>
            <a:ext uri="{FF2B5EF4-FFF2-40B4-BE49-F238E27FC236}">
              <a16:creationId xmlns:a16="http://schemas.microsoft.com/office/drawing/2014/main" id="{00000000-0008-0000-0400-0000D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63" name="Text Box 2948">
          <a:extLst>
            <a:ext uri="{FF2B5EF4-FFF2-40B4-BE49-F238E27FC236}">
              <a16:creationId xmlns:a16="http://schemas.microsoft.com/office/drawing/2014/main" id="{00000000-0008-0000-0400-0000D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64" name="Text Box 2949">
          <a:extLst>
            <a:ext uri="{FF2B5EF4-FFF2-40B4-BE49-F238E27FC236}">
              <a16:creationId xmlns:a16="http://schemas.microsoft.com/office/drawing/2014/main" id="{00000000-0008-0000-0400-0000D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65" name="Text Box 2950">
          <a:extLst>
            <a:ext uri="{FF2B5EF4-FFF2-40B4-BE49-F238E27FC236}">
              <a16:creationId xmlns:a16="http://schemas.microsoft.com/office/drawing/2014/main" id="{00000000-0008-0000-0400-0000D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66" name="Text Box 2951">
          <a:extLst>
            <a:ext uri="{FF2B5EF4-FFF2-40B4-BE49-F238E27FC236}">
              <a16:creationId xmlns:a16="http://schemas.microsoft.com/office/drawing/2014/main" id="{00000000-0008-0000-0400-0000D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67" name="Text Box 2952">
          <a:extLst>
            <a:ext uri="{FF2B5EF4-FFF2-40B4-BE49-F238E27FC236}">
              <a16:creationId xmlns:a16="http://schemas.microsoft.com/office/drawing/2014/main" id="{00000000-0008-0000-0400-0000D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68" name="Text Box 2953">
          <a:extLst>
            <a:ext uri="{FF2B5EF4-FFF2-40B4-BE49-F238E27FC236}">
              <a16:creationId xmlns:a16="http://schemas.microsoft.com/office/drawing/2014/main" id="{00000000-0008-0000-0400-0000E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69" name="Text Box 2954">
          <a:extLst>
            <a:ext uri="{FF2B5EF4-FFF2-40B4-BE49-F238E27FC236}">
              <a16:creationId xmlns:a16="http://schemas.microsoft.com/office/drawing/2014/main" id="{00000000-0008-0000-0400-0000E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70" name="Text Box 2955">
          <a:extLst>
            <a:ext uri="{FF2B5EF4-FFF2-40B4-BE49-F238E27FC236}">
              <a16:creationId xmlns:a16="http://schemas.microsoft.com/office/drawing/2014/main" id="{00000000-0008-0000-0400-0000E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71" name="Text Box 2956">
          <a:extLst>
            <a:ext uri="{FF2B5EF4-FFF2-40B4-BE49-F238E27FC236}">
              <a16:creationId xmlns:a16="http://schemas.microsoft.com/office/drawing/2014/main" id="{00000000-0008-0000-0400-0000E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72" name="Text Box 2957">
          <a:extLst>
            <a:ext uri="{FF2B5EF4-FFF2-40B4-BE49-F238E27FC236}">
              <a16:creationId xmlns:a16="http://schemas.microsoft.com/office/drawing/2014/main" id="{00000000-0008-0000-0400-0000E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73" name="Text Box 2958">
          <a:extLst>
            <a:ext uri="{FF2B5EF4-FFF2-40B4-BE49-F238E27FC236}">
              <a16:creationId xmlns:a16="http://schemas.microsoft.com/office/drawing/2014/main" id="{00000000-0008-0000-0400-0000E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74" name="Text Box 2959">
          <a:extLst>
            <a:ext uri="{FF2B5EF4-FFF2-40B4-BE49-F238E27FC236}">
              <a16:creationId xmlns:a16="http://schemas.microsoft.com/office/drawing/2014/main" id="{00000000-0008-0000-0400-0000E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75" name="Text Box 2960">
          <a:extLst>
            <a:ext uri="{FF2B5EF4-FFF2-40B4-BE49-F238E27FC236}">
              <a16:creationId xmlns:a16="http://schemas.microsoft.com/office/drawing/2014/main" id="{00000000-0008-0000-0400-0000E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76" name="Text Box 2961">
          <a:extLst>
            <a:ext uri="{FF2B5EF4-FFF2-40B4-BE49-F238E27FC236}">
              <a16:creationId xmlns:a16="http://schemas.microsoft.com/office/drawing/2014/main" id="{00000000-0008-0000-0400-0000E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77" name="Text Box 2962">
          <a:extLst>
            <a:ext uri="{FF2B5EF4-FFF2-40B4-BE49-F238E27FC236}">
              <a16:creationId xmlns:a16="http://schemas.microsoft.com/office/drawing/2014/main" id="{00000000-0008-0000-0400-0000E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78" name="Text Box 2963">
          <a:extLst>
            <a:ext uri="{FF2B5EF4-FFF2-40B4-BE49-F238E27FC236}">
              <a16:creationId xmlns:a16="http://schemas.microsoft.com/office/drawing/2014/main" id="{00000000-0008-0000-0400-0000E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79" name="Text Box 2964">
          <a:extLst>
            <a:ext uri="{FF2B5EF4-FFF2-40B4-BE49-F238E27FC236}">
              <a16:creationId xmlns:a16="http://schemas.microsoft.com/office/drawing/2014/main" id="{00000000-0008-0000-0400-0000E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80" name="Text Box 2965">
          <a:extLst>
            <a:ext uri="{FF2B5EF4-FFF2-40B4-BE49-F238E27FC236}">
              <a16:creationId xmlns:a16="http://schemas.microsoft.com/office/drawing/2014/main" id="{00000000-0008-0000-0400-0000E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81" name="Text Box 2966">
          <a:extLst>
            <a:ext uri="{FF2B5EF4-FFF2-40B4-BE49-F238E27FC236}">
              <a16:creationId xmlns:a16="http://schemas.microsoft.com/office/drawing/2014/main" id="{00000000-0008-0000-0400-0000E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82" name="Text Box 2967">
          <a:extLst>
            <a:ext uri="{FF2B5EF4-FFF2-40B4-BE49-F238E27FC236}">
              <a16:creationId xmlns:a16="http://schemas.microsoft.com/office/drawing/2014/main" id="{00000000-0008-0000-0400-0000E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83" name="Text Box 2968">
          <a:extLst>
            <a:ext uri="{FF2B5EF4-FFF2-40B4-BE49-F238E27FC236}">
              <a16:creationId xmlns:a16="http://schemas.microsoft.com/office/drawing/2014/main" id="{00000000-0008-0000-0400-0000E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84" name="Text Box 2969">
          <a:extLst>
            <a:ext uri="{FF2B5EF4-FFF2-40B4-BE49-F238E27FC236}">
              <a16:creationId xmlns:a16="http://schemas.microsoft.com/office/drawing/2014/main" id="{00000000-0008-0000-0400-0000F0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85" name="Text Box 2970">
          <a:extLst>
            <a:ext uri="{FF2B5EF4-FFF2-40B4-BE49-F238E27FC236}">
              <a16:creationId xmlns:a16="http://schemas.microsoft.com/office/drawing/2014/main" id="{00000000-0008-0000-0400-0000F1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86" name="Text Box 2971">
          <a:extLst>
            <a:ext uri="{FF2B5EF4-FFF2-40B4-BE49-F238E27FC236}">
              <a16:creationId xmlns:a16="http://schemas.microsoft.com/office/drawing/2014/main" id="{00000000-0008-0000-0400-0000F2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87" name="Text Box 2972">
          <a:extLst>
            <a:ext uri="{FF2B5EF4-FFF2-40B4-BE49-F238E27FC236}">
              <a16:creationId xmlns:a16="http://schemas.microsoft.com/office/drawing/2014/main" id="{00000000-0008-0000-0400-0000F3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88" name="Text Box 2973">
          <a:extLst>
            <a:ext uri="{FF2B5EF4-FFF2-40B4-BE49-F238E27FC236}">
              <a16:creationId xmlns:a16="http://schemas.microsoft.com/office/drawing/2014/main" id="{00000000-0008-0000-0400-0000F4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89" name="Text Box 2974">
          <a:extLst>
            <a:ext uri="{FF2B5EF4-FFF2-40B4-BE49-F238E27FC236}">
              <a16:creationId xmlns:a16="http://schemas.microsoft.com/office/drawing/2014/main" id="{00000000-0008-0000-0400-0000F5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90" name="Text Box 2975">
          <a:extLst>
            <a:ext uri="{FF2B5EF4-FFF2-40B4-BE49-F238E27FC236}">
              <a16:creationId xmlns:a16="http://schemas.microsoft.com/office/drawing/2014/main" id="{00000000-0008-0000-0400-0000F6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91" name="Text Box 2976">
          <a:extLst>
            <a:ext uri="{FF2B5EF4-FFF2-40B4-BE49-F238E27FC236}">
              <a16:creationId xmlns:a16="http://schemas.microsoft.com/office/drawing/2014/main" id="{00000000-0008-0000-0400-0000F7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92" name="Text Box 2977">
          <a:extLst>
            <a:ext uri="{FF2B5EF4-FFF2-40B4-BE49-F238E27FC236}">
              <a16:creationId xmlns:a16="http://schemas.microsoft.com/office/drawing/2014/main" id="{00000000-0008-0000-0400-0000F8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93" name="Text Box 2978">
          <a:extLst>
            <a:ext uri="{FF2B5EF4-FFF2-40B4-BE49-F238E27FC236}">
              <a16:creationId xmlns:a16="http://schemas.microsoft.com/office/drawing/2014/main" id="{00000000-0008-0000-0400-0000F9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94" name="Text Box 2979">
          <a:extLst>
            <a:ext uri="{FF2B5EF4-FFF2-40B4-BE49-F238E27FC236}">
              <a16:creationId xmlns:a16="http://schemas.microsoft.com/office/drawing/2014/main" id="{00000000-0008-0000-0400-0000FA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95" name="Text Box 2980">
          <a:extLst>
            <a:ext uri="{FF2B5EF4-FFF2-40B4-BE49-F238E27FC236}">
              <a16:creationId xmlns:a16="http://schemas.microsoft.com/office/drawing/2014/main" id="{00000000-0008-0000-0400-0000FB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96" name="Text Box 2981">
          <a:extLst>
            <a:ext uri="{FF2B5EF4-FFF2-40B4-BE49-F238E27FC236}">
              <a16:creationId xmlns:a16="http://schemas.microsoft.com/office/drawing/2014/main" id="{00000000-0008-0000-0400-0000FC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97" name="Text Box 2982">
          <a:extLst>
            <a:ext uri="{FF2B5EF4-FFF2-40B4-BE49-F238E27FC236}">
              <a16:creationId xmlns:a16="http://schemas.microsoft.com/office/drawing/2014/main" id="{00000000-0008-0000-0400-0000FD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98" name="Text Box 2983">
          <a:extLst>
            <a:ext uri="{FF2B5EF4-FFF2-40B4-BE49-F238E27FC236}">
              <a16:creationId xmlns:a16="http://schemas.microsoft.com/office/drawing/2014/main" id="{00000000-0008-0000-0400-0000FE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199" name="Text Box 2984">
          <a:extLst>
            <a:ext uri="{FF2B5EF4-FFF2-40B4-BE49-F238E27FC236}">
              <a16:creationId xmlns:a16="http://schemas.microsoft.com/office/drawing/2014/main" id="{00000000-0008-0000-0400-0000FF83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00" name="Text Box 2985">
          <a:extLst>
            <a:ext uri="{FF2B5EF4-FFF2-40B4-BE49-F238E27FC236}">
              <a16:creationId xmlns:a16="http://schemas.microsoft.com/office/drawing/2014/main" id="{00000000-0008-0000-0400-00000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01" name="Text Box 2986">
          <a:extLst>
            <a:ext uri="{FF2B5EF4-FFF2-40B4-BE49-F238E27FC236}">
              <a16:creationId xmlns:a16="http://schemas.microsoft.com/office/drawing/2014/main" id="{00000000-0008-0000-0400-00000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02" name="Text Box 2987">
          <a:extLst>
            <a:ext uri="{FF2B5EF4-FFF2-40B4-BE49-F238E27FC236}">
              <a16:creationId xmlns:a16="http://schemas.microsoft.com/office/drawing/2014/main" id="{00000000-0008-0000-0400-00000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03" name="Text Box 2988">
          <a:extLst>
            <a:ext uri="{FF2B5EF4-FFF2-40B4-BE49-F238E27FC236}">
              <a16:creationId xmlns:a16="http://schemas.microsoft.com/office/drawing/2014/main" id="{00000000-0008-0000-0400-00000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04" name="Text Box 2989">
          <a:extLst>
            <a:ext uri="{FF2B5EF4-FFF2-40B4-BE49-F238E27FC236}">
              <a16:creationId xmlns:a16="http://schemas.microsoft.com/office/drawing/2014/main" id="{00000000-0008-0000-0400-00000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05" name="Text Box 2990">
          <a:extLst>
            <a:ext uri="{FF2B5EF4-FFF2-40B4-BE49-F238E27FC236}">
              <a16:creationId xmlns:a16="http://schemas.microsoft.com/office/drawing/2014/main" id="{00000000-0008-0000-0400-00000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06" name="Text Box 2991">
          <a:extLst>
            <a:ext uri="{FF2B5EF4-FFF2-40B4-BE49-F238E27FC236}">
              <a16:creationId xmlns:a16="http://schemas.microsoft.com/office/drawing/2014/main" id="{00000000-0008-0000-0400-00000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07" name="Text Box 2992">
          <a:extLst>
            <a:ext uri="{FF2B5EF4-FFF2-40B4-BE49-F238E27FC236}">
              <a16:creationId xmlns:a16="http://schemas.microsoft.com/office/drawing/2014/main" id="{00000000-0008-0000-0400-00000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08" name="Text Box 2993">
          <a:extLst>
            <a:ext uri="{FF2B5EF4-FFF2-40B4-BE49-F238E27FC236}">
              <a16:creationId xmlns:a16="http://schemas.microsoft.com/office/drawing/2014/main" id="{00000000-0008-0000-0400-00000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09" name="Text Box 2994">
          <a:extLst>
            <a:ext uri="{FF2B5EF4-FFF2-40B4-BE49-F238E27FC236}">
              <a16:creationId xmlns:a16="http://schemas.microsoft.com/office/drawing/2014/main" id="{00000000-0008-0000-0400-00000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10" name="Text Box 2995">
          <a:extLst>
            <a:ext uri="{FF2B5EF4-FFF2-40B4-BE49-F238E27FC236}">
              <a16:creationId xmlns:a16="http://schemas.microsoft.com/office/drawing/2014/main" id="{00000000-0008-0000-0400-00000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11" name="Text Box 2996">
          <a:extLst>
            <a:ext uri="{FF2B5EF4-FFF2-40B4-BE49-F238E27FC236}">
              <a16:creationId xmlns:a16="http://schemas.microsoft.com/office/drawing/2014/main" id="{00000000-0008-0000-0400-00000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12" name="Text Box 2997">
          <a:extLst>
            <a:ext uri="{FF2B5EF4-FFF2-40B4-BE49-F238E27FC236}">
              <a16:creationId xmlns:a16="http://schemas.microsoft.com/office/drawing/2014/main" id="{00000000-0008-0000-0400-00000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13" name="Text Box 2998">
          <a:extLst>
            <a:ext uri="{FF2B5EF4-FFF2-40B4-BE49-F238E27FC236}">
              <a16:creationId xmlns:a16="http://schemas.microsoft.com/office/drawing/2014/main" id="{00000000-0008-0000-0400-00000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14" name="Text Box 2999">
          <a:extLst>
            <a:ext uri="{FF2B5EF4-FFF2-40B4-BE49-F238E27FC236}">
              <a16:creationId xmlns:a16="http://schemas.microsoft.com/office/drawing/2014/main" id="{00000000-0008-0000-0400-00000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15" name="Text Box 3000">
          <a:extLst>
            <a:ext uri="{FF2B5EF4-FFF2-40B4-BE49-F238E27FC236}">
              <a16:creationId xmlns:a16="http://schemas.microsoft.com/office/drawing/2014/main" id="{00000000-0008-0000-0400-00000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16" name="Text Box 3001">
          <a:extLst>
            <a:ext uri="{FF2B5EF4-FFF2-40B4-BE49-F238E27FC236}">
              <a16:creationId xmlns:a16="http://schemas.microsoft.com/office/drawing/2014/main" id="{00000000-0008-0000-0400-00001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17" name="Text Box 3002">
          <a:extLst>
            <a:ext uri="{FF2B5EF4-FFF2-40B4-BE49-F238E27FC236}">
              <a16:creationId xmlns:a16="http://schemas.microsoft.com/office/drawing/2014/main" id="{00000000-0008-0000-0400-00001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18" name="Text Box 3003">
          <a:extLst>
            <a:ext uri="{FF2B5EF4-FFF2-40B4-BE49-F238E27FC236}">
              <a16:creationId xmlns:a16="http://schemas.microsoft.com/office/drawing/2014/main" id="{00000000-0008-0000-0400-00001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19" name="Text Box 3004">
          <a:extLst>
            <a:ext uri="{FF2B5EF4-FFF2-40B4-BE49-F238E27FC236}">
              <a16:creationId xmlns:a16="http://schemas.microsoft.com/office/drawing/2014/main" id="{00000000-0008-0000-0400-00001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20" name="Text Box 3005">
          <a:extLst>
            <a:ext uri="{FF2B5EF4-FFF2-40B4-BE49-F238E27FC236}">
              <a16:creationId xmlns:a16="http://schemas.microsoft.com/office/drawing/2014/main" id="{00000000-0008-0000-0400-00001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21" name="Text Box 3006">
          <a:extLst>
            <a:ext uri="{FF2B5EF4-FFF2-40B4-BE49-F238E27FC236}">
              <a16:creationId xmlns:a16="http://schemas.microsoft.com/office/drawing/2014/main" id="{00000000-0008-0000-0400-00001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22" name="Text Box 3007">
          <a:extLst>
            <a:ext uri="{FF2B5EF4-FFF2-40B4-BE49-F238E27FC236}">
              <a16:creationId xmlns:a16="http://schemas.microsoft.com/office/drawing/2014/main" id="{00000000-0008-0000-0400-00001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23" name="Text Box 3008">
          <a:extLst>
            <a:ext uri="{FF2B5EF4-FFF2-40B4-BE49-F238E27FC236}">
              <a16:creationId xmlns:a16="http://schemas.microsoft.com/office/drawing/2014/main" id="{00000000-0008-0000-0400-00001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24" name="Text Box 3009">
          <a:extLst>
            <a:ext uri="{FF2B5EF4-FFF2-40B4-BE49-F238E27FC236}">
              <a16:creationId xmlns:a16="http://schemas.microsoft.com/office/drawing/2014/main" id="{00000000-0008-0000-0400-00001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25" name="Text Box 3010">
          <a:extLst>
            <a:ext uri="{FF2B5EF4-FFF2-40B4-BE49-F238E27FC236}">
              <a16:creationId xmlns:a16="http://schemas.microsoft.com/office/drawing/2014/main" id="{00000000-0008-0000-0400-00001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26" name="Text Box 3011">
          <a:extLst>
            <a:ext uri="{FF2B5EF4-FFF2-40B4-BE49-F238E27FC236}">
              <a16:creationId xmlns:a16="http://schemas.microsoft.com/office/drawing/2014/main" id="{00000000-0008-0000-0400-00001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27" name="Text Box 3012">
          <a:extLst>
            <a:ext uri="{FF2B5EF4-FFF2-40B4-BE49-F238E27FC236}">
              <a16:creationId xmlns:a16="http://schemas.microsoft.com/office/drawing/2014/main" id="{00000000-0008-0000-0400-00001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28" name="Text Box 3013">
          <a:extLst>
            <a:ext uri="{FF2B5EF4-FFF2-40B4-BE49-F238E27FC236}">
              <a16:creationId xmlns:a16="http://schemas.microsoft.com/office/drawing/2014/main" id="{00000000-0008-0000-0400-00001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29" name="Text Box 3014">
          <a:extLst>
            <a:ext uri="{FF2B5EF4-FFF2-40B4-BE49-F238E27FC236}">
              <a16:creationId xmlns:a16="http://schemas.microsoft.com/office/drawing/2014/main" id="{00000000-0008-0000-0400-00001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30" name="Text Box 3015">
          <a:extLst>
            <a:ext uri="{FF2B5EF4-FFF2-40B4-BE49-F238E27FC236}">
              <a16:creationId xmlns:a16="http://schemas.microsoft.com/office/drawing/2014/main" id="{00000000-0008-0000-0400-00001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31" name="Text Box 3016">
          <a:extLst>
            <a:ext uri="{FF2B5EF4-FFF2-40B4-BE49-F238E27FC236}">
              <a16:creationId xmlns:a16="http://schemas.microsoft.com/office/drawing/2014/main" id="{00000000-0008-0000-0400-00001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32" name="Text Box 3017">
          <a:extLst>
            <a:ext uri="{FF2B5EF4-FFF2-40B4-BE49-F238E27FC236}">
              <a16:creationId xmlns:a16="http://schemas.microsoft.com/office/drawing/2014/main" id="{00000000-0008-0000-0400-00002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33" name="Text Box 3018">
          <a:extLst>
            <a:ext uri="{FF2B5EF4-FFF2-40B4-BE49-F238E27FC236}">
              <a16:creationId xmlns:a16="http://schemas.microsoft.com/office/drawing/2014/main" id="{00000000-0008-0000-0400-00002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34" name="Text Box 3019">
          <a:extLst>
            <a:ext uri="{FF2B5EF4-FFF2-40B4-BE49-F238E27FC236}">
              <a16:creationId xmlns:a16="http://schemas.microsoft.com/office/drawing/2014/main" id="{00000000-0008-0000-0400-00002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35" name="Text Box 3020">
          <a:extLst>
            <a:ext uri="{FF2B5EF4-FFF2-40B4-BE49-F238E27FC236}">
              <a16:creationId xmlns:a16="http://schemas.microsoft.com/office/drawing/2014/main" id="{00000000-0008-0000-0400-00002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36" name="Text Box 3021">
          <a:extLst>
            <a:ext uri="{FF2B5EF4-FFF2-40B4-BE49-F238E27FC236}">
              <a16:creationId xmlns:a16="http://schemas.microsoft.com/office/drawing/2014/main" id="{00000000-0008-0000-0400-00002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37" name="Text Box 3022">
          <a:extLst>
            <a:ext uri="{FF2B5EF4-FFF2-40B4-BE49-F238E27FC236}">
              <a16:creationId xmlns:a16="http://schemas.microsoft.com/office/drawing/2014/main" id="{00000000-0008-0000-0400-00002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38" name="Text Box 3023">
          <a:extLst>
            <a:ext uri="{FF2B5EF4-FFF2-40B4-BE49-F238E27FC236}">
              <a16:creationId xmlns:a16="http://schemas.microsoft.com/office/drawing/2014/main" id="{00000000-0008-0000-0400-00002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39" name="Text Box 3024">
          <a:extLst>
            <a:ext uri="{FF2B5EF4-FFF2-40B4-BE49-F238E27FC236}">
              <a16:creationId xmlns:a16="http://schemas.microsoft.com/office/drawing/2014/main" id="{00000000-0008-0000-0400-00002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40" name="Text Box 3025">
          <a:extLst>
            <a:ext uri="{FF2B5EF4-FFF2-40B4-BE49-F238E27FC236}">
              <a16:creationId xmlns:a16="http://schemas.microsoft.com/office/drawing/2014/main" id="{00000000-0008-0000-0400-00002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41" name="Text Box 3026">
          <a:extLst>
            <a:ext uri="{FF2B5EF4-FFF2-40B4-BE49-F238E27FC236}">
              <a16:creationId xmlns:a16="http://schemas.microsoft.com/office/drawing/2014/main" id="{00000000-0008-0000-0400-00002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42" name="Text Box 3027">
          <a:extLst>
            <a:ext uri="{FF2B5EF4-FFF2-40B4-BE49-F238E27FC236}">
              <a16:creationId xmlns:a16="http://schemas.microsoft.com/office/drawing/2014/main" id="{00000000-0008-0000-0400-00002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43" name="Text Box 3028">
          <a:extLst>
            <a:ext uri="{FF2B5EF4-FFF2-40B4-BE49-F238E27FC236}">
              <a16:creationId xmlns:a16="http://schemas.microsoft.com/office/drawing/2014/main" id="{00000000-0008-0000-0400-00002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44" name="Text Box 3029">
          <a:extLst>
            <a:ext uri="{FF2B5EF4-FFF2-40B4-BE49-F238E27FC236}">
              <a16:creationId xmlns:a16="http://schemas.microsoft.com/office/drawing/2014/main" id="{00000000-0008-0000-0400-00002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45" name="Text Box 3030">
          <a:extLst>
            <a:ext uri="{FF2B5EF4-FFF2-40B4-BE49-F238E27FC236}">
              <a16:creationId xmlns:a16="http://schemas.microsoft.com/office/drawing/2014/main" id="{00000000-0008-0000-0400-00002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46" name="Text Box 3031">
          <a:extLst>
            <a:ext uri="{FF2B5EF4-FFF2-40B4-BE49-F238E27FC236}">
              <a16:creationId xmlns:a16="http://schemas.microsoft.com/office/drawing/2014/main" id="{00000000-0008-0000-0400-00002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47" name="Text Box 3032">
          <a:extLst>
            <a:ext uri="{FF2B5EF4-FFF2-40B4-BE49-F238E27FC236}">
              <a16:creationId xmlns:a16="http://schemas.microsoft.com/office/drawing/2014/main" id="{00000000-0008-0000-0400-00002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48" name="Text Box 3033">
          <a:extLst>
            <a:ext uri="{FF2B5EF4-FFF2-40B4-BE49-F238E27FC236}">
              <a16:creationId xmlns:a16="http://schemas.microsoft.com/office/drawing/2014/main" id="{00000000-0008-0000-0400-00003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49" name="Text Box 3034">
          <a:extLst>
            <a:ext uri="{FF2B5EF4-FFF2-40B4-BE49-F238E27FC236}">
              <a16:creationId xmlns:a16="http://schemas.microsoft.com/office/drawing/2014/main" id="{00000000-0008-0000-0400-00003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50" name="Text Box 3035">
          <a:extLst>
            <a:ext uri="{FF2B5EF4-FFF2-40B4-BE49-F238E27FC236}">
              <a16:creationId xmlns:a16="http://schemas.microsoft.com/office/drawing/2014/main" id="{00000000-0008-0000-0400-00003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51" name="Text Box 3036">
          <a:extLst>
            <a:ext uri="{FF2B5EF4-FFF2-40B4-BE49-F238E27FC236}">
              <a16:creationId xmlns:a16="http://schemas.microsoft.com/office/drawing/2014/main" id="{00000000-0008-0000-0400-00003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52" name="Text Box 3037">
          <a:extLst>
            <a:ext uri="{FF2B5EF4-FFF2-40B4-BE49-F238E27FC236}">
              <a16:creationId xmlns:a16="http://schemas.microsoft.com/office/drawing/2014/main" id="{00000000-0008-0000-0400-00003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53" name="Text Box 3038">
          <a:extLst>
            <a:ext uri="{FF2B5EF4-FFF2-40B4-BE49-F238E27FC236}">
              <a16:creationId xmlns:a16="http://schemas.microsoft.com/office/drawing/2014/main" id="{00000000-0008-0000-0400-00003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54" name="Text Box 3039">
          <a:extLst>
            <a:ext uri="{FF2B5EF4-FFF2-40B4-BE49-F238E27FC236}">
              <a16:creationId xmlns:a16="http://schemas.microsoft.com/office/drawing/2014/main" id="{00000000-0008-0000-0400-00003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55" name="Text Box 3040">
          <a:extLst>
            <a:ext uri="{FF2B5EF4-FFF2-40B4-BE49-F238E27FC236}">
              <a16:creationId xmlns:a16="http://schemas.microsoft.com/office/drawing/2014/main" id="{00000000-0008-0000-0400-00003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56" name="Text Box 3041">
          <a:extLst>
            <a:ext uri="{FF2B5EF4-FFF2-40B4-BE49-F238E27FC236}">
              <a16:creationId xmlns:a16="http://schemas.microsoft.com/office/drawing/2014/main" id="{00000000-0008-0000-0400-00003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57" name="Text Box 3042">
          <a:extLst>
            <a:ext uri="{FF2B5EF4-FFF2-40B4-BE49-F238E27FC236}">
              <a16:creationId xmlns:a16="http://schemas.microsoft.com/office/drawing/2014/main" id="{00000000-0008-0000-0400-00003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58" name="Text Box 3043">
          <a:extLst>
            <a:ext uri="{FF2B5EF4-FFF2-40B4-BE49-F238E27FC236}">
              <a16:creationId xmlns:a16="http://schemas.microsoft.com/office/drawing/2014/main" id="{00000000-0008-0000-0400-00003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59" name="Text Box 3044">
          <a:extLst>
            <a:ext uri="{FF2B5EF4-FFF2-40B4-BE49-F238E27FC236}">
              <a16:creationId xmlns:a16="http://schemas.microsoft.com/office/drawing/2014/main" id="{00000000-0008-0000-0400-00003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60" name="Text Box 3045">
          <a:extLst>
            <a:ext uri="{FF2B5EF4-FFF2-40B4-BE49-F238E27FC236}">
              <a16:creationId xmlns:a16="http://schemas.microsoft.com/office/drawing/2014/main" id="{00000000-0008-0000-0400-00003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61" name="Text Box 3046">
          <a:extLst>
            <a:ext uri="{FF2B5EF4-FFF2-40B4-BE49-F238E27FC236}">
              <a16:creationId xmlns:a16="http://schemas.microsoft.com/office/drawing/2014/main" id="{00000000-0008-0000-0400-00003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62" name="Text Box 3047">
          <a:extLst>
            <a:ext uri="{FF2B5EF4-FFF2-40B4-BE49-F238E27FC236}">
              <a16:creationId xmlns:a16="http://schemas.microsoft.com/office/drawing/2014/main" id="{00000000-0008-0000-0400-00003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63" name="Text Box 3048">
          <a:extLst>
            <a:ext uri="{FF2B5EF4-FFF2-40B4-BE49-F238E27FC236}">
              <a16:creationId xmlns:a16="http://schemas.microsoft.com/office/drawing/2014/main" id="{00000000-0008-0000-0400-00003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64" name="Text Box 3049">
          <a:extLst>
            <a:ext uri="{FF2B5EF4-FFF2-40B4-BE49-F238E27FC236}">
              <a16:creationId xmlns:a16="http://schemas.microsoft.com/office/drawing/2014/main" id="{00000000-0008-0000-0400-00004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65" name="Text Box 3050">
          <a:extLst>
            <a:ext uri="{FF2B5EF4-FFF2-40B4-BE49-F238E27FC236}">
              <a16:creationId xmlns:a16="http://schemas.microsoft.com/office/drawing/2014/main" id="{00000000-0008-0000-0400-00004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66" name="Text Box 3051">
          <a:extLst>
            <a:ext uri="{FF2B5EF4-FFF2-40B4-BE49-F238E27FC236}">
              <a16:creationId xmlns:a16="http://schemas.microsoft.com/office/drawing/2014/main" id="{00000000-0008-0000-0400-00004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67" name="Text Box 3052">
          <a:extLst>
            <a:ext uri="{FF2B5EF4-FFF2-40B4-BE49-F238E27FC236}">
              <a16:creationId xmlns:a16="http://schemas.microsoft.com/office/drawing/2014/main" id="{00000000-0008-0000-0400-00004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68" name="Text Box 3053">
          <a:extLst>
            <a:ext uri="{FF2B5EF4-FFF2-40B4-BE49-F238E27FC236}">
              <a16:creationId xmlns:a16="http://schemas.microsoft.com/office/drawing/2014/main" id="{00000000-0008-0000-0400-00004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69" name="Text Box 3058">
          <a:extLst>
            <a:ext uri="{FF2B5EF4-FFF2-40B4-BE49-F238E27FC236}">
              <a16:creationId xmlns:a16="http://schemas.microsoft.com/office/drawing/2014/main" id="{00000000-0008-0000-0400-00004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70" name="Text Box 3059">
          <a:extLst>
            <a:ext uri="{FF2B5EF4-FFF2-40B4-BE49-F238E27FC236}">
              <a16:creationId xmlns:a16="http://schemas.microsoft.com/office/drawing/2014/main" id="{00000000-0008-0000-0400-00004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71" name="Text Box 3060">
          <a:extLst>
            <a:ext uri="{FF2B5EF4-FFF2-40B4-BE49-F238E27FC236}">
              <a16:creationId xmlns:a16="http://schemas.microsoft.com/office/drawing/2014/main" id="{00000000-0008-0000-0400-00004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72" name="Text Box 3061">
          <a:extLst>
            <a:ext uri="{FF2B5EF4-FFF2-40B4-BE49-F238E27FC236}">
              <a16:creationId xmlns:a16="http://schemas.microsoft.com/office/drawing/2014/main" id="{00000000-0008-0000-0400-00004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73" name="Text Box 3062">
          <a:extLst>
            <a:ext uri="{FF2B5EF4-FFF2-40B4-BE49-F238E27FC236}">
              <a16:creationId xmlns:a16="http://schemas.microsoft.com/office/drawing/2014/main" id="{00000000-0008-0000-0400-00004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74" name="Text Box 3063">
          <a:extLst>
            <a:ext uri="{FF2B5EF4-FFF2-40B4-BE49-F238E27FC236}">
              <a16:creationId xmlns:a16="http://schemas.microsoft.com/office/drawing/2014/main" id="{00000000-0008-0000-0400-00004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75" name="Text Box 3064">
          <a:extLst>
            <a:ext uri="{FF2B5EF4-FFF2-40B4-BE49-F238E27FC236}">
              <a16:creationId xmlns:a16="http://schemas.microsoft.com/office/drawing/2014/main" id="{00000000-0008-0000-0400-00004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76" name="Text Box 3065">
          <a:extLst>
            <a:ext uri="{FF2B5EF4-FFF2-40B4-BE49-F238E27FC236}">
              <a16:creationId xmlns:a16="http://schemas.microsoft.com/office/drawing/2014/main" id="{00000000-0008-0000-0400-00004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77" name="Text Box 3066">
          <a:extLst>
            <a:ext uri="{FF2B5EF4-FFF2-40B4-BE49-F238E27FC236}">
              <a16:creationId xmlns:a16="http://schemas.microsoft.com/office/drawing/2014/main" id="{00000000-0008-0000-0400-00004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78" name="Text Box 3067">
          <a:extLst>
            <a:ext uri="{FF2B5EF4-FFF2-40B4-BE49-F238E27FC236}">
              <a16:creationId xmlns:a16="http://schemas.microsoft.com/office/drawing/2014/main" id="{00000000-0008-0000-0400-00004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79" name="Text Box 3068">
          <a:extLst>
            <a:ext uri="{FF2B5EF4-FFF2-40B4-BE49-F238E27FC236}">
              <a16:creationId xmlns:a16="http://schemas.microsoft.com/office/drawing/2014/main" id="{00000000-0008-0000-0400-00004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80" name="Text Box 3069">
          <a:extLst>
            <a:ext uri="{FF2B5EF4-FFF2-40B4-BE49-F238E27FC236}">
              <a16:creationId xmlns:a16="http://schemas.microsoft.com/office/drawing/2014/main" id="{00000000-0008-0000-0400-00005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81" name="Text Box 3070">
          <a:extLst>
            <a:ext uri="{FF2B5EF4-FFF2-40B4-BE49-F238E27FC236}">
              <a16:creationId xmlns:a16="http://schemas.microsoft.com/office/drawing/2014/main" id="{00000000-0008-0000-0400-00005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82" name="Text Box 3071">
          <a:extLst>
            <a:ext uri="{FF2B5EF4-FFF2-40B4-BE49-F238E27FC236}">
              <a16:creationId xmlns:a16="http://schemas.microsoft.com/office/drawing/2014/main" id="{00000000-0008-0000-0400-00005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83" name="Text Box 3072">
          <a:extLst>
            <a:ext uri="{FF2B5EF4-FFF2-40B4-BE49-F238E27FC236}">
              <a16:creationId xmlns:a16="http://schemas.microsoft.com/office/drawing/2014/main" id="{00000000-0008-0000-0400-00005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84" name="Text Box 3073">
          <a:extLst>
            <a:ext uri="{FF2B5EF4-FFF2-40B4-BE49-F238E27FC236}">
              <a16:creationId xmlns:a16="http://schemas.microsoft.com/office/drawing/2014/main" id="{00000000-0008-0000-0400-00005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85" name="Text Box 3074">
          <a:extLst>
            <a:ext uri="{FF2B5EF4-FFF2-40B4-BE49-F238E27FC236}">
              <a16:creationId xmlns:a16="http://schemas.microsoft.com/office/drawing/2014/main" id="{00000000-0008-0000-0400-00005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86" name="Text Box 3075">
          <a:extLst>
            <a:ext uri="{FF2B5EF4-FFF2-40B4-BE49-F238E27FC236}">
              <a16:creationId xmlns:a16="http://schemas.microsoft.com/office/drawing/2014/main" id="{00000000-0008-0000-0400-00005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87" name="Text Box 3076">
          <a:extLst>
            <a:ext uri="{FF2B5EF4-FFF2-40B4-BE49-F238E27FC236}">
              <a16:creationId xmlns:a16="http://schemas.microsoft.com/office/drawing/2014/main" id="{00000000-0008-0000-0400-00005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88" name="Text Box 3077">
          <a:extLst>
            <a:ext uri="{FF2B5EF4-FFF2-40B4-BE49-F238E27FC236}">
              <a16:creationId xmlns:a16="http://schemas.microsoft.com/office/drawing/2014/main" id="{00000000-0008-0000-0400-00005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89" name="Text Box 3078">
          <a:extLst>
            <a:ext uri="{FF2B5EF4-FFF2-40B4-BE49-F238E27FC236}">
              <a16:creationId xmlns:a16="http://schemas.microsoft.com/office/drawing/2014/main" id="{00000000-0008-0000-0400-00005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90" name="Text Box 3079">
          <a:extLst>
            <a:ext uri="{FF2B5EF4-FFF2-40B4-BE49-F238E27FC236}">
              <a16:creationId xmlns:a16="http://schemas.microsoft.com/office/drawing/2014/main" id="{00000000-0008-0000-0400-00005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91" name="Text Box 3080">
          <a:extLst>
            <a:ext uri="{FF2B5EF4-FFF2-40B4-BE49-F238E27FC236}">
              <a16:creationId xmlns:a16="http://schemas.microsoft.com/office/drawing/2014/main" id="{00000000-0008-0000-0400-00005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92" name="Text Box 3081">
          <a:extLst>
            <a:ext uri="{FF2B5EF4-FFF2-40B4-BE49-F238E27FC236}">
              <a16:creationId xmlns:a16="http://schemas.microsoft.com/office/drawing/2014/main" id="{00000000-0008-0000-0400-00005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93" name="Text Box 3082">
          <a:extLst>
            <a:ext uri="{FF2B5EF4-FFF2-40B4-BE49-F238E27FC236}">
              <a16:creationId xmlns:a16="http://schemas.microsoft.com/office/drawing/2014/main" id="{00000000-0008-0000-0400-00005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94" name="Text Box 3083">
          <a:extLst>
            <a:ext uri="{FF2B5EF4-FFF2-40B4-BE49-F238E27FC236}">
              <a16:creationId xmlns:a16="http://schemas.microsoft.com/office/drawing/2014/main" id="{00000000-0008-0000-0400-00005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95" name="Text Box 3084">
          <a:extLst>
            <a:ext uri="{FF2B5EF4-FFF2-40B4-BE49-F238E27FC236}">
              <a16:creationId xmlns:a16="http://schemas.microsoft.com/office/drawing/2014/main" id="{00000000-0008-0000-0400-00005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96" name="Text Box 3085">
          <a:extLst>
            <a:ext uri="{FF2B5EF4-FFF2-40B4-BE49-F238E27FC236}">
              <a16:creationId xmlns:a16="http://schemas.microsoft.com/office/drawing/2014/main" id="{00000000-0008-0000-0400-00006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97" name="Text Box 3086">
          <a:extLst>
            <a:ext uri="{FF2B5EF4-FFF2-40B4-BE49-F238E27FC236}">
              <a16:creationId xmlns:a16="http://schemas.microsoft.com/office/drawing/2014/main" id="{00000000-0008-0000-0400-00006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98" name="Text Box 3087">
          <a:extLst>
            <a:ext uri="{FF2B5EF4-FFF2-40B4-BE49-F238E27FC236}">
              <a16:creationId xmlns:a16="http://schemas.microsoft.com/office/drawing/2014/main" id="{00000000-0008-0000-0400-00006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299" name="Text Box 3088">
          <a:extLst>
            <a:ext uri="{FF2B5EF4-FFF2-40B4-BE49-F238E27FC236}">
              <a16:creationId xmlns:a16="http://schemas.microsoft.com/office/drawing/2014/main" id="{00000000-0008-0000-0400-00006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00" name="Text Box 3089">
          <a:extLst>
            <a:ext uri="{FF2B5EF4-FFF2-40B4-BE49-F238E27FC236}">
              <a16:creationId xmlns:a16="http://schemas.microsoft.com/office/drawing/2014/main" id="{00000000-0008-0000-0400-00006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01" name="Text Box 3090">
          <a:extLst>
            <a:ext uri="{FF2B5EF4-FFF2-40B4-BE49-F238E27FC236}">
              <a16:creationId xmlns:a16="http://schemas.microsoft.com/office/drawing/2014/main" id="{00000000-0008-0000-0400-00006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02" name="Text Box 3091">
          <a:extLst>
            <a:ext uri="{FF2B5EF4-FFF2-40B4-BE49-F238E27FC236}">
              <a16:creationId xmlns:a16="http://schemas.microsoft.com/office/drawing/2014/main" id="{00000000-0008-0000-0400-00006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03" name="Text Box 3092">
          <a:extLst>
            <a:ext uri="{FF2B5EF4-FFF2-40B4-BE49-F238E27FC236}">
              <a16:creationId xmlns:a16="http://schemas.microsoft.com/office/drawing/2014/main" id="{00000000-0008-0000-0400-00006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04" name="Text Box 3093">
          <a:extLst>
            <a:ext uri="{FF2B5EF4-FFF2-40B4-BE49-F238E27FC236}">
              <a16:creationId xmlns:a16="http://schemas.microsoft.com/office/drawing/2014/main" id="{00000000-0008-0000-0400-00006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05" name="Text Box 3094">
          <a:extLst>
            <a:ext uri="{FF2B5EF4-FFF2-40B4-BE49-F238E27FC236}">
              <a16:creationId xmlns:a16="http://schemas.microsoft.com/office/drawing/2014/main" id="{00000000-0008-0000-0400-00006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06" name="Text Box 3095">
          <a:extLst>
            <a:ext uri="{FF2B5EF4-FFF2-40B4-BE49-F238E27FC236}">
              <a16:creationId xmlns:a16="http://schemas.microsoft.com/office/drawing/2014/main" id="{00000000-0008-0000-0400-00006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07" name="Text Box 3096">
          <a:extLst>
            <a:ext uri="{FF2B5EF4-FFF2-40B4-BE49-F238E27FC236}">
              <a16:creationId xmlns:a16="http://schemas.microsoft.com/office/drawing/2014/main" id="{00000000-0008-0000-0400-00006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08" name="Text Box 3097">
          <a:extLst>
            <a:ext uri="{FF2B5EF4-FFF2-40B4-BE49-F238E27FC236}">
              <a16:creationId xmlns:a16="http://schemas.microsoft.com/office/drawing/2014/main" id="{00000000-0008-0000-0400-00006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09" name="Text Box 3098">
          <a:extLst>
            <a:ext uri="{FF2B5EF4-FFF2-40B4-BE49-F238E27FC236}">
              <a16:creationId xmlns:a16="http://schemas.microsoft.com/office/drawing/2014/main" id="{00000000-0008-0000-0400-00006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10" name="Text Box 3099">
          <a:extLst>
            <a:ext uri="{FF2B5EF4-FFF2-40B4-BE49-F238E27FC236}">
              <a16:creationId xmlns:a16="http://schemas.microsoft.com/office/drawing/2014/main" id="{00000000-0008-0000-0400-00006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11" name="Text Box 3100">
          <a:extLst>
            <a:ext uri="{FF2B5EF4-FFF2-40B4-BE49-F238E27FC236}">
              <a16:creationId xmlns:a16="http://schemas.microsoft.com/office/drawing/2014/main" id="{00000000-0008-0000-0400-00006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12" name="Text Box 3101">
          <a:extLst>
            <a:ext uri="{FF2B5EF4-FFF2-40B4-BE49-F238E27FC236}">
              <a16:creationId xmlns:a16="http://schemas.microsoft.com/office/drawing/2014/main" id="{00000000-0008-0000-0400-00007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13" name="Text Box 3102">
          <a:extLst>
            <a:ext uri="{FF2B5EF4-FFF2-40B4-BE49-F238E27FC236}">
              <a16:creationId xmlns:a16="http://schemas.microsoft.com/office/drawing/2014/main" id="{00000000-0008-0000-0400-00007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14" name="Text Box 3103">
          <a:extLst>
            <a:ext uri="{FF2B5EF4-FFF2-40B4-BE49-F238E27FC236}">
              <a16:creationId xmlns:a16="http://schemas.microsoft.com/office/drawing/2014/main" id="{00000000-0008-0000-0400-00007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15" name="Text Box 3104">
          <a:extLst>
            <a:ext uri="{FF2B5EF4-FFF2-40B4-BE49-F238E27FC236}">
              <a16:creationId xmlns:a16="http://schemas.microsoft.com/office/drawing/2014/main" id="{00000000-0008-0000-0400-00007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16" name="Text Box 3105">
          <a:extLst>
            <a:ext uri="{FF2B5EF4-FFF2-40B4-BE49-F238E27FC236}">
              <a16:creationId xmlns:a16="http://schemas.microsoft.com/office/drawing/2014/main" id="{00000000-0008-0000-0400-00007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17" name="Text Box 3106">
          <a:extLst>
            <a:ext uri="{FF2B5EF4-FFF2-40B4-BE49-F238E27FC236}">
              <a16:creationId xmlns:a16="http://schemas.microsoft.com/office/drawing/2014/main" id="{00000000-0008-0000-0400-00007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18" name="Text Box 3107">
          <a:extLst>
            <a:ext uri="{FF2B5EF4-FFF2-40B4-BE49-F238E27FC236}">
              <a16:creationId xmlns:a16="http://schemas.microsoft.com/office/drawing/2014/main" id="{00000000-0008-0000-0400-00007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19" name="Text Box 3108">
          <a:extLst>
            <a:ext uri="{FF2B5EF4-FFF2-40B4-BE49-F238E27FC236}">
              <a16:creationId xmlns:a16="http://schemas.microsoft.com/office/drawing/2014/main" id="{00000000-0008-0000-0400-00007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20" name="Text Box 3109">
          <a:extLst>
            <a:ext uri="{FF2B5EF4-FFF2-40B4-BE49-F238E27FC236}">
              <a16:creationId xmlns:a16="http://schemas.microsoft.com/office/drawing/2014/main" id="{00000000-0008-0000-0400-00007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21" name="Text Box 3110">
          <a:extLst>
            <a:ext uri="{FF2B5EF4-FFF2-40B4-BE49-F238E27FC236}">
              <a16:creationId xmlns:a16="http://schemas.microsoft.com/office/drawing/2014/main" id="{00000000-0008-0000-0400-00007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22" name="Text Box 3111">
          <a:extLst>
            <a:ext uri="{FF2B5EF4-FFF2-40B4-BE49-F238E27FC236}">
              <a16:creationId xmlns:a16="http://schemas.microsoft.com/office/drawing/2014/main" id="{00000000-0008-0000-0400-00007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23" name="Text Box 3112">
          <a:extLst>
            <a:ext uri="{FF2B5EF4-FFF2-40B4-BE49-F238E27FC236}">
              <a16:creationId xmlns:a16="http://schemas.microsoft.com/office/drawing/2014/main" id="{00000000-0008-0000-0400-00007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24" name="Text Box 3113">
          <a:extLst>
            <a:ext uri="{FF2B5EF4-FFF2-40B4-BE49-F238E27FC236}">
              <a16:creationId xmlns:a16="http://schemas.microsoft.com/office/drawing/2014/main" id="{00000000-0008-0000-0400-00007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25" name="Text Box 3114">
          <a:extLst>
            <a:ext uri="{FF2B5EF4-FFF2-40B4-BE49-F238E27FC236}">
              <a16:creationId xmlns:a16="http://schemas.microsoft.com/office/drawing/2014/main" id="{00000000-0008-0000-0400-00007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26" name="Text Box 3115">
          <a:extLst>
            <a:ext uri="{FF2B5EF4-FFF2-40B4-BE49-F238E27FC236}">
              <a16:creationId xmlns:a16="http://schemas.microsoft.com/office/drawing/2014/main" id="{00000000-0008-0000-0400-00007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27" name="Text Box 3116">
          <a:extLst>
            <a:ext uri="{FF2B5EF4-FFF2-40B4-BE49-F238E27FC236}">
              <a16:creationId xmlns:a16="http://schemas.microsoft.com/office/drawing/2014/main" id="{00000000-0008-0000-0400-00007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28" name="Text Box 3117">
          <a:extLst>
            <a:ext uri="{FF2B5EF4-FFF2-40B4-BE49-F238E27FC236}">
              <a16:creationId xmlns:a16="http://schemas.microsoft.com/office/drawing/2014/main" id="{00000000-0008-0000-0400-00008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29" name="Text Box 3118">
          <a:extLst>
            <a:ext uri="{FF2B5EF4-FFF2-40B4-BE49-F238E27FC236}">
              <a16:creationId xmlns:a16="http://schemas.microsoft.com/office/drawing/2014/main" id="{00000000-0008-0000-0400-00008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30" name="Text Box 3119">
          <a:extLst>
            <a:ext uri="{FF2B5EF4-FFF2-40B4-BE49-F238E27FC236}">
              <a16:creationId xmlns:a16="http://schemas.microsoft.com/office/drawing/2014/main" id="{00000000-0008-0000-0400-00008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31" name="Text Box 3120">
          <a:extLst>
            <a:ext uri="{FF2B5EF4-FFF2-40B4-BE49-F238E27FC236}">
              <a16:creationId xmlns:a16="http://schemas.microsoft.com/office/drawing/2014/main" id="{00000000-0008-0000-0400-00008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32" name="Text Box 3121">
          <a:extLst>
            <a:ext uri="{FF2B5EF4-FFF2-40B4-BE49-F238E27FC236}">
              <a16:creationId xmlns:a16="http://schemas.microsoft.com/office/drawing/2014/main" id="{00000000-0008-0000-0400-00008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33" name="Text Box 3122">
          <a:extLst>
            <a:ext uri="{FF2B5EF4-FFF2-40B4-BE49-F238E27FC236}">
              <a16:creationId xmlns:a16="http://schemas.microsoft.com/office/drawing/2014/main" id="{00000000-0008-0000-0400-00008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34" name="Text Box 3123">
          <a:extLst>
            <a:ext uri="{FF2B5EF4-FFF2-40B4-BE49-F238E27FC236}">
              <a16:creationId xmlns:a16="http://schemas.microsoft.com/office/drawing/2014/main" id="{00000000-0008-0000-0400-00008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35" name="Text Box 3124">
          <a:extLst>
            <a:ext uri="{FF2B5EF4-FFF2-40B4-BE49-F238E27FC236}">
              <a16:creationId xmlns:a16="http://schemas.microsoft.com/office/drawing/2014/main" id="{00000000-0008-0000-0400-00008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36" name="Text Box 3125">
          <a:extLst>
            <a:ext uri="{FF2B5EF4-FFF2-40B4-BE49-F238E27FC236}">
              <a16:creationId xmlns:a16="http://schemas.microsoft.com/office/drawing/2014/main" id="{00000000-0008-0000-0400-00008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37" name="Text Box 3126">
          <a:extLst>
            <a:ext uri="{FF2B5EF4-FFF2-40B4-BE49-F238E27FC236}">
              <a16:creationId xmlns:a16="http://schemas.microsoft.com/office/drawing/2014/main" id="{00000000-0008-0000-0400-00008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38" name="Text Box 3127">
          <a:extLst>
            <a:ext uri="{FF2B5EF4-FFF2-40B4-BE49-F238E27FC236}">
              <a16:creationId xmlns:a16="http://schemas.microsoft.com/office/drawing/2014/main" id="{00000000-0008-0000-0400-00008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39" name="Text Box 3128">
          <a:extLst>
            <a:ext uri="{FF2B5EF4-FFF2-40B4-BE49-F238E27FC236}">
              <a16:creationId xmlns:a16="http://schemas.microsoft.com/office/drawing/2014/main" id="{00000000-0008-0000-0400-00008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40" name="Text Box 3129">
          <a:extLst>
            <a:ext uri="{FF2B5EF4-FFF2-40B4-BE49-F238E27FC236}">
              <a16:creationId xmlns:a16="http://schemas.microsoft.com/office/drawing/2014/main" id="{00000000-0008-0000-0400-00008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41" name="Text Box 3130">
          <a:extLst>
            <a:ext uri="{FF2B5EF4-FFF2-40B4-BE49-F238E27FC236}">
              <a16:creationId xmlns:a16="http://schemas.microsoft.com/office/drawing/2014/main" id="{00000000-0008-0000-0400-00008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42" name="Text Box 3131">
          <a:extLst>
            <a:ext uri="{FF2B5EF4-FFF2-40B4-BE49-F238E27FC236}">
              <a16:creationId xmlns:a16="http://schemas.microsoft.com/office/drawing/2014/main" id="{00000000-0008-0000-0400-00008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43" name="Text Box 3132">
          <a:extLst>
            <a:ext uri="{FF2B5EF4-FFF2-40B4-BE49-F238E27FC236}">
              <a16:creationId xmlns:a16="http://schemas.microsoft.com/office/drawing/2014/main" id="{00000000-0008-0000-0400-00008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44" name="Text Box 3133">
          <a:extLst>
            <a:ext uri="{FF2B5EF4-FFF2-40B4-BE49-F238E27FC236}">
              <a16:creationId xmlns:a16="http://schemas.microsoft.com/office/drawing/2014/main" id="{00000000-0008-0000-0400-00009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45" name="Text Box 3134">
          <a:extLst>
            <a:ext uri="{FF2B5EF4-FFF2-40B4-BE49-F238E27FC236}">
              <a16:creationId xmlns:a16="http://schemas.microsoft.com/office/drawing/2014/main" id="{00000000-0008-0000-0400-00009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46" name="Text Box 3135">
          <a:extLst>
            <a:ext uri="{FF2B5EF4-FFF2-40B4-BE49-F238E27FC236}">
              <a16:creationId xmlns:a16="http://schemas.microsoft.com/office/drawing/2014/main" id="{00000000-0008-0000-0400-00009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47" name="Text Box 3136">
          <a:extLst>
            <a:ext uri="{FF2B5EF4-FFF2-40B4-BE49-F238E27FC236}">
              <a16:creationId xmlns:a16="http://schemas.microsoft.com/office/drawing/2014/main" id="{00000000-0008-0000-0400-00009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48" name="Text Box 3137">
          <a:extLst>
            <a:ext uri="{FF2B5EF4-FFF2-40B4-BE49-F238E27FC236}">
              <a16:creationId xmlns:a16="http://schemas.microsoft.com/office/drawing/2014/main" id="{00000000-0008-0000-0400-00009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49" name="Text Box 3138">
          <a:extLst>
            <a:ext uri="{FF2B5EF4-FFF2-40B4-BE49-F238E27FC236}">
              <a16:creationId xmlns:a16="http://schemas.microsoft.com/office/drawing/2014/main" id="{00000000-0008-0000-0400-00009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50" name="Text Box 3139">
          <a:extLst>
            <a:ext uri="{FF2B5EF4-FFF2-40B4-BE49-F238E27FC236}">
              <a16:creationId xmlns:a16="http://schemas.microsoft.com/office/drawing/2014/main" id="{00000000-0008-0000-0400-00009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51" name="Text Box 3140">
          <a:extLst>
            <a:ext uri="{FF2B5EF4-FFF2-40B4-BE49-F238E27FC236}">
              <a16:creationId xmlns:a16="http://schemas.microsoft.com/office/drawing/2014/main" id="{00000000-0008-0000-0400-00009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52" name="Text Box 3141">
          <a:extLst>
            <a:ext uri="{FF2B5EF4-FFF2-40B4-BE49-F238E27FC236}">
              <a16:creationId xmlns:a16="http://schemas.microsoft.com/office/drawing/2014/main" id="{00000000-0008-0000-0400-00009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53" name="Text Box 3142">
          <a:extLst>
            <a:ext uri="{FF2B5EF4-FFF2-40B4-BE49-F238E27FC236}">
              <a16:creationId xmlns:a16="http://schemas.microsoft.com/office/drawing/2014/main" id="{00000000-0008-0000-0400-00009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54" name="Text Box 3143">
          <a:extLst>
            <a:ext uri="{FF2B5EF4-FFF2-40B4-BE49-F238E27FC236}">
              <a16:creationId xmlns:a16="http://schemas.microsoft.com/office/drawing/2014/main" id="{00000000-0008-0000-0400-00009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55" name="Text Box 3144">
          <a:extLst>
            <a:ext uri="{FF2B5EF4-FFF2-40B4-BE49-F238E27FC236}">
              <a16:creationId xmlns:a16="http://schemas.microsoft.com/office/drawing/2014/main" id="{00000000-0008-0000-0400-00009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56" name="Text Box 3145">
          <a:extLst>
            <a:ext uri="{FF2B5EF4-FFF2-40B4-BE49-F238E27FC236}">
              <a16:creationId xmlns:a16="http://schemas.microsoft.com/office/drawing/2014/main" id="{00000000-0008-0000-0400-00009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57" name="Text Box 3146">
          <a:extLst>
            <a:ext uri="{FF2B5EF4-FFF2-40B4-BE49-F238E27FC236}">
              <a16:creationId xmlns:a16="http://schemas.microsoft.com/office/drawing/2014/main" id="{00000000-0008-0000-0400-00009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58" name="Text Box 3147">
          <a:extLst>
            <a:ext uri="{FF2B5EF4-FFF2-40B4-BE49-F238E27FC236}">
              <a16:creationId xmlns:a16="http://schemas.microsoft.com/office/drawing/2014/main" id="{00000000-0008-0000-0400-00009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59" name="Text Box 3148">
          <a:extLst>
            <a:ext uri="{FF2B5EF4-FFF2-40B4-BE49-F238E27FC236}">
              <a16:creationId xmlns:a16="http://schemas.microsoft.com/office/drawing/2014/main" id="{00000000-0008-0000-0400-00009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60" name="Text Box 3149">
          <a:extLst>
            <a:ext uri="{FF2B5EF4-FFF2-40B4-BE49-F238E27FC236}">
              <a16:creationId xmlns:a16="http://schemas.microsoft.com/office/drawing/2014/main" id="{00000000-0008-0000-0400-0000A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61" name="Text Box 3150">
          <a:extLst>
            <a:ext uri="{FF2B5EF4-FFF2-40B4-BE49-F238E27FC236}">
              <a16:creationId xmlns:a16="http://schemas.microsoft.com/office/drawing/2014/main" id="{00000000-0008-0000-0400-0000A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62" name="Text Box 3151">
          <a:extLst>
            <a:ext uri="{FF2B5EF4-FFF2-40B4-BE49-F238E27FC236}">
              <a16:creationId xmlns:a16="http://schemas.microsoft.com/office/drawing/2014/main" id="{00000000-0008-0000-0400-0000A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63" name="Text Box 3152">
          <a:extLst>
            <a:ext uri="{FF2B5EF4-FFF2-40B4-BE49-F238E27FC236}">
              <a16:creationId xmlns:a16="http://schemas.microsoft.com/office/drawing/2014/main" id="{00000000-0008-0000-0400-0000A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64" name="Text Box 3153">
          <a:extLst>
            <a:ext uri="{FF2B5EF4-FFF2-40B4-BE49-F238E27FC236}">
              <a16:creationId xmlns:a16="http://schemas.microsoft.com/office/drawing/2014/main" id="{00000000-0008-0000-0400-0000A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65" name="Text Box 3154">
          <a:extLst>
            <a:ext uri="{FF2B5EF4-FFF2-40B4-BE49-F238E27FC236}">
              <a16:creationId xmlns:a16="http://schemas.microsoft.com/office/drawing/2014/main" id="{00000000-0008-0000-0400-0000A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66" name="Text Box 3155">
          <a:extLst>
            <a:ext uri="{FF2B5EF4-FFF2-40B4-BE49-F238E27FC236}">
              <a16:creationId xmlns:a16="http://schemas.microsoft.com/office/drawing/2014/main" id="{00000000-0008-0000-0400-0000A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67" name="Text Box 3156">
          <a:extLst>
            <a:ext uri="{FF2B5EF4-FFF2-40B4-BE49-F238E27FC236}">
              <a16:creationId xmlns:a16="http://schemas.microsoft.com/office/drawing/2014/main" id="{00000000-0008-0000-0400-0000A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68" name="Text Box 3157">
          <a:extLst>
            <a:ext uri="{FF2B5EF4-FFF2-40B4-BE49-F238E27FC236}">
              <a16:creationId xmlns:a16="http://schemas.microsoft.com/office/drawing/2014/main" id="{00000000-0008-0000-0400-0000A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69" name="Text Box 3158">
          <a:extLst>
            <a:ext uri="{FF2B5EF4-FFF2-40B4-BE49-F238E27FC236}">
              <a16:creationId xmlns:a16="http://schemas.microsoft.com/office/drawing/2014/main" id="{00000000-0008-0000-0400-0000A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70" name="Text Box 3159">
          <a:extLst>
            <a:ext uri="{FF2B5EF4-FFF2-40B4-BE49-F238E27FC236}">
              <a16:creationId xmlns:a16="http://schemas.microsoft.com/office/drawing/2014/main" id="{00000000-0008-0000-0400-0000A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71" name="Text Box 3160">
          <a:extLst>
            <a:ext uri="{FF2B5EF4-FFF2-40B4-BE49-F238E27FC236}">
              <a16:creationId xmlns:a16="http://schemas.microsoft.com/office/drawing/2014/main" id="{00000000-0008-0000-0400-0000A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72" name="Text Box 3161">
          <a:extLst>
            <a:ext uri="{FF2B5EF4-FFF2-40B4-BE49-F238E27FC236}">
              <a16:creationId xmlns:a16="http://schemas.microsoft.com/office/drawing/2014/main" id="{00000000-0008-0000-0400-0000A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73" name="Text Box 3162">
          <a:extLst>
            <a:ext uri="{FF2B5EF4-FFF2-40B4-BE49-F238E27FC236}">
              <a16:creationId xmlns:a16="http://schemas.microsoft.com/office/drawing/2014/main" id="{00000000-0008-0000-0400-0000A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74" name="Text Box 3163">
          <a:extLst>
            <a:ext uri="{FF2B5EF4-FFF2-40B4-BE49-F238E27FC236}">
              <a16:creationId xmlns:a16="http://schemas.microsoft.com/office/drawing/2014/main" id="{00000000-0008-0000-0400-0000A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75" name="Text Box 3164">
          <a:extLst>
            <a:ext uri="{FF2B5EF4-FFF2-40B4-BE49-F238E27FC236}">
              <a16:creationId xmlns:a16="http://schemas.microsoft.com/office/drawing/2014/main" id="{00000000-0008-0000-0400-0000A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76" name="Text Box 3165">
          <a:extLst>
            <a:ext uri="{FF2B5EF4-FFF2-40B4-BE49-F238E27FC236}">
              <a16:creationId xmlns:a16="http://schemas.microsoft.com/office/drawing/2014/main" id="{00000000-0008-0000-0400-0000B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77" name="Text Box 3166">
          <a:extLst>
            <a:ext uri="{FF2B5EF4-FFF2-40B4-BE49-F238E27FC236}">
              <a16:creationId xmlns:a16="http://schemas.microsoft.com/office/drawing/2014/main" id="{00000000-0008-0000-0400-0000B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78" name="Text Box 3167">
          <a:extLst>
            <a:ext uri="{FF2B5EF4-FFF2-40B4-BE49-F238E27FC236}">
              <a16:creationId xmlns:a16="http://schemas.microsoft.com/office/drawing/2014/main" id="{00000000-0008-0000-0400-0000B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79" name="Text Box 3168">
          <a:extLst>
            <a:ext uri="{FF2B5EF4-FFF2-40B4-BE49-F238E27FC236}">
              <a16:creationId xmlns:a16="http://schemas.microsoft.com/office/drawing/2014/main" id="{00000000-0008-0000-0400-0000B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80" name="Text Box 3169">
          <a:extLst>
            <a:ext uri="{FF2B5EF4-FFF2-40B4-BE49-F238E27FC236}">
              <a16:creationId xmlns:a16="http://schemas.microsoft.com/office/drawing/2014/main" id="{00000000-0008-0000-0400-0000B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81" name="Text Box 3170">
          <a:extLst>
            <a:ext uri="{FF2B5EF4-FFF2-40B4-BE49-F238E27FC236}">
              <a16:creationId xmlns:a16="http://schemas.microsoft.com/office/drawing/2014/main" id="{00000000-0008-0000-0400-0000B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82" name="Text Box 3171">
          <a:extLst>
            <a:ext uri="{FF2B5EF4-FFF2-40B4-BE49-F238E27FC236}">
              <a16:creationId xmlns:a16="http://schemas.microsoft.com/office/drawing/2014/main" id="{00000000-0008-0000-0400-0000B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83" name="Text Box 3172">
          <a:extLst>
            <a:ext uri="{FF2B5EF4-FFF2-40B4-BE49-F238E27FC236}">
              <a16:creationId xmlns:a16="http://schemas.microsoft.com/office/drawing/2014/main" id="{00000000-0008-0000-0400-0000B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84" name="Text Box 3173">
          <a:extLst>
            <a:ext uri="{FF2B5EF4-FFF2-40B4-BE49-F238E27FC236}">
              <a16:creationId xmlns:a16="http://schemas.microsoft.com/office/drawing/2014/main" id="{00000000-0008-0000-0400-0000B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85" name="Text Box 3174">
          <a:extLst>
            <a:ext uri="{FF2B5EF4-FFF2-40B4-BE49-F238E27FC236}">
              <a16:creationId xmlns:a16="http://schemas.microsoft.com/office/drawing/2014/main" id="{00000000-0008-0000-0400-0000B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86" name="Text Box 3175">
          <a:extLst>
            <a:ext uri="{FF2B5EF4-FFF2-40B4-BE49-F238E27FC236}">
              <a16:creationId xmlns:a16="http://schemas.microsoft.com/office/drawing/2014/main" id="{00000000-0008-0000-0400-0000B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87" name="Text Box 3176">
          <a:extLst>
            <a:ext uri="{FF2B5EF4-FFF2-40B4-BE49-F238E27FC236}">
              <a16:creationId xmlns:a16="http://schemas.microsoft.com/office/drawing/2014/main" id="{00000000-0008-0000-0400-0000B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88" name="Text Box 3177">
          <a:extLst>
            <a:ext uri="{FF2B5EF4-FFF2-40B4-BE49-F238E27FC236}">
              <a16:creationId xmlns:a16="http://schemas.microsoft.com/office/drawing/2014/main" id="{00000000-0008-0000-0400-0000B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89" name="Text Box 3178">
          <a:extLst>
            <a:ext uri="{FF2B5EF4-FFF2-40B4-BE49-F238E27FC236}">
              <a16:creationId xmlns:a16="http://schemas.microsoft.com/office/drawing/2014/main" id="{00000000-0008-0000-0400-0000B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90" name="Text Box 3179">
          <a:extLst>
            <a:ext uri="{FF2B5EF4-FFF2-40B4-BE49-F238E27FC236}">
              <a16:creationId xmlns:a16="http://schemas.microsoft.com/office/drawing/2014/main" id="{00000000-0008-0000-0400-0000B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91" name="Text Box 3180">
          <a:extLst>
            <a:ext uri="{FF2B5EF4-FFF2-40B4-BE49-F238E27FC236}">
              <a16:creationId xmlns:a16="http://schemas.microsoft.com/office/drawing/2014/main" id="{00000000-0008-0000-0400-0000B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92" name="Text Box 3181">
          <a:extLst>
            <a:ext uri="{FF2B5EF4-FFF2-40B4-BE49-F238E27FC236}">
              <a16:creationId xmlns:a16="http://schemas.microsoft.com/office/drawing/2014/main" id="{00000000-0008-0000-0400-0000C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93" name="Text Box 3182">
          <a:extLst>
            <a:ext uri="{FF2B5EF4-FFF2-40B4-BE49-F238E27FC236}">
              <a16:creationId xmlns:a16="http://schemas.microsoft.com/office/drawing/2014/main" id="{00000000-0008-0000-0400-0000C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94" name="Text Box 3183">
          <a:extLst>
            <a:ext uri="{FF2B5EF4-FFF2-40B4-BE49-F238E27FC236}">
              <a16:creationId xmlns:a16="http://schemas.microsoft.com/office/drawing/2014/main" id="{00000000-0008-0000-0400-0000C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95" name="Text Box 3184">
          <a:extLst>
            <a:ext uri="{FF2B5EF4-FFF2-40B4-BE49-F238E27FC236}">
              <a16:creationId xmlns:a16="http://schemas.microsoft.com/office/drawing/2014/main" id="{00000000-0008-0000-0400-0000C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96" name="Text Box 3185">
          <a:extLst>
            <a:ext uri="{FF2B5EF4-FFF2-40B4-BE49-F238E27FC236}">
              <a16:creationId xmlns:a16="http://schemas.microsoft.com/office/drawing/2014/main" id="{00000000-0008-0000-0400-0000C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97" name="Text Box 3186">
          <a:extLst>
            <a:ext uri="{FF2B5EF4-FFF2-40B4-BE49-F238E27FC236}">
              <a16:creationId xmlns:a16="http://schemas.microsoft.com/office/drawing/2014/main" id="{00000000-0008-0000-0400-0000C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98" name="Text Box 3187">
          <a:extLst>
            <a:ext uri="{FF2B5EF4-FFF2-40B4-BE49-F238E27FC236}">
              <a16:creationId xmlns:a16="http://schemas.microsoft.com/office/drawing/2014/main" id="{00000000-0008-0000-0400-0000C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399" name="Text Box 3188">
          <a:extLst>
            <a:ext uri="{FF2B5EF4-FFF2-40B4-BE49-F238E27FC236}">
              <a16:creationId xmlns:a16="http://schemas.microsoft.com/office/drawing/2014/main" id="{00000000-0008-0000-0400-0000C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00" name="Text Box 3189">
          <a:extLst>
            <a:ext uri="{FF2B5EF4-FFF2-40B4-BE49-F238E27FC236}">
              <a16:creationId xmlns:a16="http://schemas.microsoft.com/office/drawing/2014/main" id="{00000000-0008-0000-0400-0000C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01" name="Text Box 3190">
          <a:extLst>
            <a:ext uri="{FF2B5EF4-FFF2-40B4-BE49-F238E27FC236}">
              <a16:creationId xmlns:a16="http://schemas.microsoft.com/office/drawing/2014/main" id="{00000000-0008-0000-0400-0000C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02" name="Text Box 3191">
          <a:extLst>
            <a:ext uri="{FF2B5EF4-FFF2-40B4-BE49-F238E27FC236}">
              <a16:creationId xmlns:a16="http://schemas.microsoft.com/office/drawing/2014/main" id="{00000000-0008-0000-0400-0000C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03" name="Text Box 3192">
          <a:extLst>
            <a:ext uri="{FF2B5EF4-FFF2-40B4-BE49-F238E27FC236}">
              <a16:creationId xmlns:a16="http://schemas.microsoft.com/office/drawing/2014/main" id="{00000000-0008-0000-0400-0000C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04" name="Text Box 3193">
          <a:extLst>
            <a:ext uri="{FF2B5EF4-FFF2-40B4-BE49-F238E27FC236}">
              <a16:creationId xmlns:a16="http://schemas.microsoft.com/office/drawing/2014/main" id="{00000000-0008-0000-0400-0000C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05" name="Text Box 3194">
          <a:extLst>
            <a:ext uri="{FF2B5EF4-FFF2-40B4-BE49-F238E27FC236}">
              <a16:creationId xmlns:a16="http://schemas.microsoft.com/office/drawing/2014/main" id="{00000000-0008-0000-0400-0000C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06" name="Text Box 3195">
          <a:extLst>
            <a:ext uri="{FF2B5EF4-FFF2-40B4-BE49-F238E27FC236}">
              <a16:creationId xmlns:a16="http://schemas.microsoft.com/office/drawing/2014/main" id="{00000000-0008-0000-0400-0000C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07" name="Text Box 3196">
          <a:extLst>
            <a:ext uri="{FF2B5EF4-FFF2-40B4-BE49-F238E27FC236}">
              <a16:creationId xmlns:a16="http://schemas.microsoft.com/office/drawing/2014/main" id="{00000000-0008-0000-0400-0000C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08" name="Text Box 3197">
          <a:extLst>
            <a:ext uri="{FF2B5EF4-FFF2-40B4-BE49-F238E27FC236}">
              <a16:creationId xmlns:a16="http://schemas.microsoft.com/office/drawing/2014/main" id="{00000000-0008-0000-0400-0000D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09" name="Text Box 3198">
          <a:extLst>
            <a:ext uri="{FF2B5EF4-FFF2-40B4-BE49-F238E27FC236}">
              <a16:creationId xmlns:a16="http://schemas.microsoft.com/office/drawing/2014/main" id="{00000000-0008-0000-0400-0000D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10" name="Text Box 3199">
          <a:extLst>
            <a:ext uri="{FF2B5EF4-FFF2-40B4-BE49-F238E27FC236}">
              <a16:creationId xmlns:a16="http://schemas.microsoft.com/office/drawing/2014/main" id="{00000000-0008-0000-0400-0000D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11" name="Text Box 3200">
          <a:extLst>
            <a:ext uri="{FF2B5EF4-FFF2-40B4-BE49-F238E27FC236}">
              <a16:creationId xmlns:a16="http://schemas.microsoft.com/office/drawing/2014/main" id="{00000000-0008-0000-0400-0000D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12" name="Text Box 3201">
          <a:extLst>
            <a:ext uri="{FF2B5EF4-FFF2-40B4-BE49-F238E27FC236}">
              <a16:creationId xmlns:a16="http://schemas.microsoft.com/office/drawing/2014/main" id="{00000000-0008-0000-0400-0000D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13" name="Text Box 3202">
          <a:extLst>
            <a:ext uri="{FF2B5EF4-FFF2-40B4-BE49-F238E27FC236}">
              <a16:creationId xmlns:a16="http://schemas.microsoft.com/office/drawing/2014/main" id="{00000000-0008-0000-0400-0000D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14" name="Text Box 3203">
          <a:extLst>
            <a:ext uri="{FF2B5EF4-FFF2-40B4-BE49-F238E27FC236}">
              <a16:creationId xmlns:a16="http://schemas.microsoft.com/office/drawing/2014/main" id="{00000000-0008-0000-0400-0000D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15" name="Text Box 3204">
          <a:extLst>
            <a:ext uri="{FF2B5EF4-FFF2-40B4-BE49-F238E27FC236}">
              <a16:creationId xmlns:a16="http://schemas.microsoft.com/office/drawing/2014/main" id="{00000000-0008-0000-0400-0000D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16" name="Text Box 3205">
          <a:extLst>
            <a:ext uri="{FF2B5EF4-FFF2-40B4-BE49-F238E27FC236}">
              <a16:creationId xmlns:a16="http://schemas.microsoft.com/office/drawing/2014/main" id="{00000000-0008-0000-0400-0000D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17" name="Text Box 3206">
          <a:extLst>
            <a:ext uri="{FF2B5EF4-FFF2-40B4-BE49-F238E27FC236}">
              <a16:creationId xmlns:a16="http://schemas.microsoft.com/office/drawing/2014/main" id="{00000000-0008-0000-0400-0000D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18" name="Text Box 3207">
          <a:extLst>
            <a:ext uri="{FF2B5EF4-FFF2-40B4-BE49-F238E27FC236}">
              <a16:creationId xmlns:a16="http://schemas.microsoft.com/office/drawing/2014/main" id="{00000000-0008-0000-0400-0000D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19" name="Text Box 3208">
          <a:extLst>
            <a:ext uri="{FF2B5EF4-FFF2-40B4-BE49-F238E27FC236}">
              <a16:creationId xmlns:a16="http://schemas.microsoft.com/office/drawing/2014/main" id="{00000000-0008-0000-0400-0000D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20" name="Text Box 3209">
          <a:extLst>
            <a:ext uri="{FF2B5EF4-FFF2-40B4-BE49-F238E27FC236}">
              <a16:creationId xmlns:a16="http://schemas.microsoft.com/office/drawing/2014/main" id="{00000000-0008-0000-0400-0000D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21" name="Text Box 3210">
          <a:extLst>
            <a:ext uri="{FF2B5EF4-FFF2-40B4-BE49-F238E27FC236}">
              <a16:creationId xmlns:a16="http://schemas.microsoft.com/office/drawing/2014/main" id="{00000000-0008-0000-0400-0000D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22" name="Text Box 3211">
          <a:extLst>
            <a:ext uri="{FF2B5EF4-FFF2-40B4-BE49-F238E27FC236}">
              <a16:creationId xmlns:a16="http://schemas.microsoft.com/office/drawing/2014/main" id="{00000000-0008-0000-0400-0000D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23" name="Text Box 3212">
          <a:extLst>
            <a:ext uri="{FF2B5EF4-FFF2-40B4-BE49-F238E27FC236}">
              <a16:creationId xmlns:a16="http://schemas.microsoft.com/office/drawing/2014/main" id="{00000000-0008-0000-0400-0000D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24" name="Text Box 3213">
          <a:extLst>
            <a:ext uri="{FF2B5EF4-FFF2-40B4-BE49-F238E27FC236}">
              <a16:creationId xmlns:a16="http://schemas.microsoft.com/office/drawing/2014/main" id="{00000000-0008-0000-0400-0000E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25" name="Text Box 3214">
          <a:extLst>
            <a:ext uri="{FF2B5EF4-FFF2-40B4-BE49-F238E27FC236}">
              <a16:creationId xmlns:a16="http://schemas.microsoft.com/office/drawing/2014/main" id="{00000000-0008-0000-0400-0000E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26" name="Text Box 3215">
          <a:extLst>
            <a:ext uri="{FF2B5EF4-FFF2-40B4-BE49-F238E27FC236}">
              <a16:creationId xmlns:a16="http://schemas.microsoft.com/office/drawing/2014/main" id="{00000000-0008-0000-0400-0000E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27" name="Text Box 3216">
          <a:extLst>
            <a:ext uri="{FF2B5EF4-FFF2-40B4-BE49-F238E27FC236}">
              <a16:creationId xmlns:a16="http://schemas.microsoft.com/office/drawing/2014/main" id="{00000000-0008-0000-0400-0000E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28" name="Text Box 3217">
          <a:extLst>
            <a:ext uri="{FF2B5EF4-FFF2-40B4-BE49-F238E27FC236}">
              <a16:creationId xmlns:a16="http://schemas.microsoft.com/office/drawing/2014/main" id="{00000000-0008-0000-0400-0000E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29" name="Text Box 3218">
          <a:extLst>
            <a:ext uri="{FF2B5EF4-FFF2-40B4-BE49-F238E27FC236}">
              <a16:creationId xmlns:a16="http://schemas.microsoft.com/office/drawing/2014/main" id="{00000000-0008-0000-0400-0000E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30" name="Text Box 3219">
          <a:extLst>
            <a:ext uri="{FF2B5EF4-FFF2-40B4-BE49-F238E27FC236}">
              <a16:creationId xmlns:a16="http://schemas.microsoft.com/office/drawing/2014/main" id="{00000000-0008-0000-0400-0000E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31" name="Text Box 3220">
          <a:extLst>
            <a:ext uri="{FF2B5EF4-FFF2-40B4-BE49-F238E27FC236}">
              <a16:creationId xmlns:a16="http://schemas.microsoft.com/office/drawing/2014/main" id="{00000000-0008-0000-0400-0000E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32" name="Text Box 3221">
          <a:extLst>
            <a:ext uri="{FF2B5EF4-FFF2-40B4-BE49-F238E27FC236}">
              <a16:creationId xmlns:a16="http://schemas.microsoft.com/office/drawing/2014/main" id="{00000000-0008-0000-0400-0000E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33" name="Text Box 3222">
          <a:extLst>
            <a:ext uri="{FF2B5EF4-FFF2-40B4-BE49-F238E27FC236}">
              <a16:creationId xmlns:a16="http://schemas.microsoft.com/office/drawing/2014/main" id="{00000000-0008-0000-0400-0000E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34" name="Text Box 3223">
          <a:extLst>
            <a:ext uri="{FF2B5EF4-FFF2-40B4-BE49-F238E27FC236}">
              <a16:creationId xmlns:a16="http://schemas.microsoft.com/office/drawing/2014/main" id="{00000000-0008-0000-0400-0000E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35" name="Text Box 3224">
          <a:extLst>
            <a:ext uri="{FF2B5EF4-FFF2-40B4-BE49-F238E27FC236}">
              <a16:creationId xmlns:a16="http://schemas.microsoft.com/office/drawing/2014/main" id="{00000000-0008-0000-0400-0000E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36" name="Text Box 3225">
          <a:extLst>
            <a:ext uri="{FF2B5EF4-FFF2-40B4-BE49-F238E27FC236}">
              <a16:creationId xmlns:a16="http://schemas.microsoft.com/office/drawing/2014/main" id="{00000000-0008-0000-0400-0000E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37" name="Text Box 3226">
          <a:extLst>
            <a:ext uri="{FF2B5EF4-FFF2-40B4-BE49-F238E27FC236}">
              <a16:creationId xmlns:a16="http://schemas.microsoft.com/office/drawing/2014/main" id="{00000000-0008-0000-0400-0000E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38" name="Text Box 3227">
          <a:extLst>
            <a:ext uri="{FF2B5EF4-FFF2-40B4-BE49-F238E27FC236}">
              <a16:creationId xmlns:a16="http://schemas.microsoft.com/office/drawing/2014/main" id="{00000000-0008-0000-0400-0000E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39" name="Text Box 3228">
          <a:extLst>
            <a:ext uri="{FF2B5EF4-FFF2-40B4-BE49-F238E27FC236}">
              <a16:creationId xmlns:a16="http://schemas.microsoft.com/office/drawing/2014/main" id="{00000000-0008-0000-0400-0000E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40" name="Text Box 3229">
          <a:extLst>
            <a:ext uri="{FF2B5EF4-FFF2-40B4-BE49-F238E27FC236}">
              <a16:creationId xmlns:a16="http://schemas.microsoft.com/office/drawing/2014/main" id="{00000000-0008-0000-0400-0000F0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41" name="Text Box 3230">
          <a:extLst>
            <a:ext uri="{FF2B5EF4-FFF2-40B4-BE49-F238E27FC236}">
              <a16:creationId xmlns:a16="http://schemas.microsoft.com/office/drawing/2014/main" id="{00000000-0008-0000-0400-0000F1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42" name="Text Box 3231">
          <a:extLst>
            <a:ext uri="{FF2B5EF4-FFF2-40B4-BE49-F238E27FC236}">
              <a16:creationId xmlns:a16="http://schemas.microsoft.com/office/drawing/2014/main" id="{00000000-0008-0000-0400-0000F2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43" name="Text Box 3232">
          <a:extLst>
            <a:ext uri="{FF2B5EF4-FFF2-40B4-BE49-F238E27FC236}">
              <a16:creationId xmlns:a16="http://schemas.microsoft.com/office/drawing/2014/main" id="{00000000-0008-0000-0400-0000F3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44" name="Text Box 3233">
          <a:extLst>
            <a:ext uri="{FF2B5EF4-FFF2-40B4-BE49-F238E27FC236}">
              <a16:creationId xmlns:a16="http://schemas.microsoft.com/office/drawing/2014/main" id="{00000000-0008-0000-0400-0000F4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45" name="Text Box 3234">
          <a:extLst>
            <a:ext uri="{FF2B5EF4-FFF2-40B4-BE49-F238E27FC236}">
              <a16:creationId xmlns:a16="http://schemas.microsoft.com/office/drawing/2014/main" id="{00000000-0008-0000-0400-0000F5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46" name="Text Box 3235">
          <a:extLst>
            <a:ext uri="{FF2B5EF4-FFF2-40B4-BE49-F238E27FC236}">
              <a16:creationId xmlns:a16="http://schemas.microsoft.com/office/drawing/2014/main" id="{00000000-0008-0000-0400-0000F6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47" name="Text Box 3236">
          <a:extLst>
            <a:ext uri="{FF2B5EF4-FFF2-40B4-BE49-F238E27FC236}">
              <a16:creationId xmlns:a16="http://schemas.microsoft.com/office/drawing/2014/main" id="{00000000-0008-0000-0400-0000F7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48" name="Text Box 3237">
          <a:extLst>
            <a:ext uri="{FF2B5EF4-FFF2-40B4-BE49-F238E27FC236}">
              <a16:creationId xmlns:a16="http://schemas.microsoft.com/office/drawing/2014/main" id="{00000000-0008-0000-0400-0000F8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49" name="Text Box 3238">
          <a:extLst>
            <a:ext uri="{FF2B5EF4-FFF2-40B4-BE49-F238E27FC236}">
              <a16:creationId xmlns:a16="http://schemas.microsoft.com/office/drawing/2014/main" id="{00000000-0008-0000-0400-0000F9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50" name="Text Box 3239">
          <a:extLst>
            <a:ext uri="{FF2B5EF4-FFF2-40B4-BE49-F238E27FC236}">
              <a16:creationId xmlns:a16="http://schemas.microsoft.com/office/drawing/2014/main" id="{00000000-0008-0000-0400-0000FA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51" name="Text Box 3240">
          <a:extLst>
            <a:ext uri="{FF2B5EF4-FFF2-40B4-BE49-F238E27FC236}">
              <a16:creationId xmlns:a16="http://schemas.microsoft.com/office/drawing/2014/main" id="{00000000-0008-0000-0400-0000FB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52" name="Text Box 3241">
          <a:extLst>
            <a:ext uri="{FF2B5EF4-FFF2-40B4-BE49-F238E27FC236}">
              <a16:creationId xmlns:a16="http://schemas.microsoft.com/office/drawing/2014/main" id="{00000000-0008-0000-0400-0000FC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53" name="Text Box 3242">
          <a:extLst>
            <a:ext uri="{FF2B5EF4-FFF2-40B4-BE49-F238E27FC236}">
              <a16:creationId xmlns:a16="http://schemas.microsoft.com/office/drawing/2014/main" id="{00000000-0008-0000-0400-0000FD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54" name="Text Box 3243">
          <a:extLst>
            <a:ext uri="{FF2B5EF4-FFF2-40B4-BE49-F238E27FC236}">
              <a16:creationId xmlns:a16="http://schemas.microsoft.com/office/drawing/2014/main" id="{00000000-0008-0000-0400-0000FE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55" name="Text Box 3244">
          <a:extLst>
            <a:ext uri="{FF2B5EF4-FFF2-40B4-BE49-F238E27FC236}">
              <a16:creationId xmlns:a16="http://schemas.microsoft.com/office/drawing/2014/main" id="{00000000-0008-0000-0400-0000FF84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56" name="Text Box 3245">
          <a:extLst>
            <a:ext uri="{FF2B5EF4-FFF2-40B4-BE49-F238E27FC236}">
              <a16:creationId xmlns:a16="http://schemas.microsoft.com/office/drawing/2014/main" id="{00000000-0008-0000-0400-00000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57" name="Text Box 3246">
          <a:extLst>
            <a:ext uri="{FF2B5EF4-FFF2-40B4-BE49-F238E27FC236}">
              <a16:creationId xmlns:a16="http://schemas.microsoft.com/office/drawing/2014/main" id="{00000000-0008-0000-0400-00000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58" name="Text Box 3247">
          <a:extLst>
            <a:ext uri="{FF2B5EF4-FFF2-40B4-BE49-F238E27FC236}">
              <a16:creationId xmlns:a16="http://schemas.microsoft.com/office/drawing/2014/main" id="{00000000-0008-0000-0400-00000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59" name="Text Box 3248">
          <a:extLst>
            <a:ext uri="{FF2B5EF4-FFF2-40B4-BE49-F238E27FC236}">
              <a16:creationId xmlns:a16="http://schemas.microsoft.com/office/drawing/2014/main" id="{00000000-0008-0000-0400-00000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60" name="Text Box 3249">
          <a:extLst>
            <a:ext uri="{FF2B5EF4-FFF2-40B4-BE49-F238E27FC236}">
              <a16:creationId xmlns:a16="http://schemas.microsoft.com/office/drawing/2014/main" id="{00000000-0008-0000-0400-00000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61" name="Text Box 3250">
          <a:extLst>
            <a:ext uri="{FF2B5EF4-FFF2-40B4-BE49-F238E27FC236}">
              <a16:creationId xmlns:a16="http://schemas.microsoft.com/office/drawing/2014/main" id="{00000000-0008-0000-0400-00000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62" name="Text Box 3251">
          <a:extLst>
            <a:ext uri="{FF2B5EF4-FFF2-40B4-BE49-F238E27FC236}">
              <a16:creationId xmlns:a16="http://schemas.microsoft.com/office/drawing/2014/main" id="{00000000-0008-0000-0400-00000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63" name="Text Box 3252">
          <a:extLst>
            <a:ext uri="{FF2B5EF4-FFF2-40B4-BE49-F238E27FC236}">
              <a16:creationId xmlns:a16="http://schemas.microsoft.com/office/drawing/2014/main" id="{00000000-0008-0000-0400-00000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64" name="Text Box 3253">
          <a:extLst>
            <a:ext uri="{FF2B5EF4-FFF2-40B4-BE49-F238E27FC236}">
              <a16:creationId xmlns:a16="http://schemas.microsoft.com/office/drawing/2014/main" id="{00000000-0008-0000-0400-00000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65" name="Text Box 3254">
          <a:extLst>
            <a:ext uri="{FF2B5EF4-FFF2-40B4-BE49-F238E27FC236}">
              <a16:creationId xmlns:a16="http://schemas.microsoft.com/office/drawing/2014/main" id="{00000000-0008-0000-0400-00000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66" name="Text Box 3255">
          <a:extLst>
            <a:ext uri="{FF2B5EF4-FFF2-40B4-BE49-F238E27FC236}">
              <a16:creationId xmlns:a16="http://schemas.microsoft.com/office/drawing/2014/main" id="{00000000-0008-0000-0400-00000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67" name="Text Box 3256">
          <a:extLst>
            <a:ext uri="{FF2B5EF4-FFF2-40B4-BE49-F238E27FC236}">
              <a16:creationId xmlns:a16="http://schemas.microsoft.com/office/drawing/2014/main" id="{00000000-0008-0000-0400-00000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68" name="Text Box 3257">
          <a:extLst>
            <a:ext uri="{FF2B5EF4-FFF2-40B4-BE49-F238E27FC236}">
              <a16:creationId xmlns:a16="http://schemas.microsoft.com/office/drawing/2014/main" id="{00000000-0008-0000-0400-00000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69" name="Text Box 3258">
          <a:extLst>
            <a:ext uri="{FF2B5EF4-FFF2-40B4-BE49-F238E27FC236}">
              <a16:creationId xmlns:a16="http://schemas.microsoft.com/office/drawing/2014/main" id="{00000000-0008-0000-0400-00000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70" name="Text Box 3259">
          <a:extLst>
            <a:ext uri="{FF2B5EF4-FFF2-40B4-BE49-F238E27FC236}">
              <a16:creationId xmlns:a16="http://schemas.microsoft.com/office/drawing/2014/main" id="{00000000-0008-0000-0400-00000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71" name="Text Box 3260">
          <a:extLst>
            <a:ext uri="{FF2B5EF4-FFF2-40B4-BE49-F238E27FC236}">
              <a16:creationId xmlns:a16="http://schemas.microsoft.com/office/drawing/2014/main" id="{00000000-0008-0000-0400-00000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72" name="Text Box 3261">
          <a:extLst>
            <a:ext uri="{FF2B5EF4-FFF2-40B4-BE49-F238E27FC236}">
              <a16:creationId xmlns:a16="http://schemas.microsoft.com/office/drawing/2014/main" id="{00000000-0008-0000-0400-00001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73" name="Text Box 3262">
          <a:extLst>
            <a:ext uri="{FF2B5EF4-FFF2-40B4-BE49-F238E27FC236}">
              <a16:creationId xmlns:a16="http://schemas.microsoft.com/office/drawing/2014/main" id="{00000000-0008-0000-0400-00001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74" name="Text Box 3263">
          <a:extLst>
            <a:ext uri="{FF2B5EF4-FFF2-40B4-BE49-F238E27FC236}">
              <a16:creationId xmlns:a16="http://schemas.microsoft.com/office/drawing/2014/main" id="{00000000-0008-0000-0400-00001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75" name="Text Box 3264">
          <a:extLst>
            <a:ext uri="{FF2B5EF4-FFF2-40B4-BE49-F238E27FC236}">
              <a16:creationId xmlns:a16="http://schemas.microsoft.com/office/drawing/2014/main" id="{00000000-0008-0000-0400-00001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76" name="Text Box 3265">
          <a:extLst>
            <a:ext uri="{FF2B5EF4-FFF2-40B4-BE49-F238E27FC236}">
              <a16:creationId xmlns:a16="http://schemas.microsoft.com/office/drawing/2014/main" id="{00000000-0008-0000-0400-00001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77" name="Text Box 3266">
          <a:extLst>
            <a:ext uri="{FF2B5EF4-FFF2-40B4-BE49-F238E27FC236}">
              <a16:creationId xmlns:a16="http://schemas.microsoft.com/office/drawing/2014/main" id="{00000000-0008-0000-0400-00001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78" name="Text Box 3267">
          <a:extLst>
            <a:ext uri="{FF2B5EF4-FFF2-40B4-BE49-F238E27FC236}">
              <a16:creationId xmlns:a16="http://schemas.microsoft.com/office/drawing/2014/main" id="{00000000-0008-0000-0400-00001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79" name="Text Box 3268">
          <a:extLst>
            <a:ext uri="{FF2B5EF4-FFF2-40B4-BE49-F238E27FC236}">
              <a16:creationId xmlns:a16="http://schemas.microsoft.com/office/drawing/2014/main" id="{00000000-0008-0000-0400-00001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80" name="Text Box 3269">
          <a:extLst>
            <a:ext uri="{FF2B5EF4-FFF2-40B4-BE49-F238E27FC236}">
              <a16:creationId xmlns:a16="http://schemas.microsoft.com/office/drawing/2014/main" id="{00000000-0008-0000-0400-00001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81" name="Text Box 3270">
          <a:extLst>
            <a:ext uri="{FF2B5EF4-FFF2-40B4-BE49-F238E27FC236}">
              <a16:creationId xmlns:a16="http://schemas.microsoft.com/office/drawing/2014/main" id="{00000000-0008-0000-0400-00001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82" name="Text Box 3271">
          <a:extLst>
            <a:ext uri="{FF2B5EF4-FFF2-40B4-BE49-F238E27FC236}">
              <a16:creationId xmlns:a16="http://schemas.microsoft.com/office/drawing/2014/main" id="{00000000-0008-0000-0400-00001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83" name="Text Box 3272">
          <a:extLst>
            <a:ext uri="{FF2B5EF4-FFF2-40B4-BE49-F238E27FC236}">
              <a16:creationId xmlns:a16="http://schemas.microsoft.com/office/drawing/2014/main" id="{00000000-0008-0000-0400-00001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84" name="Text Box 3273">
          <a:extLst>
            <a:ext uri="{FF2B5EF4-FFF2-40B4-BE49-F238E27FC236}">
              <a16:creationId xmlns:a16="http://schemas.microsoft.com/office/drawing/2014/main" id="{00000000-0008-0000-0400-00001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85" name="Text Box 3274">
          <a:extLst>
            <a:ext uri="{FF2B5EF4-FFF2-40B4-BE49-F238E27FC236}">
              <a16:creationId xmlns:a16="http://schemas.microsoft.com/office/drawing/2014/main" id="{00000000-0008-0000-0400-00001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86" name="Text Box 3275">
          <a:extLst>
            <a:ext uri="{FF2B5EF4-FFF2-40B4-BE49-F238E27FC236}">
              <a16:creationId xmlns:a16="http://schemas.microsoft.com/office/drawing/2014/main" id="{00000000-0008-0000-0400-00001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87" name="Text Box 3276">
          <a:extLst>
            <a:ext uri="{FF2B5EF4-FFF2-40B4-BE49-F238E27FC236}">
              <a16:creationId xmlns:a16="http://schemas.microsoft.com/office/drawing/2014/main" id="{00000000-0008-0000-0400-00001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88" name="Text Box 3277">
          <a:extLst>
            <a:ext uri="{FF2B5EF4-FFF2-40B4-BE49-F238E27FC236}">
              <a16:creationId xmlns:a16="http://schemas.microsoft.com/office/drawing/2014/main" id="{00000000-0008-0000-0400-00002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89" name="Text Box 3278">
          <a:extLst>
            <a:ext uri="{FF2B5EF4-FFF2-40B4-BE49-F238E27FC236}">
              <a16:creationId xmlns:a16="http://schemas.microsoft.com/office/drawing/2014/main" id="{00000000-0008-0000-0400-00002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90" name="Text Box 3279">
          <a:extLst>
            <a:ext uri="{FF2B5EF4-FFF2-40B4-BE49-F238E27FC236}">
              <a16:creationId xmlns:a16="http://schemas.microsoft.com/office/drawing/2014/main" id="{00000000-0008-0000-0400-00002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91" name="Text Box 3280">
          <a:extLst>
            <a:ext uri="{FF2B5EF4-FFF2-40B4-BE49-F238E27FC236}">
              <a16:creationId xmlns:a16="http://schemas.microsoft.com/office/drawing/2014/main" id="{00000000-0008-0000-0400-00002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92" name="Text Box 3281">
          <a:extLst>
            <a:ext uri="{FF2B5EF4-FFF2-40B4-BE49-F238E27FC236}">
              <a16:creationId xmlns:a16="http://schemas.microsoft.com/office/drawing/2014/main" id="{00000000-0008-0000-0400-00002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93" name="Text Box 3282">
          <a:extLst>
            <a:ext uri="{FF2B5EF4-FFF2-40B4-BE49-F238E27FC236}">
              <a16:creationId xmlns:a16="http://schemas.microsoft.com/office/drawing/2014/main" id="{00000000-0008-0000-0400-00002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94" name="Text Box 3283">
          <a:extLst>
            <a:ext uri="{FF2B5EF4-FFF2-40B4-BE49-F238E27FC236}">
              <a16:creationId xmlns:a16="http://schemas.microsoft.com/office/drawing/2014/main" id="{00000000-0008-0000-0400-00002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95" name="Text Box 3284">
          <a:extLst>
            <a:ext uri="{FF2B5EF4-FFF2-40B4-BE49-F238E27FC236}">
              <a16:creationId xmlns:a16="http://schemas.microsoft.com/office/drawing/2014/main" id="{00000000-0008-0000-0400-00002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96" name="Text Box 3285">
          <a:extLst>
            <a:ext uri="{FF2B5EF4-FFF2-40B4-BE49-F238E27FC236}">
              <a16:creationId xmlns:a16="http://schemas.microsoft.com/office/drawing/2014/main" id="{00000000-0008-0000-0400-00002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97" name="Text Box 3286">
          <a:extLst>
            <a:ext uri="{FF2B5EF4-FFF2-40B4-BE49-F238E27FC236}">
              <a16:creationId xmlns:a16="http://schemas.microsoft.com/office/drawing/2014/main" id="{00000000-0008-0000-0400-00002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98" name="Text Box 3287">
          <a:extLst>
            <a:ext uri="{FF2B5EF4-FFF2-40B4-BE49-F238E27FC236}">
              <a16:creationId xmlns:a16="http://schemas.microsoft.com/office/drawing/2014/main" id="{00000000-0008-0000-0400-00002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499" name="Text Box 3288">
          <a:extLst>
            <a:ext uri="{FF2B5EF4-FFF2-40B4-BE49-F238E27FC236}">
              <a16:creationId xmlns:a16="http://schemas.microsoft.com/office/drawing/2014/main" id="{00000000-0008-0000-0400-00002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00" name="Text Box 3289">
          <a:extLst>
            <a:ext uri="{FF2B5EF4-FFF2-40B4-BE49-F238E27FC236}">
              <a16:creationId xmlns:a16="http://schemas.microsoft.com/office/drawing/2014/main" id="{00000000-0008-0000-0400-00002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01" name="Text Box 3290">
          <a:extLst>
            <a:ext uri="{FF2B5EF4-FFF2-40B4-BE49-F238E27FC236}">
              <a16:creationId xmlns:a16="http://schemas.microsoft.com/office/drawing/2014/main" id="{00000000-0008-0000-0400-00002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02" name="Text Box 3291">
          <a:extLst>
            <a:ext uri="{FF2B5EF4-FFF2-40B4-BE49-F238E27FC236}">
              <a16:creationId xmlns:a16="http://schemas.microsoft.com/office/drawing/2014/main" id="{00000000-0008-0000-0400-00002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03" name="Text Box 3292">
          <a:extLst>
            <a:ext uri="{FF2B5EF4-FFF2-40B4-BE49-F238E27FC236}">
              <a16:creationId xmlns:a16="http://schemas.microsoft.com/office/drawing/2014/main" id="{00000000-0008-0000-0400-00002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04" name="Text Box 3293">
          <a:extLst>
            <a:ext uri="{FF2B5EF4-FFF2-40B4-BE49-F238E27FC236}">
              <a16:creationId xmlns:a16="http://schemas.microsoft.com/office/drawing/2014/main" id="{00000000-0008-0000-0400-00003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05" name="Text Box 3294">
          <a:extLst>
            <a:ext uri="{FF2B5EF4-FFF2-40B4-BE49-F238E27FC236}">
              <a16:creationId xmlns:a16="http://schemas.microsoft.com/office/drawing/2014/main" id="{00000000-0008-0000-0400-00003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06" name="Text Box 3295">
          <a:extLst>
            <a:ext uri="{FF2B5EF4-FFF2-40B4-BE49-F238E27FC236}">
              <a16:creationId xmlns:a16="http://schemas.microsoft.com/office/drawing/2014/main" id="{00000000-0008-0000-0400-00003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07" name="Text Box 3296">
          <a:extLst>
            <a:ext uri="{FF2B5EF4-FFF2-40B4-BE49-F238E27FC236}">
              <a16:creationId xmlns:a16="http://schemas.microsoft.com/office/drawing/2014/main" id="{00000000-0008-0000-0400-00003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08" name="Text Box 3297">
          <a:extLst>
            <a:ext uri="{FF2B5EF4-FFF2-40B4-BE49-F238E27FC236}">
              <a16:creationId xmlns:a16="http://schemas.microsoft.com/office/drawing/2014/main" id="{00000000-0008-0000-0400-00003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09" name="Text Box 3298">
          <a:extLst>
            <a:ext uri="{FF2B5EF4-FFF2-40B4-BE49-F238E27FC236}">
              <a16:creationId xmlns:a16="http://schemas.microsoft.com/office/drawing/2014/main" id="{00000000-0008-0000-0400-00003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10" name="Text Box 3299">
          <a:extLst>
            <a:ext uri="{FF2B5EF4-FFF2-40B4-BE49-F238E27FC236}">
              <a16:creationId xmlns:a16="http://schemas.microsoft.com/office/drawing/2014/main" id="{00000000-0008-0000-0400-00003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11" name="Text Box 3300">
          <a:extLst>
            <a:ext uri="{FF2B5EF4-FFF2-40B4-BE49-F238E27FC236}">
              <a16:creationId xmlns:a16="http://schemas.microsoft.com/office/drawing/2014/main" id="{00000000-0008-0000-0400-00003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12" name="Text Box 3301">
          <a:extLst>
            <a:ext uri="{FF2B5EF4-FFF2-40B4-BE49-F238E27FC236}">
              <a16:creationId xmlns:a16="http://schemas.microsoft.com/office/drawing/2014/main" id="{00000000-0008-0000-0400-00003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13" name="Text Box 3302">
          <a:extLst>
            <a:ext uri="{FF2B5EF4-FFF2-40B4-BE49-F238E27FC236}">
              <a16:creationId xmlns:a16="http://schemas.microsoft.com/office/drawing/2014/main" id="{00000000-0008-0000-0400-00003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14" name="Text Box 3303">
          <a:extLst>
            <a:ext uri="{FF2B5EF4-FFF2-40B4-BE49-F238E27FC236}">
              <a16:creationId xmlns:a16="http://schemas.microsoft.com/office/drawing/2014/main" id="{00000000-0008-0000-0400-00003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15" name="Text Box 3304">
          <a:extLst>
            <a:ext uri="{FF2B5EF4-FFF2-40B4-BE49-F238E27FC236}">
              <a16:creationId xmlns:a16="http://schemas.microsoft.com/office/drawing/2014/main" id="{00000000-0008-0000-0400-00003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16" name="Text Box 3305">
          <a:extLst>
            <a:ext uri="{FF2B5EF4-FFF2-40B4-BE49-F238E27FC236}">
              <a16:creationId xmlns:a16="http://schemas.microsoft.com/office/drawing/2014/main" id="{00000000-0008-0000-0400-00003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17" name="Text Box 3306">
          <a:extLst>
            <a:ext uri="{FF2B5EF4-FFF2-40B4-BE49-F238E27FC236}">
              <a16:creationId xmlns:a16="http://schemas.microsoft.com/office/drawing/2014/main" id="{00000000-0008-0000-0400-00003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18" name="Text Box 3307">
          <a:extLst>
            <a:ext uri="{FF2B5EF4-FFF2-40B4-BE49-F238E27FC236}">
              <a16:creationId xmlns:a16="http://schemas.microsoft.com/office/drawing/2014/main" id="{00000000-0008-0000-0400-00003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19" name="Text Box 3308">
          <a:extLst>
            <a:ext uri="{FF2B5EF4-FFF2-40B4-BE49-F238E27FC236}">
              <a16:creationId xmlns:a16="http://schemas.microsoft.com/office/drawing/2014/main" id="{00000000-0008-0000-0400-00003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20" name="Text Box 3309">
          <a:extLst>
            <a:ext uri="{FF2B5EF4-FFF2-40B4-BE49-F238E27FC236}">
              <a16:creationId xmlns:a16="http://schemas.microsoft.com/office/drawing/2014/main" id="{00000000-0008-0000-0400-00004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21" name="Text Box 3310">
          <a:extLst>
            <a:ext uri="{FF2B5EF4-FFF2-40B4-BE49-F238E27FC236}">
              <a16:creationId xmlns:a16="http://schemas.microsoft.com/office/drawing/2014/main" id="{00000000-0008-0000-0400-00004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22" name="Text Box 3311">
          <a:extLst>
            <a:ext uri="{FF2B5EF4-FFF2-40B4-BE49-F238E27FC236}">
              <a16:creationId xmlns:a16="http://schemas.microsoft.com/office/drawing/2014/main" id="{00000000-0008-0000-0400-00004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23" name="Text Box 3312">
          <a:extLst>
            <a:ext uri="{FF2B5EF4-FFF2-40B4-BE49-F238E27FC236}">
              <a16:creationId xmlns:a16="http://schemas.microsoft.com/office/drawing/2014/main" id="{00000000-0008-0000-0400-00004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24" name="Text Box 3313">
          <a:extLst>
            <a:ext uri="{FF2B5EF4-FFF2-40B4-BE49-F238E27FC236}">
              <a16:creationId xmlns:a16="http://schemas.microsoft.com/office/drawing/2014/main" id="{00000000-0008-0000-0400-00004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25" name="Text Box 3314">
          <a:extLst>
            <a:ext uri="{FF2B5EF4-FFF2-40B4-BE49-F238E27FC236}">
              <a16:creationId xmlns:a16="http://schemas.microsoft.com/office/drawing/2014/main" id="{00000000-0008-0000-0400-00004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26" name="Text Box 3315">
          <a:extLst>
            <a:ext uri="{FF2B5EF4-FFF2-40B4-BE49-F238E27FC236}">
              <a16:creationId xmlns:a16="http://schemas.microsoft.com/office/drawing/2014/main" id="{00000000-0008-0000-0400-00004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27" name="Text Box 3316">
          <a:extLst>
            <a:ext uri="{FF2B5EF4-FFF2-40B4-BE49-F238E27FC236}">
              <a16:creationId xmlns:a16="http://schemas.microsoft.com/office/drawing/2014/main" id="{00000000-0008-0000-0400-00004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28" name="Text Box 3317">
          <a:extLst>
            <a:ext uri="{FF2B5EF4-FFF2-40B4-BE49-F238E27FC236}">
              <a16:creationId xmlns:a16="http://schemas.microsoft.com/office/drawing/2014/main" id="{00000000-0008-0000-0400-00004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29" name="Text Box 3318">
          <a:extLst>
            <a:ext uri="{FF2B5EF4-FFF2-40B4-BE49-F238E27FC236}">
              <a16:creationId xmlns:a16="http://schemas.microsoft.com/office/drawing/2014/main" id="{00000000-0008-0000-0400-00004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30" name="Text Box 3319">
          <a:extLst>
            <a:ext uri="{FF2B5EF4-FFF2-40B4-BE49-F238E27FC236}">
              <a16:creationId xmlns:a16="http://schemas.microsoft.com/office/drawing/2014/main" id="{00000000-0008-0000-0400-00004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31" name="Text Box 3320">
          <a:extLst>
            <a:ext uri="{FF2B5EF4-FFF2-40B4-BE49-F238E27FC236}">
              <a16:creationId xmlns:a16="http://schemas.microsoft.com/office/drawing/2014/main" id="{00000000-0008-0000-0400-00004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32" name="Text Box 3321">
          <a:extLst>
            <a:ext uri="{FF2B5EF4-FFF2-40B4-BE49-F238E27FC236}">
              <a16:creationId xmlns:a16="http://schemas.microsoft.com/office/drawing/2014/main" id="{00000000-0008-0000-0400-00004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33" name="Text Box 3322">
          <a:extLst>
            <a:ext uri="{FF2B5EF4-FFF2-40B4-BE49-F238E27FC236}">
              <a16:creationId xmlns:a16="http://schemas.microsoft.com/office/drawing/2014/main" id="{00000000-0008-0000-0400-00004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34" name="Text Box 3323">
          <a:extLst>
            <a:ext uri="{FF2B5EF4-FFF2-40B4-BE49-F238E27FC236}">
              <a16:creationId xmlns:a16="http://schemas.microsoft.com/office/drawing/2014/main" id="{00000000-0008-0000-0400-00004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35" name="Text Box 3324">
          <a:extLst>
            <a:ext uri="{FF2B5EF4-FFF2-40B4-BE49-F238E27FC236}">
              <a16:creationId xmlns:a16="http://schemas.microsoft.com/office/drawing/2014/main" id="{00000000-0008-0000-0400-00004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36" name="Text Box 3325">
          <a:extLst>
            <a:ext uri="{FF2B5EF4-FFF2-40B4-BE49-F238E27FC236}">
              <a16:creationId xmlns:a16="http://schemas.microsoft.com/office/drawing/2014/main" id="{00000000-0008-0000-0400-00005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37" name="Text Box 3326">
          <a:extLst>
            <a:ext uri="{FF2B5EF4-FFF2-40B4-BE49-F238E27FC236}">
              <a16:creationId xmlns:a16="http://schemas.microsoft.com/office/drawing/2014/main" id="{00000000-0008-0000-0400-00005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38" name="Text Box 3327">
          <a:extLst>
            <a:ext uri="{FF2B5EF4-FFF2-40B4-BE49-F238E27FC236}">
              <a16:creationId xmlns:a16="http://schemas.microsoft.com/office/drawing/2014/main" id="{00000000-0008-0000-0400-00005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39" name="Text Box 3328">
          <a:extLst>
            <a:ext uri="{FF2B5EF4-FFF2-40B4-BE49-F238E27FC236}">
              <a16:creationId xmlns:a16="http://schemas.microsoft.com/office/drawing/2014/main" id="{00000000-0008-0000-0400-00005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40" name="Text Box 3329">
          <a:extLst>
            <a:ext uri="{FF2B5EF4-FFF2-40B4-BE49-F238E27FC236}">
              <a16:creationId xmlns:a16="http://schemas.microsoft.com/office/drawing/2014/main" id="{00000000-0008-0000-0400-00005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41" name="Text Box 3330">
          <a:extLst>
            <a:ext uri="{FF2B5EF4-FFF2-40B4-BE49-F238E27FC236}">
              <a16:creationId xmlns:a16="http://schemas.microsoft.com/office/drawing/2014/main" id="{00000000-0008-0000-0400-00005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42" name="Text Box 3331">
          <a:extLst>
            <a:ext uri="{FF2B5EF4-FFF2-40B4-BE49-F238E27FC236}">
              <a16:creationId xmlns:a16="http://schemas.microsoft.com/office/drawing/2014/main" id="{00000000-0008-0000-0400-00005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43" name="Text Box 3332">
          <a:extLst>
            <a:ext uri="{FF2B5EF4-FFF2-40B4-BE49-F238E27FC236}">
              <a16:creationId xmlns:a16="http://schemas.microsoft.com/office/drawing/2014/main" id="{00000000-0008-0000-0400-00005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44" name="Text Box 3333">
          <a:extLst>
            <a:ext uri="{FF2B5EF4-FFF2-40B4-BE49-F238E27FC236}">
              <a16:creationId xmlns:a16="http://schemas.microsoft.com/office/drawing/2014/main" id="{00000000-0008-0000-0400-00005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45" name="Text Box 3334">
          <a:extLst>
            <a:ext uri="{FF2B5EF4-FFF2-40B4-BE49-F238E27FC236}">
              <a16:creationId xmlns:a16="http://schemas.microsoft.com/office/drawing/2014/main" id="{00000000-0008-0000-0400-00005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46" name="Text Box 3335">
          <a:extLst>
            <a:ext uri="{FF2B5EF4-FFF2-40B4-BE49-F238E27FC236}">
              <a16:creationId xmlns:a16="http://schemas.microsoft.com/office/drawing/2014/main" id="{00000000-0008-0000-0400-00005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47" name="Text Box 3336">
          <a:extLst>
            <a:ext uri="{FF2B5EF4-FFF2-40B4-BE49-F238E27FC236}">
              <a16:creationId xmlns:a16="http://schemas.microsoft.com/office/drawing/2014/main" id="{00000000-0008-0000-0400-00005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48" name="Text Box 3337">
          <a:extLst>
            <a:ext uri="{FF2B5EF4-FFF2-40B4-BE49-F238E27FC236}">
              <a16:creationId xmlns:a16="http://schemas.microsoft.com/office/drawing/2014/main" id="{00000000-0008-0000-0400-00005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49" name="Text Box 3338">
          <a:extLst>
            <a:ext uri="{FF2B5EF4-FFF2-40B4-BE49-F238E27FC236}">
              <a16:creationId xmlns:a16="http://schemas.microsoft.com/office/drawing/2014/main" id="{00000000-0008-0000-0400-00005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50" name="Text Box 3339">
          <a:extLst>
            <a:ext uri="{FF2B5EF4-FFF2-40B4-BE49-F238E27FC236}">
              <a16:creationId xmlns:a16="http://schemas.microsoft.com/office/drawing/2014/main" id="{00000000-0008-0000-0400-00005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51" name="Text Box 3340">
          <a:extLst>
            <a:ext uri="{FF2B5EF4-FFF2-40B4-BE49-F238E27FC236}">
              <a16:creationId xmlns:a16="http://schemas.microsoft.com/office/drawing/2014/main" id="{00000000-0008-0000-0400-00005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52" name="Text Box 3341">
          <a:extLst>
            <a:ext uri="{FF2B5EF4-FFF2-40B4-BE49-F238E27FC236}">
              <a16:creationId xmlns:a16="http://schemas.microsoft.com/office/drawing/2014/main" id="{00000000-0008-0000-0400-00006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53" name="Text Box 3342">
          <a:extLst>
            <a:ext uri="{FF2B5EF4-FFF2-40B4-BE49-F238E27FC236}">
              <a16:creationId xmlns:a16="http://schemas.microsoft.com/office/drawing/2014/main" id="{00000000-0008-0000-0400-00006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54" name="Text Box 3343">
          <a:extLst>
            <a:ext uri="{FF2B5EF4-FFF2-40B4-BE49-F238E27FC236}">
              <a16:creationId xmlns:a16="http://schemas.microsoft.com/office/drawing/2014/main" id="{00000000-0008-0000-0400-00006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55" name="Text Box 3344">
          <a:extLst>
            <a:ext uri="{FF2B5EF4-FFF2-40B4-BE49-F238E27FC236}">
              <a16:creationId xmlns:a16="http://schemas.microsoft.com/office/drawing/2014/main" id="{00000000-0008-0000-0400-00006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56" name="Text Box 3345">
          <a:extLst>
            <a:ext uri="{FF2B5EF4-FFF2-40B4-BE49-F238E27FC236}">
              <a16:creationId xmlns:a16="http://schemas.microsoft.com/office/drawing/2014/main" id="{00000000-0008-0000-0400-00006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57" name="Text Box 3346">
          <a:extLst>
            <a:ext uri="{FF2B5EF4-FFF2-40B4-BE49-F238E27FC236}">
              <a16:creationId xmlns:a16="http://schemas.microsoft.com/office/drawing/2014/main" id="{00000000-0008-0000-0400-00006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58" name="Text Box 3347">
          <a:extLst>
            <a:ext uri="{FF2B5EF4-FFF2-40B4-BE49-F238E27FC236}">
              <a16:creationId xmlns:a16="http://schemas.microsoft.com/office/drawing/2014/main" id="{00000000-0008-0000-0400-00006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59" name="Text Box 3348">
          <a:extLst>
            <a:ext uri="{FF2B5EF4-FFF2-40B4-BE49-F238E27FC236}">
              <a16:creationId xmlns:a16="http://schemas.microsoft.com/office/drawing/2014/main" id="{00000000-0008-0000-0400-00006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60" name="Text Box 3349">
          <a:extLst>
            <a:ext uri="{FF2B5EF4-FFF2-40B4-BE49-F238E27FC236}">
              <a16:creationId xmlns:a16="http://schemas.microsoft.com/office/drawing/2014/main" id="{00000000-0008-0000-0400-00006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61" name="Text Box 3350">
          <a:extLst>
            <a:ext uri="{FF2B5EF4-FFF2-40B4-BE49-F238E27FC236}">
              <a16:creationId xmlns:a16="http://schemas.microsoft.com/office/drawing/2014/main" id="{00000000-0008-0000-0400-00006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62" name="Text Box 3351">
          <a:extLst>
            <a:ext uri="{FF2B5EF4-FFF2-40B4-BE49-F238E27FC236}">
              <a16:creationId xmlns:a16="http://schemas.microsoft.com/office/drawing/2014/main" id="{00000000-0008-0000-0400-00006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63" name="Text Box 3352">
          <a:extLst>
            <a:ext uri="{FF2B5EF4-FFF2-40B4-BE49-F238E27FC236}">
              <a16:creationId xmlns:a16="http://schemas.microsoft.com/office/drawing/2014/main" id="{00000000-0008-0000-0400-00006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64" name="Text Box 3353">
          <a:extLst>
            <a:ext uri="{FF2B5EF4-FFF2-40B4-BE49-F238E27FC236}">
              <a16:creationId xmlns:a16="http://schemas.microsoft.com/office/drawing/2014/main" id="{00000000-0008-0000-0400-00006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65" name="Text Box 3354">
          <a:extLst>
            <a:ext uri="{FF2B5EF4-FFF2-40B4-BE49-F238E27FC236}">
              <a16:creationId xmlns:a16="http://schemas.microsoft.com/office/drawing/2014/main" id="{00000000-0008-0000-0400-00006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66" name="Text Box 3355">
          <a:extLst>
            <a:ext uri="{FF2B5EF4-FFF2-40B4-BE49-F238E27FC236}">
              <a16:creationId xmlns:a16="http://schemas.microsoft.com/office/drawing/2014/main" id="{00000000-0008-0000-0400-00006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67" name="Text Box 3356">
          <a:extLst>
            <a:ext uri="{FF2B5EF4-FFF2-40B4-BE49-F238E27FC236}">
              <a16:creationId xmlns:a16="http://schemas.microsoft.com/office/drawing/2014/main" id="{00000000-0008-0000-0400-00006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68" name="Text Box 3357">
          <a:extLst>
            <a:ext uri="{FF2B5EF4-FFF2-40B4-BE49-F238E27FC236}">
              <a16:creationId xmlns:a16="http://schemas.microsoft.com/office/drawing/2014/main" id="{00000000-0008-0000-0400-00007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69" name="Text Box 3358">
          <a:extLst>
            <a:ext uri="{FF2B5EF4-FFF2-40B4-BE49-F238E27FC236}">
              <a16:creationId xmlns:a16="http://schemas.microsoft.com/office/drawing/2014/main" id="{00000000-0008-0000-0400-00007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70" name="Text Box 3359">
          <a:extLst>
            <a:ext uri="{FF2B5EF4-FFF2-40B4-BE49-F238E27FC236}">
              <a16:creationId xmlns:a16="http://schemas.microsoft.com/office/drawing/2014/main" id="{00000000-0008-0000-0400-00007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71" name="Text Box 3360">
          <a:extLst>
            <a:ext uri="{FF2B5EF4-FFF2-40B4-BE49-F238E27FC236}">
              <a16:creationId xmlns:a16="http://schemas.microsoft.com/office/drawing/2014/main" id="{00000000-0008-0000-0400-00007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72" name="Text Box 3361">
          <a:extLst>
            <a:ext uri="{FF2B5EF4-FFF2-40B4-BE49-F238E27FC236}">
              <a16:creationId xmlns:a16="http://schemas.microsoft.com/office/drawing/2014/main" id="{00000000-0008-0000-0400-00007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73" name="Text Box 3362">
          <a:extLst>
            <a:ext uri="{FF2B5EF4-FFF2-40B4-BE49-F238E27FC236}">
              <a16:creationId xmlns:a16="http://schemas.microsoft.com/office/drawing/2014/main" id="{00000000-0008-0000-0400-00007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74" name="Text Box 3363">
          <a:extLst>
            <a:ext uri="{FF2B5EF4-FFF2-40B4-BE49-F238E27FC236}">
              <a16:creationId xmlns:a16="http://schemas.microsoft.com/office/drawing/2014/main" id="{00000000-0008-0000-0400-00007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75" name="Text Box 3364">
          <a:extLst>
            <a:ext uri="{FF2B5EF4-FFF2-40B4-BE49-F238E27FC236}">
              <a16:creationId xmlns:a16="http://schemas.microsoft.com/office/drawing/2014/main" id="{00000000-0008-0000-0400-00007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76" name="Text Box 3365">
          <a:extLst>
            <a:ext uri="{FF2B5EF4-FFF2-40B4-BE49-F238E27FC236}">
              <a16:creationId xmlns:a16="http://schemas.microsoft.com/office/drawing/2014/main" id="{00000000-0008-0000-0400-00007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77" name="Text Box 3366">
          <a:extLst>
            <a:ext uri="{FF2B5EF4-FFF2-40B4-BE49-F238E27FC236}">
              <a16:creationId xmlns:a16="http://schemas.microsoft.com/office/drawing/2014/main" id="{00000000-0008-0000-0400-00007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78" name="Text Box 3367">
          <a:extLst>
            <a:ext uri="{FF2B5EF4-FFF2-40B4-BE49-F238E27FC236}">
              <a16:creationId xmlns:a16="http://schemas.microsoft.com/office/drawing/2014/main" id="{00000000-0008-0000-0400-00007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79" name="Text Box 3368">
          <a:extLst>
            <a:ext uri="{FF2B5EF4-FFF2-40B4-BE49-F238E27FC236}">
              <a16:creationId xmlns:a16="http://schemas.microsoft.com/office/drawing/2014/main" id="{00000000-0008-0000-0400-00007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80" name="Text Box 3369">
          <a:extLst>
            <a:ext uri="{FF2B5EF4-FFF2-40B4-BE49-F238E27FC236}">
              <a16:creationId xmlns:a16="http://schemas.microsoft.com/office/drawing/2014/main" id="{00000000-0008-0000-0400-00007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81" name="Text Box 3370">
          <a:extLst>
            <a:ext uri="{FF2B5EF4-FFF2-40B4-BE49-F238E27FC236}">
              <a16:creationId xmlns:a16="http://schemas.microsoft.com/office/drawing/2014/main" id="{00000000-0008-0000-0400-00007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82" name="Text Box 3371">
          <a:extLst>
            <a:ext uri="{FF2B5EF4-FFF2-40B4-BE49-F238E27FC236}">
              <a16:creationId xmlns:a16="http://schemas.microsoft.com/office/drawing/2014/main" id="{00000000-0008-0000-0400-00007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83" name="Text Box 3372">
          <a:extLst>
            <a:ext uri="{FF2B5EF4-FFF2-40B4-BE49-F238E27FC236}">
              <a16:creationId xmlns:a16="http://schemas.microsoft.com/office/drawing/2014/main" id="{00000000-0008-0000-0400-00007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84" name="Text Box 3373">
          <a:extLst>
            <a:ext uri="{FF2B5EF4-FFF2-40B4-BE49-F238E27FC236}">
              <a16:creationId xmlns:a16="http://schemas.microsoft.com/office/drawing/2014/main" id="{00000000-0008-0000-0400-00008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85" name="Text Box 3374">
          <a:extLst>
            <a:ext uri="{FF2B5EF4-FFF2-40B4-BE49-F238E27FC236}">
              <a16:creationId xmlns:a16="http://schemas.microsoft.com/office/drawing/2014/main" id="{00000000-0008-0000-0400-00008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86" name="Text Box 3375">
          <a:extLst>
            <a:ext uri="{FF2B5EF4-FFF2-40B4-BE49-F238E27FC236}">
              <a16:creationId xmlns:a16="http://schemas.microsoft.com/office/drawing/2014/main" id="{00000000-0008-0000-0400-00008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87" name="Text Box 3376">
          <a:extLst>
            <a:ext uri="{FF2B5EF4-FFF2-40B4-BE49-F238E27FC236}">
              <a16:creationId xmlns:a16="http://schemas.microsoft.com/office/drawing/2014/main" id="{00000000-0008-0000-0400-00008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88" name="Text Box 3377">
          <a:extLst>
            <a:ext uri="{FF2B5EF4-FFF2-40B4-BE49-F238E27FC236}">
              <a16:creationId xmlns:a16="http://schemas.microsoft.com/office/drawing/2014/main" id="{00000000-0008-0000-0400-00008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89" name="Text Box 3378">
          <a:extLst>
            <a:ext uri="{FF2B5EF4-FFF2-40B4-BE49-F238E27FC236}">
              <a16:creationId xmlns:a16="http://schemas.microsoft.com/office/drawing/2014/main" id="{00000000-0008-0000-0400-00008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90" name="Text Box 3379">
          <a:extLst>
            <a:ext uri="{FF2B5EF4-FFF2-40B4-BE49-F238E27FC236}">
              <a16:creationId xmlns:a16="http://schemas.microsoft.com/office/drawing/2014/main" id="{00000000-0008-0000-0400-00008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91" name="Text Box 3380">
          <a:extLst>
            <a:ext uri="{FF2B5EF4-FFF2-40B4-BE49-F238E27FC236}">
              <a16:creationId xmlns:a16="http://schemas.microsoft.com/office/drawing/2014/main" id="{00000000-0008-0000-0400-00008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92" name="Text Box 3381">
          <a:extLst>
            <a:ext uri="{FF2B5EF4-FFF2-40B4-BE49-F238E27FC236}">
              <a16:creationId xmlns:a16="http://schemas.microsoft.com/office/drawing/2014/main" id="{00000000-0008-0000-0400-00008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93" name="Text Box 3382">
          <a:extLst>
            <a:ext uri="{FF2B5EF4-FFF2-40B4-BE49-F238E27FC236}">
              <a16:creationId xmlns:a16="http://schemas.microsoft.com/office/drawing/2014/main" id="{00000000-0008-0000-0400-00008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94" name="Text Box 3383">
          <a:extLst>
            <a:ext uri="{FF2B5EF4-FFF2-40B4-BE49-F238E27FC236}">
              <a16:creationId xmlns:a16="http://schemas.microsoft.com/office/drawing/2014/main" id="{00000000-0008-0000-0400-00008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95" name="Text Box 3384">
          <a:extLst>
            <a:ext uri="{FF2B5EF4-FFF2-40B4-BE49-F238E27FC236}">
              <a16:creationId xmlns:a16="http://schemas.microsoft.com/office/drawing/2014/main" id="{00000000-0008-0000-0400-00008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96" name="Text Box 3385">
          <a:extLst>
            <a:ext uri="{FF2B5EF4-FFF2-40B4-BE49-F238E27FC236}">
              <a16:creationId xmlns:a16="http://schemas.microsoft.com/office/drawing/2014/main" id="{00000000-0008-0000-0400-00008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97" name="Text Box 3386">
          <a:extLst>
            <a:ext uri="{FF2B5EF4-FFF2-40B4-BE49-F238E27FC236}">
              <a16:creationId xmlns:a16="http://schemas.microsoft.com/office/drawing/2014/main" id="{00000000-0008-0000-0400-00008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98" name="Text Box 3387">
          <a:extLst>
            <a:ext uri="{FF2B5EF4-FFF2-40B4-BE49-F238E27FC236}">
              <a16:creationId xmlns:a16="http://schemas.microsoft.com/office/drawing/2014/main" id="{00000000-0008-0000-0400-00008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599" name="Text Box 3388">
          <a:extLst>
            <a:ext uri="{FF2B5EF4-FFF2-40B4-BE49-F238E27FC236}">
              <a16:creationId xmlns:a16="http://schemas.microsoft.com/office/drawing/2014/main" id="{00000000-0008-0000-0400-00008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00" name="Text Box 3389">
          <a:extLst>
            <a:ext uri="{FF2B5EF4-FFF2-40B4-BE49-F238E27FC236}">
              <a16:creationId xmlns:a16="http://schemas.microsoft.com/office/drawing/2014/main" id="{00000000-0008-0000-0400-00009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01" name="Text Box 3390">
          <a:extLst>
            <a:ext uri="{FF2B5EF4-FFF2-40B4-BE49-F238E27FC236}">
              <a16:creationId xmlns:a16="http://schemas.microsoft.com/office/drawing/2014/main" id="{00000000-0008-0000-0400-00009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02" name="Text Box 3391">
          <a:extLst>
            <a:ext uri="{FF2B5EF4-FFF2-40B4-BE49-F238E27FC236}">
              <a16:creationId xmlns:a16="http://schemas.microsoft.com/office/drawing/2014/main" id="{00000000-0008-0000-0400-00009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03" name="Text Box 3392">
          <a:extLst>
            <a:ext uri="{FF2B5EF4-FFF2-40B4-BE49-F238E27FC236}">
              <a16:creationId xmlns:a16="http://schemas.microsoft.com/office/drawing/2014/main" id="{00000000-0008-0000-0400-00009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04" name="Text Box 3393">
          <a:extLst>
            <a:ext uri="{FF2B5EF4-FFF2-40B4-BE49-F238E27FC236}">
              <a16:creationId xmlns:a16="http://schemas.microsoft.com/office/drawing/2014/main" id="{00000000-0008-0000-0400-00009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05" name="Text Box 3394">
          <a:extLst>
            <a:ext uri="{FF2B5EF4-FFF2-40B4-BE49-F238E27FC236}">
              <a16:creationId xmlns:a16="http://schemas.microsoft.com/office/drawing/2014/main" id="{00000000-0008-0000-0400-00009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06" name="Text Box 3395">
          <a:extLst>
            <a:ext uri="{FF2B5EF4-FFF2-40B4-BE49-F238E27FC236}">
              <a16:creationId xmlns:a16="http://schemas.microsoft.com/office/drawing/2014/main" id="{00000000-0008-0000-0400-00009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07" name="Text Box 3396">
          <a:extLst>
            <a:ext uri="{FF2B5EF4-FFF2-40B4-BE49-F238E27FC236}">
              <a16:creationId xmlns:a16="http://schemas.microsoft.com/office/drawing/2014/main" id="{00000000-0008-0000-0400-00009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08" name="Text Box 3397">
          <a:extLst>
            <a:ext uri="{FF2B5EF4-FFF2-40B4-BE49-F238E27FC236}">
              <a16:creationId xmlns:a16="http://schemas.microsoft.com/office/drawing/2014/main" id="{00000000-0008-0000-0400-00009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09" name="Text Box 3398">
          <a:extLst>
            <a:ext uri="{FF2B5EF4-FFF2-40B4-BE49-F238E27FC236}">
              <a16:creationId xmlns:a16="http://schemas.microsoft.com/office/drawing/2014/main" id="{00000000-0008-0000-0400-00009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10" name="Text Box 3399">
          <a:extLst>
            <a:ext uri="{FF2B5EF4-FFF2-40B4-BE49-F238E27FC236}">
              <a16:creationId xmlns:a16="http://schemas.microsoft.com/office/drawing/2014/main" id="{00000000-0008-0000-0400-00009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11" name="Text Box 3400">
          <a:extLst>
            <a:ext uri="{FF2B5EF4-FFF2-40B4-BE49-F238E27FC236}">
              <a16:creationId xmlns:a16="http://schemas.microsoft.com/office/drawing/2014/main" id="{00000000-0008-0000-0400-00009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12" name="Text Box 3401">
          <a:extLst>
            <a:ext uri="{FF2B5EF4-FFF2-40B4-BE49-F238E27FC236}">
              <a16:creationId xmlns:a16="http://schemas.microsoft.com/office/drawing/2014/main" id="{00000000-0008-0000-0400-00009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13" name="Text Box 3402">
          <a:extLst>
            <a:ext uri="{FF2B5EF4-FFF2-40B4-BE49-F238E27FC236}">
              <a16:creationId xmlns:a16="http://schemas.microsoft.com/office/drawing/2014/main" id="{00000000-0008-0000-0400-00009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14" name="Text Box 3403">
          <a:extLst>
            <a:ext uri="{FF2B5EF4-FFF2-40B4-BE49-F238E27FC236}">
              <a16:creationId xmlns:a16="http://schemas.microsoft.com/office/drawing/2014/main" id="{00000000-0008-0000-0400-00009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15" name="Text Box 3404">
          <a:extLst>
            <a:ext uri="{FF2B5EF4-FFF2-40B4-BE49-F238E27FC236}">
              <a16:creationId xmlns:a16="http://schemas.microsoft.com/office/drawing/2014/main" id="{00000000-0008-0000-0400-00009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16" name="Text Box 3405">
          <a:extLst>
            <a:ext uri="{FF2B5EF4-FFF2-40B4-BE49-F238E27FC236}">
              <a16:creationId xmlns:a16="http://schemas.microsoft.com/office/drawing/2014/main" id="{00000000-0008-0000-0400-0000A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17" name="Text Box 3406">
          <a:extLst>
            <a:ext uri="{FF2B5EF4-FFF2-40B4-BE49-F238E27FC236}">
              <a16:creationId xmlns:a16="http://schemas.microsoft.com/office/drawing/2014/main" id="{00000000-0008-0000-0400-0000A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18" name="Text Box 3407">
          <a:extLst>
            <a:ext uri="{FF2B5EF4-FFF2-40B4-BE49-F238E27FC236}">
              <a16:creationId xmlns:a16="http://schemas.microsoft.com/office/drawing/2014/main" id="{00000000-0008-0000-0400-0000A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19" name="Text Box 3408">
          <a:extLst>
            <a:ext uri="{FF2B5EF4-FFF2-40B4-BE49-F238E27FC236}">
              <a16:creationId xmlns:a16="http://schemas.microsoft.com/office/drawing/2014/main" id="{00000000-0008-0000-0400-0000A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20" name="Text Box 3409">
          <a:extLst>
            <a:ext uri="{FF2B5EF4-FFF2-40B4-BE49-F238E27FC236}">
              <a16:creationId xmlns:a16="http://schemas.microsoft.com/office/drawing/2014/main" id="{00000000-0008-0000-0400-0000A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21" name="Text Box 3410">
          <a:extLst>
            <a:ext uri="{FF2B5EF4-FFF2-40B4-BE49-F238E27FC236}">
              <a16:creationId xmlns:a16="http://schemas.microsoft.com/office/drawing/2014/main" id="{00000000-0008-0000-0400-0000A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22" name="Text Box 3411">
          <a:extLst>
            <a:ext uri="{FF2B5EF4-FFF2-40B4-BE49-F238E27FC236}">
              <a16:creationId xmlns:a16="http://schemas.microsoft.com/office/drawing/2014/main" id="{00000000-0008-0000-0400-0000A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23" name="Text Box 3412">
          <a:extLst>
            <a:ext uri="{FF2B5EF4-FFF2-40B4-BE49-F238E27FC236}">
              <a16:creationId xmlns:a16="http://schemas.microsoft.com/office/drawing/2014/main" id="{00000000-0008-0000-0400-0000A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24" name="Text Box 3413">
          <a:extLst>
            <a:ext uri="{FF2B5EF4-FFF2-40B4-BE49-F238E27FC236}">
              <a16:creationId xmlns:a16="http://schemas.microsoft.com/office/drawing/2014/main" id="{00000000-0008-0000-0400-0000A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25" name="Text Box 3414">
          <a:extLst>
            <a:ext uri="{FF2B5EF4-FFF2-40B4-BE49-F238E27FC236}">
              <a16:creationId xmlns:a16="http://schemas.microsoft.com/office/drawing/2014/main" id="{00000000-0008-0000-0400-0000A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26" name="Text Box 3415">
          <a:extLst>
            <a:ext uri="{FF2B5EF4-FFF2-40B4-BE49-F238E27FC236}">
              <a16:creationId xmlns:a16="http://schemas.microsoft.com/office/drawing/2014/main" id="{00000000-0008-0000-0400-0000A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27" name="Text Box 3416">
          <a:extLst>
            <a:ext uri="{FF2B5EF4-FFF2-40B4-BE49-F238E27FC236}">
              <a16:creationId xmlns:a16="http://schemas.microsoft.com/office/drawing/2014/main" id="{00000000-0008-0000-0400-0000A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28" name="Text Box 3417">
          <a:extLst>
            <a:ext uri="{FF2B5EF4-FFF2-40B4-BE49-F238E27FC236}">
              <a16:creationId xmlns:a16="http://schemas.microsoft.com/office/drawing/2014/main" id="{00000000-0008-0000-0400-0000A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29" name="Text Box 3418">
          <a:extLst>
            <a:ext uri="{FF2B5EF4-FFF2-40B4-BE49-F238E27FC236}">
              <a16:creationId xmlns:a16="http://schemas.microsoft.com/office/drawing/2014/main" id="{00000000-0008-0000-0400-0000A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30" name="Text Box 3419">
          <a:extLst>
            <a:ext uri="{FF2B5EF4-FFF2-40B4-BE49-F238E27FC236}">
              <a16:creationId xmlns:a16="http://schemas.microsoft.com/office/drawing/2014/main" id="{00000000-0008-0000-0400-0000A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31" name="Text Box 3420">
          <a:extLst>
            <a:ext uri="{FF2B5EF4-FFF2-40B4-BE49-F238E27FC236}">
              <a16:creationId xmlns:a16="http://schemas.microsoft.com/office/drawing/2014/main" id="{00000000-0008-0000-0400-0000A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32" name="Text Box 3421">
          <a:extLst>
            <a:ext uri="{FF2B5EF4-FFF2-40B4-BE49-F238E27FC236}">
              <a16:creationId xmlns:a16="http://schemas.microsoft.com/office/drawing/2014/main" id="{00000000-0008-0000-0400-0000B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33" name="Text Box 3422">
          <a:extLst>
            <a:ext uri="{FF2B5EF4-FFF2-40B4-BE49-F238E27FC236}">
              <a16:creationId xmlns:a16="http://schemas.microsoft.com/office/drawing/2014/main" id="{00000000-0008-0000-0400-0000B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34" name="Text Box 3423">
          <a:extLst>
            <a:ext uri="{FF2B5EF4-FFF2-40B4-BE49-F238E27FC236}">
              <a16:creationId xmlns:a16="http://schemas.microsoft.com/office/drawing/2014/main" id="{00000000-0008-0000-0400-0000B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35" name="Text Box 3424">
          <a:extLst>
            <a:ext uri="{FF2B5EF4-FFF2-40B4-BE49-F238E27FC236}">
              <a16:creationId xmlns:a16="http://schemas.microsoft.com/office/drawing/2014/main" id="{00000000-0008-0000-0400-0000B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36" name="Text Box 3425">
          <a:extLst>
            <a:ext uri="{FF2B5EF4-FFF2-40B4-BE49-F238E27FC236}">
              <a16:creationId xmlns:a16="http://schemas.microsoft.com/office/drawing/2014/main" id="{00000000-0008-0000-0400-0000B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37" name="Text Box 3426">
          <a:extLst>
            <a:ext uri="{FF2B5EF4-FFF2-40B4-BE49-F238E27FC236}">
              <a16:creationId xmlns:a16="http://schemas.microsoft.com/office/drawing/2014/main" id="{00000000-0008-0000-0400-0000B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38" name="Text Box 3427">
          <a:extLst>
            <a:ext uri="{FF2B5EF4-FFF2-40B4-BE49-F238E27FC236}">
              <a16:creationId xmlns:a16="http://schemas.microsoft.com/office/drawing/2014/main" id="{00000000-0008-0000-0400-0000B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39" name="Text Box 3428">
          <a:extLst>
            <a:ext uri="{FF2B5EF4-FFF2-40B4-BE49-F238E27FC236}">
              <a16:creationId xmlns:a16="http://schemas.microsoft.com/office/drawing/2014/main" id="{00000000-0008-0000-0400-0000B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40" name="Text Box 3429">
          <a:extLst>
            <a:ext uri="{FF2B5EF4-FFF2-40B4-BE49-F238E27FC236}">
              <a16:creationId xmlns:a16="http://schemas.microsoft.com/office/drawing/2014/main" id="{00000000-0008-0000-0400-0000B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41" name="Text Box 3430">
          <a:extLst>
            <a:ext uri="{FF2B5EF4-FFF2-40B4-BE49-F238E27FC236}">
              <a16:creationId xmlns:a16="http://schemas.microsoft.com/office/drawing/2014/main" id="{00000000-0008-0000-0400-0000B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42" name="Text Box 3431">
          <a:extLst>
            <a:ext uri="{FF2B5EF4-FFF2-40B4-BE49-F238E27FC236}">
              <a16:creationId xmlns:a16="http://schemas.microsoft.com/office/drawing/2014/main" id="{00000000-0008-0000-0400-0000B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43" name="Text Box 3432">
          <a:extLst>
            <a:ext uri="{FF2B5EF4-FFF2-40B4-BE49-F238E27FC236}">
              <a16:creationId xmlns:a16="http://schemas.microsoft.com/office/drawing/2014/main" id="{00000000-0008-0000-0400-0000B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44" name="Text Box 3433">
          <a:extLst>
            <a:ext uri="{FF2B5EF4-FFF2-40B4-BE49-F238E27FC236}">
              <a16:creationId xmlns:a16="http://schemas.microsoft.com/office/drawing/2014/main" id="{00000000-0008-0000-0400-0000B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45" name="Text Box 3434">
          <a:extLst>
            <a:ext uri="{FF2B5EF4-FFF2-40B4-BE49-F238E27FC236}">
              <a16:creationId xmlns:a16="http://schemas.microsoft.com/office/drawing/2014/main" id="{00000000-0008-0000-0400-0000B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46" name="Text Box 3435">
          <a:extLst>
            <a:ext uri="{FF2B5EF4-FFF2-40B4-BE49-F238E27FC236}">
              <a16:creationId xmlns:a16="http://schemas.microsoft.com/office/drawing/2014/main" id="{00000000-0008-0000-0400-0000B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47" name="Text Box 3436">
          <a:extLst>
            <a:ext uri="{FF2B5EF4-FFF2-40B4-BE49-F238E27FC236}">
              <a16:creationId xmlns:a16="http://schemas.microsoft.com/office/drawing/2014/main" id="{00000000-0008-0000-0400-0000B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48" name="Text Box 3437">
          <a:extLst>
            <a:ext uri="{FF2B5EF4-FFF2-40B4-BE49-F238E27FC236}">
              <a16:creationId xmlns:a16="http://schemas.microsoft.com/office/drawing/2014/main" id="{00000000-0008-0000-0400-0000C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49" name="Text Box 3438">
          <a:extLst>
            <a:ext uri="{FF2B5EF4-FFF2-40B4-BE49-F238E27FC236}">
              <a16:creationId xmlns:a16="http://schemas.microsoft.com/office/drawing/2014/main" id="{00000000-0008-0000-0400-0000C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50" name="Text Box 3439">
          <a:extLst>
            <a:ext uri="{FF2B5EF4-FFF2-40B4-BE49-F238E27FC236}">
              <a16:creationId xmlns:a16="http://schemas.microsoft.com/office/drawing/2014/main" id="{00000000-0008-0000-0400-0000C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51" name="Text Box 3440">
          <a:extLst>
            <a:ext uri="{FF2B5EF4-FFF2-40B4-BE49-F238E27FC236}">
              <a16:creationId xmlns:a16="http://schemas.microsoft.com/office/drawing/2014/main" id="{00000000-0008-0000-0400-0000C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52" name="Text Box 3441">
          <a:extLst>
            <a:ext uri="{FF2B5EF4-FFF2-40B4-BE49-F238E27FC236}">
              <a16:creationId xmlns:a16="http://schemas.microsoft.com/office/drawing/2014/main" id="{00000000-0008-0000-0400-0000C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53" name="Text Box 3442">
          <a:extLst>
            <a:ext uri="{FF2B5EF4-FFF2-40B4-BE49-F238E27FC236}">
              <a16:creationId xmlns:a16="http://schemas.microsoft.com/office/drawing/2014/main" id="{00000000-0008-0000-0400-0000C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54" name="Text Box 3443">
          <a:extLst>
            <a:ext uri="{FF2B5EF4-FFF2-40B4-BE49-F238E27FC236}">
              <a16:creationId xmlns:a16="http://schemas.microsoft.com/office/drawing/2014/main" id="{00000000-0008-0000-0400-0000C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55" name="Text Box 3444">
          <a:extLst>
            <a:ext uri="{FF2B5EF4-FFF2-40B4-BE49-F238E27FC236}">
              <a16:creationId xmlns:a16="http://schemas.microsoft.com/office/drawing/2014/main" id="{00000000-0008-0000-0400-0000C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56" name="Text Box 3445">
          <a:extLst>
            <a:ext uri="{FF2B5EF4-FFF2-40B4-BE49-F238E27FC236}">
              <a16:creationId xmlns:a16="http://schemas.microsoft.com/office/drawing/2014/main" id="{00000000-0008-0000-0400-0000C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57" name="Text Box 3446">
          <a:extLst>
            <a:ext uri="{FF2B5EF4-FFF2-40B4-BE49-F238E27FC236}">
              <a16:creationId xmlns:a16="http://schemas.microsoft.com/office/drawing/2014/main" id="{00000000-0008-0000-0400-0000C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58" name="Text Box 3447">
          <a:extLst>
            <a:ext uri="{FF2B5EF4-FFF2-40B4-BE49-F238E27FC236}">
              <a16:creationId xmlns:a16="http://schemas.microsoft.com/office/drawing/2014/main" id="{00000000-0008-0000-0400-0000C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59" name="Text Box 3448">
          <a:extLst>
            <a:ext uri="{FF2B5EF4-FFF2-40B4-BE49-F238E27FC236}">
              <a16:creationId xmlns:a16="http://schemas.microsoft.com/office/drawing/2014/main" id="{00000000-0008-0000-0400-0000C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60" name="Text Box 3449">
          <a:extLst>
            <a:ext uri="{FF2B5EF4-FFF2-40B4-BE49-F238E27FC236}">
              <a16:creationId xmlns:a16="http://schemas.microsoft.com/office/drawing/2014/main" id="{00000000-0008-0000-0400-0000C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61" name="Text Box 3450">
          <a:extLst>
            <a:ext uri="{FF2B5EF4-FFF2-40B4-BE49-F238E27FC236}">
              <a16:creationId xmlns:a16="http://schemas.microsoft.com/office/drawing/2014/main" id="{00000000-0008-0000-0400-0000C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62" name="Text Box 3451">
          <a:extLst>
            <a:ext uri="{FF2B5EF4-FFF2-40B4-BE49-F238E27FC236}">
              <a16:creationId xmlns:a16="http://schemas.microsoft.com/office/drawing/2014/main" id="{00000000-0008-0000-0400-0000C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63" name="Text Box 3452">
          <a:extLst>
            <a:ext uri="{FF2B5EF4-FFF2-40B4-BE49-F238E27FC236}">
              <a16:creationId xmlns:a16="http://schemas.microsoft.com/office/drawing/2014/main" id="{00000000-0008-0000-0400-0000C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64" name="Text Box 3453">
          <a:extLst>
            <a:ext uri="{FF2B5EF4-FFF2-40B4-BE49-F238E27FC236}">
              <a16:creationId xmlns:a16="http://schemas.microsoft.com/office/drawing/2014/main" id="{00000000-0008-0000-0400-0000D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65" name="Text Box 3454">
          <a:extLst>
            <a:ext uri="{FF2B5EF4-FFF2-40B4-BE49-F238E27FC236}">
              <a16:creationId xmlns:a16="http://schemas.microsoft.com/office/drawing/2014/main" id="{00000000-0008-0000-0400-0000D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66" name="Text Box 3455">
          <a:extLst>
            <a:ext uri="{FF2B5EF4-FFF2-40B4-BE49-F238E27FC236}">
              <a16:creationId xmlns:a16="http://schemas.microsoft.com/office/drawing/2014/main" id="{00000000-0008-0000-0400-0000D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67" name="Text Box 3456">
          <a:extLst>
            <a:ext uri="{FF2B5EF4-FFF2-40B4-BE49-F238E27FC236}">
              <a16:creationId xmlns:a16="http://schemas.microsoft.com/office/drawing/2014/main" id="{00000000-0008-0000-0400-0000D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68" name="Text Box 3457">
          <a:extLst>
            <a:ext uri="{FF2B5EF4-FFF2-40B4-BE49-F238E27FC236}">
              <a16:creationId xmlns:a16="http://schemas.microsoft.com/office/drawing/2014/main" id="{00000000-0008-0000-0400-0000D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69" name="Text Box 3458">
          <a:extLst>
            <a:ext uri="{FF2B5EF4-FFF2-40B4-BE49-F238E27FC236}">
              <a16:creationId xmlns:a16="http://schemas.microsoft.com/office/drawing/2014/main" id="{00000000-0008-0000-0400-0000D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70" name="Text Box 3459">
          <a:extLst>
            <a:ext uri="{FF2B5EF4-FFF2-40B4-BE49-F238E27FC236}">
              <a16:creationId xmlns:a16="http://schemas.microsoft.com/office/drawing/2014/main" id="{00000000-0008-0000-0400-0000D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71" name="Text Box 3460">
          <a:extLst>
            <a:ext uri="{FF2B5EF4-FFF2-40B4-BE49-F238E27FC236}">
              <a16:creationId xmlns:a16="http://schemas.microsoft.com/office/drawing/2014/main" id="{00000000-0008-0000-0400-0000D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72" name="Text Box 3461">
          <a:extLst>
            <a:ext uri="{FF2B5EF4-FFF2-40B4-BE49-F238E27FC236}">
              <a16:creationId xmlns:a16="http://schemas.microsoft.com/office/drawing/2014/main" id="{00000000-0008-0000-0400-0000D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73" name="Text Box 3462">
          <a:extLst>
            <a:ext uri="{FF2B5EF4-FFF2-40B4-BE49-F238E27FC236}">
              <a16:creationId xmlns:a16="http://schemas.microsoft.com/office/drawing/2014/main" id="{00000000-0008-0000-0400-0000D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74" name="Text Box 3463">
          <a:extLst>
            <a:ext uri="{FF2B5EF4-FFF2-40B4-BE49-F238E27FC236}">
              <a16:creationId xmlns:a16="http://schemas.microsoft.com/office/drawing/2014/main" id="{00000000-0008-0000-0400-0000D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75" name="Text Box 3464">
          <a:extLst>
            <a:ext uri="{FF2B5EF4-FFF2-40B4-BE49-F238E27FC236}">
              <a16:creationId xmlns:a16="http://schemas.microsoft.com/office/drawing/2014/main" id="{00000000-0008-0000-0400-0000D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76" name="Text Box 3465">
          <a:extLst>
            <a:ext uri="{FF2B5EF4-FFF2-40B4-BE49-F238E27FC236}">
              <a16:creationId xmlns:a16="http://schemas.microsoft.com/office/drawing/2014/main" id="{00000000-0008-0000-0400-0000D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77" name="Text Box 3466">
          <a:extLst>
            <a:ext uri="{FF2B5EF4-FFF2-40B4-BE49-F238E27FC236}">
              <a16:creationId xmlns:a16="http://schemas.microsoft.com/office/drawing/2014/main" id="{00000000-0008-0000-0400-0000D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78" name="Text Box 3467">
          <a:extLst>
            <a:ext uri="{FF2B5EF4-FFF2-40B4-BE49-F238E27FC236}">
              <a16:creationId xmlns:a16="http://schemas.microsoft.com/office/drawing/2014/main" id="{00000000-0008-0000-0400-0000D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79" name="Text Box 3468">
          <a:extLst>
            <a:ext uri="{FF2B5EF4-FFF2-40B4-BE49-F238E27FC236}">
              <a16:creationId xmlns:a16="http://schemas.microsoft.com/office/drawing/2014/main" id="{00000000-0008-0000-0400-0000D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80" name="Text Box 3469">
          <a:extLst>
            <a:ext uri="{FF2B5EF4-FFF2-40B4-BE49-F238E27FC236}">
              <a16:creationId xmlns:a16="http://schemas.microsoft.com/office/drawing/2014/main" id="{00000000-0008-0000-0400-0000E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81" name="Text Box 3470">
          <a:extLst>
            <a:ext uri="{FF2B5EF4-FFF2-40B4-BE49-F238E27FC236}">
              <a16:creationId xmlns:a16="http://schemas.microsoft.com/office/drawing/2014/main" id="{00000000-0008-0000-0400-0000E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82" name="Text Box 3471">
          <a:extLst>
            <a:ext uri="{FF2B5EF4-FFF2-40B4-BE49-F238E27FC236}">
              <a16:creationId xmlns:a16="http://schemas.microsoft.com/office/drawing/2014/main" id="{00000000-0008-0000-0400-0000E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83" name="Text Box 3472">
          <a:extLst>
            <a:ext uri="{FF2B5EF4-FFF2-40B4-BE49-F238E27FC236}">
              <a16:creationId xmlns:a16="http://schemas.microsoft.com/office/drawing/2014/main" id="{00000000-0008-0000-0400-0000E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84" name="Text Box 3473">
          <a:extLst>
            <a:ext uri="{FF2B5EF4-FFF2-40B4-BE49-F238E27FC236}">
              <a16:creationId xmlns:a16="http://schemas.microsoft.com/office/drawing/2014/main" id="{00000000-0008-0000-0400-0000E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85" name="Text Box 3474">
          <a:extLst>
            <a:ext uri="{FF2B5EF4-FFF2-40B4-BE49-F238E27FC236}">
              <a16:creationId xmlns:a16="http://schemas.microsoft.com/office/drawing/2014/main" id="{00000000-0008-0000-0400-0000E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86" name="Text Box 3475">
          <a:extLst>
            <a:ext uri="{FF2B5EF4-FFF2-40B4-BE49-F238E27FC236}">
              <a16:creationId xmlns:a16="http://schemas.microsoft.com/office/drawing/2014/main" id="{00000000-0008-0000-0400-0000E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87" name="Text Box 3476">
          <a:extLst>
            <a:ext uri="{FF2B5EF4-FFF2-40B4-BE49-F238E27FC236}">
              <a16:creationId xmlns:a16="http://schemas.microsoft.com/office/drawing/2014/main" id="{00000000-0008-0000-0400-0000E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88" name="Text Box 3477">
          <a:extLst>
            <a:ext uri="{FF2B5EF4-FFF2-40B4-BE49-F238E27FC236}">
              <a16:creationId xmlns:a16="http://schemas.microsoft.com/office/drawing/2014/main" id="{00000000-0008-0000-0400-0000E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89" name="Text Box 3478">
          <a:extLst>
            <a:ext uri="{FF2B5EF4-FFF2-40B4-BE49-F238E27FC236}">
              <a16:creationId xmlns:a16="http://schemas.microsoft.com/office/drawing/2014/main" id="{00000000-0008-0000-0400-0000E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90" name="Text Box 3479">
          <a:extLst>
            <a:ext uri="{FF2B5EF4-FFF2-40B4-BE49-F238E27FC236}">
              <a16:creationId xmlns:a16="http://schemas.microsoft.com/office/drawing/2014/main" id="{00000000-0008-0000-0400-0000E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91" name="Text Box 3480">
          <a:extLst>
            <a:ext uri="{FF2B5EF4-FFF2-40B4-BE49-F238E27FC236}">
              <a16:creationId xmlns:a16="http://schemas.microsoft.com/office/drawing/2014/main" id="{00000000-0008-0000-0400-0000E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92" name="Text Box 3481">
          <a:extLst>
            <a:ext uri="{FF2B5EF4-FFF2-40B4-BE49-F238E27FC236}">
              <a16:creationId xmlns:a16="http://schemas.microsoft.com/office/drawing/2014/main" id="{00000000-0008-0000-0400-0000E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93" name="Text Box 3482">
          <a:extLst>
            <a:ext uri="{FF2B5EF4-FFF2-40B4-BE49-F238E27FC236}">
              <a16:creationId xmlns:a16="http://schemas.microsoft.com/office/drawing/2014/main" id="{00000000-0008-0000-0400-0000E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94" name="Text Box 3483">
          <a:extLst>
            <a:ext uri="{FF2B5EF4-FFF2-40B4-BE49-F238E27FC236}">
              <a16:creationId xmlns:a16="http://schemas.microsoft.com/office/drawing/2014/main" id="{00000000-0008-0000-0400-0000E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95" name="Text Box 3484">
          <a:extLst>
            <a:ext uri="{FF2B5EF4-FFF2-40B4-BE49-F238E27FC236}">
              <a16:creationId xmlns:a16="http://schemas.microsoft.com/office/drawing/2014/main" id="{00000000-0008-0000-0400-0000E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96" name="Text Box 3485">
          <a:extLst>
            <a:ext uri="{FF2B5EF4-FFF2-40B4-BE49-F238E27FC236}">
              <a16:creationId xmlns:a16="http://schemas.microsoft.com/office/drawing/2014/main" id="{00000000-0008-0000-0400-0000F0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97" name="Text Box 3486">
          <a:extLst>
            <a:ext uri="{FF2B5EF4-FFF2-40B4-BE49-F238E27FC236}">
              <a16:creationId xmlns:a16="http://schemas.microsoft.com/office/drawing/2014/main" id="{00000000-0008-0000-0400-0000F1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98" name="Text Box 3487">
          <a:extLst>
            <a:ext uri="{FF2B5EF4-FFF2-40B4-BE49-F238E27FC236}">
              <a16:creationId xmlns:a16="http://schemas.microsoft.com/office/drawing/2014/main" id="{00000000-0008-0000-0400-0000F2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699" name="Text Box 3488">
          <a:extLst>
            <a:ext uri="{FF2B5EF4-FFF2-40B4-BE49-F238E27FC236}">
              <a16:creationId xmlns:a16="http://schemas.microsoft.com/office/drawing/2014/main" id="{00000000-0008-0000-0400-0000F3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00" name="Text Box 3489">
          <a:extLst>
            <a:ext uri="{FF2B5EF4-FFF2-40B4-BE49-F238E27FC236}">
              <a16:creationId xmlns:a16="http://schemas.microsoft.com/office/drawing/2014/main" id="{00000000-0008-0000-0400-0000F4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01" name="Text Box 3490">
          <a:extLst>
            <a:ext uri="{FF2B5EF4-FFF2-40B4-BE49-F238E27FC236}">
              <a16:creationId xmlns:a16="http://schemas.microsoft.com/office/drawing/2014/main" id="{00000000-0008-0000-0400-0000F5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02" name="Text Box 3491">
          <a:extLst>
            <a:ext uri="{FF2B5EF4-FFF2-40B4-BE49-F238E27FC236}">
              <a16:creationId xmlns:a16="http://schemas.microsoft.com/office/drawing/2014/main" id="{00000000-0008-0000-0400-0000F6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03" name="Text Box 3492">
          <a:extLst>
            <a:ext uri="{FF2B5EF4-FFF2-40B4-BE49-F238E27FC236}">
              <a16:creationId xmlns:a16="http://schemas.microsoft.com/office/drawing/2014/main" id="{00000000-0008-0000-0400-0000F7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04" name="Text Box 3493">
          <a:extLst>
            <a:ext uri="{FF2B5EF4-FFF2-40B4-BE49-F238E27FC236}">
              <a16:creationId xmlns:a16="http://schemas.microsoft.com/office/drawing/2014/main" id="{00000000-0008-0000-0400-0000F8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05" name="Text Box 3494">
          <a:extLst>
            <a:ext uri="{FF2B5EF4-FFF2-40B4-BE49-F238E27FC236}">
              <a16:creationId xmlns:a16="http://schemas.microsoft.com/office/drawing/2014/main" id="{00000000-0008-0000-0400-0000F9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06" name="Text Box 3495">
          <a:extLst>
            <a:ext uri="{FF2B5EF4-FFF2-40B4-BE49-F238E27FC236}">
              <a16:creationId xmlns:a16="http://schemas.microsoft.com/office/drawing/2014/main" id="{00000000-0008-0000-0400-0000FA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07" name="Text Box 3496">
          <a:extLst>
            <a:ext uri="{FF2B5EF4-FFF2-40B4-BE49-F238E27FC236}">
              <a16:creationId xmlns:a16="http://schemas.microsoft.com/office/drawing/2014/main" id="{00000000-0008-0000-0400-0000FB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08" name="Text Box 3497">
          <a:extLst>
            <a:ext uri="{FF2B5EF4-FFF2-40B4-BE49-F238E27FC236}">
              <a16:creationId xmlns:a16="http://schemas.microsoft.com/office/drawing/2014/main" id="{00000000-0008-0000-0400-0000FC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09" name="Text Box 3498">
          <a:extLst>
            <a:ext uri="{FF2B5EF4-FFF2-40B4-BE49-F238E27FC236}">
              <a16:creationId xmlns:a16="http://schemas.microsoft.com/office/drawing/2014/main" id="{00000000-0008-0000-0400-0000FD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10" name="Text Box 3499">
          <a:extLst>
            <a:ext uri="{FF2B5EF4-FFF2-40B4-BE49-F238E27FC236}">
              <a16:creationId xmlns:a16="http://schemas.microsoft.com/office/drawing/2014/main" id="{00000000-0008-0000-0400-0000FE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11" name="Text Box 3500">
          <a:extLst>
            <a:ext uri="{FF2B5EF4-FFF2-40B4-BE49-F238E27FC236}">
              <a16:creationId xmlns:a16="http://schemas.microsoft.com/office/drawing/2014/main" id="{00000000-0008-0000-0400-0000FF85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12" name="Text Box 3501">
          <a:extLst>
            <a:ext uri="{FF2B5EF4-FFF2-40B4-BE49-F238E27FC236}">
              <a16:creationId xmlns:a16="http://schemas.microsoft.com/office/drawing/2014/main" id="{00000000-0008-0000-0400-00000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13" name="Text Box 3502">
          <a:extLst>
            <a:ext uri="{FF2B5EF4-FFF2-40B4-BE49-F238E27FC236}">
              <a16:creationId xmlns:a16="http://schemas.microsoft.com/office/drawing/2014/main" id="{00000000-0008-0000-0400-00000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14" name="Text Box 3503">
          <a:extLst>
            <a:ext uri="{FF2B5EF4-FFF2-40B4-BE49-F238E27FC236}">
              <a16:creationId xmlns:a16="http://schemas.microsoft.com/office/drawing/2014/main" id="{00000000-0008-0000-0400-00000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15" name="Text Box 3504">
          <a:extLst>
            <a:ext uri="{FF2B5EF4-FFF2-40B4-BE49-F238E27FC236}">
              <a16:creationId xmlns:a16="http://schemas.microsoft.com/office/drawing/2014/main" id="{00000000-0008-0000-0400-00000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16" name="Text Box 3505">
          <a:extLst>
            <a:ext uri="{FF2B5EF4-FFF2-40B4-BE49-F238E27FC236}">
              <a16:creationId xmlns:a16="http://schemas.microsoft.com/office/drawing/2014/main" id="{00000000-0008-0000-0400-00000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17" name="Text Box 3506">
          <a:extLst>
            <a:ext uri="{FF2B5EF4-FFF2-40B4-BE49-F238E27FC236}">
              <a16:creationId xmlns:a16="http://schemas.microsoft.com/office/drawing/2014/main" id="{00000000-0008-0000-0400-00000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18" name="Text Box 3507">
          <a:extLst>
            <a:ext uri="{FF2B5EF4-FFF2-40B4-BE49-F238E27FC236}">
              <a16:creationId xmlns:a16="http://schemas.microsoft.com/office/drawing/2014/main" id="{00000000-0008-0000-0400-00000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19" name="Text Box 3508">
          <a:extLst>
            <a:ext uri="{FF2B5EF4-FFF2-40B4-BE49-F238E27FC236}">
              <a16:creationId xmlns:a16="http://schemas.microsoft.com/office/drawing/2014/main" id="{00000000-0008-0000-0400-00000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20" name="Text Box 3509">
          <a:extLst>
            <a:ext uri="{FF2B5EF4-FFF2-40B4-BE49-F238E27FC236}">
              <a16:creationId xmlns:a16="http://schemas.microsoft.com/office/drawing/2014/main" id="{00000000-0008-0000-0400-00000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21" name="Text Box 3510">
          <a:extLst>
            <a:ext uri="{FF2B5EF4-FFF2-40B4-BE49-F238E27FC236}">
              <a16:creationId xmlns:a16="http://schemas.microsoft.com/office/drawing/2014/main" id="{00000000-0008-0000-0400-00000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22" name="Text Box 3511">
          <a:extLst>
            <a:ext uri="{FF2B5EF4-FFF2-40B4-BE49-F238E27FC236}">
              <a16:creationId xmlns:a16="http://schemas.microsoft.com/office/drawing/2014/main" id="{00000000-0008-0000-0400-00000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23" name="Text Box 3512">
          <a:extLst>
            <a:ext uri="{FF2B5EF4-FFF2-40B4-BE49-F238E27FC236}">
              <a16:creationId xmlns:a16="http://schemas.microsoft.com/office/drawing/2014/main" id="{00000000-0008-0000-0400-00000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24" name="Text Box 3513">
          <a:extLst>
            <a:ext uri="{FF2B5EF4-FFF2-40B4-BE49-F238E27FC236}">
              <a16:creationId xmlns:a16="http://schemas.microsoft.com/office/drawing/2014/main" id="{00000000-0008-0000-0400-00000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25" name="Text Box 3514">
          <a:extLst>
            <a:ext uri="{FF2B5EF4-FFF2-40B4-BE49-F238E27FC236}">
              <a16:creationId xmlns:a16="http://schemas.microsoft.com/office/drawing/2014/main" id="{00000000-0008-0000-0400-00000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26" name="Text Box 3515">
          <a:extLst>
            <a:ext uri="{FF2B5EF4-FFF2-40B4-BE49-F238E27FC236}">
              <a16:creationId xmlns:a16="http://schemas.microsoft.com/office/drawing/2014/main" id="{00000000-0008-0000-0400-00000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27" name="Text Box 3516">
          <a:extLst>
            <a:ext uri="{FF2B5EF4-FFF2-40B4-BE49-F238E27FC236}">
              <a16:creationId xmlns:a16="http://schemas.microsoft.com/office/drawing/2014/main" id="{00000000-0008-0000-0400-00000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28" name="Text Box 3517">
          <a:extLst>
            <a:ext uri="{FF2B5EF4-FFF2-40B4-BE49-F238E27FC236}">
              <a16:creationId xmlns:a16="http://schemas.microsoft.com/office/drawing/2014/main" id="{00000000-0008-0000-0400-00001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29" name="Text Box 3518">
          <a:extLst>
            <a:ext uri="{FF2B5EF4-FFF2-40B4-BE49-F238E27FC236}">
              <a16:creationId xmlns:a16="http://schemas.microsoft.com/office/drawing/2014/main" id="{00000000-0008-0000-0400-00001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30" name="Text Box 3519">
          <a:extLst>
            <a:ext uri="{FF2B5EF4-FFF2-40B4-BE49-F238E27FC236}">
              <a16:creationId xmlns:a16="http://schemas.microsoft.com/office/drawing/2014/main" id="{00000000-0008-0000-0400-00001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31" name="Text Box 3520">
          <a:extLst>
            <a:ext uri="{FF2B5EF4-FFF2-40B4-BE49-F238E27FC236}">
              <a16:creationId xmlns:a16="http://schemas.microsoft.com/office/drawing/2014/main" id="{00000000-0008-0000-0400-00001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32" name="Text Box 3521">
          <a:extLst>
            <a:ext uri="{FF2B5EF4-FFF2-40B4-BE49-F238E27FC236}">
              <a16:creationId xmlns:a16="http://schemas.microsoft.com/office/drawing/2014/main" id="{00000000-0008-0000-0400-00001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33" name="Text Box 3522">
          <a:extLst>
            <a:ext uri="{FF2B5EF4-FFF2-40B4-BE49-F238E27FC236}">
              <a16:creationId xmlns:a16="http://schemas.microsoft.com/office/drawing/2014/main" id="{00000000-0008-0000-0400-00001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34" name="Text Box 3523">
          <a:extLst>
            <a:ext uri="{FF2B5EF4-FFF2-40B4-BE49-F238E27FC236}">
              <a16:creationId xmlns:a16="http://schemas.microsoft.com/office/drawing/2014/main" id="{00000000-0008-0000-0400-00001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35" name="Text Box 3524">
          <a:extLst>
            <a:ext uri="{FF2B5EF4-FFF2-40B4-BE49-F238E27FC236}">
              <a16:creationId xmlns:a16="http://schemas.microsoft.com/office/drawing/2014/main" id="{00000000-0008-0000-0400-00001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36" name="Text Box 3525">
          <a:extLst>
            <a:ext uri="{FF2B5EF4-FFF2-40B4-BE49-F238E27FC236}">
              <a16:creationId xmlns:a16="http://schemas.microsoft.com/office/drawing/2014/main" id="{00000000-0008-0000-0400-00001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37" name="Text Box 3526">
          <a:extLst>
            <a:ext uri="{FF2B5EF4-FFF2-40B4-BE49-F238E27FC236}">
              <a16:creationId xmlns:a16="http://schemas.microsoft.com/office/drawing/2014/main" id="{00000000-0008-0000-0400-00001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38" name="Text Box 3527">
          <a:extLst>
            <a:ext uri="{FF2B5EF4-FFF2-40B4-BE49-F238E27FC236}">
              <a16:creationId xmlns:a16="http://schemas.microsoft.com/office/drawing/2014/main" id="{00000000-0008-0000-0400-00001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39" name="Text Box 3528">
          <a:extLst>
            <a:ext uri="{FF2B5EF4-FFF2-40B4-BE49-F238E27FC236}">
              <a16:creationId xmlns:a16="http://schemas.microsoft.com/office/drawing/2014/main" id="{00000000-0008-0000-0400-00001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40" name="Text Box 3529">
          <a:extLst>
            <a:ext uri="{FF2B5EF4-FFF2-40B4-BE49-F238E27FC236}">
              <a16:creationId xmlns:a16="http://schemas.microsoft.com/office/drawing/2014/main" id="{00000000-0008-0000-0400-00001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41" name="Text Box 3530">
          <a:extLst>
            <a:ext uri="{FF2B5EF4-FFF2-40B4-BE49-F238E27FC236}">
              <a16:creationId xmlns:a16="http://schemas.microsoft.com/office/drawing/2014/main" id="{00000000-0008-0000-0400-00001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42" name="Text Box 3531">
          <a:extLst>
            <a:ext uri="{FF2B5EF4-FFF2-40B4-BE49-F238E27FC236}">
              <a16:creationId xmlns:a16="http://schemas.microsoft.com/office/drawing/2014/main" id="{00000000-0008-0000-0400-00001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43" name="Text Box 3532">
          <a:extLst>
            <a:ext uri="{FF2B5EF4-FFF2-40B4-BE49-F238E27FC236}">
              <a16:creationId xmlns:a16="http://schemas.microsoft.com/office/drawing/2014/main" id="{00000000-0008-0000-0400-00001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44" name="Text Box 3533">
          <a:extLst>
            <a:ext uri="{FF2B5EF4-FFF2-40B4-BE49-F238E27FC236}">
              <a16:creationId xmlns:a16="http://schemas.microsoft.com/office/drawing/2014/main" id="{00000000-0008-0000-0400-00002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45" name="Text Box 3534">
          <a:extLst>
            <a:ext uri="{FF2B5EF4-FFF2-40B4-BE49-F238E27FC236}">
              <a16:creationId xmlns:a16="http://schemas.microsoft.com/office/drawing/2014/main" id="{00000000-0008-0000-0400-00002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46" name="Text Box 3535">
          <a:extLst>
            <a:ext uri="{FF2B5EF4-FFF2-40B4-BE49-F238E27FC236}">
              <a16:creationId xmlns:a16="http://schemas.microsoft.com/office/drawing/2014/main" id="{00000000-0008-0000-0400-00002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47" name="Text Box 3536">
          <a:extLst>
            <a:ext uri="{FF2B5EF4-FFF2-40B4-BE49-F238E27FC236}">
              <a16:creationId xmlns:a16="http://schemas.microsoft.com/office/drawing/2014/main" id="{00000000-0008-0000-0400-00002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48" name="Text Box 3537">
          <a:extLst>
            <a:ext uri="{FF2B5EF4-FFF2-40B4-BE49-F238E27FC236}">
              <a16:creationId xmlns:a16="http://schemas.microsoft.com/office/drawing/2014/main" id="{00000000-0008-0000-0400-00002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49" name="Text Box 3538">
          <a:extLst>
            <a:ext uri="{FF2B5EF4-FFF2-40B4-BE49-F238E27FC236}">
              <a16:creationId xmlns:a16="http://schemas.microsoft.com/office/drawing/2014/main" id="{00000000-0008-0000-0400-00002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50" name="Text Box 3539">
          <a:extLst>
            <a:ext uri="{FF2B5EF4-FFF2-40B4-BE49-F238E27FC236}">
              <a16:creationId xmlns:a16="http://schemas.microsoft.com/office/drawing/2014/main" id="{00000000-0008-0000-0400-00002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51" name="Text Box 3540">
          <a:extLst>
            <a:ext uri="{FF2B5EF4-FFF2-40B4-BE49-F238E27FC236}">
              <a16:creationId xmlns:a16="http://schemas.microsoft.com/office/drawing/2014/main" id="{00000000-0008-0000-0400-00002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52" name="Text Box 3541">
          <a:extLst>
            <a:ext uri="{FF2B5EF4-FFF2-40B4-BE49-F238E27FC236}">
              <a16:creationId xmlns:a16="http://schemas.microsoft.com/office/drawing/2014/main" id="{00000000-0008-0000-0400-00002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53" name="Text Box 3542">
          <a:extLst>
            <a:ext uri="{FF2B5EF4-FFF2-40B4-BE49-F238E27FC236}">
              <a16:creationId xmlns:a16="http://schemas.microsoft.com/office/drawing/2014/main" id="{00000000-0008-0000-0400-00002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54" name="Text Box 3543">
          <a:extLst>
            <a:ext uri="{FF2B5EF4-FFF2-40B4-BE49-F238E27FC236}">
              <a16:creationId xmlns:a16="http://schemas.microsoft.com/office/drawing/2014/main" id="{00000000-0008-0000-0400-00002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55" name="Text Box 3544">
          <a:extLst>
            <a:ext uri="{FF2B5EF4-FFF2-40B4-BE49-F238E27FC236}">
              <a16:creationId xmlns:a16="http://schemas.microsoft.com/office/drawing/2014/main" id="{00000000-0008-0000-0400-00002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56" name="Text Box 3545">
          <a:extLst>
            <a:ext uri="{FF2B5EF4-FFF2-40B4-BE49-F238E27FC236}">
              <a16:creationId xmlns:a16="http://schemas.microsoft.com/office/drawing/2014/main" id="{00000000-0008-0000-0400-00002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57" name="Text Box 3546">
          <a:extLst>
            <a:ext uri="{FF2B5EF4-FFF2-40B4-BE49-F238E27FC236}">
              <a16:creationId xmlns:a16="http://schemas.microsoft.com/office/drawing/2014/main" id="{00000000-0008-0000-0400-00002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58" name="Text Box 3547">
          <a:extLst>
            <a:ext uri="{FF2B5EF4-FFF2-40B4-BE49-F238E27FC236}">
              <a16:creationId xmlns:a16="http://schemas.microsoft.com/office/drawing/2014/main" id="{00000000-0008-0000-0400-00002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59" name="Text Box 3548">
          <a:extLst>
            <a:ext uri="{FF2B5EF4-FFF2-40B4-BE49-F238E27FC236}">
              <a16:creationId xmlns:a16="http://schemas.microsoft.com/office/drawing/2014/main" id="{00000000-0008-0000-0400-00002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60" name="Text Box 3549">
          <a:extLst>
            <a:ext uri="{FF2B5EF4-FFF2-40B4-BE49-F238E27FC236}">
              <a16:creationId xmlns:a16="http://schemas.microsoft.com/office/drawing/2014/main" id="{00000000-0008-0000-0400-00003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61" name="Text Box 3550">
          <a:extLst>
            <a:ext uri="{FF2B5EF4-FFF2-40B4-BE49-F238E27FC236}">
              <a16:creationId xmlns:a16="http://schemas.microsoft.com/office/drawing/2014/main" id="{00000000-0008-0000-0400-00003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62" name="Text Box 3551">
          <a:extLst>
            <a:ext uri="{FF2B5EF4-FFF2-40B4-BE49-F238E27FC236}">
              <a16:creationId xmlns:a16="http://schemas.microsoft.com/office/drawing/2014/main" id="{00000000-0008-0000-0400-00003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63" name="Text Box 3552">
          <a:extLst>
            <a:ext uri="{FF2B5EF4-FFF2-40B4-BE49-F238E27FC236}">
              <a16:creationId xmlns:a16="http://schemas.microsoft.com/office/drawing/2014/main" id="{00000000-0008-0000-0400-00003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64" name="Text Box 3553">
          <a:extLst>
            <a:ext uri="{FF2B5EF4-FFF2-40B4-BE49-F238E27FC236}">
              <a16:creationId xmlns:a16="http://schemas.microsoft.com/office/drawing/2014/main" id="{00000000-0008-0000-0400-00003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65" name="Text Box 3554">
          <a:extLst>
            <a:ext uri="{FF2B5EF4-FFF2-40B4-BE49-F238E27FC236}">
              <a16:creationId xmlns:a16="http://schemas.microsoft.com/office/drawing/2014/main" id="{00000000-0008-0000-0400-00003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66" name="Text Box 3555">
          <a:extLst>
            <a:ext uri="{FF2B5EF4-FFF2-40B4-BE49-F238E27FC236}">
              <a16:creationId xmlns:a16="http://schemas.microsoft.com/office/drawing/2014/main" id="{00000000-0008-0000-0400-00003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67" name="Text Box 3556">
          <a:extLst>
            <a:ext uri="{FF2B5EF4-FFF2-40B4-BE49-F238E27FC236}">
              <a16:creationId xmlns:a16="http://schemas.microsoft.com/office/drawing/2014/main" id="{00000000-0008-0000-0400-00003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68" name="Text Box 3557">
          <a:extLst>
            <a:ext uri="{FF2B5EF4-FFF2-40B4-BE49-F238E27FC236}">
              <a16:creationId xmlns:a16="http://schemas.microsoft.com/office/drawing/2014/main" id="{00000000-0008-0000-0400-00003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69" name="Text Box 3558">
          <a:extLst>
            <a:ext uri="{FF2B5EF4-FFF2-40B4-BE49-F238E27FC236}">
              <a16:creationId xmlns:a16="http://schemas.microsoft.com/office/drawing/2014/main" id="{00000000-0008-0000-0400-00003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70" name="Text Box 3559">
          <a:extLst>
            <a:ext uri="{FF2B5EF4-FFF2-40B4-BE49-F238E27FC236}">
              <a16:creationId xmlns:a16="http://schemas.microsoft.com/office/drawing/2014/main" id="{00000000-0008-0000-0400-00003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71" name="Text Box 3560">
          <a:extLst>
            <a:ext uri="{FF2B5EF4-FFF2-40B4-BE49-F238E27FC236}">
              <a16:creationId xmlns:a16="http://schemas.microsoft.com/office/drawing/2014/main" id="{00000000-0008-0000-0400-00003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72" name="Text Box 3561">
          <a:extLst>
            <a:ext uri="{FF2B5EF4-FFF2-40B4-BE49-F238E27FC236}">
              <a16:creationId xmlns:a16="http://schemas.microsoft.com/office/drawing/2014/main" id="{00000000-0008-0000-0400-00003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73" name="Text Box 3562">
          <a:extLst>
            <a:ext uri="{FF2B5EF4-FFF2-40B4-BE49-F238E27FC236}">
              <a16:creationId xmlns:a16="http://schemas.microsoft.com/office/drawing/2014/main" id="{00000000-0008-0000-0400-00003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74" name="Text Box 3563">
          <a:extLst>
            <a:ext uri="{FF2B5EF4-FFF2-40B4-BE49-F238E27FC236}">
              <a16:creationId xmlns:a16="http://schemas.microsoft.com/office/drawing/2014/main" id="{00000000-0008-0000-0400-00003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75" name="Text Box 3564">
          <a:extLst>
            <a:ext uri="{FF2B5EF4-FFF2-40B4-BE49-F238E27FC236}">
              <a16:creationId xmlns:a16="http://schemas.microsoft.com/office/drawing/2014/main" id="{00000000-0008-0000-0400-00003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76" name="Text Box 3565">
          <a:extLst>
            <a:ext uri="{FF2B5EF4-FFF2-40B4-BE49-F238E27FC236}">
              <a16:creationId xmlns:a16="http://schemas.microsoft.com/office/drawing/2014/main" id="{00000000-0008-0000-0400-00004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77" name="Text Box 3566">
          <a:extLst>
            <a:ext uri="{FF2B5EF4-FFF2-40B4-BE49-F238E27FC236}">
              <a16:creationId xmlns:a16="http://schemas.microsoft.com/office/drawing/2014/main" id="{00000000-0008-0000-0400-00004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78" name="Text Box 3567">
          <a:extLst>
            <a:ext uri="{FF2B5EF4-FFF2-40B4-BE49-F238E27FC236}">
              <a16:creationId xmlns:a16="http://schemas.microsoft.com/office/drawing/2014/main" id="{00000000-0008-0000-0400-00004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79" name="Text Box 3568">
          <a:extLst>
            <a:ext uri="{FF2B5EF4-FFF2-40B4-BE49-F238E27FC236}">
              <a16:creationId xmlns:a16="http://schemas.microsoft.com/office/drawing/2014/main" id="{00000000-0008-0000-0400-00004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80" name="Text Box 3569">
          <a:extLst>
            <a:ext uri="{FF2B5EF4-FFF2-40B4-BE49-F238E27FC236}">
              <a16:creationId xmlns:a16="http://schemas.microsoft.com/office/drawing/2014/main" id="{00000000-0008-0000-0400-00004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81" name="Text Box 3570">
          <a:extLst>
            <a:ext uri="{FF2B5EF4-FFF2-40B4-BE49-F238E27FC236}">
              <a16:creationId xmlns:a16="http://schemas.microsoft.com/office/drawing/2014/main" id="{00000000-0008-0000-0400-00004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82" name="Text Box 3571">
          <a:extLst>
            <a:ext uri="{FF2B5EF4-FFF2-40B4-BE49-F238E27FC236}">
              <a16:creationId xmlns:a16="http://schemas.microsoft.com/office/drawing/2014/main" id="{00000000-0008-0000-0400-00004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83" name="Text Box 3572">
          <a:extLst>
            <a:ext uri="{FF2B5EF4-FFF2-40B4-BE49-F238E27FC236}">
              <a16:creationId xmlns:a16="http://schemas.microsoft.com/office/drawing/2014/main" id="{00000000-0008-0000-0400-00004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84" name="Text Box 3573">
          <a:extLst>
            <a:ext uri="{FF2B5EF4-FFF2-40B4-BE49-F238E27FC236}">
              <a16:creationId xmlns:a16="http://schemas.microsoft.com/office/drawing/2014/main" id="{00000000-0008-0000-0400-00004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85" name="Text Box 3574">
          <a:extLst>
            <a:ext uri="{FF2B5EF4-FFF2-40B4-BE49-F238E27FC236}">
              <a16:creationId xmlns:a16="http://schemas.microsoft.com/office/drawing/2014/main" id="{00000000-0008-0000-0400-00004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86" name="Text Box 3575">
          <a:extLst>
            <a:ext uri="{FF2B5EF4-FFF2-40B4-BE49-F238E27FC236}">
              <a16:creationId xmlns:a16="http://schemas.microsoft.com/office/drawing/2014/main" id="{00000000-0008-0000-0400-00004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87" name="Text Box 3576">
          <a:extLst>
            <a:ext uri="{FF2B5EF4-FFF2-40B4-BE49-F238E27FC236}">
              <a16:creationId xmlns:a16="http://schemas.microsoft.com/office/drawing/2014/main" id="{00000000-0008-0000-0400-00004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88" name="Text Box 3577">
          <a:extLst>
            <a:ext uri="{FF2B5EF4-FFF2-40B4-BE49-F238E27FC236}">
              <a16:creationId xmlns:a16="http://schemas.microsoft.com/office/drawing/2014/main" id="{00000000-0008-0000-0400-00004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89" name="Text Box 3578">
          <a:extLst>
            <a:ext uri="{FF2B5EF4-FFF2-40B4-BE49-F238E27FC236}">
              <a16:creationId xmlns:a16="http://schemas.microsoft.com/office/drawing/2014/main" id="{00000000-0008-0000-0400-00004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90" name="Text Box 3579">
          <a:extLst>
            <a:ext uri="{FF2B5EF4-FFF2-40B4-BE49-F238E27FC236}">
              <a16:creationId xmlns:a16="http://schemas.microsoft.com/office/drawing/2014/main" id="{00000000-0008-0000-0400-00004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91" name="Text Box 3580">
          <a:extLst>
            <a:ext uri="{FF2B5EF4-FFF2-40B4-BE49-F238E27FC236}">
              <a16:creationId xmlns:a16="http://schemas.microsoft.com/office/drawing/2014/main" id="{00000000-0008-0000-0400-00004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92" name="Text Box 3581">
          <a:extLst>
            <a:ext uri="{FF2B5EF4-FFF2-40B4-BE49-F238E27FC236}">
              <a16:creationId xmlns:a16="http://schemas.microsoft.com/office/drawing/2014/main" id="{00000000-0008-0000-0400-00005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93" name="Text Box 3582">
          <a:extLst>
            <a:ext uri="{FF2B5EF4-FFF2-40B4-BE49-F238E27FC236}">
              <a16:creationId xmlns:a16="http://schemas.microsoft.com/office/drawing/2014/main" id="{00000000-0008-0000-0400-00005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94" name="Text Box 3583">
          <a:extLst>
            <a:ext uri="{FF2B5EF4-FFF2-40B4-BE49-F238E27FC236}">
              <a16:creationId xmlns:a16="http://schemas.microsoft.com/office/drawing/2014/main" id="{00000000-0008-0000-0400-00005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95" name="Text Box 3584">
          <a:extLst>
            <a:ext uri="{FF2B5EF4-FFF2-40B4-BE49-F238E27FC236}">
              <a16:creationId xmlns:a16="http://schemas.microsoft.com/office/drawing/2014/main" id="{00000000-0008-0000-0400-00005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96" name="Text Box 3585">
          <a:extLst>
            <a:ext uri="{FF2B5EF4-FFF2-40B4-BE49-F238E27FC236}">
              <a16:creationId xmlns:a16="http://schemas.microsoft.com/office/drawing/2014/main" id="{00000000-0008-0000-0400-00005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97" name="Text Box 3586">
          <a:extLst>
            <a:ext uri="{FF2B5EF4-FFF2-40B4-BE49-F238E27FC236}">
              <a16:creationId xmlns:a16="http://schemas.microsoft.com/office/drawing/2014/main" id="{00000000-0008-0000-0400-00005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98" name="Text Box 3587">
          <a:extLst>
            <a:ext uri="{FF2B5EF4-FFF2-40B4-BE49-F238E27FC236}">
              <a16:creationId xmlns:a16="http://schemas.microsoft.com/office/drawing/2014/main" id="{00000000-0008-0000-0400-00005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799" name="Text Box 3588">
          <a:extLst>
            <a:ext uri="{FF2B5EF4-FFF2-40B4-BE49-F238E27FC236}">
              <a16:creationId xmlns:a16="http://schemas.microsoft.com/office/drawing/2014/main" id="{00000000-0008-0000-0400-00005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00" name="Text Box 3589">
          <a:extLst>
            <a:ext uri="{FF2B5EF4-FFF2-40B4-BE49-F238E27FC236}">
              <a16:creationId xmlns:a16="http://schemas.microsoft.com/office/drawing/2014/main" id="{00000000-0008-0000-0400-00005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01" name="Text Box 3590">
          <a:extLst>
            <a:ext uri="{FF2B5EF4-FFF2-40B4-BE49-F238E27FC236}">
              <a16:creationId xmlns:a16="http://schemas.microsoft.com/office/drawing/2014/main" id="{00000000-0008-0000-0400-00005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02" name="Text Box 3591">
          <a:extLst>
            <a:ext uri="{FF2B5EF4-FFF2-40B4-BE49-F238E27FC236}">
              <a16:creationId xmlns:a16="http://schemas.microsoft.com/office/drawing/2014/main" id="{00000000-0008-0000-0400-00005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03" name="Text Box 3592">
          <a:extLst>
            <a:ext uri="{FF2B5EF4-FFF2-40B4-BE49-F238E27FC236}">
              <a16:creationId xmlns:a16="http://schemas.microsoft.com/office/drawing/2014/main" id="{00000000-0008-0000-0400-00005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04" name="Text Box 3593">
          <a:extLst>
            <a:ext uri="{FF2B5EF4-FFF2-40B4-BE49-F238E27FC236}">
              <a16:creationId xmlns:a16="http://schemas.microsoft.com/office/drawing/2014/main" id="{00000000-0008-0000-0400-00005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05" name="Text Box 3594">
          <a:extLst>
            <a:ext uri="{FF2B5EF4-FFF2-40B4-BE49-F238E27FC236}">
              <a16:creationId xmlns:a16="http://schemas.microsoft.com/office/drawing/2014/main" id="{00000000-0008-0000-0400-00005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06" name="Text Box 3595">
          <a:extLst>
            <a:ext uri="{FF2B5EF4-FFF2-40B4-BE49-F238E27FC236}">
              <a16:creationId xmlns:a16="http://schemas.microsoft.com/office/drawing/2014/main" id="{00000000-0008-0000-0400-00005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07" name="Text Box 3596">
          <a:extLst>
            <a:ext uri="{FF2B5EF4-FFF2-40B4-BE49-F238E27FC236}">
              <a16:creationId xmlns:a16="http://schemas.microsoft.com/office/drawing/2014/main" id="{00000000-0008-0000-0400-00005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08" name="Text Box 3597">
          <a:extLst>
            <a:ext uri="{FF2B5EF4-FFF2-40B4-BE49-F238E27FC236}">
              <a16:creationId xmlns:a16="http://schemas.microsoft.com/office/drawing/2014/main" id="{00000000-0008-0000-0400-00006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09" name="Text Box 3598">
          <a:extLst>
            <a:ext uri="{FF2B5EF4-FFF2-40B4-BE49-F238E27FC236}">
              <a16:creationId xmlns:a16="http://schemas.microsoft.com/office/drawing/2014/main" id="{00000000-0008-0000-0400-00006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10" name="Text Box 3599">
          <a:extLst>
            <a:ext uri="{FF2B5EF4-FFF2-40B4-BE49-F238E27FC236}">
              <a16:creationId xmlns:a16="http://schemas.microsoft.com/office/drawing/2014/main" id="{00000000-0008-0000-0400-00006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11" name="Text Box 3600">
          <a:extLst>
            <a:ext uri="{FF2B5EF4-FFF2-40B4-BE49-F238E27FC236}">
              <a16:creationId xmlns:a16="http://schemas.microsoft.com/office/drawing/2014/main" id="{00000000-0008-0000-0400-00006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12" name="Text Box 3601">
          <a:extLst>
            <a:ext uri="{FF2B5EF4-FFF2-40B4-BE49-F238E27FC236}">
              <a16:creationId xmlns:a16="http://schemas.microsoft.com/office/drawing/2014/main" id="{00000000-0008-0000-0400-00006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13" name="Text Box 3602">
          <a:extLst>
            <a:ext uri="{FF2B5EF4-FFF2-40B4-BE49-F238E27FC236}">
              <a16:creationId xmlns:a16="http://schemas.microsoft.com/office/drawing/2014/main" id="{00000000-0008-0000-0400-00006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14" name="Text Box 3603">
          <a:extLst>
            <a:ext uri="{FF2B5EF4-FFF2-40B4-BE49-F238E27FC236}">
              <a16:creationId xmlns:a16="http://schemas.microsoft.com/office/drawing/2014/main" id="{00000000-0008-0000-0400-00006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15" name="Text Box 3604">
          <a:extLst>
            <a:ext uri="{FF2B5EF4-FFF2-40B4-BE49-F238E27FC236}">
              <a16:creationId xmlns:a16="http://schemas.microsoft.com/office/drawing/2014/main" id="{00000000-0008-0000-0400-00006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16" name="Text Box 3605">
          <a:extLst>
            <a:ext uri="{FF2B5EF4-FFF2-40B4-BE49-F238E27FC236}">
              <a16:creationId xmlns:a16="http://schemas.microsoft.com/office/drawing/2014/main" id="{00000000-0008-0000-0400-00006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17" name="Text Box 3606">
          <a:extLst>
            <a:ext uri="{FF2B5EF4-FFF2-40B4-BE49-F238E27FC236}">
              <a16:creationId xmlns:a16="http://schemas.microsoft.com/office/drawing/2014/main" id="{00000000-0008-0000-0400-00006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18" name="Text Box 3607">
          <a:extLst>
            <a:ext uri="{FF2B5EF4-FFF2-40B4-BE49-F238E27FC236}">
              <a16:creationId xmlns:a16="http://schemas.microsoft.com/office/drawing/2014/main" id="{00000000-0008-0000-0400-00006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19" name="Text Box 3608">
          <a:extLst>
            <a:ext uri="{FF2B5EF4-FFF2-40B4-BE49-F238E27FC236}">
              <a16:creationId xmlns:a16="http://schemas.microsoft.com/office/drawing/2014/main" id="{00000000-0008-0000-0400-00006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20" name="Text Box 3609">
          <a:extLst>
            <a:ext uri="{FF2B5EF4-FFF2-40B4-BE49-F238E27FC236}">
              <a16:creationId xmlns:a16="http://schemas.microsoft.com/office/drawing/2014/main" id="{00000000-0008-0000-0400-00006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21" name="Text Box 3610">
          <a:extLst>
            <a:ext uri="{FF2B5EF4-FFF2-40B4-BE49-F238E27FC236}">
              <a16:creationId xmlns:a16="http://schemas.microsoft.com/office/drawing/2014/main" id="{00000000-0008-0000-0400-00006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22" name="Text Box 3611">
          <a:extLst>
            <a:ext uri="{FF2B5EF4-FFF2-40B4-BE49-F238E27FC236}">
              <a16:creationId xmlns:a16="http://schemas.microsoft.com/office/drawing/2014/main" id="{00000000-0008-0000-0400-00006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23" name="Text Box 3612">
          <a:extLst>
            <a:ext uri="{FF2B5EF4-FFF2-40B4-BE49-F238E27FC236}">
              <a16:creationId xmlns:a16="http://schemas.microsoft.com/office/drawing/2014/main" id="{00000000-0008-0000-0400-00006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24" name="Text Box 3613">
          <a:extLst>
            <a:ext uri="{FF2B5EF4-FFF2-40B4-BE49-F238E27FC236}">
              <a16:creationId xmlns:a16="http://schemas.microsoft.com/office/drawing/2014/main" id="{00000000-0008-0000-0400-00007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25" name="Text Box 3614">
          <a:extLst>
            <a:ext uri="{FF2B5EF4-FFF2-40B4-BE49-F238E27FC236}">
              <a16:creationId xmlns:a16="http://schemas.microsoft.com/office/drawing/2014/main" id="{00000000-0008-0000-0400-00007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26" name="Text Box 3615">
          <a:extLst>
            <a:ext uri="{FF2B5EF4-FFF2-40B4-BE49-F238E27FC236}">
              <a16:creationId xmlns:a16="http://schemas.microsoft.com/office/drawing/2014/main" id="{00000000-0008-0000-0400-00007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27" name="Text Box 3616">
          <a:extLst>
            <a:ext uri="{FF2B5EF4-FFF2-40B4-BE49-F238E27FC236}">
              <a16:creationId xmlns:a16="http://schemas.microsoft.com/office/drawing/2014/main" id="{00000000-0008-0000-0400-00007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28" name="Text Box 3617">
          <a:extLst>
            <a:ext uri="{FF2B5EF4-FFF2-40B4-BE49-F238E27FC236}">
              <a16:creationId xmlns:a16="http://schemas.microsoft.com/office/drawing/2014/main" id="{00000000-0008-0000-0400-00007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29" name="Text Box 3618">
          <a:extLst>
            <a:ext uri="{FF2B5EF4-FFF2-40B4-BE49-F238E27FC236}">
              <a16:creationId xmlns:a16="http://schemas.microsoft.com/office/drawing/2014/main" id="{00000000-0008-0000-0400-00007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30" name="Text Box 3619">
          <a:extLst>
            <a:ext uri="{FF2B5EF4-FFF2-40B4-BE49-F238E27FC236}">
              <a16:creationId xmlns:a16="http://schemas.microsoft.com/office/drawing/2014/main" id="{00000000-0008-0000-0400-00007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31" name="Text Box 3620">
          <a:extLst>
            <a:ext uri="{FF2B5EF4-FFF2-40B4-BE49-F238E27FC236}">
              <a16:creationId xmlns:a16="http://schemas.microsoft.com/office/drawing/2014/main" id="{00000000-0008-0000-0400-00007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32" name="Text Box 3621">
          <a:extLst>
            <a:ext uri="{FF2B5EF4-FFF2-40B4-BE49-F238E27FC236}">
              <a16:creationId xmlns:a16="http://schemas.microsoft.com/office/drawing/2014/main" id="{00000000-0008-0000-0400-00007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33" name="Text Box 3622">
          <a:extLst>
            <a:ext uri="{FF2B5EF4-FFF2-40B4-BE49-F238E27FC236}">
              <a16:creationId xmlns:a16="http://schemas.microsoft.com/office/drawing/2014/main" id="{00000000-0008-0000-0400-00007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34" name="Text Box 3623">
          <a:extLst>
            <a:ext uri="{FF2B5EF4-FFF2-40B4-BE49-F238E27FC236}">
              <a16:creationId xmlns:a16="http://schemas.microsoft.com/office/drawing/2014/main" id="{00000000-0008-0000-0400-00007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35" name="Text Box 3624">
          <a:extLst>
            <a:ext uri="{FF2B5EF4-FFF2-40B4-BE49-F238E27FC236}">
              <a16:creationId xmlns:a16="http://schemas.microsoft.com/office/drawing/2014/main" id="{00000000-0008-0000-0400-00007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36" name="Text Box 3625">
          <a:extLst>
            <a:ext uri="{FF2B5EF4-FFF2-40B4-BE49-F238E27FC236}">
              <a16:creationId xmlns:a16="http://schemas.microsoft.com/office/drawing/2014/main" id="{00000000-0008-0000-0400-00007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37" name="Text Box 3626">
          <a:extLst>
            <a:ext uri="{FF2B5EF4-FFF2-40B4-BE49-F238E27FC236}">
              <a16:creationId xmlns:a16="http://schemas.microsoft.com/office/drawing/2014/main" id="{00000000-0008-0000-0400-00007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38" name="Text Box 3627">
          <a:extLst>
            <a:ext uri="{FF2B5EF4-FFF2-40B4-BE49-F238E27FC236}">
              <a16:creationId xmlns:a16="http://schemas.microsoft.com/office/drawing/2014/main" id="{00000000-0008-0000-0400-00007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39" name="Text Box 3628">
          <a:extLst>
            <a:ext uri="{FF2B5EF4-FFF2-40B4-BE49-F238E27FC236}">
              <a16:creationId xmlns:a16="http://schemas.microsoft.com/office/drawing/2014/main" id="{00000000-0008-0000-0400-00007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40" name="Text Box 3629">
          <a:extLst>
            <a:ext uri="{FF2B5EF4-FFF2-40B4-BE49-F238E27FC236}">
              <a16:creationId xmlns:a16="http://schemas.microsoft.com/office/drawing/2014/main" id="{00000000-0008-0000-0400-00008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41" name="Text Box 3630">
          <a:extLst>
            <a:ext uri="{FF2B5EF4-FFF2-40B4-BE49-F238E27FC236}">
              <a16:creationId xmlns:a16="http://schemas.microsoft.com/office/drawing/2014/main" id="{00000000-0008-0000-0400-00008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42" name="Text Box 3631">
          <a:extLst>
            <a:ext uri="{FF2B5EF4-FFF2-40B4-BE49-F238E27FC236}">
              <a16:creationId xmlns:a16="http://schemas.microsoft.com/office/drawing/2014/main" id="{00000000-0008-0000-0400-00008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43" name="Text Box 3632">
          <a:extLst>
            <a:ext uri="{FF2B5EF4-FFF2-40B4-BE49-F238E27FC236}">
              <a16:creationId xmlns:a16="http://schemas.microsoft.com/office/drawing/2014/main" id="{00000000-0008-0000-0400-00008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44" name="Text Box 3633">
          <a:extLst>
            <a:ext uri="{FF2B5EF4-FFF2-40B4-BE49-F238E27FC236}">
              <a16:creationId xmlns:a16="http://schemas.microsoft.com/office/drawing/2014/main" id="{00000000-0008-0000-0400-00008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45" name="Text Box 3634">
          <a:extLst>
            <a:ext uri="{FF2B5EF4-FFF2-40B4-BE49-F238E27FC236}">
              <a16:creationId xmlns:a16="http://schemas.microsoft.com/office/drawing/2014/main" id="{00000000-0008-0000-0400-00008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46" name="Text Box 3635">
          <a:extLst>
            <a:ext uri="{FF2B5EF4-FFF2-40B4-BE49-F238E27FC236}">
              <a16:creationId xmlns:a16="http://schemas.microsoft.com/office/drawing/2014/main" id="{00000000-0008-0000-0400-00008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47" name="Text Box 3636">
          <a:extLst>
            <a:ext uri="{FF2B5EF4-FFF2-40B4-BE49-F238E27FC236}">
              <a16:creationId xmlns:a16="http://schemas.microsoft.com/office/drawing/2014/main" id="{00000000-0008-0000-0400-00008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48" name="Text Box 3637">
          <a:extLst>
            <a:ext uri="{FF2B5EF4-FFF2-40B4-BE49-F238E27FC236}">
              <a16:creationId xmlns:a16="http://schemas.microsoft.com/office/drawing/2014/main" id="{00000000-0008-0000-0400-00008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49" name="Text Box 3638">
          <a:extLst>
            <a:ext uri="{FF2B5EF4-FFF2-40B4-BE49-F238E27FC236}">
              <a16:creationId xmlns:a16="http://schemas.microsoft.com/office/drawing/2014/main" id="{00000000-0008-0000-0400-00008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50" name="Text Box 3639">
          <a:extLst>
            <a:ext uri="{FF2B5EF4-FFF2-40B4-BE49-F238E27FC236}">
              <a16:creationId xmlns:a16="http://schemas.microsoft.com/office/drawing/2014/main" id="{00000000-0008-0000-0400-00008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51" name="Text Box 3640">
          <a:extLst>
            <a:ext uri="{FF2B5EF4-FFF2-40B4-BE49-F238E27FC236}">
              <a16:creationId xmlns:a16="http://schemas.microsoft.com/office/drawing/2014/main" id="{00000000-0008-0000-0400-00008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52" name="Text Box 3641">
          <a:extLst>
            <a:ext uri="{FF2B5EF4-FFF2-40B4-BE49-F238E27FC236}">
              <a16:creationId xmlns:a16="http://schemas.microsoft.com/office/drawing/2014/main" id="{00000000-0008-0000-0400-00008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53" name="Text Box 3642">
          <a:extLst>
            <a:ext uri="{FF2B5EF4-FFF2-40B4-BE49-F238E27FC236}">
              <a16:creationId xmlns:a16="http://schemas.microsoft.com/office/drawing/2014/main" id="{00000000-0008-0000-0400-00008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54" name="Text Box 3643">
          <a:extLst>
            <a:ext uri="{FF2B5EF4-FFF2-40B4-BE49-F238E27FC236}">
              <a16:creationId xmlns:a16="http://schemas.microsoft.com/office/drawing/2014/main" id="{00000000-0008-0000-0400-00008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55" name="Text Box 3644">
          <a:extLst>
            <a:ext uri="{FF2B5EF4-FFF2-40B4-BE49-F238E27FC236}">
              <a16:creationId xmlns:a16="http://schemas.microsoft.com/office/drawing/2014/main" id="{00000000-0008-0000-0400-00008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56" name="Text Box 3645">
          <a:extLst>
            <a:ext uri="{FF2B5EF4-FFF2-40B4-BE49-F238E27FC236}">
              <a16:creationId xmlns:a16="http://schemas.microsoft.com/office/drawing/2014/main" id="{00000000-0008-0000-0400-00009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57" name="Text Box 3646">
          <a:extLst>
            <a:ext uri="{FF2B5EF4-FFF2-40B4-BE49-F238E27FC236}">
              <a16:creationId xmlns:a16="http://schemas.microsoft.com/office/drawing/2014/main" id="{00000000-0008-0000-0400-00009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58" name="Text Box 3647">
          <a:extLst>
            <a:ext uri="{FF2B5EF4-FFF2-40B4-BE49-F238E27FC236}">
              <a16:creationId xmlns:a16="http://schemas.microsoft.com/office/drawing/2014/main" id="{00000000-0008-0000-0400-00009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59" name="Text Box 3648">
          <a:extLst>
            <a:ext uri="{FF2B5EF4-FFF2-40B4-BE49-F238E27FC236}">
              <a16:creationId xmlns:a16="http://schemas.microsoft.com/office/drawing/2014/main" id="{00000000-0008-0000-0400-00009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60" name="Text Box 3649">
          <a:extLst>
            <a:ext uri="{FF2B5EF4-FFF2-40B4-BE49-F238E27FC236}">
              <a16:creationId xmlns:a16="http://schemas.microsoft.com/office/drawing/2014/main" id="{00000000-0008-0000-0400-00009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61" name="Text Box 3650">
          <a:extLst>
            <a:ext uri="{FF2B5EF4-FFF2-40B4-BE49-F238E27FC236}">
              <a16:creationId xmlns:a16="http://schemas.microsoft.com/office/drawing/2014/main" id="{00000000-0008-0000-0400-00009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62" name="Text Box 3651">
          <a:extLst>
            <a:ext uri="{FF2B5EF4-FFF2-40B4-BE49-F238E27FC236}">
              <a16:creationId xmlns:a16="http://schemas.microsoft.com/office/drawing/2014/main" id="{00000000-0008-0000-0400-00009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63" name="Text Box 3652">
          <a:extLst>
            <a:ext uri="{FF2B5EF4-FFF2-40B4-BE49-F238E27FC236}">
              <a16:creationId xmlns:a16="http://schemas.microsoft.com/office/drawing/2014/main" id="{00000000-0008-0000-0400-00009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64" name="Text Box 3653">
          <a:extLst>
            <a:ext uri="{FF2B5EF4-FFF2-40B4-BE49-F238E27FC236}">
              <a16:creationId xmlns:a16="http://schemas.microsoft.com/office/drawing/2014/main" id="{00000000-0008-0000-0400-00009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65" name="Text Box 3654">
          <a:extLst>
            <a:ext uri="{FF2B5EF4-FFF2-40B4-BE49-F238E27FC236}">
              <a16:creationId xmlns:a16="http://schemas.microsoft.com/office/drawing/2014/main" id="{00000000-0008-0000-0400-00009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66" name="Text Box 3655">
          <a:extLst>
            <a:ext uri="{FF2B5EF4-FFF2-40B4-BE49-F238E27FC236}">
              <a16:creationId xmlns:a16="http://schemas.microsoft.com/office/drawing/2014/main" id="{00000000-0008-0000-0400-00009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67" name="Text Box 3656">
          <a:extLst>
            <a:ext uri="{FF2B5EF4-FFF2-40B4-BE49-F238E27FC236}">
              <a16:creationId xmlns:a16="http://schemas.microsoft.com/office/drawing/2014/main" id="{00000000-0008-0000-0400-00009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68" name="Text Box 3657">
          <a:extLst>
            <a:ext uri="{FF2B5EF4-FFF2-40B4-BE49-F238E27FC236}">
              <a16:creationId xmlns:a16="http://schemas.microsoft.com/office/drawing/2014/main" id="{00000000-0008-0000-0400-00009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69" name="Text Box 3658">
          <a:extLst>
            <a:ext uri="{FF2B5EF4-FFF2-40B4-BE49-F238E27FC236}">
              <a16:creationId xmlns:a16="http://schemas.microsoft.com/office/drawing/2014/main" id="{00000000-0008-0000-0400-00009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70" name="Text Box 3659">
          <a:extLst>
            <a:ext uri="{FF2B5EF4-FFF2-40B4-BE49-F238E27FC236}">
              <a16:creationId xmlns:a16="http://schemas.microsoft.com/office/drawing/2014/main" id="{00000000-0008-0000-0400-00009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71" name="Text Box 3660">
          <a:extLst>
            <a:ext uri="{FF2B5EF4-FFF2-40B4-BE49-F238E27FC236}">
              <a16:creationId xmlns:a16="http://schemas.microsoft.com/office/drawing/2014/main" id="{00000000-0008-0000-0400-00009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72" name="Text Box 3661">
          <a:extLst>
            <a:ext uri="{FF2B5EF4-FFF2-40B4-BE49-F238E27FC236}">
              <a16:creationId xmlns:a16="http://schemas.microsoft.com/office/drawing/2014/main" id="{00000000-0008-0000-0400-0000A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73" name="Text Box 3662">
          <a:extLst>
            <a:ext uri="{FF2B5EF4-FFF2-40B4-BE49-F238E27FC236}">
              <a16:creationId xmlns:a16="http://schemas.microsoft.com/office/drawing/2014/main" id="{00000000-0008-0000-0400-0000A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74" name="Text Box 3663">
          <a:extLst>
            <a:ext uri="{FF2B5EF4-FFF2-40B4-BE49-F238E27FC236}">
              <a16:creationId xmlns:a16="http://schemas.microsoft.com/office/drawing/2014/main" id="{00000000-0008-0000-0400-0000A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75" name="Text Box 3664">
          <a:extLst>
            <a:ext uri="{FF2B5EF4-FFF2-40B4-BE49-F238E27FC236}">
              <a16:creationId xmlns:a16="http://schemas.microsoft.com/office/drawing/2014/main" id="{00000000-0008-0000-0400-0000A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76" name="Text Box 3665">
          <a:extLst>
            <a:ext uri="{FF2B5EF4-FFF2-40B4-BE49-F238E27FC236}">
              <a16:creationId xmlns:a16="http://schemas.microsoft.com/office/drawing/2014/main" id="{00000000-0008-0000-0400-0000A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77" name="Text Box 3666">
          <a:extLst>
            <a:ext uri="{FF2B5EF4-FFF2-40B4-BE49-F238E27FC236}">
              <a16:creationId xmlns:a16="http://schemas.microsoft.com/office/drawing/2014/main" id="{00000000-0008-0000-0400-0000A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78" name="Text Box 3667">
          <a:extLst>
            <a:ext uri="{FF2B5EF4-FFF2-40B4-BE49-F238E27FC236}">
              <a16:creationId xmlns:a16="http://schemas.microsoft.com/office/drawing/2014/main" id="{00000000-0008-0000-0400-0000A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79" name="Text Box 3668">
          <a:extLst>
            <a:ext uri="{FF2B5EF4-FFF2-40B4-BE49-F238E27FC236}">
              <a16:creationId xmlns:a16="http://schemas.microsoft.com/office/drawing/2014/main" id="{00000000-0008-0000-0400-0000A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80" name="Text Box 3669">
          <a:extLst>
            <a:ext uri="{FF2B5EF4-FFF2-40B4-BE49-F238E27FC236}">
              <a16:creationId xmlns:a16="http://schemas.microsoft.com/office/drawing/2014/main" id="{00000000-0008-0000-0400-0000A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81" name="Text Box 3670">
          <a:extLst>
            <a:ext uri="{FF2B5EF4-FFF2-40B4-BE49-F238E27FC236}">
              <a16:creationId xmlns:a16="http://schemas.microsoft.com/office/drawing/2014/main" id="{00000000-0008-0000-0400-0000A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82" name="Text Box 3671">
          <a:extLst>
            <a:ext uri="{FF2B5EF4-FFF2-40B4-BE49-F238E27FC236}">
              <a16:creationId xmlns:a16="http://schemas.microsoft.com/office/drawing/2014/main" id="{00000000-0008-0000-0400-0000A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83" name="Text Box 3672">
          <a:extLst>
            <a:ext uri="{FF2B5EF4-FFF2-40B4-BE49-F238E27FC236}">
              <a16:creationId xmlns:a16="http://schemas.microsoft.com/office/drawing/2014/main" id="{00000000-0008-0000-0400-0000A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84" name="Text Box 3673">
          <a:extLst>
            <a:ext uri="{FF2B5EF4-FFF2-40B4-BE49-F238E27FC236}">
              <a16:creationId xmlns:a16="http://schemas.microsoft.com/office/drawing/2014/main" id="{00000000-0008-0000-0400-0000A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85" name="Text Box 3674">
          <a:extLst>
            <a:ext uri="{FF2B5EF4-FFF2-40B4-BE49-F238E27FC236}">
              <a16:creationId xmlns:a16="http://schemas.microsoft.com/office/drawing/2014/main" id="{00000000-0008-0000-0400-0000A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86" name="Text Box 3675">
          <a:extLst>
            <a:ext uri="{FF2B5EF4-FFF2-40B4-BE49-F238E27FC236}">
              <a16:creationId xmlns:a16="http://schemas.microsoft.com/office/drawing/2014/main" id="{00000000-0008-0000-0400-0000A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87" name="Text Box 3676">
          <a:extLst>
            <a:ext uri="{FF2B5EF4-FFF2-40B4-BE49-F238E27FC236}">
              <a16:creationId xmlns:a16="http://schemas.microsoft.com/office/drawing/2014/main" id="{00000000-0008-0000-0400-0000A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88" name="Text Box 3677">
          <a:extLst>
            <a:ext uri="{FF2B5EF4-FFF2-40B4-BE49-F238E27FC236}">
              <a16:creationId xmlns:a16="http://schemas.microsoft.com/office/drawing/2014/main" id="{00000000-0008-0000-0400-0000B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89" name="Text Box 3678">
          <a:extLst>
            <a:ext uri="{FF2B5EF4-FFF2-40B4-BE49-F238E27FC236}">
              <a16:creationId xmlns:a16="http://schemas.microsoft.com/office/drawing/2014/main" id="{00000000-0008-0000-0400-0000B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90" name="Text Box 3679">
          <a:extLst>
            <a:ext uri="{FF2B5EF4-FFF2-40B4-BE49-F238E27FC236}">
              <a16:creationId xmlns:a16="http://schemas.microsoft.com/office/drawing/2014/main" id="{00000000-0008-0000-0400-0000B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91" name="Text Box 3680">
          <a:extLst>
            <a:ext uri="{FF2B5EF4-FFF2-40B4-BE49-F238E27FC236}">
              <a16:creationId xmlns:a16="http://schemas.microsoft.com/office/drawing/2014/main" id="{00000000-0008-0000-0400-0000B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92" name="Text Box 3681">
          <a:extLst>
            <a:ext uri="{FF2B5EF4-FFF2-40B4-BE49-F238E27FC236}">
              <a16:creationId xmlns:a16="http://schemas.microsoft.com/office/drawing/2014/main" id="{00000000-0008-0000-0400-0000B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93" name="Text Box 3682">
          <a:extLst>
            <a:ext uri="{FF2B5EF4-FFF2-40B4-BE49-F238E27FC236}">
              <a16:creationId xmlns:a16="http://schemas.microsoft.com/office/drawing/2014/main" id="{00000000-0008-0000-0400-0000B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94" name="Text Box 3683">
          <a:extLst>
            <a:ext uri="{FF2B5EF4-FFF2-40B4-BE49-F238E27FC236}">
              <a16:creationId xmlns:a16="http://schemas.microsoft.com/office/drawing/2014/main" id="{00000000-0008-0000-0400-0000B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95" name="Text Box 3684">
          <a:extLst>
            <a:ext uri="{FF2B5EF4-FFF2-40B4-BE49-F238E27FC236}">
              <a16:creationId xmlns:a16="http://schemas.microsoft.com/office/drawing/2014/main" id="{00000000-0008-0000-0400-0000B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96" name="Text Box 3685">
          <a:extLst>
            <a:ext uri="{FF2B5EF4-FFF2-40B4-BE49-F238E27FC236}">
              <a16:creationId xmlns:a16="http://schemas.microsoft.com/office/drawing/2014/main" id="{00000000-0008-0000-0400-0000B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97" name="Text Box 3686">
          <a:extLst>
            <a:ext uri="{FF2B5EF4-FFF2-40B4-BE49-F238E27FC236}">
              <a16:creationId xmlns:a16="http://schemas.microsoft.com/office/drawing/2014/main" id="{00000000-0008-0000-0400-0000B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98" name="Text Box 3687">
          <a:extLst>
            <a:ext uri="{FF2B5EF4-FFF2-40B4-BE49-F238E27FC236}">
              <a16:creationId xmlns:a16="http://schemas.microsoft.com/office/drawing/2014/main" id="{00000000-0008-0000-0400-0000B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899" name="Text Box 3688">
          <a:extLst>
            <a:ext uri="{FF2B5EF4-FFF2-40B4-BE49-F238E27FC236}">
              <a16:creationId xmlns:a16="http://schemas.microsoft.com/office/drawing/2014/main" id="{00000000-0008-0000-0400-0000B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00" name="Text Box 3689">
          <a:extLst>
            <a:ext uri="{FF2B5EF4-FFF2-40B4-BE49-F238E27FC236}">
              <a16:creationId xmlns:a16="http://schemas.microsoft.com/office/drawing/2014/main" id="{00000000-0008-0000-0400-0000B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01" name="Text Box 3690">
          <a:extLst>
            <a:ext uri="{FF2B5EF4-FFF2-40B4-BE49-F238E27FC236}">
              <a16:creationId xmlns:a16="http://schemas.microsoft.com/office/drawing/2014/main" id="{00000000-0008-0000-0400-0000B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02" name="Text Box 3691">
          <a:extLst>
            <a:ext uri="{FF2B5EF4-FFF2-40B4-BE49-F238E27FC236}">
              <a16:creationId xmlns:a16="http://schemas.microsoft.com/office/drawing/2014/main" id="{00000000-0008-0000-0400-0000B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03" name="Text Box 3692">
          <a:extLst>
            <a:ext uri="{FF2B5EF4-FFF2-40B4-BE49-F238E27FC236}">
              <a16:creationId xmlns:a16="http://schemas.microsoft.com/office/drawing/2014/main" id="{00000000-0008-0000-0400-0000B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04" name="Text Box 3693">
          <a:extLst>
            <a:ext uri="{FF2B5EF4-FFF2-40B4-BE49-F238E27FC236}">
              <a16:creationId xmlns:a16="http://schemas.microsoft.com/office/drawing/2014/main" id="{00000000-0008-0000-0400-0000C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05" name="Text Box 3694">
          <a:extLst>
            <a:ext uri="{FF2B5EF4-FFF2-40B4-BE49-F238E27FC236}">
              <a16:creationId xmlns:a16="http://schemas.microsoft.com/office/drawing/2014/main" id="{00000000-0008-0000-0400-0000C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06" name="Text Box 3695">
          <a:extLst>
            <a:ext uri="{FF2B5EF4-FFF2-40B4-BE49-F238E27FC236}">
              <a16:creationId xmlns:a16="http://schemas.microsoft.com/office/drawing/2014/main" id="{00000000-0008-0000-0400-0000C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07" name="Text Box 3696">
          <a:extLst>
            <a:ext uri="{FF2B5EF4-FFF2-40B4-BE49-F238E27FC236}">
              <a16:creationId xmlns:a16="http://schemas.microsoft.com/office/drawing/2014/main" id="{00000000-0008-0000-0400-0000C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08" name="Text Box 3697">
          <a:extLst>
            <a:ext uri="{FF2B5EF4-FFF2-40B4-BE49-F238E27FC236}">
              <a16:creationId xmlns:a16="http://schemas.microsoft.com/office/drawing/2014/main" id="{00000000-0008-0000-0400-0000C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09" name="Text Box 3698">
          <a:extLst>
            <a:ext uri="{FF2B5EF4-FFF2-40B4-BE49-F238E27FC236}">
              <a16:creationId xmlns:a16="http://schemas.microsoft.com/office/drawing/2014/main" id="{00000000-0008-0000-0400-0000C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10" name="Text Box 3699">
          <a:extLst>
            <a:ext uri="{FF2B5EF4-FFF2-40B4-BE49-F238E27FC236}">
              <a16:creationId xmlns:a16="http://schemas.microsoft.com/office/drawing/2014/main" id="{00000000-0008-0000-0400-0000C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11" name="Text Box 3700">
          <a:extLst>
            <a:ext uri="{FF2B5EF4-FFF2-40B4-BE49-F238E27FC236}">
              <a16:creationId xmlns:a16="http://schemas.microsoft.com/office/drawing/2014/main" id="{00000000-0008-0000-0400-0000C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12" name="Text Box 3701">
          <a:extLst>
            <a:ext uri="{FF2B5EF4-FFF2-40B4-BE49-F238E27FC236}">
              <a16:creationId xmlns:a16="http://schemas.microsoft.com/office/drawing/2014/main" id="{00000000-0008-0000-0400-0000C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13" name="Text Box 3702">
          <a:extLst>
            <a:ext uri="{FF2B5EF4-FFF2-40B4-BE49-F238E27FC236}">
              <a16:creationId xmlns:a16="http://schemas.microsoft.com/office/drawing/2014/main" id="{00000000-0008-0000-0400-0000C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14" name="Text Box 3703">
          <a:extLst>
            <a:ext uri="{FF2B5EF4-FFF2-40B4-BE49-F238E27FC236}">
              <a16:creationId xmlns:a16="http://schemas.microsoft.com/office/drawing/2014/main" id="{00000000-0008-0000-0400-0000C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15" name="Text Box 3704">
          <a:extLst>
            <a:ext uri="{FF2B5EF4-FFF2-40B4-BE49-F238E27FC236}">
              <a16:creationId xmlns:a16="http://schemas.microsoft.com/office/drawing/2014/main" id="{00000000-0008-0000-0400-0000C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16" name="Text Box 3705">
          <a:extLst>
            <a:ext uri="{FF2B5EF4-FFF2-40B4-BE49-F238E27FC236}">
              <a16:creationId xmlns:a16="http://schemas.microsoft.com/office/drawing/2014/main" id="{00000000-0008-0000-0400-0000C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17" name="Text Box 3706">
          <a:extLst>
            <a:ext uri="{FF2B5EF4-FFF2-40B4-BE49-F238E27FC236}">
              <a16:creationId xmlns:a16="http://schemas.microsoft.com/office/drawing/2014/main" id="{00000000-0008-0000-0400-0000C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18" name="Text Box 3707">
          <a:extLst>
            <a:ext uri="{FF2B5EF4-FFF2-40B4-BE49-F238E27FC236}">
              <a16:creationId xmlns:a16="http://schemas.microsoft.com/office/drawing/2014/main" id="{00000000-0008-0000-0400-0000C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19" name="Text Box 3708">
          <a:extLst>
            <a:ext uri="{FF2B5EF4-FFF2-40B4-BE49-F238E27FC236}">
              <a16:creationId xmlns:a16="http://schemas.microsoft.com/office/drawing/2014/main" id="{00000000-0008-0000-0400-0000C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20" name="Text Box 3709">
          <a:extLst>
            <a:ext uri="{FF2B5EF4-FFF2-40B4-BE49-F238E27FC236}">
              <a16:creationId xmlns:a16="http://schemas.microsoft.com/office/drawing/2014/main" id="{00000000-0008-0000-0400-0000D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21" name="Text Box 3710">
          <a:extLst>
            <a:ext uri="{FF2B5EF4-FFF2-40B4-BE49-F238E27FC236}">
              <a16:creationId xmlns:a16="http://schemas.microsoft.com/office/drawing/2014/main" id="{00000000-0008-0000-0400-0000D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22" name="Text Box 3711">
          <a:extLst>
            <a:ext uri="{FF2B5EF4-FFF2-40B4-BE49-F238E27FC236}">
              <a16:creationId xmlns:a16="http://schemas.microsoft.com/office/drawing/2014/main" id="{00000000-0008-0000-0400-0000D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23" name="Text Box 3712">
          <a:extLst>
            <a:ext uri="{FF2B5EF4-FFF2-40B4-BE49-F238E27FC236}">
              <a16:creationId xmlns:a16="http://schemas.microsoft.com/office/drawing/2014/main" id="{00000000-0008-0000-0400-0000D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24" name="Text Box 3713">
          <a:extLst>
            <a:ext uri="{FF2B5EF4-FFF2-40B4-BE49-F238E27FC236}">
              <a16:creationId xmlns:a16="http://schemas.microsoft.com/office/drawing/2014/main" id="{00000000-0008-0000-0400-0000D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25" name="Text Box 3714">
          <a:extLst>
            <a:ext uri="{FF2B5EF4-FFF2-40B4-BE49-F238E27FC236}">
              <a16:creationId xmlns:a16="http://schemas.microsoft.com/office/drawing/2014/main" id="{00000000-0008-0000-0400-0000D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26" name="Text Box 3715">
          <a:extLst>
            <a:ext uri="{FF2B5EF4-FFF2-40B4-BE49-F238E27FC236}">
              <a16:creationId xmlns:a16="http://schemas.microsoft.com/office/drawing/2014/main" id="{00000000-0008-0000-0400-0000D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27" name="Text Box 3716">
          <a:extLst>
            <a:ext uri="{FF2B5EF4-FFF2-40B4-BE49-F238E27FC236}">
              <a16:creationId xmlns:a16="http://schemas.microsoft.com/office/drawing/2014/main" id="{00000000-0008-0000-0400-0000D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28" name="Text Box 3717">
          <a:extLst>
            <a:ext uri="{FF2B5EF4-FFF2-40B4-BE49-F238E27FC236}">
              <a16:creationId xmlns:a16="http://schemas.microsoft.com/office/drawing/2014/main" id="{00000000-0008-0000-0400-0000D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29" name="Text Box 3718">
          <a:extLst>
            <a:ext uri="{FF2B5EF4-FFF2-40B4-BE49-F238E27FC236}">
              <a16:creationId xmlns:a16="http://schemas.microsoft.com/office/drawing/2014/main" id="{00000000-0008-0000-0400-0000D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30" name="Text Box 3719">
          <a:extLst>
            <a:ext uri="{FF2B5EF4-FFF2-40B4-BE49-F238E27FC236}">
              <a16:creationId xmlns:a16="http://schemas.microsoft.com/office/drawing/2014/main" id="{00000000-0008-0000-0400-0000D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31" name="Text Box 3720">
          <a:extLst>
            <a:ext uri="{FF2B5EF4-FFF2-40B4-BE49-F238E27FC236}">
              <a16:creationId xmlns:a16="http://schemas.microsoft.com/office/drawing/2014/main" id="{00000000-0008-0000-0400-0000D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32" name="Text Box 3721">
          <a:extLst>
            <a:ext uri="{FF2B5EF4-FFF2-40B4-BE49-F238E27FC236}">
              <a16:creationId xmlns:a16="http://schemas.microsoft.com/office/drawing/2014/main" id="{00000000-0008-0000-0400-0000D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33" name="Text Box 3722">
          <a:extLst>
            <a:ext uri="{FF2B5EF4-FFF2-40B4-BE49-F238E27FC236}">
              <a16:creationId xmlns:a16="http://schemas.microsoft.com/office/drawing/2014/main" id="{00000000-0008-0000-0400-0000D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34" name="Text Box 3723">
          <a:extLst>
            <a:ext uri="{FF2B5EF4-FFF2-40B4-BE49-F238E27FC236}">
              <a16:creationId xmlns:a16="http://schemas.microsoft.com/office/drawing/2014/main" id="{00000000-0008-0000-0400-0000D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35" name="Text Box 3724">
          <a:extLst>
            <a:ext uri="{FF2B5EF4-FFF2-40B4-BE49-F238E27FC236}">
              <a16:creationId xmlns:a16="http://schemas.microsoft.com/office/drawing/2014/main" id="{00000000-0008-0000-0400-0000D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36" name="Text Box 3725">
          <a:extLst>
            <a:ext uri="{FF2B5EF4-FFF2-40B4-BE49-F238E27FC236}">
              <a16:creationId xmlns:a16="http://schemas.microsoft.com/office/drawing/2014/main" id="{00000000-0008-0000-0400-0000E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37" name="Text Box 3726">
          <a:extLst>
            <a:ext uri="{FF2B5EF4-FFF2-40B4-BE49-F238E27FC236}">
              <a16:creationId xmlns:a16="http://schemas.microsoft.com/office/drawing/2014/main" id="{00000000-0008-0000-0400-0000E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38" name="Text Box 3727">
          <a:extLst>
            <a:ext uri="{FF2B5EF4-FFF2-40B4-BE49-F238E27FC236}">
              <a16:creationId xmlns:a16="http://schemas.microsoft.com/office/drawing/2014/main" id="{00000000-0008-0000-0400-0000E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39" name="Text Box 3728">
          <a:extLst>
            <a:ext uri="{FF2B5EF4-FFF2-40B4-BE49-F238E27FC236}">
              <a16:creationId xmlns:a16="http://schemas.microsoft.com/office/drawing/2014/main" id="{00000000-0008-0000-0400-0000E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40" name="Text Box 3729">
          <a:extLst>
            <a:ext uri="{FF2B5EF4-FFF2-40B4-BE49-F238E27FC236}">
              <a16:creationId xmlns:a16="http://schemas.microsoft.com/office/drawing/2014/main" id="{00000000-0008-0000-0400-0000E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41" name="Text Box 3730">
          <a:extLst>
            <a:ext uri="{FF2B5EF4-FFF2-40B4-BE49-F238E27FC236}">
              <a16:creationId xmlns:a16="http://schemas.microsoft.com/office/drawing/2014/main" id="{00000000-0008-0000-0400-0000E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42" name="Text Box 3731">
          <a:extLst>
            <a:ext uri="{FF2B5EF4-FFF2-40B4-BE49-F238E27FC236}">
              <a16:creationId xmlns:a16="http://schemas.microsoft.com/office/drawing/2014/main" id="{00000000-0008-0000-0400-0000E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43" name="Text Box 3732">
          <a:extLst>
            <a:ext uri="{FF2B5EF4-FFF2-40B4-BE49-F238E27FC236}">
              <a16:creationId xmlns:a16="http://schemas.microsoft.com/office/drawing/2014/main" id="{00000000-0008-0000-0400-0000E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44" name="Text Box 3733">
          <a:extLst>
            <a:ext uri="{FF2B5EF4-FFF2-40B4-BE49-F238E27FC236}">
              <a16:creationId xmlns:a16="http://schemas.microsoft.com/office/drawing/2014/main" id="{00000000-0008-0000-0400-0000E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45" name="Text Box 3734">
          <a:extLst>
            <a:ext uri="{FF2B5EF4-FFF2-40B4-BE49-F238E27FC236}">
              <a16:creationId xmlns:a16="http://schemas.microsoft.com/office/drawing/2014/main" id="{00000000-0008-0000-0400-0000E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46" name="Text Box 3735">
          <a:extLst>
            <a:ext uri="{FF2B5EF4-FFF2-40B4-BE49-F238E27FC236}">
              <a16:creationId xmlns:a16="http://schemas.microsoft.com/office/drawing/2014/main" id="{00000000-0008-0000-0400-0000E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47" name="Text Box 3736">
          <a:extLst>
            <a:ext uri="{FF2B5EF4-FFF2-40B4-BE49-F238E27FC236}">
              <a16:creationId xmlns:a16="http://schemas.microsoft.com/office/drawing/2014/main" id="{00000000-0008-0000-0400-0000E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48" name="Text Box 3737">
          <a:extLst>
            <a:ext uri="{FF2B5EF4-FFF2-40B4-BE49-F238E27FC236}">
              <a16:creationId xmlns:a16="http://schemas.microsoft.com/office/drawing/2014/main" id="{00000000-0008-0000-0400-0000E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49" name="Text Box 3738">
          <a:extLst>
            <a:ext uri="{FF2B5EF4-FFF2-40B4-BE49-F238E27FC236}">
              <a16:creationId xmlns:a16="http://schemas.microsoft.com/office/drawing/2014/main" id="{00000000-0008-0000-0400-0000E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50" name="Text Box 3739">
          <a:extLst>
            <a:ext uri="{FF2B5EF4-FFF2-40B4-BE49-F238E27FC236}">
              <a16:creationId xmlns:a16="http://schemas.microsoft.com/office/drawing/2014/main" id="{00000000-0008-0000-0400-0000E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51" name="Text Box 3740">
          <a:extLst>
            <a:ext uri="{FF2B5EF4-FFF2-40B4-BE49-F238E27FC236}">
              <a16:creationId xmlns:a16="http://schemas.microsoft.com/office/drawing/2014/main" id="{00000000-0008-0000-0400-0000E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52" name="Text Box 3741">
          <a:extLst>
            <a:ext uri="{FF2B5EF4-FFF2-40B4-BE49-F238E27FC236}">
              <a16:creationId xmlns:a16="http://schemas.microsoft.com/office/drawing/2014/main" id="{00000000-0008-0000-0400-0000F0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53" name="Text Box 3742">
          <a:extLst>
            <a:ext uri="{FF2B5EF4-FFF2-40B4-BE49-F238E27FC236}">
              <a16:creationId xmlns:a16="http://schemas.microsoft.com/office/drawing/2014/main" id="{00000000-0008-0000-0400-0000F1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54" name="Text Box 3743">
          <a:extLst>
            <a:ext uri="{FF2B5EF4-FFF2-40B4-BE49-F238E27FC236}">
              <a16:creationId xmlns:a16="http://schemas.microsoft.com/office/drawing/2014/main" id="{00000000-0008-0000-0400-0000F2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55" name="Text Box 3744">
          <a:extLst>
            <a:ext uri="{FF2B5EF4-FFF2-40B4-BE49-F238E27FC236}">
              <a16:creationId xmlns:a16="http://schemas.microsoft.com/office/drawing/2014/main" id="{00000000-0008-0000-0400-0000F3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56" name="Text Box 3745">
          <a:extLst>
            <a:ext uri="{FF2B5EF4-FFF2-40B4-BE49-F238E27FC236}">
              <a16:creationId xmlns:a16="http://schemas.microsoft.com/office/drawing/2014/main" id="{00000000-0008-0000-0400-0000F4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57" name="Text Box 3746">
          <a:extLst>
            <a:ext uri="{FF2B5EF4-FFF2-40B4-BE49-F238E27FC236}">
              <a16:creationId xmlns:a16="http://schemas.microsoft.com/office/drawing/2014/main" id="{00000000-0008-0000-0400-0000F5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58" name="Text Box 3747">
          <a:extLst>
            <a:ext uri="{FF2B5EF4-FFF2-40B4-BE49-F238E27FC236}">
              <a16:creationId xmlns:a16="http://schemas.microsoft.com/office/drawing/2014/main" id="{00000000-0008-0000-0400-0000F6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59" name="Text Box 3748">
          <a:extLst>
            <a:ext uri="{FF2B5EF4-FFF2-40B4-BE49-F238E27FC236}">
              <a16:creationId xmlns:a16="http://schemas.microsoft.com/office/drawing/2014/main" id="{00000000-0008-0000-0400-0000F7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60" name="Text Box 3749">
          <a:extLst>
            <a:ext uri="{FF2B5EF4-FFF2-40B4-BE49-F238E27FC236}">
              <a16:creationId xmlns:a16="http://schemas.microsoft.com/office/drawing/2014/main" id="{00000000-0008-0000-0400-0000F8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61" name="Text Box 3750">
          <a:extLst>
            <a:ext uri="{FF2B5EF4-FFF2-40B4-BE49-F238E27FC236}">
              <a16:creationId xmlns:a16="http://schemas.microsoft.com/office/drawing/2014/main" id="{00000000-0008-0000-0400-0000F9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62" name="Text Box 3751">
          <a:extLst>
            <a:ext uri="{FF2B5EF4-FFF2-40B4-BE49-F238E27FC236}">
              <a16:creationId xmlns:a16="http://schemas.microsoft.com/office/drawing/2014/main" id="{00000000-0008-0000-0400-0000FA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63" name="Text Box 3752">
          <a:extLst>
            <a:ext uri="{FF2B5EF4-FFF2-40B4-BE49-F238E27FC236}">
              <a16:creationId xmlns:a16="http://schemas.microsoft.com/office/drawing/2014/main" id="{00000000-0008-0000-0400-0000FB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64" name="Text Box 3753">
          <a:extLst>
            <a:ext uri="{FF2B5EF4-FFF2-40B4-BE49-F238E27FC236}">
              <a16:creationId xmlns:a16="http://schemas.microsoft.com/office/drawing/2014/main" id="{00000000-0008-0000-0400-0000FC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65" name="Text Box 3754">
          <a:extLst>
            <a:ext uri="{FF2B5EF4-FFF2-40B4-BE49-F238E27FC236}">
              <a16:creationId xmlns:a16="http://schemas.microsoft.com/office/drawing/2014/main" id="{00000000-0008-0000-0400-0000FD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66" name="Text Box 3755">
          <a:extLst>
            <a:ext uri="{FF2B5EF4-FFF2-40B4-BE49-F238E27FC236}">
              <a16:creationId xmlns:a16="http://schemas.microsoft.com/office/drawing/2014/main" id="{00000000-0008-0000-0400-0000FE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67" name="Text Box 3756">
          <a:extLst>
            <a:ext uri="{FF2B5EF4-FFF2-40B4-BE49-F238E27FC236}">
              <a16:creationId xmlns:a16="http://schemas.microsoft.com/office/drawing/2014/main" id="{00000000-0008-0000-0400-0000FF86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68" name="Text Box 3757">
          <a:extLst>
            <a:ext uri="{FF2B5EF4-FFF2-40B4-BE49-F238E27FC236}">
              <a16:creationId xmlns:a16="http://schemas.microsoft.com/office/drawing/2014/main" id="{00000000-0008-0000-0400-00000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69" name="Text Box 3758">
          <a:extLst>
            <a:ext uri="{FF2B5EF4-FFF2-40B4-BE49-F238E27FC236}">
              <a16:creationId xmlns:a16="http://schemas.microsoft.com/office/drawing/2014/main" id="{00000000-0008-0000-0400-00000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70" name="Text Box 3759">
          <a:extLst>
            <a:ext uri="{FF2B5EF4-FFF2-40B4-BE49-F238E27FC236}">
              <a16:creationId xmlns:a16="http://schemas.microsoft.com/office/drawing/2014/main" id="{00000000-0008-0000-0400-00000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71" name="Text Box 3760">
          <a:extLst>
            <a:ext uri="{FF2B5EF4-FFF2-40B4-BE49-F238E27FC236}">
              <a16:creationId xmlns:a16="http://schemas.microsoft.com/office/drawing/2014/main" id="{00000000-0008-0000-0400-00000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72" name="Text Box 3761">
          <a:extLst>
            <a:ext uri="{FF2B5EF4-FFF2-40B4-BE49-F238E27FC236}">
              <a16:creationId xmlns:a16="http://schemas.microsoft.com/office/drawing/2014/main" id="{00000000-0008-0000-0400-00000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73" name="Text Box 3762">
          <a:extLst>
            <a:ext uri="{FF2B5EF4-FFF2-40B4-BE49-F238E27FC236}">
              <a16:creationId xmlns:a16="http://schemas.microsoft.com/office/drawing/2014/main" id="{00000000-0008-0000-0400-00000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74" name="Text Box 3763">
          <a:extLst>
            <a:ext uri="{FF2B5EF4-FFF2-40B4-BE49-F238E27FC236}">
              <a16:creationId xmlns:a16="http://schemas.microsoft.com/office/drawing/2014/main" id="{00000000-0008-0000-0400-00000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75" name="Text Box 3764">
          <a:extLst>
            <a:ext uri="{FF2B5EF4-FFF2-40B4-BE49-F238E27FC236}">
              <a16:creationId xmlns:a16="http://schemas.microsoft.com/office/drawing/2014/main" id="{00000000-0008-0000-0400-00000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76" name="Text Box 3765">
          <a:extLst>
            <a:ext uri="{FF2B5EF4-FFF2-40B4-BE49-F238E27FC236}">
              <a16:creationId xmlns:a16="http://schemas.microsoft.com/office/drawing/2014/main" id="{00000000-0008-0000-0400-00000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77" name="Text Box 3766">
          <a:extLst>
            <a:ext uri="{FF2B5EF4-FFF2-40B4-BE49-F238E27FC236}">
              <a16:creationId xmlns:a16="http://schemas.microsoft.com/office/drawing/2014/main" id="{00000000-0008-0000-0400-00000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78" name="Text Box 3767">
          <a:extLst>
            <a:ext uri="{FF2B5EF4-FFF2-40B4-BE49-F238E27FC236}">
              <a16:creationId xmlns:a16="http://schemas.microsoft.com/office/drawing/2014/main" id="{00000000-0008-0000-0400-00000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79" name="Text Box 3768">
          <a:extLst>
            <a:ext uri="{FF2B5EF4-FFF2-40B4-BE49-F238E27FC236}">
              <a16:creationId xmlns:a16="http://schemas.microsoft.com/office/drawing/2014/main" id="{00000000-0008-0000-0400-00000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80" name="Text Box 3769">
          <a:extLst>
            <a:ext uri="{FF2B5EF4-FFF2-40B4-BE49-F238E27FC236}">
              <a16:creationId xmlns:a16="http://schemas.microsoft.com/office/drawing/2014/main" id="{00000000-0008-0000-0400-00000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81" name="Text Box 3770">
          <a:extLst>
            <a:ext uri="{FF2B5EF4-FFF2-40B4-BE49-F238E27FC236}">
              <a16:creationId xmlns:a16="http://schemas.microsoft.com/office/drawing/2014/main" id="{00000000-0008-0000-0400-00000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82" name="Text Box 3771">
          <a:extLst>
            <a:ext uri="{FF2B5EF4-FFF2-40B4-BE49-F238E27FC236}">
              <a16:creationId xmlns:a16="http://schemas.microsoft.com/office/drawing/2014/main" id="{00000000-0008-0000-0400-00000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83" name="Text Box 3772">
          <a:extLst>
            <a:ext uri="{FF2B5EF4-FFF2-40B4-BE49-F238E27FC236}">
              <a16:creationId xmlns:a16="http://schemas.microsoft.com/office/drawing/2014/main" id="{00000000-0008-0000-0400-00000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84" name="Text Box 3773">
          <a:extLst>
            <a:ext uri="{FF2B5EF4-FFF2-40B4-BE49-F238E27FC236}">
              <a16:creationId xmlns:a16="http://schemas.microsoft.com/office/drawing/2014/main" id="{00000000-0008-0000-0400-00001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85" name="Text Box 3774">
          <a:extLst>
            <a:ext uri="{FF2B5EF4-FFF2-40B4-BE49-F238E27FC236}">
              <a16:creationId xmlns:a16="http://schemas.microsoft.com/office/drawing/2014/main" id="{00000000-0008-0000-0400-00001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86" name="Text Box 3775">
          <a:extLst>
            <a:ext uri="{FF2B5EF4-FFF2-40B4-BE49-F238E27FC236}">
              <a16:creationId xmlns:a16="http://schemas.microsoft.com/office/drawing/2014/main" id="{00000000-0008-0000-0400-00001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87" name="Text Box 3776">
          <a:extLst>
            <a:ext uri="{FF2B5EF4-FFF2-40B4-BE49-F238E27FC236}">
              <a16:creationId xmlns:a16="http://schemas.microsoft.com/office/drawing/2014/main" id="{00000000-0008-0000-0400-00001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88" name="Text Box 3777">
          <a:extLst>
            <a:ext uri="{FF2B5EF4-FFF2-40B4-BE49-F238E27FC236}">
              <a16:creationId xmlns:a16="http://schemas.microsoft.com/office/drawing/2014/main" id="{00000000-0008-0000-0400-00001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89" name="Text Box 3778">
          <a:extLst>
            <a:ext uri="{FF2B5EF4-FFF2-40B4-BE49-F238E27FC236}">
              <a16:creationId xmlns:a16="http://schemas.microsoft.com/office/drawing/2014/main" id="{00000000-0008-0000-0400-00001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90" name="Text Box 3779">
          <a:extLst>
            <a:ext uri="{FF2B5EF4-FFF2-40B4-BE49-F238E27FC236}">
              <a16:creationId xmlns:a16="http://schemas.microsoft.com/office/drawing/2014/main" id="{00000000-0008-0000-0400-00001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91" name="Text Box 3780">
          <a:extLst>
            <a:ext uri="{FF2B5EF4-FFF2-40B4-BE49-F238E27FC236}">
              <a16:creationId xmlns:a16="http://schemas.microsoft.com/office/drawing/2014/main" id="{00000000-0008-0000-0400-00001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92" name="Text Box 3781">
          <a:extLst>
            <a:ext uri="{FF2B5EF4-FFF2-40B4-BE49-F238E27FC236}">
              <a16:creationId xmlns:a16="http://schemas.microsoft.com/office/drawing/2014/main" id="{00000000-0008-0000-0400-00001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93" name="Text Box 3782">
          <a:extLst>
            <a:ext uri="{FF2B5EF4-FFF2-40B4-BE49-F238E27FC236}">
              <a16:creationId xmlns:a16="http://schemas.microsoft.com/office/drawing/2014/main" id="{00000000-0008-0000-0400-00001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94" name="Text Box 3783">
          <a:extLst>
            <a:ext uri="{FF2B5EF4-FFF2-40B4-BE49-F238E27FC236}">
              <a16:creationId xmlns:a16="http://schemas.microsoft.com/office/drawing/2014/main" id="{00000000-0008-0000-0400-00001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95" name="Text Box 3784">
          <a:extLst>
            <a:ext uri="{FF2B5EF4-FFF2-40B4-BE49-F238E27FC236}">
              <a16:creationId xmlns:a16="http://schemas.microsoft.com/office/drawing/2014/main" id="{00000000-0008-0000-0400-00001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96" name="Text Box 3785">
          <a:extLst>
            <a:ext uri="{FF2B5EF4-FFF2-40B4-BE49-F238E27FC236}">
              <a16:creationId xmlns:a16="http://schemas.microsoft.com/office/drawing/2014/main" id="{00000000-0008-0000-0400-00001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97" name="Text Box 3786">
          <a:extLst>
            <a:ext uri="{FF2B5EF4-FFF2-40B4-BE49-F238E27FC236}">
              <a16:creationId xmlns:a16="http://schemas.microsoft.com/office/drawing/2014/main" id="{00000000-0008-0000-0400-00001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98" name="Text Box 3787">
          <a:extLst>
            <a:ext uri="{FF2B5EF4-FFF2-40B4-BE49-F238E27FC236}">
              <a16:creationId xmlns:a16="http://schemas.microsoft.com/office/drawing/2014/main" id="{00000000-0008-0000-0400-00001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7999" name="Text Box 3788">
          <a:extLst>
            <a:ext uri="{FF2B5EF4-FFF2-40B4-BE49-F238E27FC236}">
              <a16:creationId xmlns:a16="http://schemas.microsoft.com/office/drawing/2014/main" id="{00000000-0008-0000-0400-00001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00" name="Text Box 3789">
          <a:extLst>
            <a:ext uri="{FF2B5EF4-FFF2-40B4-BE49-F238E27FC236}">
              <a16:creationId xmlns:a16="http://schemas.microsoft.com/office/drawing/2014/main" id="{00000000-0008-0000-0400-00002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01" name="Text Box 3790">
          <a:extLst>
            <a:ext uri="{FF2B5EF4-FFF2-40B4-BE49-F238E27FC236}">
              <a16:creationId xmlns:a16="http://schemas.microsoft.com/office/drawing/2014/main" id="{00000000-0008-0000-0400-00002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02" name="Text Box 3791">
          <a:extLst>
            <a:ext uri="{FF2B5EF4-FFF2-40B4-BE49-F238E27FC236}">
              <a16:creationId xmlns:a16="http://schemas.microsoft.com/office/drawing/2014/main" id="{00000000-0008-0000-0400-00002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03" name="Text Box 3792">
          <a:extLst>
            <a:ext uri="{FF2B5EF4-FFF2-40B4-BE49-F238E27FC236}">
              <a16:creationId xmlns:a16="http://schemas.microsoft.com/office/drawing/2014/main" id="{00000000-0008-0000-0400-00002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04" name="Text Box 3793">
          <a:extLst>
            <a:ext uri="{FF2B5EF4-FFF2-40B4-BE49-F238E27FC236}">
              <a16:creationId xmlns:a16="http://schemas.microsoft.com/office/drawing/2014/main" id="{00000000-0008-0000-0400-00002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05" name="Text Box 3794">
          <a:extLst>
            <a:ext uri="{FF2B5EF4-FFF2-40B4-BE49-F238E27FC236}">
              <a16:creationId xmlns:a16="http://schemas.microsoft.com/office/drawing/2014/main" id="{00000000-0008-0000-0400-00002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06" name="Text Box 3795">
          <a:extLst>
            <a:ext uri="{FF2B5EF4-FFF2-40B4-BE49-F238E27FC236}">
              <a16:creationId xmlns:a16="http://schemas.microsoft.com/office/drawing/2014/main" id="{00000000-0008-0000-0400-00002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07" name="Text Box 3796">
          <a:extLst>
            <a:ext uri="{FF2B5EF4-FFF2-40B4-BE49-F238E27FC236}">
              <a16:creationId xmlns:a16="http://schemas.microsoft.com/office/drawing/2014/main" id="{00000000-0008-0000-0400-00002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08" name="Text Box 3797">
          <a:extLst>
            <a:ext uri="{FF2B5EF4-FFF2-40B4-BE49-F238E27FC236}">
              <a16:creationId xmlns:a16="http://schemas.microsoft.com/office/drawing/2014/main" id="{00000000-0008-0000-0400-00002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09" name="Text Box 3798">
          <a:extLst>
            <a:ext uri="{FF2B5EF4-FFF2-40B4-BE49-F238E27FC236}">
              <a16:creationId xmlns:a16="http://schemas.microsoft.com/office/drawing/2014/main" id="{00000000-0008-0000-0400-00002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10" name="Text Box 3799">
          <a:extLst>
            <a:ext uri="{FF2B5EF4-FFF2-40B4-BE49-F238E27FC236}">
              <a16:creationId xmlns:a16="http://schemas.microsoft.com/office/drawing/2014/main" id="{00000000-0008-0000-0400-00002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11" name="Text Box 3800">
          <a:extLst>
            <a:ext uri="{FF2B5EF4-FFF2-40B4-BE49-F238E27FC236}">
              <a16:creationId xmlns:a16="http://schemas.microsoft.com/office/drawing/2014/main" id="{00000000-0008-0000-0400-00002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12" name="Text Box 3801">
          <a:extLst>
            <a:ext uri="{FF2B5EF4-FFF2-40B4-BE49-F238E27FC236}">
              <a16:creationId xmlns:a16="http://schemas.microsoft.com/office/drawing/2014/main" id="{00000000-0008-0000-0400-00002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13" name="Text Box 3802">
          <a:extLst>
            <a:ext uri="{FF2B5EF4-FFF2-40B4-BE49-F238E27FC236}">
              <a16:creationId xmlns:a16="http://schemas.microsoft.com/office/drawing/2014/main" id="{00000000-0008-0000-0400-00002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14" name="Text Box 3803">
          <a:extLst>
            <a:ext uri="{FF2B5EF4-FFF2-40B4-BE49-F238E27FC236}">
              <a16:creationId xmlns:a16="http://schemas.microsoft.com/office/drawing/2014/main" id="{00000000-0008-0000-0400-00002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15" name="Text Box 3804">
          <a:extLst>
            <a:ext uri="{FF2B5EF4-FFF2-40B4-BE49-F238E27FC236}">
              <a16:creationId xmlns:a16="http://schemas.microsoft.com/office/drawing/2014/main" id="{00000000-0008-0000-0400-00002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16" name="Text Box 3805">
          <a:extLst>
            <a:ext uri="{FF2B5EF4-FFF2-40B4-BE49-F238E27FC236}">
              <a16:creationId xmlns:a16="http://schemas.microsoft.com/office/drawing/2014/main" id="{00000000-0008-0000-0400-00003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17" name="Text Box 3806">
          <a:extLst>
            <a:ext uri="{FF2B5EF4-FFF2-40B4-BE49-F238E27FC236}">
              <a16:creationId xmlns:a16="http://schemas.microsoft.com/office/drawing/2014/main" id="{00000000-0008-0000-0400-00003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18" name="Text Box 3807">
          <a:extLst>
            <a:ext uri="{FF2B5EF4-FFF2-40B4-BE49-F238E27FC236}">
              <a16:creationId xmlns:a16="http://schemas.microsoft.com/office/drawing/2014/main" id="{00000000-0008-0000-0400-00003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19" name="Text Box 3808">
          <a:extLst>
            <a:ext uri="{FF2B5EF4-FFF2-40B4-BE49-F238E27FC236}">
              <a16:creationId xmlns:a16="http://schemas.microsoft.com/office/drawing/2014/main" id="{00000000-0008-0000-0400-00003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20" name="Text Box 3809">
          <a:extLst>
            <a:ext uri="{FF2B5EF4-FFF2-40B4-BE49-F238E27FC236}">
              <a16:creationId xmlns:a16="http://schemas.microsoft.com/office/drawing/2014/main" id="{00000000-0008-0000-0400-00003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21" name="Text Box 3810">
          <a:extLst>
            <a:ext uri="{FF2B5EF4-FFF2-40B4-BE49-F238E27FC236}">
              <a16:creationId xmlns:a16="http://schemas.microsoft.com/office/drawing/2014/main" id="{00000000-0008-0000-0400-00003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22" name="Text Box 3811">
          <a:extLst>
            <a:ext uri="{FF2B5EF4-FFF2-40B4-BE49-F238E27FC236}">
              <a16:creationId xmlns:a16="http://schemas.microsoft.com/office/drawing/2014/main" id="{00000000-0008-0000-0400-00003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23" name="Text Box 3812">
          <a:extLst>
            <a:ext uri="{FF2B5EF4-FFF2-40B4-BE49-F238E27FC236}">
              <a16:creationId xmlns:a16="http://schemas.microsoft.com/office/drawing/2014/main" id="{00000000-0008-0000-0400-00003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24" name="Text Box 3813">
          <a:extLst>
            <a:ext uri="{FF2B5EF4-FFF2-40B4-BE49-F238E27FC236}">
              <a16:creationId xmlns:a16="http://schemas.microsoft.com/office/drawing/2014/main" id="{00000000-0008-0000-0400-00003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25" name="Text Box 3814">
          <a:extLst>
            <a:ext uri="{FF2B5EF4-FFF2-40B4-BE49-F238E27FC236}">
              <a16:creationId xmlns:a16="http://schemas.microsoft.com/office/drawing/2014/main" id="{00000000-0008-0000-0400-00003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26" name="Text Box 3815">
          <a:extLst>
            <a:ext uri="{FF2B5EF4-FFF2-40B4-BE49-F238E27FC236}">
              <a16:creationId xmlns:a16="http://schemas.microsoft.com/office/drawing/2014/main" id="{00000000-0008-0000-0400-00003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27" name="Text Box 3816">
          <a:extLst>
            <a:ext uri="{FF2B5EF4-FFF2-40B4-BE49-F238E27FC236}">
              <a16:creationId xmlns:a16="http://schemas.microsoft.com/office/drawing/2014/main" id="{00000000-0008-0000-0400-00003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28" name="Text Box 3817">
          <a:extLst>
            <a:ext uri="{FF2B5EF4-FFF2-40B4-BE49-F238E27FC236}">
              <a16:creationId xmlns:a16="http://schemas.microsoft.com/office/drawing/2014/main" id="{00000000-0008-0000-0400-00003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29" name="Text Box 3818">
          <a:extLst>
            <a:ext uri="{FF2B5EF4-FFF2-40B4-BE49-F238E27FC236}">
              <a16:creationId xmlns:a16="http://schemas.microsoft.com/office/drawing/2014/main" id="{00000000-0008-0000-0400-00003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30" name="Text Box 3819">
          <a:extLst>
            <a:ext uri="{FF2B5EF4-FFF2-40B4-BE49-F238E27FC236}">
              <a16:creationId xmlns:a16="http://schemas.microsoft.com/office/drawing/2014/main" id="{00000000-0008-0000-0400-00003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31" name="Text Box 3820">
          <a:extLst>
            <a:ext uri="{FF2B5EF4-FFF2-40B4-BE49-F238E27FC236}">
              <a16:creationId xmlns:a16="http://schemas.microsoft.com/office/drawing/2014/main" id="{00000000-0008-0000-0400-00003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32" name="Text Box 3821">
          <a:extLst>
            <a:ext uri="{FF2B5EF4-FFF2-40B4-BE49-F238E27FC236}">
              <a16:creationId xmlns:a16="http://schemas.microsoft.com/office/drawing/2014/main" id="{00000000-0008-0000-0400-00004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33" name="Text Box 3822">
          <a:extLst>
            <a:ext uri="{FF2B5EF4-FFF2-40B4-BE49-F238E27FC236}">
              <a16:creationId xmlns:a16="http://schemas.microsoft.com/office/drawing/2014/main" id="{00000000-0008-0000-0400-00004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34" name="Text Box 3823">
          <a:extLst>
            <a:ext uri="{FF2B5EF4-FFF2-40B4-BE49-F238E27FC236}">
              <a16:creationId xmlns:a16="http://schemas.microsoft.com/office/drawing/2014/main" id="{00000000-0008-0000-0400-00004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35" name="Text Box 3824">
          <a:extLst>
            <a:ext uri="{FF2B5EF4-FFF2-40B4-BE49-F238E27FC236}">
              <a16:creationId xmlns:a16="http://schemas.microsoft.com/office/drawing/2014/main" id="{00000000-0008-0000-0400-00004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36" name="Text Box 3825">
          <a:extLst>
            <a:ext uri="{FF2B5EF4-FFF2-40B4-BE49-F238E27FC236}">
              <a16:creationId xmlns:a16="http://schemas.microsoft.com/office/drawing/2014/main" id="{00000000-0008-0000-0400-00004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37" name="Text Box 3826">
          <a:extLst>
            <a:ext uri="{FF2B5EF4-FFF2-40B4-BE49-F238E27FC236}">
              <a16:creationId xmlns:a16="http://schemas.microsoft.com/office/drawing/2014/main" id="{00000000-0008-0000-0400-00004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38" name="Text Box 3827">
          <a:extLst>
            <a:ext uri="{FF2B5EF4-FFF2-40B4-BE49-F238E27FC236}">
              <a16:creationId xmlns:a16="http://schemas.microsoft.com/office/drawing/2014/main" id="{00000000-0008-0000-0400-00004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39" name="Text Box 3828">
          <a:extLst>
            <a:ext uri="{FF2B5EF4-FFF2-40B4-BE49-F238E27FC236}">
              <a16:creationId xmlns:a16="http://schemas.microsoft.com/office/drawing/2014/main" id="{00000000-0008-0000-0400-00004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40" name="Text Box 3829">
          <a:extLst>
            <a:ext uri="{FF2B5EF4-FFF2-40B4-BE49-F238E27FC236}">
              <a16:creationId xmlns:a16="http://schemas.microsoft.com/office/drawing/2014/main" id="{00000000-0008-0000-0400-00004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41" name="Text Box 3830">
          <a:extLst>
            <a:ext uri="{FF2B5EF4-FFF2-40B4-BE49-F238E27FC236}">
              <a16:creationId xmlns:a16="http://schemas.microsoft.com/office/drawing/2014/main" id="{00000000-0008-0000-0400-00004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42" name="Text Box 3831">
          <a:extLst>
            <a:ext uri="{FF2B5EF4-FFF2-40B4-BE49-F238E27FC236}">
              <a16:creationId xmlns:a16="http://schemas.microsoft.com/office/drawing/2014/main" id="{00000000-0008-0000-0400-00004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43" name="Text Box 3832">
          <a:extLst>
            <a:ext uri="{FF2B5EF4-FFF2-40B4-BE49-F238E27FC236}">
              <a16:creationId xmlns:a16="http://schemas.microsoft.com/office/drawing/2014/main" id="{00000000-0008-0000-0400-00004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44" name="Text Box 3833">
          <a:extLst>
            <a:ext uri="{FF2B5EF4-FFF2-40B4-BE49-F238E27FC236}">
              <a16:creationId xmlns:a16="http://schemas.microsoft.com/office/drawing/2014/main" id="{00000000-0008-0000-0400-00004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45" name="Text Box 3834">
          <a:extLst>
            <a:ext uri="{FF2B5EF4-FFF2-40B4-BE49-F238E27FC236}">
              <a16:creationId xmlns:a16="http://schemas.microsoft.com/office/drawing/2014/main" id="{00000000-0008-0000-0400-00004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46" name="Text Box 3835">
          <a:extLst>
            <a:ext uri="{FF2B5EF4-FFF2-40B4-BE49-F238E27FC236}">
              <a16:creationId xmlns:a16="http://schemas.microsoft.com/office/drawing/2014/main" id="{00000000-0008-0000-0400-00004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47" name="Text Box 3836">
          <a:extLst>
            <a:ext uri="{FF2B5EF4-FFF2-40B4-BE49-F238E27FC236}">
              <a16:creationId xmlns:a16="http://schemas.microsoft.com/office/drawing/2014/main" id="{00000000-0008-0000-0400-00004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48" name="Text Box 3837">
          <a:extLst>
            <a:ext uri="{FF2B5EF4-FFF2-40B4-BE49-F238E27FC236}">
              <a16:creationId xmlns:a16="http://schemas.microsoft.com/office/drawing/2014/main" id="{00000000-0008-0000-0400-00005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49" name="Text Box 3838">
          <a:extLst>
            <a:ext uri="{FF2B5EF4-FFF2-40B4-BE49-F238E27FC236}">
              <a16:creationId xmlns:a16="http://schemas.microsoft.com/office/drawing/2014/main" id="{00000000-0008-0000-0400-00005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50" name="Text Box 3839">
          <a:extLst>
            <a:ext uri="{FF2B5EF4-FFF2-40B4-BE49-F238E27FC236}">
              <a16:creationId xmlns:a16="http://schemas.microsoft.com/office/drawing/2014/main" id="{00000000-0008-0000-0400-00005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51" name="Text Box 3840">
          <a:extLst>
            <a:ext uri="{FF2B5EF4-FFF2-40B4-BE49-F238E27FC236}">
              <a16:creationId xmlns:a16="http://schemas.microsoft.com/office/drawing/2014/main" id="{00000000-0008-0000-0400-00005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52" name="Text Box 3841">
          <a:extLst>
            <a:ext uri="{FF2B5EF4-FFF2-40B4-BE49-F238E27FC236}">
              <a16:creationId xmlns:a16="http://schemas.microsoft.com/office/drawing/2014/main" id="{00000000-0008-0000-0400-00005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53" name="Text Box 3842">
          <a:extLst>
            <a:ext uri="{FF2B5EF4-FFF2-40B4-BE49-F238E27FC236}">
              <a16:creationId xmlns:a16="http://schemas.microsoft.com/office/drawing/2014/main" id="{00000000-0008-0000-0400-00005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54" name="Text Box 3843">
          <a:extLst>
            <a:ext uri="{FF2B5EF4-FFF2-40B4-BE49-F238E27FC236}">
              <a16:creationId xmlns:a16="http://schemas.microsoft.com/office/drawing/2014/main" id="{00000000-0008-0000-0400-00005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55" name="Text Box 3844">
          <a:extLst>
            <a:ext uri="{FF2B5EF4-FFF2-40B4-BE49-F238E27FC236}">
              <a16:creationId xmlns:a16="http://schemas.microsoft.com/office/drawing/2014/main" id="{00000000-0008-0000-0400-00005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56" name="Text Box 3845">
          <a:extLst>
            <a:ext uri="{FF2B5EF4-FFF2-40B4-BE49-F238E27FC236}">
              <a16:creationId xmlns:a16="http://schemas.microsoft.com/office/drawing/2014/main" id="{00000000-0008-0000-0400-00005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57" name="Text Box 3846">
          <a:extLst>
            <a:ext uri="{FF2B5EF4-FFF2-40B4-BE49-F238E27FC236}">
              <a16:creationId xmlns:a16="http://schemas.microsoft.com/office/drawing/2014/main" id="{00000000-0008-0000-0400-00005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58" name="Text Box 3847">
          <a:extLst>
            <a:ext uri="{FF2B5EF4-FFF2-40B4-BE49-F238E27FC236}">
              <a16:creationId xmlns:a16="http://schemas.microsoft.com/office/drawing/2014/main" id="{00000000-0008-0000-0400-00005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59" name="Text Box 3848">
          <a:extLst>
            <a:ext uri="{FF2B5EF4-FFF2-40B4-BE49-F238E27FC236}">
              <a16:creationId xmlns:a16="http://schemas.microsoft.com/office/drawing/2014/main" id="{00000000-0008-0000-0400-00005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60" name="Text Box 3849">
          <a:extLst>
            <a:ext uri="{FF2B5EF4-FFF2-40B4-BE49-F238E27FC236}">
              <a16:creationId xmlns:a16="http://schemas.microsoft.com/office/drawing/2014/main" id="{00000000-0008-0000-0400-00005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61" name="Text Box 3850">
          <a:extLst>
            <a:ext uri="{FF2B5EF4-FFF2-40B4-BE49-F238E27FC236}">
              <a16:creationId xmlns:a16="http://schemas.microsoft.com/office/drawing/2014/main" id="{00000000-0008-0000-0400-00005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62" name="Text Box 3851">
          <a:extLst>
            <a:ext uri="{FF2B5EF4-FFF2-40B4-BE49-F238E27FC236}">
              <a16:creationId xmlns:a16="http://schemas.microsoft.com/office/drawing/2014/main" id="{00000000-0008-0000-0400-00005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63" name="Text Box 3852">
          <a:extLst>
            <a:ext uri="{FF2B5EF4-FFF2-40B4-BE49-F238E27FC236}">
              <a16:creationId xmlns:a16="http://schemas.microsoft.com/office/drawing/2014/main" id="{00000000-0008-0000-0400-00005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64" name="Text Box 3853">
          <a:extLst>
            <a:ext uri="{FF2B5EF4-FFF2-40B4-BE49-F238E27FC236}">
              <a16:creationId xmlns:a16="http://schemas.microsoft.com/office/drawing/2014/main" id="{00000000-0008-0000-0400-00006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65" name="Text Box 3854">
          <a:extLst>
            <a:ext uri="{FF2B5EF4-FFF2-40B4-BE49-F238E27FC236}">
              <a16:creationId xmlns:a16="http://schemas.microsoft.com/office/drawing/2014/main" id="{00000000-0008-0000-0400-00006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66" name="Text Box 3855">
          <a:extLst>
            <a:ext uri="{FF2B5EF4-FFF2-40B4-BE49-F238E27FC236}">
              <a16:creationId xmlns:a16="http://schemas.microsoft.com/office/drawing/2014/main" id="{00000000-0008-0000-0400-00006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67" name="Text Box 3856">
          <a:extLst>
            <a:ext uri="{FF2B5EF4-FFF2-40B4-BE49-F238E27FC236}">
              <a16:creationId xmlns:a16="http://schemas.microsoft.com/office/drawing/2014/main" id="{00000000-0008-0000-0400-00006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68" name="Text Box 3857">
          <a:extLst>
            <a:ext uri="{FF2B5EF4-FFF2-40B4-BE49-F238E27FC236}">
              <a16:creationId xmlns:a16="http://schemas.microsoft.com/office/drawing/2014/main" id="{00000000-0008-0000-0400-00006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69" name="Text Box 3858">
          <a:extLst>
            <a:ext uri="{FF2B5EF4-FFF2-40B4-BE49-F238E27FC236}">
              <a16:creationId xmlns:a16="http://schemas.microsoft.com/office/drawing/2014/main" id="{00000000-0008-0000-0400-00006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70" name="Text Box 3859">
          <a:extLst>
            <a:ext uri="{FF2B5EF4-FFF2-40B4-BE49-F238E27FC236}">
              <a16:creationId xmlns:a16="http://schemas.microsoft.com/office/drawing/2014/main" id="{00000000-0008-0000-0400-00006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71" name="Text Box 3860">
          <a:extLst>
            <a:ext uri="{FF2B5EF4-FFF2-40B4-BE49-F238E27FC236}">
              <a16:creationId xmlns:a16="http://schemas.microsoft.com/office/drawing/2014/main" id="{00000000-0008-0000-0400-00006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72" name="Text Box 3861">
          <a:extLst>
            <a:ext uri="{FF2B5EF4-FFF2-40B4-BE49-F238E27FC236}">
              <a16:creationId xmlns:a16="http://schemas.microsoft.com/office/drawing/2014/main" id="{00000000-0008-0000-0400-00006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73" name="Text Box 3862">
          <a:extLst>
            <a:ext uri="{FF2B5EF4-FFF2-40B4-BE49-F238E27FC236}">
              <a16:creationId xmlns:a16="http://schemas.microsoft.com/office/drawing/2014/main" id="{00000000-0008-0000-0400-00006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74" name="Text Box 3863">
          <a:extLst>
            <a:ext uri="{FF2B5EF4-FFF2-40B4-BE49-F238E27FC236}">
              <a16:creationId xmlns:a16="http://schemas.microsoft.com/office/drawing/2014/main" id="{00000000-0008-0000-0400-00006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75" name="Text Box 3864">
          <a:extLst>
            <a:ext uri="{FF2B5EF4-FFF2-40B4-BE49-F238E27FC236}">
              <a16:creationId xmlns:a16="http://schemas.microsoft.com/office/drawing/2014/main" id="{00000000-0008-0000-0400-00006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76" name="Text Box 3865">
          <a:extLst>
            <a:ext uri="{FF2B5EF4-FFF2-40B4-BE49-F238E27FC236}">
              <a16:creationId xmlns:a16="http://schemas.microsoft.com/office/drawing/2014/main" id="{00000000-0008-0000-0400-00006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77" name="Text Box 3866">
          <a:extLst>
            <a:ext uri="{FF2B5EF4-FFF2-40B4-BE49-F238E27FC236}">
              <a16:creationId xmlns:a16="http://schemas.microsoft.com/office/drawing/2014/main" id="{00000000-0008-0000-0400-00006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78" name="Text Box 3867">
          <a:extLst>
            <a:ext uri="{FF2B5EF4-FFF2-40B4-BE49-F238E27FC236}">
              <a16:creationId xmlns:a16="http://schemas.microsoft.com/office/drawing/2014/main" id="{00000000-0008-0000-0400-00006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79" name="Text Box 3868">
          <a:extLst>
            <a:ext uri="{FF2B5EF4-FFF2-40B4-BE49-F238E27FC236}">
              <a16:creationId xmlns:a16="http://schemas.microsoft.com/office/drawing/2014/main" id="{00000000-0008-0000-0400-00006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80" name="Text Box 3869">
          <a:extLst>
            <a:ext uri="{FF2B5EF4-FFF2-40B4-BE49-F238E27FC236}">
              <a16:creationId xmlns:a16="http://schemas.microsoft.com/office/drawing/2014/main" id="{00000000-0008-0000-0400-00007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81" name="Text Box 3870">
          <a:extLst>
            <a:ext uri="{FF2B5EF4-FFF2-40B4-BE49-F238E27FC236}">
              <a16:creationId xmlns:a16="http://schemas.microsoft.com/office/drawing/2014/main" id="{00000000-0008-0000-0400-00007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82" name="Text Box 3871">
          <a:extLst>
            <a:ext uri="{FF2B5EF4-FFF2-40B4-BE49-F238E27FC236}">
              <a16:creationId xmlns:a16="http://schemas.microsoft.com/office/drawing/2014/main" id="{00000000-0008-0000-0400-00007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83" name="Text Box 3872">
          <a:extLst>
            <a:ext uri="{FF2B5EF4-FFF2-40B4-BE49-F238E27FC236}">
              <a16:creationId xmlns:a16="http://schemas.microsoft.com/office/drawing/2014/main" id="{00000000-0008-0000-0400-00007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84" name="Text Box 3873">
          <a:extLst>
            <a:ext uri="{FF2B5EF4-FFF2-40B4-BE49-F238E27FC236}">
              <a16:creationId xmlns:a16="http://schemas.microsoft.com/office/drawing/2014/main" id="{00000000-0008-0000-0400-00007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85" name="Text Box 3874">
          <a:extLst>
            <a:ext uri="{FF2B5EF4-FFF2-40B4-BE49-F238E27FC236}">
              <a16:creationId xmlns:a16="http://schemas.microsoft.com/office/drawing/2014/main" id="{00000000-0008-0000-0400-00007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86" name="Text Box 3875">
          <a:extLst>
            <a:ext uri="{FF2B5EF4-FFF2-40B4-BE49-F238E27FC236}">
              <a16:creationId xmlns:a16="http://schemas.microsoft.com/office/drawing/2014/main" id="{00000000-0008-0000-0400-00007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87" name="Text Box 3876">
          <a:extLst>
            <a:ext uri="{FF2B5EF4-FFF2-40B4-BE49-F238E27FC236}">
              <a16:creationId xmlns:a16="http://schemas.microsoft.com/office/drawing/2014/main" id="{00000000-0008-0000-0400-00007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88" name="Text Box 3877">
          <a:extLst>
            <a:ext uri="{FF2B5EF4-FFF2-40B4-BE49-F238E27FC236}">
              <a16:creationId xmlns:a16="http://schemas.microsoft.com/office/drawing/2014/main" id="{00000000-0008-0000-0400-00007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89" name="Text Box 3878">
          <a:extLst>
            <a:ext uri="{FF2B5EF4-FFF2-40B4-BE49-F238E27FC236}">
              <a16:creationId xmlns:a16="http://schemas.microsoft.com/office/drawing/2014/main" id="{00000000-0008-0000-0400-00007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90" name="Text Box 3879">
          <a:extLst>
            <a:ext uri="{FF2B5EF4-FFF2-40B4-BE49-F238E27FC236}">
              <a16:creationId xmlns:a16="http://schemas.microsoft.com/office/drawing/2014/main" id="{00000000-0008-0000-0400-00007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91" name="Text Box 3880">
          <a:extLst>
            <a:ext uri="{FF2B5EF4-FFF2-40B4-BE49-F238E27FC236}">
              <a16:creationId xmlns:a16="http://schemas.microsoft.com/office/drawing/2014/main" id="{00000000-0008-0000-0400-00007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92" name="Text Box 3881">
          <a:extLst>
            <a:ext uri="{FF2B5EF4-FFF2-40B4-BE49-F238E27FC236}">
              <a16:creationId xmlns:a16="http://schemas.microsoft.com/office/drawing/2014/main" id="{00000000-0008-0000-0400-00007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93" name="Text Box 3882">
          <a:extLst>
            <a:ext uri="{FF2B5EF4-FFF2-40B4-BE49-F238E27FC236}">
              <a16:creationId xmlns:a16="http://schemas.microsoft.com/office/drawing/2014/main" id="{00000000-0008-0000-0400-00007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94" name="Text Box 3883">
          <a:extLst>
            <a:ext uri="{FF2B5EF4-FFF2-40B4-BE49-F238E27FC236}">
              <a16:creationId xmlns:a16="http://schemas.microsoft.com/office/drawing/2014/main" id="{00000000-0008-0000-0400-00007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95" name="Text Box 3884">
          <a:extLst>
            <a:ext uri="{FF2B5EF4-FFF2-40B4-BE49-F238E27FC236}">
              <a16:creationId xmlns:a16="http://schemas.microsoft.com/office/drawing/2014/main" id="{00000000-0008-0000-0400-00007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96" name="Text Box 3885">
          <a:extLst>
            <a:ext uri="{FF2B5EF4-FFF2-40B4-BE49-F238E27FC236}">
              <a16:creationId xmlns:a16="http://schemas.microsoft.com/office/drawing/2014/main" id="{00000000-0008-0000-0400-00008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97" name="Text Box 3886">
          <a:extLst>
            <a:ext uri="{FF2B5EF4-FFF2-40B4-BE49-F238E27FC236}">
              <a16:creationId xmlns:a16="http://schemas.microsoft.com/office/drawing/2014/main" id="{00000000-0008-0000-0400-00008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98" name="Text Box 3887">
          <a:extLst>
            <a:ext uri="{FF2B5EF4-FFF2-40B4-BE49-F238E27FC236}">
              <a16:creationId xmlns:a16="http://schemas.microsoft.com/office/drawing/2014/main" id="{00000000-0008-0000-0400-00008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099" name="Text Box 3888">
          <a:extLst>
            <a:ext uri="{FF2B5EF4-FFF2-40B4-BE49-F238E27FC236}">
              <a16:creationId xmlns:a16="http://schemas.microsoft.com/office/drawing/2014/main" id="{00000000-0008-0000-0400-00008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00" name="Text Box 3889">
          <a:extLst>
            <a:ext uri="{FF2B5EF4-FFF2-40B4-BE49-F238E27FC236}">
              <a16:creationId xmlns:a16="http://schemas.microsoft.com/office/drawing/2014/main" id="{00000000-0008-0000-0400-00008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01" name="Text Box 3890">
          <a:extLst>
            <a:ext uri="{FF2B5EF4-FFF2-40B4-BE49-F238E27FC236}">
              <a16:creationId xmlns:a16="http://schemas.microsoft.com/office/drawing/2014/main" id="{00000000-0008-0000-0400-00008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02" name="Text Box 3891">
          <a:extLst>
            <a:ext uri="{FF2B5EF4-FFF2-40B4-BE49-F238E27FC236}">
              <a16:creationId xmlns:a16="http://schemas.microsoft.com/office/drawing/2014/main" id="{00000000-0008-0000-0400-00008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03" name="Text Box 3892">
          <a:extLst>
            <a:ext uri="{FF2B5EF4-FFF2-40B4-BE49-F238E27FC236}">
              <a16:creationId xmlns:a16="http://schemas.microsoft.com/office/drawing/2014/main" id="{00000000-0008-0000-0400-00008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04" name="Text Box 3893">
          <a:extLst>
            <a:ext uri="{FF2B5EF4-FFF2-40B4-BE49-F238E27FC236}">
              <a16:creationId xmlns:a16="http://schemas.microsoft.com/office/drawing/2014/main" id="{00000000-0008-0000-0400-00008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05" name="Text Box 3894">
          <a:extLst>
            <a:ext uri="{FF2B5EF4-FFF2-40B4-BE49-F238E27FC236}">
              <a16:creationId xmlns:a16="http://schemas.microsoft.com/office/drawing/2014/main" id="{00000000-0008-0000-0400-00008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06" name="Text Box 3895">
          <a:extLst>
            <a:ext uri="{FF2B5EF4-FFF2-40B4-BE49-F238E27FC236}">
              <a16:creationId xmlns:a16="http://schemas.microsoft.com/office/drawing/2014/main" id="{00000000-0008-0000-0400-00008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07" name="Text Box 3896">
          <a:extLst>
            <a:ext uri="{FF2B5EF4-FFF2-40B4-BE49-F238E27FC236}">
              <a16:creationId xmlns:a16="http://schemas.microsoft.com/office/drawing/2014/main" id="{00000000-0008-0000-0400-00008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08" name="Text Box 3897">
          <a:extLst>
            <a:ext uri="{FF2B5EF4-FFF2-40B4-BE49-F238E27FC236}">
              <a16:creationId xmlns:a16="http://schemas.microsoft.com/office/drawing/2014/main" id="{00000000-0008-0000-0400-00008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09" name="Text Box 3898">
          <a:extLst>
            <a:ext uri="{FF2B5EF4-FFF2-40B4-BE49-F238E27FC236}">
              <a16:creationId xmlns:a16="http://schemas.microsoft.com/office/drawing/2014/main" id="{00000000-0008-0000-0400-00008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10" name="Text Box 3899">
          <a:extLst>
            <a:ext uri="{FF2B5EF4-FFF2-40B4-BE49-F238E27FC236}">
              <a16:creationId xmlns:a16="http://schemas.microsoft.com/office/drawing/2014/main" id="{00000000-0008-0000-0400-00008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11" name="Text Box 3900">
          <a:extLst>
            <a:ext uri="{FF2B5EF4-FFF2-40B4-BE49-F238E27FC236}">
              <a16:creationId xmlns:a16="http://schemas.microsoft.com/office/drawing/2014/main" id="{00000000-0008-0000-0400-00008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12" name="Text Box 3901">
          <a:extLst>
            <a:ext uri="{FF2B5EF4-FFF2-40B4-BE49-F238E27FC236}">
              <a16:creationId xmlns:a16="http://schemas.microsoft.com/office/drawing/2014/main" id="{00000000-0008-0000-0400-00009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13" name="Text Box 3902">
          <a:extLst>
            <a:ext uri="{FF2B5EF4-FFF2-40B4-BE49-F238E27FC236}">
              <a16:creationId xmlns:a16="http://schemas.microsoft.com/office/drawing/2014/main" id="{00000000-0008-0000-0400-00009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14" name="Text Box 3903">
          <a:extLst>
            <a:ext uri="{FF2B5EF4-FFF2-40B4-BE49-F238E27FC236}">
              <a16:creationId xmlns:a16="http://schemas.microsoft.com/office/drawing/2014/main" id="{00000000-0008-0000-0400-00009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15" name="Text Box 3904">
          <a:extLst>
            <a:ext uri="{FF2B5EF4-FFF2-40B4-BE49-F238E27FC236}">
              <a16:creationId xmlns:a16="http://schemas.microsoft.com/office/drawing/2014/main" id="{00000000-0008-0000-0400-00009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16" name="Text Box 3905">
          <a:extLst>
            <a:ext uri="{FF2B5EF4-FFF2-40B4-BE49-F238E27FC236}">
              <a16:creationId xmlns:a16="http://schemas.microsoft.com/office/drawing/2014/main" id="{00000000-0008-0000-0400-00009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17" name="Text Box 3906">
          <a:extLst>
            <a:ext uri="{FF2B5EF4-FFF2-40B4-BE49-F238E27FC236}">
              <a16:creationId xmlns:a16="http://schemas.microsoft.com/office/drawing/2014/main" id="{00000000-0008-0000-0400-00009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18" name="Text Box 3907">
          <a:extLst>
            <a:ext uri="{FF2B5EF4-FFF2-40B4-BE49-F238E27FC236}">
              <a16:creationId xmlns:a16="http://schemas.microsoft.com/office/drawing/2014/main" id="{00000000-0008-0000-0400-00009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19" name="Text Box 3908">
          <a:extLst>
            <a:ext uri="{FF2B5EF4-FFF2-40B4-BE49-F238E27FC236}">
              <a16:creationId xmlns:a16="http://schemas.microsoft.com/office/drawing/2014/main" id="{00000000-0008-0000-0400-00009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20" name="Text Box 3909">
          <a:extLst>
            <a:ext uri="{FF2B5EF4-FFF2-40B4-BE49-F238E27FC236}">
              <a16:creationId xmlns:a16="http://schemas.microsoft.com/office/drawing/2014/main" id="{00000000-0008-0000-0400-00009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21" name="Text Box 3910">
          <a:extLst>
            <a:ext uri="{FF2B5EF4-FFF2-40B4-BE49-F238E27FC236}">
              <a16:creationId xmlns:a16="http://schemas.microsoft.com/office/drawing/2014/main" id="{00000000-0008-0000-0400-00009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22" name="Text Box 3911">
          <a:extLst>
            <a:ext uri="{FF2B5EF4-FFF2-40B4-BE49-F238E27FC236}">
              <a16:creationId xmlns:a16="http://schemas.microsoft.com/office/drawing/2014/main" id="{00000000-0008-0000-0400-00009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23" name="Text Box 3912">
          <a:extLst>
            <a:ext uri="{FF2B5EF4-FFF2-40B4-BE49-F238E27FC236}">
              <a16:creationId xmlns:a16="http://schemas.microsoft.com/office/drawing/2014/main" id="{00000000-0008-0000-0400-00009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24" name="Text Box 3913">
          <a:extLst>
            <a:ext uri="{FF2B5EF4-FFF2-40B4-BE49-F238E27FC236}">
              <a16:creationId xmlns:a16="http://schemas.microsoft.com/office/drawing/2014/main" id="{00000000-0008-0000-0400-00009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25" name="Text Box 3914">
          <a:extLst>
            <a:ext uri="{FF2B5EF4-FFF2-40B4-BE49-F238E27FC236}">
              <a16:creationId xmlns:a16="http://schemas.microsoft.com/office/drawing/2014/main" id="{00000000-0008-0000-0400-00009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26" name="Text Box 3915">
          <a:extLst>
            <a:ext uri="{FF2B5EF4-FFF2-40B4-BE49-F238E27FC236}">
              <a16:creationId xmlns:a16="http://schemas.microsoft.com/office/drawing/2014/main" id="{00000000-0008-0000-0400-00009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27" name="Text Box 3916">
          <a:extLst>
            <a:ext uri="{FF2B5EF4-FFF2-40B4-BE49-F238E27FC236}">
              <a16:creationId xmlns:a16="http://schemas.microsoft.com/office/drawing/2014/main" id="{00000000-0008-0000-0400-00009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28" name="Text Box 3917">
          <a:extLst>
            <a:ext uri="{FF2B5EF4-FFF2-40B4-BE49-F238E27FC236}">
              <a16:creationId xmlns:a16="http://schemas.microsoft.com/office/drawing/2014/main" id="{00000000-0008-0000-0400-0000A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29" name="Text Box 3918">
          <a:extLst>
            <a:ext uri="{FF2B5EF4-FFF2-40B4-BE49-F238E27FC236}">
              <a16:creationId xmlns:a16="http://schemas.microsoft.com/office/drawing/2014/main" id="{00000000-0008-0000-0400-0000A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30" name="Text Box 3919">
          <a:extLst>
            <a:ext uri="{FF2B5EF4-FFF2-40B4-BE49-F238E27FC236}">
              <a16:creationId xmlns:a16="http://schemas.microsoft.com/office/drawing/2014/main" id="{00000000-0008-0000-0400-0000A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31" name="Text Box 3920">
          <a:extLst>
            <a:ext uri="{FF2B5EF4-FFF2-40B4-BE49-F238E27FC236}">
              <a16:creationId xmlns:a16="http://schemas.microsoft.com/office/drawing/2014/main" id="{00000000-0008-0000-0400-0000A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32" name="Text Box 3921">
          <a:extLst>
            <a:ext uri="{FF2B5EF4-FFF2-40B4-BE49-F238E27FC236}">
              <a16:creationId xmlns:a16="http://schemas.microsoft.com/office/drawing/2014/main" id="{00000000-0008-0000-0400-0000A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33" name="Text Box 3922">
          <a:extLst>
            <a:ext uri="{FF2B5EF4-FFF2-40B4-BE49-F238E27FC236}">
              <a16:creationId xmlns:a16="http://schemas.microsoft.com/office/drawing/2014/main" id="{00000000-0008-0000-0400-0000A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34" name="Text Box 3923">
          <a:extLst>
            <a:ext uri="{FF2B5EF4-FFF2-40B4-BE49-F238E27FC236}">
              <a16:creationId xmlns:a16="http://schemas.microsoft.com/office/drawing/2014/main" id="{00000000-0008-0000-0400-0000A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35" name="Text Box 3924">
          <a:extLst>
            <a:ext uri="{FF2B5EF4-FFF2-40B4-BE49-F238E27FC236}">
              <a16:creationId xmlns:a16="http://schemas.microsoft.com/office/drawing/2014/main" id="{00000000-0008-0000-0400-0000A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36" name="Text Box 3925">
          <a:extLst>
            <a:ext uri="{FF2B5EF4-FFF2-40B4-BE49-F238E27FC236}">
              <a16:creationId xmlns:a16="http://schemas.microsoft.com/office/drawing/2014/main" id="{00000000-0008-0000-0400-0000A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37" name="Text Box 3926">
          <a:extLst>
            <a:ext uri="{FF2B5EF4-FFF2-40B4-BE49-F238E27FC236}">
              <a16:creationId xmlns:a16="http://schemas.microsoft.com/office/drawing/2014/main" id="{00000000-0008-0000-0400-0000A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38" name="Text Box 3927">
          <a:extLst>
            <a:ext uri="{FF2B5EF4-FFF2-40B4-BE49-F238E27FC236}">
              <a16:creationId xmlns:a16="http://schemas.microsoft.com/office/drawing/2014/main" id="{00000000-0008-0000-0400-0000A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39" name="Text Box 3928">
          <a:extLst>
            <a:ext uri="{FF2B5EF4-FFF2-40B4-BE49-F238E27FC236}">
              <a16:creationId xmlns:a16="http://schemas.microsoft.com/office/drawing/2014/main" id="{00000000-0008-0000-0400-0000A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40" name="Text Box 3929">
          <a:extLst>
            <a:ext uri="{FF2B5EF4-FFF2-40B4-BE49-F238E27FC236}">
              <a16:creationId xmlns:a16="http://schemas.microsoft.com/office/drawing/2014/main" id="{00000000-0008-0000-0400-0000A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41" name="Text Box 3930">
          <a:extLst>
            <a:ext uri="{FF2B5EF4-FFF2-40B4-BE49-F238E27FC236}">
              <a16:creationId xmlns:a16="http://schemas.microsoft.com/office/drawing/2014/main" id="{00000000-0008-0000-0400-0000A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42" name="Text Box 3931">
          <a:extLst>
            <a:ext uri="{FF2B5EF4-FFF2-40B4-BE49-F238E27FC236}">
              <a16:creationId xmlns:a16="http://schemas.microsoft.com/office/drawing/2014/main" id="{00000000-0008-0000-0400-0000A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43" name="Text Box 3932">
          <a:extLst>
            <a:ext uri="{FF2B5EF4-FFF2-40B4-BE49-F238E27FC236}">
              <a16:creationId xmlns:a16="http://schemas.microsoft.com/office/drawing/2014/main" id="{00000000-0008-0000-0400-0000A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44" name="Text Box 3933">
          <a:extLst>
            <a:ext uri="{FF2B5EF4-FFF2-40B4-BE49-F238E27FC236}">
              <a16:creationId xmlns:a16="http://schemas.microsoft.com/office/drawing/2014/main" id="{00000000-0008-0000-0400-0000B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45" name="Text Box 3934">
          <a:extLst>
            <a:ext uri="{FF2B5EF4-FFF2-40B4-BE49-F238E27FC236}">
              <a16:creationId xmlns:a16="http://schemas.microsoft.com/office/drawing/2014/main" id="{00000000-0008-0000-0400-0000B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46" name="Text Box 3935">
          <a:extLst>
            <a:ext uri="{FF2B5EF4-FFF2-40B4-BE49-F238E27FC236}">
              <a16:creationId xmlns:a16="http://schemas.microsoft.com/office/drawing/2014/main" id="{00000000-0008-0000-0400-0000B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47" name="Text Box 3936">
          <a:extLst>
            <a:ext uri="{FF2B5EF4-FFF2-40B4-BE49-F238E27FC236}">
              <a16:creationId xmlns:a16="http://schemas.microsoft.com/office/drawing/2014/main" id="{00000000-0008-0000-0400-0000B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48" name="Text Box 3937">
          <a:extLst>
            <a:ext uri="{FF2B5EF4-FFF2-40B4-BE49-F238E27FC236}">
              <a16:creationId xmlns:a16="http://schemas.microsoft.com/office/drawing/2014/main" id="{00000000-0008-0000-0400-0000B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49" name="Text Box 3938">
          <a:extLst>
            <a:ext uri="{FF2B5EF4-FFF2-40B4-BE49-F238E27FC236}">
              <a16:creationId xmlns:a16="http://schemas.microsoft.com/office/drawing/2014/main" id="{00000000-0008-0000-0400-0000B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50" name="Text Box 3939">
          <a:extLst>
            <a:ext uri="{FF2B5EF4-FFF2-40B4-BE49-F238E27FC236}">
              <a16:creationId xmlns:a16="http://schemas.microsoft.com/office/drawing/2014/main" id="{00000000-0008-0000-0400-0000B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51" name="Text Box 3940">
          <a:extLst>
            <a:ext uri="{FF2B5EF4-FFF2-40B4-BE49-F238E27FC236}">
              <a16:creationId xmlns:a16="http://schemas.microsoft.com/office/drawing/2014/main" id="{00000000-0008-0000-0400-0000B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52" name="Text Box 3941">
          <a:extLst>
            <a:ext uri="{FF2B5EF4-FFF2-40B4-BE49-F238E27FC236}">
              <a16:creationId xmlns:a16="http://schemas.microsoft.com/office/drawing/2014/main" id="{00000000-0008-0000-0400-0000B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53" name="Text Box 3942">
          <a:extLst>
            <a:ext uri="{FF2B5EF4-FFF2-40B4-BE49-F238E27FC236}">
              <a16:creationId xmlns:a16="http://schemas.microsoft.com/office/drawing/2014/main" id="{00000000-0008-0000-0400-0000B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54" name="Text Box 3943">
          <a:extLst>
            <a:ext uri="{FF2B5EF4-FFF2-40B4-BE49-F238E27FC236}">
              <a16:creationId xmlns:a16="http://schemas.microsoft.com/office/drawing/2014/main" id="{00000000-0008-0000-0400-0000B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55" name="Text Box 3944">
          <a:extLst>
            <a:ext uri="{FF2B5EF4-FFF2-40B4-BE49-F238E27FC236}">
              <a16:creationId xmlns:a16="http://schemas.microsoft.com/office/drawing/2014/main" id="{00000000-0008-0000-0400-0000B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56" name="Text Box 3945">
          <a:extLst>
            <a:ext uri="{FF2B5EF4-FFF2-40B4-BE49-F238E27FC236}">
              <a16:creationId xmlns:a16="http://schemas.microsoft.com/office/drawing/2014/main" id="{00000000-0008-0000-0400-0000B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57" name="Text Box 3946">
          <a:extLst>
            <a:ext uri="{FF2B5EF4-FFF2-40B4-BE49-F238E27FC236}">
              <a16:creationId xmlns:a16="http://schemas.microsoft.com/office/drawing/2014/main" id="{00000000-0008-0000-0400-0000B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58" name="Text Box 3947">
          <a:extLst>
            <a:ext uri="{FF2B5EF4-FFF2-40B4-BE49-F238E27FC236}">
              <a16:creationId xmlns:a16="http://schemas.microsoft.com/office/drawing/2014/main" id="{00000000-0008-0000-0400-0000B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59" name="Text Box 3948">
          <a:extLst>
            <a:ext uri="{FF2B5EF4-FFF2-40B4-BE49-F238E27FC236}">
              <a16:creationId xmlns:a16="http://schemas.microsoft.com/office/drawing/2014/main" id="{00000000-0008-0000-0400-0000B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60" name="Text Box 3949">
          <a:extLst>
            <a:ext uri="{FF2B5EF4-FFF2-40B4-BE49-F238E27FC236}">
              <a16:creationId xmlns:a16="http://schemas.microsoft.com/office/drawing/2014/main" id="{00000000-0008-0000-0400-0000C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61" name="Text Box 3950">
          <a:extLst>
            <a:ext uri="{FF2B5EF4-FFF2-40B4-BE49-F238E27FC236}">
              <a16:creationId xmlns:a16="http://schemas.microsoft.com/office/drawing/2014/main" id="{00000000-0008-0000-0400-0000C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62" name="Text Box 3951">
          <a:extLst>
            <a:ext uri="{FF2B5EF4-FFF2-40B4-BE49-F238E27FC236}">
              <a16:creationId xmlns:a16="http://schemas.microsoft.com/office/drawing/2014/main" id="{00000000-0008-0000-0400-0000C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63" name="Text Box 3952">
          <a:extLst>
            <a:ext uri="{FF2B5EF4-FFF2-40B4-BE49-F238E27FC236}">
              <a16:creationId xmlns:a16="http://schemas.microsoft.com/office/drawing/2014/main" id="{00000000-0008-0000-0400-0000C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64" name="Text Box 3953">
          <a:extLst>
            <a:ext uri="{FF2B5EF4-FFF2-40B4-BE49-F238E27FC236}">
              <a16:creationId xmlns:a16="http://schemas.microsoft.com/office/drawing/2014/main" id="{00000000-0008-0000-0400-0000C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65" name="Text Box 3954">
          <a:extLst>
            <a:ext uri="{FF2B5EF4-FFF2-40B4-BE49-F238E27FC236}">
              <a16:creationId xmlns:a16="http://schemas.microsoft.com/office/drawing/2014/main" id="{00000000-0008-0000-0400-0000C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66" name="Text Box 3955">
          <a:extLst>
            <a:ext uri="{FF2B5EF4-FFF2-40B4-BE49-F238E27FC236}">
              <a16:creationId xmlns:a16="http://schemas.microsoft.com/office/drawing/2014/main" id="{00000000-0008-0000-0400-0000C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67" name="Text Box 3956">
          <a:extLst>
            <a:ext uri="{FF2B5EF4-FFF2-40B4-BE49-F238E27FC236}">
              <a16:creationId xmlns:a16="http://schemas.microsoft.com/office/drawing/2014/main" id="{00000000-0008-0000-0400-0000C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68" name="Text Box 3957">
          <a:extLst>
            <a:ext uri="{FF2B5EF4-FFF2-40B4-BE49-F238E27FC236}">
              <a16:creationId xmlns:a16="http://schemas.microsoft.com/office/drawing/2014/main" id="{00000000-0008-0000-0400-0000C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69" name="Text Box 3958">
          <a:extLst>
            <a:ext uri="{FF2B5EF4-FFF2-40B4-BE49-F238E27FC236}">
              <a16:creationId xmlns:a16="http://schemas.microsoft.com/office/drawing/2014/main" id="{00000000-0008-0000-0400-0000C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70" name="Text Box 3959">
          <a:extLst>
            <a:ext uri="{FF2B5EF4-FFF2-40B4-BE49-F238E27FC236}">
              <a16:creationId xmlns:a16="http://schemas.microsoft.com/office/drawing/2014/main" id="{00000000-0008-0000-0400-0000C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71" name="Text Box 3960">
          <a:extLst>
            <a:ext uri="{FF2B5EF4-FFF2-40B4-BE49-F238E27FC236}">
              <a16:creationId xmlns:a16="http://schemas.microsoft.com/office/drawing/2014/main" id="{00000000-0008-0000-0400-0000C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72" name="Text Box 3961">
          <a:extLst>
            <a:ext uri="{FF2B5EF4-FFF2-40B4-BE49-F238E27FC236}">
              <a16:creationId xmlns:a16="http://schemas.microsoft.com/office/drawing/2014/main" id="{00000000-0008-0000-0400-0000C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73" name="Text Box 3962">
          <a:extLst>
            <a:ext uri="{FF2B5EF4-FFF2-40B4-BE49-F238E27FC236}">
              <a16:creationId xmlns:a16="http://schemas.microsoft.com/office/drawing/2014/main" id="{00000000-0008-0000-0400-0000C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74" name="Text Box 3963">
          <a:extLst>
            <a:ext uri="{FF2B5EF4-FFF2-40B4-BE49-F238E27FC236}">
              <a16:creationId xmlns:a16="http://schemas.microsoft.com/office/drawing/2014/main" id="{00000000-0008-0000-0400-0000C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75" name="Text Box 3964">
          <a:extLst>
            <a:ext uri="{FF2B5EF4-FFF2-40B4-BE49-F238E27FC236}">
              <a16:creationId xmlns:a16="http://schemas.microsoft.com/office/drawing/2014/main" id="{00000000-0008-0000-0400-0000C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76" name="Text Box 3965">
          <a:extLst>
            <a:ext uri="{FF2B5EF4-FFF2-40B4-BE49-F238E27FC236}">
              <a16:creationId xmlns:a16="http://schemas.microsoft.com/office/drawing/2014/main" id="{00000000-0008-0000-0400-0000D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77" name="Text Box 3966">
          <a:extLst>
            <a:ext uri="{FF2B5EF4-FFF2-40B4-BE49-F238E27FC236}">
              <a16:creationId xmlns:a16="http://schemas.microsoft.com/office/drawing/2014/main" id="{00000000-0008-0000-0400-0000D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78" name="Text Box 3967">
          <a:extLst>
            <a:ext uri="{FF2B5EF4-FFF2-40B4-BE49-F238E27FC236}">
              <a16:creationId xmlns:a16="http://schemas.microsoft.com/office/drawing/2014/main" id="{00000000-0008-0000-0400-0000D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79" name="Text Box 3968">
          <a:extLst>
            <a:ext uri="{FF2B5EF4-FFF2-40B4-BE49-F238E27FC236}">
              <a16:creationId xmlns:a16="http://schemas.microsoft.com/office/drawing/2014/main" id="{00000000-0008-0000-0400-0000D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80" name="Text Box 3969">
          <a:extLst>
            <a:ext uri="{FF2B5EF4-FFF2-40B4-BE49-F238E27FC236}">
              <a16:creationId xmlns:a16="http://schemas.microsoft.com/office/drawing/2014/main" id="{00000000-0008-0000-0400-0000D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81" name="Text Box 3970">
          <a:extLst>
            <a:ext uri="{FF2B5EF4-FFF2-40B4-BE49-F238E27FC236}">
              <a16:creationId xmlns:a16="http://schemas.microsoft.com/office/drawing/2014/main" id="{00000000-0008-0000-0400-0000D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82" name="Text Box 3971">
          <a:extLst>
            <a:ext uri="{FF2B5EF4-FFF2-40B4-BE49-F238E27FC236}">
              <a16:creationId xmlns:a16="http://schemas.microsoft.com/office/drawing/2014/main" id="{00000000-0008-0000-0400-0000D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83" name="Text Box 3972">
          <a:extLst>
            <a:ext uri="{FF2B5EF4-FFF2-40B4-BE49-F238E27FC236}">
              <a16:creationId xmlns:a16="http://schemas.microsoft.com/office/drawing/2014/main" id="{00000000-0008-0000-0400-0000D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84" name="Text Box 3973">
          <a:extLst>
            <a:ext uri="{FF2B5EF4-FFF2-40B4-BE49-F238E27FC236}">
              <a16:creationId xmlns:a16="http://schemas.microsoft.com/office/drawing/2014/main" id="{00000000-0008-0000-0400-0000D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85" name="Text Box 3974">
          <a:extLst>
            <a:ext uri="{FF2B5EF4-FFF2-40B4-BE49-F238E27FC236}">
              <a16:creationId xmlns:a16="http://schemas.microsoft.com/office/drawing/2014/main" id="{00000000-0008-0000-0400-0000D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86" name="Text Box 3975">
          <a:extLst>
            <a:ext uri="{FF2B5EF4-FFF2-40B4-BE49-F238E27FC236}">
              <a16:creationId xmlns:a16="http://schemas.microsoft.com/office/drawing/2014/main" id="{00000000-0008-0000-0400-0000D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87" name="Text Box 3976">
          <a:extLst>
            <a:ext uri="{FF2B5EF4-FFF2-40B4-BE49-F238E27FC236}">
              <a16:creationId xmlns:a16="http://schemas.microsoft.com/office/drawing/2014/main" id="{00000000-0008-0000-0400-0000D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88" name="Text Box 3977">
          <a:extLst>
            <a:ext uri="{FF2B5EF4-FFF2-40B4-BE49-F238E27FC236}">
              <a16:creationId xmlns:a16="http://schemas.microsoft.com/office/drawing/2014/main" id="{00000000-0008-0000-0400-0000D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89" name="Text Box 3978">
          <a:extLst>
            <a:ext uri="{FF2B5EF4-FFF2-40B4-BE49-F238E27FC236}">
              <a16:creationId xmlns:a16="http://schemas.microsoft.com/office/drawing/2014/main" id="{00000000-0008-0000-0400-0000D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90" name="Text Box 3979">
          <a:extLst>
            <a:ext uri="{FF2B5EF4-FFF2-40B4-BE49-F238E27FC236}">
              <a16:creationId xmlns:a16="http://schemas.microsoft.com/office/drawing/2014/main" id="{00000000-0008-0000-0400-0000D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91" name="Text Box 3980">
          <a:extLst>
            <a:ext uri="{FF2B5EF4-FFF2-40B4-BE49-F238E27FC236}">
              <a16:creationId xmlns:a16="http://schemas.microsoft.com/office/drawing/2014/main" id="{00000000-0008-0000-0400-0000D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92" name="Text Box 3981">
          <a:extLst>
            <a:ext uri="{FF2B5EF4-FFF2-40B4-BE49-F238E27FC236}">
              <a16:creationId xmlns:a16="http://schemas.microsoft.com/office/drawing/2014/main" id="{00000000-0008-0000-0400-0000E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93" name="Text Box 3982">
          <a:extLst>
            <a:ext uri="{FF2B5EF4-FFF2-40B4-BE49-F238E27FC236}">
              <a16:creationId xmlns:a16="http://schemas.microsoft.com/office/drawing/2014/main" id="{00000000-0008-0000-0400-0000E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94" name="Text Box 3983">
          <a:extLst>
            <a:ext uri="{FF2B5EF4-FFF2-40B4-BE49-F238E27FC236}">
              <a16:creationId xmlns:a16="http://schemas.microsoft.com/office/drawing/2014/main" id="{00000000-0008-0000-0400-0000E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95" name="Text Box 3984">
          <a:extLst>
            <a:ext uri="{FF2B5EF4-FFF2-40B4-BE49-F238E27FC236}">
              <a16:creationId xmlns:a16="http://schemas.microsoft.com/office/drawing/2014/main" id="{00000000-0008-0000-0400-0000E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96" name="Text Box 3985">
          <a:extLst>
            <a:ext uri="{FF2B5EF4-FFF2-40B4-BE49-F238E27FC236}">
              <a16:creationId xmlns:a16="http://schemas.microsoft.com/office/drawing/2014/main" id="{00000000-0008-0000-0400-0000E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97" name="Text Box 3986">
          <a:extLst>
            <a:ext uri="{FF2B5EF4-FFF2-40B4-BE49-F238E27FC236}">
              <a16:creationId xmlns:a16="http://schemas.microsoft.com/office/drawing/2014/main" id="{00000000-0008-0000-0400-0000E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98" name="Text Box 3987">
          <a:extLst>
            <a:ext uri="{FF2B5EF4-FFF2-40B4-BE49-F238E27FC236}">
              <a16:creationId xmlns:a16="http://schemas.microsoft.com/office/drawing/2014/main" id="{00000000-0008-0000-0400-0000E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199" name="Text Box 3988">
          <a:extLst>
            <a:ext uri="{FF2B5EF4-FFF2-40B4-BE49-F238E27FC236}">
              <a16:creationId xmlns:a16="http://schemas.microsoft.com/office/drawing/2014/main" id="{00000000-0008-0000-0400-0000E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00" name="Text Box 3989">
          <a:extLst>
            <a:ext uri="{FF2B5EF4-FFF2-40B4-BE49-F238E27FC236}">
              <a16:creationId xmlns:a16="http://schemas.microsoft.com/office/drawing/2014/main" id="{00000000-0008-0000-0400-0000E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01" name="Text Box 3990">
          <a:extLst>
            <a:ext uri="{FF2B5EF4-FFF2-40B4-BE49-F238E27FC236}">
              <a16:creationId xmlns:a16="http://schemas.microsoft.com/office/drawing/2014/main" id="{00000000-0008-0000-0400-0000E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02" name="Text Box 3991">
          <a:extLst>
            <a:ext uri="{FF2B5EF4-FFF2-40B4-BE49-F238E27FC236}">
              <a16:creationId xmlns:a16="http://schemas.microsoft.com/office/drawing/2014/main" id="{00000000-0008-0000-0400-0000E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03" name="Text Box 3992">
          <a:extLst>
            <a:ext uri="{FF2B5EF4-FFF2-40B4-BE49-F238E27FC236}">
              <a16:creationId xmlns:a16="http://schemas.microsoft.com/office/drawing/2014/main" id="{00000000-0008-0000-0400-0000E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04" name="Text Box 3993">
          <a:extLst>
            <a:ext uri="{FF2B5EF4-FFF2-40B4-BE49-F238E27FC236}">
              <a16:creationId xmlns:a16="http://schemas.microsoft.com/office/drawing/2014/main" id="{00000000-0008-0000-0400-0000E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05" name="Text Box 3994">
          <a:extLst>
            <a:ext uri="{FF2B5EF4-FFF2-40B4-BE49-F238E27FC236}">
              <a16:creationId xmlns:a16="http://schemas.microsoft.com/office/drawing/2014/main" id="{00000000-0008-0000-0400-0000E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06" name="Text Box 3995">
          <a:extLst>
            <a:ext uri="{FF2B5EF4-FFF2-40B4-BE49-F238E27FC236}">
              <a16:creationId xmlns:a16="http://schemas.microsoft.com/office/drawing/2014/main" id="{00000000-0008-0000-0400-0000E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07" name="Text Box 3996">
          <a:extLst>
            <a:ext uri="{FF2B5EF4-FFF2-40B4-BE49-F238E27FC236}">
              <a16:creationId xmlns:a16="http://schemas.microsoft.com/office/drawing/2014/main" id="{00000000-0008-0000-0400-0000E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08" name="Text Box 3997">
          <a:extLst>
            <a:ext uri="{FF2B5EF4-FFF2-40B4-BE49-F238E27FC236}">
              <a16:creationId xmlns:a16="http://schemas.microsoft.com/office/drawing/2014/main" id="{00000000-0008-0000-0400-0000F0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09" name="Text Box 3998">
          <a:extLst>
            <a:ext uri="{FF2B5EF4-FFF2-40B4-BE49-F238E27FC236}">
              <a16:creationId xmlns:a16="http://schemas.microsoft.com/office/drawing/2014/main" id="{00000000-0008-0000-0400-0000F1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10" name="Text Box 3999">
          <a:extLst>
            <a:ext uri="{FF2B5EF4-FFF2-40B4-BE49-F238E27FC236}">
              <a16:creationId xmlns:a16="http://schemas.microsoft.com/office/drawing/2014/main" id="{00000000-0008-0000-0400-0000F2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11" name="Text Box 4000">
          <a:extLst>
            <a:ext uri="{FF2B5EF4-FFF2-40B4-BE49-F238E27FC236}">
              <a16:creationId xmlns:a16="http://schemas.microsoft.com/office/drawing/2014/main" id="{00000000-0008-0000-0400-0000F3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12" name="Text Box 4001">
          <a:extLst>
            <a:ext uri="{FF2B5EF4-FFF2-40B4-BE49-F238E27FC236}">
              <a16:creationId xmlns:a16="http://schemas.microsoft.com/office/drawing/2014/main" id="{00000000-0008-0000-0400-0000F4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13" name="Text Box 4002">
          <a:extLst>
            <a:ext uri="{FF2B5EF4-FFF2-40B4-BE49-F238E27FC236}">
              <a16:creationId xmlns:a16="http://schemas.microsoft.com/office/drawing/2014/main" id="{00000000-0008-0000-0400-0000F5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14" name="Text Box 4003">
          <a:extLst>
            <a:ext uri="{FF2B5EF4-FFF2-40B4-BE49-F238E27FC236}">
              <a16:creationId xmlns:a16="http://schemas.microsoft.com/office/drawing/2014/main" id="{00000000-0008-0000-0400-0000F6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15" name="Text Box 4004">
          <a:extLst>
            <a:ext uri="{FF2B5EF4-FFF2-40B4-BE49-F238E27FC236}">
              <a16:creationId xmlns:a16="http://schemas.microsoft.com/office/drawing/2014/main" id="{00000000-0008-0000-0400-0000F7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16" name="Text Box 4005">
          <a:extLst>
            <a:ext uri="{FF2B5EF4-FFF2-40B4-BE49-F238E27FC236}">
              <a16:creationId xmlns:a16="http://schemas.microsoft.com/office/drawing/2014/main" id="{00000000-0008-0000-0400-0000F8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17" name="Text Box 4006">
          <a:extLst>
            <a:ext uri="{FF2B5EF4-FFF2-40B4-BE49-F238E27FC236}">
              <a16:creationId xmlns:a16="http://schemas.microsoft.com/office/drawing/2014/main" id="{00000000-0008-0000-0400-0000F9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18" name="Text Box 4007">
          <a:extLst>
            <a:ext uri="{FF2B5EF4-FFF2-40B4-BE49-F238E27FC236}">
              <a16:creationId xmlns:a16="http://schemas.microsoft.com/office/drawing/2014/main" id="{00000000-0008-0000-0400-0000FA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19" name="Text Box 4008">
          <a:extLst>
            <a:ext uri="{FF2B5EF4-FFF2-40B4-BE49-F238E27FC236}">
              <a16:creationId xmlns:a16="http://schemas.microsoft.com/office/drawing/2014/main" id="{00000000-0008-0000-0400-0000FB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20" name="Text Box 4009">
          <a:extLst>
            <a:ext uri="{FF2B5EF4-FFF2-40B4-BE49-F238E27FC236}">
              <a16:creationId xmlns:a16="http://schemas.microsoft.com/office/drawing/2014/main" id="{00000000-0008-0000-0400-0000FC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21" name="Text Box 4010">
          <a:extLst>
            <a:ext uri="{FF2B5EF4-FFF2-40B4-BE49-F238E27FC236}">
              <a16:creationId xmlns:a16="http://schemas.microsoft.com/office/drawing/2014/main" id="{00000000-0008-0000-0400-0000FD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22" name="Text Box 4011">
          <a:extLst>
            <a:ext uri="{FF2B5EF4-FFF2-40B4-BE49-F238E27FC236}">
              <a16:creationId xmlns:a16="http://schemas.microsoft.com/office/drawing/2014/main" id="{00000000-0008-0000-0400-0000FE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23" name="Text Box 4012">
          <a:extLst>
            <a:ext uri="{FF2B5EF4-FFF2-40B4-BE49-F238E27FC236}">
              <a16:creationId xmlns:a16="http://schemas.microsoft.com/office/drawing/2014/main" id="{00000000-0008-0000-0400-0000FF87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24" name="Text Box 4013">
          <a:extLst>
            <a:ext uri="{FF2B5EF4-FFF2-40B4-BE49-F238E27FC236}">
              <a16:creationId xmlns:a16="http://schemas.microsoft.com/office/drawing/2014/main" id="{00000000-0008-0000-0400-000000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25" name="Text Box 4014">
          <a:extLst>
            <a:ext uri="{FF2B5EF4-FFF2-40B4-BE49-F238E27FC236}">
              <a16:creationId xmlns:a16="http://schemas.microsoft.com/office/drawing/2014/main" id="{00000000-0008-0000-0400-000001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26" name="Text Box 4015">
          <a:extLst>
            <a:ext uri="{FF2B5EF4-FFF2-40B4-BE49-F238E27FC236}">
              <a16:creationId xmlns:a16="http://schemas.microsoft.com/office/drawing/2014/main" id="{00000000-0008-0000-0400-000002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27" name="Text Box 4016">
          <a:extLst>
            <a:ext uri="{FF2B5EF4-FFF2-40B4-BE49-F238E27FC236}">
              <a16:creationId xmlns:a16="http://schemas.microsoft.com/office/drawing/2014/main" id="{00000000-0008-0000-0400-000003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28" name="Text Box 4017">
          <a:extLst>
            <a:ext uri="{FF2B5EF4-FFF2-40B4-BE49-F238E27FC236}">
              <a16:creationId xmlns:a16="http://schemas.microsoft.com/office/drawing/2014/main" id="{00000000-0008-0000-0400-000004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29" name="Text Box 4018">
          <a:extLst>
            <a:ext uri="{FF2B5EF4-FFF2-40B4-BE49-F238E27FC236}">
              <a16:creationId xmlns:a16="http://schemas.microsoft.com/office/drawing/2014/main" id="{00000000-0008-0000-0400-000005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30" name="Text Box 4019">
          <a:extLst>
            <a:ext uri="{FF2B5EF4-FFF2-40B4-BE49-F238E27FC236}">
              <a16:creationId xmlns:a16="http://schemas.microsoft.com/office/drawing/2014/main" id="{00000000-0008-0000-0400-000006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31" name="Text Box 4020">
          <a:extLst>
            <a:ext uri="{FF2B5EF4-FFF2-40B4-BE49-F238E27FC236}">
              <a16:creationId xmlns:a16="http://schemas.microsoft.com/office/drawing/2014/main" id="{00000000-0008-0000-0400-000007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32" name="Text Box 4021">
          <a:extLst>
            <a:ext uri="{FF2B5EF4-FFF2-40B4-BE49-F238E27FC236}">
              <a16:creationId xmlns:a16="http://schemas.microsoft.com/office/drawing/2014/main" id="{00000000-0008-0000-0400-000008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33" name="Text Box 4022">
          <a:extLst>
            <a:ext uri="{FF2B5EF4-FFF2-40B4-BE49-F238E27FC236}">
              <a16:creationId xmlns:a16="http://schemas.microsoft.com/office/drawing/2014/main" id="{00000000-0008-0000-0400-000009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34" name="Text Box 4023">
          <a:extLst>
            <a:ext uri="{FF2B5EF4-FFF2-40B4-BE49-F238E27FC236}">
              <a16:creationId xmlns:a16="http://schemas.microsoft.com/office/drawing/2014/main" id="{00000000-0008-0000-0400-00000A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35" name="Text Box 4024">
          <a:extLst>
            <a:ext uri="{FF2B5EF4-FFF2-40B4-BE49-F238E27FC236}">
              <a16:creationId xmlns:a16="http://schemas.microsoft.com/office/drawing/2014/main" id="{00000000-0008-0000-0400-00000B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36" name="Text Box 4025">
          <a:extLst>
            <a:ext uri="{FF2B5EF4-FFF2-40B4-BE49-F238E27FC236}">
              <a16:creationId xmlns:a16="http://schemas.microsoft.com/office/drawing/2014/main" id="{00000000-0008-0000-0400-00000C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37" name="Text Box 4026">
          <a:extLst>
            <a:ext uri="{FF2B5EF4-FFF2-40B4-BE49-F238E27FC236}">
              <a16:creationId xmlns:a16="http://schemas.microsoft.com/office/drawing/2014/main" id="{00000000-0008-0000-0400-00000D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38" name="Text Box 4027">
          <a:extLst>
            <a:ext uri="{FF2B5EF4-FFF2-40B4-BE49-F238E27FC236}">
              <a16:creationId xmlns:a16="http://schemas.microsoft.com/office/drawing/2014/main" id="{00000000-0008-0000-0400-00000E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39" name="Text Box 4028">
          <a:extLst>
            <a:ext uri="{FF2B5EF4-FFF2-40B4-BE49-F238E27FC236}">
              <a16:creationId xmlns:a16="http://schemas.microsoft.com/office/drawing/2014/main" id="{00000000-0008-0000-0400-00000F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40" name="Text Box 4029">
          <a:extLst>
            <a:ext uri="{FF2B5EF4-FFF2-40B4-BE49-F238E27FC236}">
              <a16:creationId xmlns:a16="http://schemas.microsoft.com/office/drawing/2014/main" id="{00000000-0008-0000-0400-000010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41" name="Text Box 4030">
          <a:extLst>
            <a:ext uri="{FF2B5EF4-FFF2-40B4-BE49-F238E27FC236}">
              <a16:creationId xmlns:a16="http://schemas.microsoft.com/office/drawing/2014/main" id="{00000000-0008-0000-0400-000011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42" name="Text Box 4031">
          <a:extLst>
            <a:ext uri="{FF2B5EF4-FFF2-40B4-BE49-F238E27FC236}">
              <a16:creationId xmlns:a16="http://schemas.microsoft.com/office/drawing/2014/main" id="{00000000-0008-0000-0400-000012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43" name="Text Box 4032">
          <a:extLst>
            <a:ext uri="{FF2B5EF4-FFF2-40B4-BE49-F238E27FC236}">
              <a16:creationId xmlns:a16="http://schemas.microsoft.com/office/drawing/2014/main" id="{00000000-0008-0000-0400-000013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44" name="Text Box 4033">
          <a:extLst>
            <a:ext uri="{FF2B5EF4-FFF2-40B4-BE49-F238E27FC236}">
              <a16:creationId xmlns:a16="http://schemas.microsoft.com/office/drawing/2014/main" id="{00000000-0008-0000-0400-000014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45" name="Text Box 4034">
          <a:extLst>
            <a:ext uri="{FF2B5EF4-FFF2-40B4-BE49-F238E27FC236}">
              <a16:creationId xmlns:a16="http://schemas.microsoft.com/office/drawing/2014/main" id="{00000000-0008-0000-0400-000015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46" name="Text Box 4035">
          <a:extLst>
            <a:ext uri="{FF2B5EF4-FFF2-40B4-BE49-F238E27FC236}">
              <a16:creationId xmlns:a16="http://schemas.microsoft.com/office/drawing/2014/main" id="{00000000-0008-0000-0400-000016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47" name="Text Box 4036">
          <a:extLst>
            <a:ext uri="{FF2B5EF4-FFF2-40B4-BE49-F238E27FC236}">
              <a16:creationId xmlns:a16="http://schemas.microsoft.com/office/drawing/2014/main" id="{00000000-0008-0000-0400-000017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48" name="Text Box 4037">
          <a:extLst>
            <a:ext uri="{FF2B5EF4-FFF2-40B4-BE49-F238E27FC236}">
              <a16:creationId xmlns:a16="http://schemas.microsoft.com/office/drawing/2014/main" id="{00000000-0008-0000-0400-000018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49" name="Text Box 4038">
          <a:extLst>
            <a:ext uri="{FF2B5EF4-FFF2-40B4-BE49-F238E27FC236}">
              <a16:creationId xmlns:a16="http://schemas.microsoft.com/office/drawing/2014/main" id="{00000000-0008-0000-0400-000019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50" name="Text Box 4039">
          <a:extLst>
            <a:ext uri="{FF2B5EF4-FFF2-40B4-BE49-F238E27FC236}">
              <a16:creationId xmlns:a16="http://schemas.microsoft.com/office/drawing/2014/main" id="{00000000-0008-0000-0400-00001A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51" name="Text Box 4040">
          <a:extLst>
            <a:ext uri="{FF2B5EF4-FFF2-40B4-BE49-F238E27FC236}">
              <a16:creationId xmlns:a16="http://schemas.microsoft.com/office/drawing/2014/main" id="{00000000-0008-0000-0400-00001B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52" name="Text Box 4041">
          <a:extLst>
            <a:ext uri="{FF2B5EF4-FFF2-40B4-BE49-F238E27FC236}">
              <a16:creationId xmlns:a16="http://schemas.microsoft.com/office/drawing/2014/main" id="{00000000-0008-0000-0400-00001C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53" name="Text Box 4042">
          <a:extLst>
            <a:ext uri="{FF2B5EF4-FFF2-40B4-BE49-F238E27FC236}">
              <a16:creationId xmlns:a16="http://schemas.microsoft.com/office/drawing/2014/main" id="{00000000-0008-0000-0400-00001D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54" name="Text Box 4043">
          <a:extLst>
            <a:ext uri="{FF2B5EF4-FFF2-40B4-BE49-F238E27FC236}">
              <a16:creationId xmlns:a16="http://schemas.microsoft.com/office/drawing/2014/main" id="{00000000-0008-0000-0400-00001E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55" name="Text Box 4044">
          <a:extLst>
            <a:ext uri="{FF2B5EF4-FFF2-40B4-BE49-F238E27FC236}">
              <a16:creationId xmlns:a16="http://schemas.microsoft.com/office/drawing/2014/main" id="{00000000-0008-0000-0400-00001F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56" name="Text Box 4045">
          <a:extLst>
            <a:ext uri="{FF2B5EF4-FFF2-40B4-BE49-F238E27FC236}">
              <a16:creationId xmlns:a16="http://schemas.microsoft.com/office/drawing/2014/main" id="{00000000-0008-0000-0400-000020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57" name="Text Box 4046">
          <a:extLst>
            <a:ext uri="{FF2B5EF4-FFF2-40B4-BE49-F238E27FC236}">
              <a16:creationId xmlns:a16="http://schemas.microsoft.com/office/drawing/2014/main" id="{00000000-0008-0000-0400-000021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58" name="Text Box 4047">
          <a:extLst>
            <a:ext uri="{FF2B5EF4-FFF2-40B4-BE49-F238E27FC236}">
              <a16:creationId xmlns:a16="http://schemas.microsoft.com/office/drawing/2014/main" id="{00000000-0008-0000-0400-000022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59" name="Text Box 4048">
          <a:extLst>
            <a:ext uri="{FF2B5EF4-FFF2-40B4-BE49-F238E27FC236}">
              <a16:creationId xmlns:a16="http://schemas.microsoft.com/office/drawing/2014/main" id="{00000000-0008-0000-0400-000023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60" name="Text Box 4049">
          <a:extLst>
            <a:ext uri="{FF2B5EF4-FFF2-40B4-BE49-F238E27FC236}">
              <a16:creationId xmlns:a16="http://schemas.microsoft.com/office/drawing/2014/main" id="{00000000-0008-0000-0400-000024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61" name="Text Box 4050">
          <a:extLst>
            <a:ext uri="{FF2B5EF4-FFF2-40B4-BE49-F238E27FC236}">
              <a16:creationId xmlns:a16="http://schemas.microsoft.com/office/drawing/2014/main" id="{00000000-0008-0000-0400-000025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62" name="Text Box 4051">
          <a:extLst>
            <a:ext uri="{FF2B5EF4-FFF2-40B4-BE49-F238E27FC236}">
              <a16:creationId xmlns:a16="http://schemas.microsoft.com/office/drawing/2014/main" id="{00000000-0008-0000-0400-000026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63" name="Text Box 4052">
          <a:extLst>
            <a:ext uri="{FF2B5EF4-FFF2-40B4-BE49-F238E27FC236}">
              <a16:creationId xmlns:a16="http://schemas.microsoft.com/office/drawing/2014/main" id="{00000000-0008-0000-0400-000027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64" name="Text Box 4053">
          <a:extLst>
            <a:ext uri="{FF2B5EF4-FFF2-40B4-BE49-F238E27FC236}">
              <a16:creationId xmlns:a16="http://schemas.microsoft.com/office/drawing/2014/main" id="{00000000-0008-0000-0400-000028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65" name="Text Box 4054">
          <a:extLst>
            <a:ext uri="{FF2B5EF4-FFF2-40B4-BE49-F238E27FC236}">
              <a16:creationId xmlns:a16="http://schemas.microsoft.com/office/drawing/2014/main" id="{00000000-0008-0000-0400-000029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66" name="Text Box 4055">
          <a:extLst>
            <a:ext uri="{FF2B5EF4-FFF2-40B4-BE49-F238E27FC236}">
              <a16:creationId xmlns:a16="http://schemas.microsoft.com/office/drawing/2014/main" id="{00000000-0008-0000-0400-00002A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67" name="Text Box 4056">
          <a:extLst>
            <a:ext uri="{FF2B5EF4-FFF2-40B4-BE49-F238E27FC236}">
              <a16:creationId xmlns:a16="http://schemas.microsoft.com/office/drawing/2014/main" id="{00000000-0008-0000-0400-00002B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68" name="Text Box 4057">
          <a:extLst>
            <a:ext uri="{FF2B5EF4-FFF2-40B4-BE49-F238E27FC236}">
              <a16:creationId xmlns:a16="http://schemas.microsoft.com/office/drawing/2014/main" id="{00000000-0008-0000-0400-00002C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69" name="Text Box 4058">
          <a:extLst>
            <a:ext uri="{FF2B5EF4-FFF2-40B4-BE49-F238E27FC236}">
              <a16:creationId xmlns:a16="http://schemas.microsoft.com/office/drawing/2014/main" id="{00000000-0008-0000-0400-00002D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70" name="Text Box 4059">
          <a:extLst>
            <a:ext uri="{FF2B5EF4-FFF2-40B4-BE49-F238E27FC236}">
              <a16:creationId xmlns:a16="http://schemas.microsoft.com/office/drawing/2014/main" id="{00000000-0008-0000-0400-00002E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71" name="Text Box 4060">
          <a:extLst>
            <a:ext uri="{FF2B5EF4-FFF2-40B4-BE49-F238E27FC236}">
              <a16:creationId xmlns:a16="http://schemas.microsoft.com/office/drawing/2014/main" id="{00000000-0008-0000-0400-00002F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72" name="Text Box 4061">
          <a:extLst>
            <a:ext uri="{FF2B5EF4-FFF2-40B4-BE49-F238E27FC236}">
              <a16:creationId xmlns:a16="http://schemas.microsoft.com/office/drawing/2014/main" id="{00000000-0008-0000-0400-000030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73" name="Text Box 4062">
          <a:extLst>
            <a:ext uri="{FF2B5EF4-FFF2-40B4-BE49-F238E27FC236}">
              <a16:creationId xmlns:a16="http://schemas.microsoft.com/office/drawing/2014/main" id="{00000000-0008-0000-0400-000031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74" name="Text Box 4063">
          <a:extLst>
            <a:ext uri="{FF2B5EF4-FFF2-40B4-BE49-F238E27FC236}">
              <a16:creationId xmlns:a16="http://schemas.microsoft.com/office/drawing/2014/main" id="{00000000-0008-0000-0400-000032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75" name="Text Box 4064">
          <a:extLst>
            <a:ext uri="{FF2B5EF4-FFF2-40B4-BE49-F238E27FC236}">
              <a16:creationId xmlns:a16="http://schemas.microsoft.com/office/drawing/2014/main" id="{00000000-0008-0000-0400-000033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76" name="Text Box 4065">
          <a:extLst>
            <a:ext uri="{FF2B5EF4-FFF2-40B4-BE49-F238E27FC236}">
              <a16:creationId xmlns:a16="http://schemas.microsoft.com/office/drawing/2014/main" id="{00000000-0008-0000-0400-000034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77" name="Text Box 4066">
          <a:extLst>
            <a:ext uri="{FF2B5EF4-FFF2-40B4-BE49-F238E27FC236}">
              <a16:creationId xmlns:a16="http://schemas.microsoft.com/office/drawing/2014/main" id="{00000000-0008-0000-0400-000035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78" name="Text Box 4067">
          <a:extLst>
            <a:ext uri="{FF2B5EF4-FFF2-40B4-BE49-F238E27FC236}">
              <a16:creationId xmlns:a16="http://schemas.microsoft.com/office/drawing/2014/main" id="{00000000-0008-0000-0400-000036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79" name="Text Box 4068">
          <a:extLst>
            <a:ext uri="{FF2B5EF4-FFF2-40B4-BE49-F238E27FC236}">
              <a16:creationId xmlns:a16="http://schemas.microsoft.com/office/drawing/2014/main" id="{00000000-0008-0000-0400-000037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80" name="Text Box 4069">
          <a:extLst>
            <a:ext uri="{FF2B5EF4-FFF2-40B4-BE49-F238E27FC236}">
              <a16:creationId xmlns:a16="http://schemas.microsoft.com/office/drawing/2014/main" id="{00000000-0008-0000-0400-000038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81" name="Text Box 4070">
          <a:extLst>
            <a:ext uri="{FF2B5EF4-FFF2-40B4-BE49-F238E27FC236}">
              <a16:creationId xmlns:a16="http://schemas.microsoft.com/office/drawing/2014/main" id="{00000000-0008-0000-0400-000039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82" name="Text Box 4071">
          <a:extLst>
            <a:ext uri="{FF2B5EF4-FFF2-40B4-BE49-F238E27FC236}">
              <a16:creationId xmlns:a16="http://schemas.microsoft.com/office/drawing/2014/main" id="{00000000-0008-0000-0400-00003A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83" name="Text Box 4072">
          <a:extLst>
            <a:ext uri="{FF2B5EF4-FFF2-40B4-BE49-F238E27FC236}">
              <a16:creationId xmlns:a16="http://schemas.microsoft.com/office/drawing/2014/main" id="{00000000-0008-0000-0400-00003B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84" name="Text Box 4073">
          <a:extLst>
            <a:ext uri="{FF2B5EF4-FFF2-40B4-BE49-F238E27FC236}">
              <a16:creationId xmlns:a16="http://schemas.microsoft.com/office/drawing/2014/main" id="{00000000-0008-0000-0400-00003C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85" name="Text Box 4074">
          <a:extLst>
            <a:ext uri="{FF2B5EF4-FFF2-40B4-BE49-F238E27FC236}">
              <a16:creationId xmlns:a16="http://schemas.microsoft.com/office/drawing/2014/main" id="{00000000-0008-0000-0400-00003D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86" name="Text Box 4075">
          <a:extLst>
            <a:ext uri="{FF2B5EF4-FFF2-40B4-BE49-F238E27FC236}">
              <a16:creationId xmlns:a16="http://schemas.microsoft.com/office/drawing/2014/main" id="{00000000-0008-0000-0400-00003E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87" name="Text Box 4076">
          <a:extLst>
            <a:ext uri="{FF2B5EF4-FFF2-40B4-BE49-F238E27FC236}">
              <a16:creationId xmlns:a16="http://schemas.microsoft.com/office/drawing/2014/main" id="{00000000-0008-0000-0400-00003F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88" name="Text Box 4077">
          <a:extLst>
            <a:ext uri="{FF2B5EF4-FFF2-40B4-BE49-F238E27FC236}">
              <a16:creationId xmlns:a16="http://schemas.microsoft.com/office/drawing/2014/main" id="{00000000-0008-0000-0400-000040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89" name="Text Box 4078">
          <a:extLst>
            <a:ext uri="{FF2B5EF4-FFF2-40B4-BE49-F238E27FC236}">
              <a16:creationId xmlns:a16="http://schemas.microsoft.com/office/drawing/2014/main" id="{00000000-0008-0000-0400-000041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90" name="Text Box 4079">
          <a:extLst>
            <a:ext uri="{FF2B5EF4-FFF2-40B4-BE49-F238E27FC236}">
              <a16:creationId xmlns:a16="http://schemas.microsoft.com/office/drawing/2014/main" id="{00000000-0008-0000-0400-000042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91" name="Text Box 4080">
          <a:extLst>
            <a:ext uri="{FF2B5EF4-FFF2-40B4-BE49-F238E27FC236}">
              <a16:creationId xmlns:a16="http://schemas.microsoft.com/office/drawing/2014/main" id="{00000000-0008-0000-0400-000043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92" name="Text Box 4081">
          <a:extLst>
            <a:ext uri="{FF2B5EF4-FFF2-40B4-BE49-F238E27FC236}">
              <a16:creationId xmlns:a16="http://schemas.microsoft.com/office/drawing/2014/main" id="{00000000-0008-0000-0400-000044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93" name="Text Box 4082">
          <a:extLst>
            <a:ext uri="{FF2B5EF4-FFF2-40B4-BE49-F238E27FC236}">
              <a16:creationId xmlns:a16="http://schemas.microsoft.com/office/drawing/2014/main" id="{00000000-0008-0000-0400-000045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94" name="Text Box 4083">
          <a:extLst>
            <a:ext uri="{FF2B5EF4-FFF2-40B4-BE49-F238E27FC236}">
              <a16:creationId xmlns:a16="http://schemas.microsoft.com/office/drawing/2014/main" id="{00000000-0008-0000-0400-000046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95" name="Text Box 4084">
          <a:extLst>
            <a:ext uri="{FF2B5EF4-FFF2-40B4-BE49-F238E27FC236}">
              <a16:creationId xmlns:a16="http://schemas.microsoft.com/office/drawing/2014/main" id="{00000000-0008-0000-0400-000047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96" name="Text Box 4085">
          <a:extLst>
            <a:ext uri="{FF2B5EF4-FFF2-40B4-BE49-F238E27FC236}">
              <a16:creationId xmlns:a16="http://schemas.microsoft.com/office/drawing/2014/main" id="{00000000-0008-0000-0400-000048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97" name="Text Box 4086">
          <a:extLst>
            <a:ext uri="{FF2B5EF4-FFF2-40B4-BE49-F238E27FC236}">
              <a16:creationId xmlns:a16="http://schemas.microsoft.com/office/drawing/2014/main" id="{00000000-0008-0000-0400-000049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98" name="Text Box 4087">
          <a:extLst>
            <a:ext uri="{FF2B5EF4-FFF2-40B4-BE49-F238E27FC236}">
              <a16:creationId xmlns:a16="http://schemas.microsoft.com/office/drawing/2014/main" id="{00000000-0008-0000-0400-00004A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299" name="Text Box 4088">
          <a:extLst>
            <a:ext uri="{FF2B5EF4-FFF2-40B4-BE49-F238E27FC236}">
              <a16:creationId xmlns:a16="http://schemas.microsoft.com/office/drawing/2014/main" id="{00000000-0008-0000-0400-00004B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00" name="Text Box 4089">
          <a:extLst>
            <a:ext uri="{FF2B5EF4-FFF2-40B4-BE49-F238E27FC236}">
              <a16:creationId xmlns:a16="http://schemas.microsoft.com/office/drawing/2014/main" id="{00000000-0008-0000-0400-00004C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01" name="Text Box 4090">
          <a:extLst>
            <a:ext uri="{FF2B5EF4-FFF2-40B4-BE49-F238E27FC236}">
              <a16:creationId xmlns:a16="http://schemas.microsoft.com/office/drawing/2014/main" id="{00000000-0008-0000-0400-00004D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02" name="Text Box 4091">
          <a:extLst>
            <a:ext uri="{FF2B5EF4-FFF2-40B4-BE49-F238E27FC236}">
              <a16:creationId xmlns:a16="http://schemas.microsoft.com/office/drawing/2014/main" id="{00000000-0008-0000-0400-00004E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03" name="Text Box 4092">
          <a:extLst>
            <a:ext uri="{FF2B5EF4-FFF2-40B4-BE49-F238E27FC236}">
              <a16:creationId xmlns:a16="http://schemas.microsoft.com/office/drawing/2014/main" id="{00000000-0008-0000-0400-00004F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04" name="Text Box 4093">
          <a:extLst>
            <a:ext uri="{FF2B5EF4-FFF2-40B4-BE49-F238E27FC236}">
              <a16:creationId xmlns:a16="http://schemas.microsoft.com/office/drawing/2014/main" id="{00000000-0008-0000-0400-000050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05" name="Text Box 4094">
          <a:extLst>
            <a:ext uri="{FF2B5EF4-FFF2-40B4-BE49-F238E27FC236}">
              <a16:creationId xmlns:a16="http://schemas.microsoft.com/office/drawing/2014/main" id="{00000000-0008-0000-0400-000051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06" name="Text Box 4095">
          <a:extLst>
            <a:ext uri="{FF2B5EF4-FFF2-40B4-BE49-F238E27FC236}">
              <a16:creationId xmlns:a16="http://schemas.microsoft.com/office/drawing/2014/main" id="{00000000-0008-0000-0400-000052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07" name="Text Box 4096">
          <a:extLst>
            <a:ext uri="{FF2B5EF4-FFF2-40B4-BE49-F238E27FC236}">
              <a16:creationId xmlns:a16="http://schemas.microsoft.com/office/drawing/2014/main" id="{00000000-0008-0000-0400-000053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08" name="Text Box 4097">
          <a:extLst>
            <a:ext uri="{FF2B5EF4-FFF2-40B4-BE49-F238E27FC236}">
              <a16:creationId xmlns:a16="http://schemas.microsoft.com/office/drawing/2014/main" id="{00000000-0008-0000-0400-000054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09" name="Text Box 4098">
          <a:extLst>
            <a:ext uri="{FF2B5EF4-FFF2-40B4-BE49-F238E27FC236}">
              <a16:creationId xmlns:a16="http://schemas.microsoft.com/office/drawing/2014/main" id="{00000000-0008-0000-0400-000055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10" name="Text Box 4099">
          <a:extLst>
            <a:ext uri="{FF2B5EF4-FFF2-40B4-BE49-F238E27FC236}">
              <a16:creationId xmlns:a16="http://schemas.microsoft.com/office/drawing/2014/main" id="{00000000-0008-0000-0400-000056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11" name="Text Box 4100">
          <a:extLst>
            <a:ext uri="{FF2B5EF4-FFF2-40B4-BE49-F238E27FC236}">
              <a16:creationId xmlns:a16="http://schemas.microsoft.com/office/drawing/2014/main" id="{00000000-0008-0000-0400-000057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12" name="Text Box 4101">
          <a:extLst>
            <a:ext uri="{FF2B5EF4-FFF2-40B4-BE49-F238E27FC236}">
              <a16:creationId xmlns:a16="http://schemas.microsoft.com/office/drawing/2014/main" id="{00000000-0008-0000-0400-000058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13" name="Text Box 4102">
          <a:extLst>
            <a:ext uri="{FF2B5EF4-FFF2-40B4-BE49-F238E27FC236}">
              <a16:creationId xmlns:a16="http://schemas.microsoft.com/office/drawing/2014/main" id="{00000000-0008-0000-0400-000059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14" name="Text Box 4103">
          <a:extLst>
            <a:ext uri="{FF2B5EF4-FFF2-40B4-BE49-F238E27FC236}">
              <a16:creationId xmlns:a16="http://schemas.microsoft.com/office/drawing/2014/main" id="{00000000-0008-0000-0400-00005A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15" name="Text Box 4104">
          <a:extLst>
            <a:ext uri="{FF2B5EF4-FFF2-40B4-BE49-F238E27FC236}">
              <a16:creationId xmlns:a16="http://schemas.microsoft.com/office/drawing/2014/main" id="{00000000-0008-0000-0400-00005B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16" name="Text Box 4105">
          <a:extLst>
            <a:ext uri="{FF2B5EF4-FFF2-40B4-BE49-F238E27FC236}">
              <a16:creationId xmlns:a16="http://schemas.microsoft.com/office/drawing/2014/main" id="{00000000-0008-0000-0400-00005C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17" name="Text Box 4106">
          <a:extLst>
            <a:ext uri="{FF2B5EF4-FFF2-40B4-BE49-F238E27FC236}">
              <a16:creationId xmlns:a16="http://schemas.microsoft.com/office/drawing/2014/main" id="{00000000-0008-0000-0400-00005D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18" name="Text Box 3054">
          <a:extLst>
            <a:ext uri="{FF2B5EF4-FFF2-40B4-BE49-F238E27FC236}">
              <a16:creationId xmlns:a16="http://schemas.microsoft.com/office/drawing/2014/main" id="{00000000-0008-0000-0400-00005E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19" name="Text Box 3055">
          <a:extLst>
            <a:ext uri="{FF2B5EF4-FFF2-40B4-BE49-F238E27FC236}">
              <a16:creationId xmlns:a16="http://schemas.microsoft.com/office/drawing/2014/main" id="{00000000-0008-0000-0400-00005F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20" name="Text Box 3056">
          <a:extLst>
            <a:ext uri="{FF2B5EF4-FFF2-40B4-BE49-F238E27FC236}">
              <a16:creationId xmlns:a16="http://schemas.microsoft.com/office/drawing/2014/main" id="{00000000-0008-0000-0400-000060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104775</xdr:colOff>
      <xdr:row>81</xdr:row>
      <xdr:rowOff>66674</xdr:rowOff>
    </xdr:to>
    <xdr:sp macro="" textlink="">
      <xdr:nvSpPr>
        <xdr:cNvPr id="3508321" name="Text Box 3057">
          <a:extLst>
            <a:ext uri="{FF2B5EF4-FFF2-40B4-BE49-F238E27FC236}">
              <a16:creationId xmlns:a16="http://schemas.microsoft.com/office/drawing/2014/main" id="{00000000-0008-0000-0400-000061883500}"/>
            </a:ext>
          </a:extLst>
        </xdr:cNvPr>
        <xdr:cNvSpPr txBox="1">
          <a:spLocks noChangeArrowheads="1"/>
        </xdr:cNvSpPr>
      </xdr:nvSpPr>
      <xdr:spPr bwMode="auto">
        <a:xfrm>
          <a:off x="3559969" y="21955125"/>
          <a:ext cx="104775" cy="2809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8626</xdr:colOff>
      <xdr:row>31</xdr:row>
      <xdr:rowOff>8626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487" y="5891842"/>
          <a:ext cx="8626" cy="8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5</xdr:row>
          <xdr:rowOff>19050</xdr:rowOff>
        </xdr:from>
        <xdr:to>
          <xdr:col>21</xdr:col>
          <xdr:colOff>209550</xdr:colOff>
          <xdr:row>6</xdr:row>
          <xdr:rowOff>28575</xdr:rowOff>
        </xdr:to>
        <xdr:sp macro="" textlink="">
          <xdr:nvSpPr>
            <xdr:cNvPr id="1924100" name="Button 4" hidden="1">
              <a:extLst>
                <a:ext uri="{63B3BB69-23CF-44E3-9099-C40C66FF867C}">
                  <a14:compatExt spid="_x0000_s1924100"/>
                </a:ext>
                <a:ext uri="{FF2B5EF4-FFF2-40B4-BE49-F238E27FC236}">
                  <a16:creationId xmlns:a16="http://schemas.microsoft.com/office/drawing/2014/main" id="{00000000-0008-0000-0500-0000045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列印報表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9</xdr:row>
          <xdr:rowOff>19050</xdr:rowOff>
        </xdr:from>
        <xdr:to>
          <xdr:col>19</xdr:col>
          <xdr:colOff>161925</xdr:colOff>
          <xdr:row>10</xdr:row>
          <xdr:rowOff>95250</xdr:rowOff>
        </xdr:to>
        <xdr:sp macro="" textlink="">
          <xdr:nvSpPr>
            <xdr:cNvPr id="1924101" name="Button 5" hidden="1">
              <a:extLst>
                <a:ext uri="{63B3BB69-23CF-44E3-9099-C40C66FF867C}">
                  <a14:compatExt spid="_x0000_s1924101"/>
                </a:ext>
                <a:ext uri="{FF2B5EF4-FFF2-40B4-BE49-F238E27FC236}">
                  <a16:creationId xmlns:a16="http://schemas.microsoft.com/office/drawing/2014/main" id="{00000000-0008-0000-0500-0000055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列印報表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295275</xdr:rowOff>
        </xdr:from>
        <xdr:to>
          <xdr:col>11</xdr:col>
          <xdr:colOff>428625</xdr:colOff>
          <xdr:row>2</xdr:row>
          <xdr:rowOff>9525</xdr:rowOff>
        </xdr:to>
        <xdr:sp macro="" textlink="">
          <xdr:nvSpPr>
            <xdr:cNvPr id="19458" name="CommandButton1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3</xdr:row>
          <xdr:rowOff>28575</xdr:rowOff>
        </xdr:from>
        <xdr:to>
          <xdr:col>12</xdr:col>
          <xdr:colOff>257175</xdr:colOff>
          <xdr:row>3</xdr:row>
          <xdr:rowOff>333375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6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列印報表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14</xdr:row>
      <xdr:rowOff>0</xdr:rowOff>
    </xdr:from>
    <xdr:to>
      <xdr:col>1</xdr:col>
      <xdr:colOff>8626</xdr:colOff>
      <xdr:row>14</xdr:row>
      <xdr:rowOff>8626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487" y="5891842"/>
          <a:ext cx="8626" cy="8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8626</xdr:colOff>
      <xdr:row>14</xdr:row>
      <xdr:rowOff>8626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487" y="5891842"/>
          <a:ext cx="8626" cy="8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8626</xdr:colOff>
      <xdr:row>13</xdr:row>
      <xdr:rowOff>8626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487" y="7970808"/>
          <a:ext cx="8626" cy="8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0</xdr:colOff>
      <xdr:row>15</xdr:row>
      <xdr:rowOff>0</xdr:rowOff>
    </xdr:from>
    <xdr:ext cx="8626" cy="8626"/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102" y="6469811"/>
          <a:ext cx="8626" cy="8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15</xdr:row>
      <xdr:rowOff>0</xdr:rowOff>
    </xdr:from>
    <xdr:ext cx="8626" cy="8626"/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102" y="6469811"/>
          <a:ext cx="8626" cy="8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14</xdr:row>
      <xdr:rowOff>0</xdr:rowOff>
    </xdr:from>
    <xdr:ext cx="8626" cy="8626"/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102" y="6038491"/>
          <a:ext cx="8626" cy="8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CC\Cc038lc\Cc03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SS\SS045PB\ch\SS04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YSEC\DES\DESWORK\DDD\D0226\0226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SS\SS094FY\SS094-3\DESWORK\DDD\D0226\0226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YSEC\DES\DesWork\DDD\TP03-2\03-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SS\SS094FY\SS094-3\DesWork\DDD\TP03-2\03-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UTY\&#26234;&#25463;\&#38928;&#31639;&#34920;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UTY\&#32291;&#24220;_&#26032;DE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YS\Ys077PB\ch\YS77CHB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SS\SS094FY\SS094-3\Ss094-3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YS\YS294PB\eng\YS294t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MP101\&#20844;&#20693;&#36039;&#26009;&#25509;&#25910;\Lj\lj0060\lj0060-&#38928;&#31639;&#26360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MP101\&#20844;&#20693;&#36039;&#26009;&#25509;&#25910;\&#20844;24-131C-42K.87\&#32048;&#27493;&#35373;&#35336;\131C&#38928;&#31639;&#26360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YS\Ys291wt\YS291-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ENGWORK\G3\LOG\&#32879;&#32080;-hh009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SS\SS045PB\neg\ENG\&#30707;&#23713;-&#26032;0716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21807;&#35920;&#24037;&#31243;&#20633;&#20221;\&#20013;&#32291;-&#20013;88&#32218;-&#26126;&#38567;&#36947;\&#38928;&#31639;&#26360;\&#20013;88&#32218;&#26126;&#38567;&#36947;-&#38928;&#31639;new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YSEC\DES\Fu-S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SS\ss016tp\Ss01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YS\ys250lc\Ys250&#20877;&#29983;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ENGWORK\G3\Swe-bau\ss046wt\eng\YS235NEW-NEW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Ys\Ys052wt\YS052-5\Ys042ww\YS042-2\ys042-2N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YS\YS079LC\ch\ys079-ch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CC\cc008wt\cc008-2\cc008-2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-469PRO\works\JOB\YS\ys176tp\ys176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ocuments\&#20013;&#31185;\&#20013;&#31185;&#35722;&#26356;&#31639;&#25976;&#37327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MP101\&#20844;&#20693;&#36039;&#26009;&#25509;&#25910;\&#20844;24-131C-42K.87\&#32048;&#27493;&#35373;&#35336;\131-42K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C\SYS\WORK\EEE\E050-5\E050-5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ocuments\&#20013;&#31185;\&#23478;&#38596;\&#35920;&#22323;&#20844;&#22290;&#27396;&#26438;&#24037;&#31243;\&#35920;&#22323;&#20844;&#22290;&#29983;&#24907;&#27744;&#26049;&#27396;&#26438;&#24037;&#3124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試驗"/>
      <sheetName val="封面 (3)"/>
      <sheetName val="封面"/>
      <sheetName val="預1"/>
      <sheetName val="預2"/>
      <sheetName val="單1"/>
      <sheetName val="統1"/>
      <sheetName val="計1"/>
      <sheetName val="計2"/>
      <sheetName val="計3"/>
      <sheetName val="計4"/>
      <sheetName val="東勢估"/>
      <sheetName val="估價單"/>
      <sheetName val="標單"/>
    </sheetNames>
    <sheetDataSet>
      <sheetData sheetId="0" refreshError="1">
        <row r="19">
          <cell r="Q19">
            <v>0</v>
          </cell>
        </row>
        <row r="20">
          <cell r="Q20">
            <v>0</v>
          </cell>
        </row>
        <row r="21">
          <cell r="Q21">
            <v>0</v>
          </cell>
        </row>
        <row r="22">
          <cell r="Q22">
            <v>0</v>
          </cell>
        </row>
        <row r="23">
          <cell r="Q23">
            <v>0</v>
          </cell>
        </row>
        <row r="24">
          <cell r="Q24">
            <v>0</v>
          </cell>
        </row>
        <row r="25">
          <cell r="Q25">
            <v>0</v>
          </cell>
        </row>
        <row r="26">
          <cell r="Q26">
            <v>0</v>
          </cell>
        </row>
        <row r="27">
          <cell r="Q27">
            <v>0</v>
          </cell>
        </row>
        <row r="28">
          <cell r="Q28">
            <v>0</v>
          </cell>
        </row>
        <row r="29">
          <cell r="Q29">
            <v>0</v>
          </cell>
        </row>
        <row r="30">
          <cell r="Q30">
            <v>0</v>
          </cell>
        </row>
        <row r="31">
          <cell r="Q31">
            <v>0</v>
          </cell>
        </row>
        <row r="32">
          <cell r="Q32">
            <v>0</v>
          </cell>
        </row>
        <row r="33">
          <cell r="Q33">
            <v>0</v>
          </cell>
        </row>
        <row r="34">
          <cell r="Q34">
            <v>0</v>
          </cell>
        </row>
        <row r="35">
          <cell r="Q35">
            <v>0</v>
          </cell>
        </row>
        <row r="36">
          <cell r="Q36">
            <v>0</v>
          </cell>
        </row>
        <row r="37">
          <cell r="Q37" t="str">
            <v/>
          </cell>
        </row>
        <row r="38">
          <cell r="Q38" t="str">
            <v/>
          </cell>
        </row>
        <row r="39">
          <cell r="Q39" t="str">
            <v/>
          </cell>
        </row>
        <row r="40">
          <cell r="Q40" t="str">
            <v/>
          </cell>
        </row>
        <row r="41">
          <cell r="Q41" t="str">
            <v/>
          </cell>
        </row>
        <row r="42">
          <cell r="Q42" t="str">
            <v/>
          </cell>
        </row>
        <row r="43">
          <cell r="Q43" t="str">
            <v/>
          </cell>
        </row>
        <row r="44">
          <cell r="Q44" t="str">
            <v/>
          </cell>
        </row>
        <row r="45">
          <cell r="Q45" t="str">
            <v/>
          </cell>
        </row>
        <row r="46">
          <cell r="Q46" t="str">
            <v/>
          </cell>
        </row>
        <row r="47">
          <cell r="Q47" t="str">
            <v/>
          </cell>
        </row>
        <row r="48">
          <cell r="Q48" t="str">
            <v/>
          </cell>
        </row>
        <row r="49">
          <cell r="Q49" t="str">
            <v/>
          </cell>
        </row>
        <row r="50">
          <cell r="Q50" t="str">
            <v/>
          </cell>
        </row>
        <row r="51">
          <cell r="Q51" t="str">
            <v/>
          </cell>
        </row>
        <row r="52">
          <cell r="Q52" t="str">
            <v/>
          </cell>
        </row>
        <row r="53">
          <cell r="Q53" t="str">
            <v/>
          </cell>
        </row>
        <row r="54">
          <cell r="Q54" t="str">
            <v/>
          </cell>
        </row>
        <row r="55">
          <cell r="Q55" t="str">
            <v/>
          </cell>
        </row>
        <row r="56">
          <cell r="Q56" t="str">
            <v/>
          </cell>
        </row>
        <row r="63">
          <cell r="Z63" t="str">
            <v>工  程  項  目</v>
          </cell>
          <cell r="AA63" t="str">
            <v>單位</v>
          </cell>
          <cell r="AB63" t="str">
            <v>數   量</v>
          </cell>
          <cell r="AC63" t="str">
            <v>單   價</v>
          </cell>
          <cell r="AD63" t="str">
            <v>總   價</v>
          </cell>
        </row>
        <row r="64">
          <cell r="Y64" t="str">
            <v>豐原市公所1</v>
          </cell>
          <cell r="Z64" t="str">
            <v>材料試驗費</v>
          </cell>
          <cell r="AA64" t="str">
            <v>式</v>
          </cell>
          <cell r="AB64">
            <v>1</v>
          </cell>
          <cell r="AC64">
            <v>11420</v>
          </cell>
          <cell r="AD64">
            <v>6274</v>
          </cell>
        </row>
        <row r="65">
          <cell r="Y65" t="str">
            <v>豐原市公所2</v>
          </cell>
          <cell r="Z65" t="str">
            <v>營造綜合保險費</v>
          </cell>
          <cell r="AA65" t="str">
            <v>式</v>
          </cell>
          <cell r="AB65">
            <v>1</v>
          </cell>
          <cell r="AC65">
            <v>6324</v>
          </cell>
          <cell r="AD65">
            <v>63228</v>
          </cell>
        </row>
        <row r="66">
          <cell r="Y66" t="str">
            <v>豐原市公所3</v>
          </cell>
          <cell r="Z66" t="str">
            <v>勞工安全衛生及交通維護費</v>
          </cell>
          <cell r="AA66" t="str">
            <v>式</v>
          </cell>
          <cell r="AB66">
            <v>1</v>
          </cell>
          <cell r="AC66">
            <v>23715</v>
          </cell>
          <cell r="AD66">
            <v>0</v>
          </cell>
        </row>
        <row r="67">
          <cell r="Y67" t="str">
            <v>豐原市公所4</v>
          </cell>
          <cell r="Z67" t="str">
            <v>包商利潤</v>
          </cell>
          <cell r="AA67" t="str">
            <v>式</v>
          </cell>
          <cell r="AB67">
            <v>1</v>
          </cell>
          <cell r="AC67">
            <v>39512.32</v>
          </cell>
          <cell r="AD67">
            <v>0</v>
          </cell>
        </row>
        <row r="68">
          <cell r="Y68" t="str">
            <v>豐原市公所5</v>
          </cell>
          <cell r="Z68" t="str">
            <v>稅捐</v>
          </cell>
          <cell r="AA68" t="str">
            <v>式</v>
          </cell>
          <cell r="AB68">
            <v>1</v>
          </cell>
          <cell r="AC68">
            <v>42687</v>
          </cell>
          <cell r="AD68">
            <v>42687</v>
          </cell>
        </row>
        <row r="69">
          <cell r="Y69" t="str">
            <v>豐原市公所6</v>
          </cell>
          <cell r="Z69" t="str">
            <v>合      計</v>
          </cell>
          <cell r="AD69">
            <v>1750161</v>
          </cell>
        </row>
        <row r="72">
          <cell r="Z72" t="str">
            <v>工  程  項  目</v>
          </cell>
          <cell r="AA72" t="str">
            <v>單位</v>
          </cell>
          <cell r="AB72" t="str">
            <v>數   量</v>
          </cell>
          <cell r="AC72" t="str">
            <v>單   價</v>
          </cell>
          <cell r="AD72" t="str">
            <v>總   價</v>
          </cell>
        </row>
        <row r="73">
          <cell r="Y73" t="str">
            <v>縣府土木課1</v>
          </cell>
          <cell r="Z73" t="str">
            <v>材料試驗費</v>
          </cell>
          <cell r="AA73" t="str">
            <v>式</v>
          </cell>
          <cell r="AB73">
            <v>1</v>
          </cell>
          <cell r="AC73">
            <v>11420</v>
          </cell>
          <cell r="AD73">
            <v>6274</v>
          </cell>
        </row>
        <row r="74">
          <cell r="Y74" t="str">
            <v>縣府土木課2</v>
          </cell>
          <cell r="Z74" t="str">
            <v>勞工安全衛生費</v>
          </cell>
          <cell r="AA74" t="str">
            <v>式</v>
          </cell>
          <cell r="AB74">
            <v>1</v>
          </cell>
          <cell r="AC74">
            <v>7905</v>
          </cell>
          <cell r="AD74">
            <v>63228</v>
          </cell>
        </row>
        <row r="75">
          <cell r="Y75" t="str">
            <v>縣府土木課3</v>
          </cell>
          <cell r="Z75" t="str">
            <v>包商利潤及管理費(含施工標示牌)</v>
          </cell>
          <cell r="AA75" t="str">
            <v>式</v>
          </cell>
          <cell r="AB75">
            <v>1</v>
          </cell>
          <cell r="AC75">
            <v>63227.6</v>
          </cell>
          <cell r="AD75">
            <v>0</v>
          </cell>
        </row>
        <row r="76">
          <cell r="Y76" t="str">
            <v>縣府土木課4</v>
          </cell>
          <cell r="Z76" t="str">
            <v>加值營業稅</v>
          </cell>
          <cell r="AA76" t="str">
            <v>式</v>
          </cell>
          <cell r="AB76">
            <v>1</v>
          </cell>
          <cell r="AC76">
            <v>42687</v>
          </cell>
          <cell r="AD76">
            <v>0</v>
          </cell>
        </row>
        <row r="77">
          <cell r="Y77" t="str">
            <v>縣府土木課5</v>
          </cell>
          <cell r="Z77" t="str">
            <v>合      計</v>
          </cell>
          <cell r="AD77">
            <v>1707474</v>
          </cell>
        </row>
        <row r="81">
          <cell r="Z81" t="str">
            <v>工  程  項  目</v>
          </cell>
          <cell r="AA81" t="str">
            <v>單位</v>
          </cell>
          <cell r="AB81" t="str">
            <v>數   量</v>
          </cell>
          <cell r="AC81" t="str">
            <v>單   價</v>
          </cell>
          <cell r="AD81" t="str">
            <v>總   價</v>
          </cell>
        </row>
        <row r="82">
          <cell r="Y82" t="str">
            <v>大肚鄉公所1</v>
          </cell>
          <cell r="Z82" t="str">
            <v>材料試驗費</v>
          </cell>
          <cell r="AA82" t="str">
            <v>式</v>
          </cell>
          <cell r="AB82">
            <v>1</v>
          </cell>
          <cell r="AC82">
            <v>11420</v>
          </cell>
          <cell r="AD82">
            <v>6274</v>
          </cell>
          <cell r="AU82" t="str">
            <v>豐原市公所</v>
          </cell>
          <cell r="AV82" t="str">
            <v>項次</v>
          </cell>
          <cell r="AW82" t="str">
            <v>工程項目</v>
          </cell>
          <cell r="AX82" t="str">
            <v>單位</v>
          </cell>
          <cell r="AY82" t="str">
            <v>數   量</v>
          </cell>
          <cell r="AZ82" t="str">
            <v>單   價</v>
          </cell>
          <cell r="BA82" t="str">
            <v>總   價</v>
          </cell>
          <cell r="BB82" t="str">
            <v>附   註</v>
          </cell>
          <cell r="BD82" t="str">
            <v>項次</v>
          </cell>
          <cell r="BE82" t="str">
            <v>工程項目</v>
          </cell>
          <cell r="BF82" t="str">
            <v>單位</v>
          </cell>
          <cell r="BG82" t="str">
            <v>數   量</v>
          </cell>
          <cell r="BH82" t="str">
            <v>單   價</v>
          </cell>
          <cell r="BI82" t="str">
            <v>總   價</v>
          </cell>
          <cell r="BJ82" t="str">
            <v>附   註</v>
          </cell>
        </row>
        <row r="83">
          <cell r="Y83" t="str">
            <v>大肚鄉公所2</v>
          </cell>
          <cell r="Z83" t="str">
            <v>勞工安全衛生管理費(約0.8%)</v>
          </cell>
          <cell r="AA83" t="str">
            <v>式</v>
          </cell>
          <cell r="AB83">
            <v>1</v>
          </cell>
          <cell r="AC83">
            <v>6324</v>
          </cell>
          <cell r="AD83">
            <v>63228</v>
          </cell>
          <cell r="AU83" t="str">
            <v>豐原市公所1</v>
          </cell>
        </row>
        <row r="84">
          <cell r="Y84" t="str">
            <v>大肚鄉公所3</v>
          </cell>
          <cell r="Z84" t="str">
            <v>包商利潤(約8%)</v>
          </cell>
          <cell r="AA84" t="str">
            <v>式</v>
          </cell>
          <cell r="AB84">
            <v>1</v>
          </cell>
          <cell r="AC84">
            <v>68285.810000000012</v>
          </cell>
          <cell r="AD84">
            <v>0</v>
          </cell>
          <cell r="AU84" t="str">
            <v>豐原市公所2</v>
          </cell>
          <cell r="AV84">
            <v>1</v>
          </cell>
          <cell r="AW84" t="str">
            <v>發 包 工 程 費</v>
          </cell>
          <cell r="AX84" t="str">
            <v>式</v>
          </cell>
          <cell r="AY84">
            <v>1</v>
          </cell>
          <cell r="AZ84" t="str">
            <v xml:space="preserve">---------   </v>
          </cell>
          <cell r="BA84">
            <v>1750161</v>
          </cell>
          <cell r="BD84">
            <v>1</v>
          </cell>
          <cell r="BE84" t="str">
            <v>發 包 工 程 費</v>
          </cell>
          <cell r="BF84" t="str">
            <v>式</v>
          </cell>
          <cell r="BG84">
            <v>1</v>
          </cell>
          <cell r="BH84" t="str">
            <v xml:space="preserve">---------   </v>
          </cell>
          <cell r="BI84">
            <v>1750161</v>
          </cell>
        </row>
        <row r="85">
          <cell r="Y85" t="str">
            <v>大肚鄉公所4</v>
          </cell>
          <cell r="Z85" t="str">
            <v>小      計</v>
          </cell>
          <cell r="AD85">
            <v>1707474</v>
          </cell>
          <cell r="AU85" t="str">
            <v>豐原市公所3</v>
          </cell>
        </row>
        <row r="86">
          <cell r="Y86" t="str">
            <v>大肚鄉公所5</v>
          </cell>
          <cell r="Z86" t="str">
            <v>營造綜合保險費(約1.0%)</v>
          </cell>
          <cell r="AA86" t="str">
            <v>式</v>
          </cell>
          <cell r="AB86">
            <v>1</v>
          </cell>
          <cell r="AC86">
            <v>8537</v>
          </cell>
          <cell r="AD86">
            <v>42687</v>
          </cell>
          <cell r="AU86" t="str">
            <v>豐原市公所4</v>
          </cell>
        </row>
        <row r="87">
          <cell r="Y87" t="str">
            <v>大肚鄉公所6</v>
          </cell>
          <cell r="Z87" t="str">
            <v>稅捐(約5%)</v>
          </cell>
          <cell r="AA87" t="str">
            <v>式</v>
          </cell>
          <cell r="AB87">
            <v>1</v>
          </cell>
          <cell r="AC87">
            <v>44821</v>
          </cell>
          <cell r="AD87">
            <v>0</v>
          </cell>
          <cell r="AU87" t="str">
            <v>豐原市公所5</v>
          </cell>
          <cell r="AV87">
            <v>2</v>
          </cell>
          <cell r="AW87" t="str">
            <v>工 程 管 理 費</v>
          </cell>
          <cell r="AX87" t="str">
            <v>式</v>
          </cell>
          <cell r="AY87">
            <v>1</v>
          </cell>
          <cell r="AZ87" t="str">
            <v xml:space="preserve">---------   </v>
          </cell>
          <cell r="BA87">
            <v>49134</v>
          </cell>
          <cell r="BD87">
            <v>2</v>
          </cell>
          <cell r="BE87" t="str">
            <v>工 程 管 理 費</v>
          </cell>
          <cell r="BF87" t="str">
            <v>式</v>
          </cell>
          <cell r="BG87">
            <v>1</v>
          </cell>
          <cell r="BH87" t="str">
            <v xml:space="preserve">---------   </v>
          </cell>
          <cell r="BI87">
            <v>49134</v>
          </cell>
        </row>
        <row r="88">
          <cell r="Y88" t="str">
            <v>大肚鄉公所7</v>
          </cell>
          <cell r="Z88" t="str">
            <v>合            計</v>
          </cell>
          <cell r="AD88">
            <v>42687</v>
          </cell>
          <cell r="AU88" t="str">
            <v>豐原市公所6</v>
          </cell>
          <cell r="AW88" t="str">
            <v>500萬元以下3%</v>
          </cell>
          <cell r="BE88" t="str">
            <v>500萬元以下3%</v>
          </cell>
        </row>
        <row r="89">
          <cell r="AU89" t="str">
            <v>豐原市公所7</v>
          </cell>
          <cell r="AW89">
            <v>0</v>
          </cell>
          <cell r="BE89">
            <v>0</v>
          </cell>
        </row>
        <row r="90">
          <cell r="AU90" t="str">
            <v>豐原市公所8</v>
          </cell>
        </row>
        <row r="91">
          <cell r="Z91" t="str">
            <v>工  程  項  目</v>
          </cell>
          <cell r="AA91" t="str">
            <v>單位</v>
          </cell>
          <cell r="AB91" t="str">
            <v>數   量</v>
          </cell>
          <cell r="AC91" t="str">
            <v>單   價</v>
          </cell>
          <cell r="AD91" t="str">
            <v>總   價</v>
          </cell>
          <cell r="AU91" t="str">
            <v>豐原市公所9</v>
          </cell>
        </row>
        <row r="92">
          <cell r="Y92" t="str">
            <v>太平市公所1</v>
          </cell>
          <cell r="Z92" t="str">
            <v>勞工安全衛生費(約0.8%)</v>
          </cell>
          <cell r="AA92" t="str">
            <v>式</v>
          </cell>
          <cell r="AB92">
            <v>1</v>
          </cell>
          <cell r="AC92">
            <v>6274</v>
          </cell>
          <cell r="AD92">
            <v>6274</v>
          </cell>
          <cell r="AU92" t="str">
            <v>豐原市公所10</v>
          </cell>
          <cell r="AV92">
            <v>3</v>
          </cell>
          <cell r="AW92" t="str">
            <v>委  託  技  術  服  務  費</v>
          </cell>
          <cell r="AX92" t="str">
            <v>式</v>
          </cell>
          <cell r="AY92">
            <v>1</v>
          </cell>
          <cell r="AZ92" t="str">
            <v xml:space="preserve">---------   </v>
          </cell>
          <cell r="BA92">
            <v>111809</v>
          </cell>
          <cell r="BD92">
            <v>3</v>
          </cell>
          <cell r="BE92" t="str">
            <v>空 氣 污 染 防 制 費</v>
          </cell>
          <cell r="BF92" t="str">
            <v>式</v>
          </cell>
          <cell r="BG92">
            <v>1</v>
          </cell>
          <cell r="BH92" t="str">
            <v xml:space="preserve">---------   </v>
          </cell>
          <cell r="BI92">
            <v>2707</v>
          </cell>
        </row>
        <row r="93">
          <cell r="Y93" t="str">
            <v>太平市公所2</v>
          </cell>
          <cell r="Z93" t="str">
            <v>交通安全維護費(約0.8%)</v>
          </cell>
          <cell r="AA93" t="str">
            <v>式</v>
          </cell>
          <cell r="AB93">
            <v>1</v>
          </cell>
          <cell r="AC93">
            <v>6274</v>
          </cell>
          <cell r="AD93">
            <v>63228</v>
          </cell>
          <cell r="AU93" t="str">
            <v>豐原市公所11</v>
          </cell>
          <cell r="AW93" t="str">
            <v>1000萬元以下6.8%</v>
          </cell>
          <cell r="BE93" t="str">
            <v>(0.3%*發包工程費)</v>
          </cell>
          <cell r="BH93" t="str">
            <v xml:space="preserve"> </v>
          </cell>
        </row>
        <row r="94">
          <cell r="Y94" t="str">
            <v>太平市公所3</v>
          </cell>
          <cell r="Z94" t="str">
            <v>環境清潔衛生維護費(約0.6%)</v>
          </cell>
          <cell r="AA94" t="str">
            <v>式</v>
          </cell>
          <cell r="AB94">
            <v>1</v>
          </cell>
          <cell r="AC94">
            <v>4705</v>
          </cell>
          <cell r="AD94">
            <v>0</v>
          </cell>
          <cell r="AU94" t="str">
            <v>豐原市公所12</v>
          </cell>
          <cell r="AW94">
            <v>0</v>
          </cell>
          <cell r="BE94">
            <v>0</v>
          </cell>
        </row>
        <row r="95">
          <cell r="Y95" t="str">
            <v>太平市公所4</v>
          </cell>
          <cell r="Z95" t="str">
            <v>材料品質試驗費(約0.6%)</v>
          </cell>
          <cell r="AA95" t="str">
            <v>式</v>
          </cell>
          <cell r="AB95">
            <v>1</v>
          </cell>
          <cell r="AC95">
            <v>4705</v>
          </cell>
          <cell r="AD95">
            <v>0</v>
          </cell>
          <cell r="AU95" t="str">
            <v>豐原市公所13</v>
          </cell>
        </row>
        <row r="96">
          <cell r="Y96" t="str">
            <v>太平市公所5</v>
          </cell>
          <cell r="Z96" t="str">
            <v>營造綜合保險費(約0.6%)</v>
          </cell>
          <cell r="AA96" t="str">
            <v>式</v>
          </cell>
          <cell r="AB96">
            <v>1</v>
          </cell>
          <cell r="AC96">
            <v>4705</v>
          </cell>
          <cell r="AD96">
            <v>42687</v>
          </cell>
          <cell r="AU96" t="str">
            <v>豐原市公所14</v>
          </cell>
        </row>
        <row r="97">
          <cell r="Y97" t="str">
            <v>太平市公所6</v>
          </cell>
          <cell r="Z97" t="str">
            <v>包商利潤費(約7%)</v>
          </cell>
          <cell r="AA97" t="str">
            <v>式</v>
          </cell>
          <cell r="AB97">
            <v>1</v>
          </cell>
          <cell r="AC97">
            <v>54883.33</v>
          </cell>
          <cell r="AD97">
            <v>0</v>
          </cell>
          <cell r="AU97" t="str">
            <v>豐原市公所15</v>
          </cell>
          <cell r="AV97">
            <v>4</v>
          </cell>
          <cell r="AW97" t="str">
            <v>空 氣 污 染 防 制 費</v>
          </cell>
          <cell r="AX97" t="str">
            <v>式</v>
          </cell>
          <cell r="AY97">
            <v>1</v>
          </cell>
          <cell r="AZ97" t="str">
            <v xml:space="preserve">---------   </v>
          </cell>
          <cell r="BA97">
            <v>2707</v>
          </cell>
        </row>
        <row r="98">
          <cell r="Y98" t="str">
            <v>太平市公所7</v>
          </cell>
          <cell r="Z98" t="str">
            <v>加值營業稅(約5%)</v>
          </cell>
          <cell r="AA98" t="str">
            <v>式</v>
          </cell>
          <cell r="AB98">
            <v>1</v>
          </cell>
          <cell r="AC98">
            <v>44821</v>
          </cell>
          <cell r="AD98">
            <v>5976</v>
          </cell>
          <cell r="AU98" t="str">
            <v>豐原市公所16</v>
          </cell>
          <cell r="AW98" t="str">
            <v>(0.3%*發包工程費)</v>
          </cell>
          <cell r="AZ98" t="str">
            <v xml:space="preserve"> </v>
          </cell>
        </row>
        <row r="99">
          <cell r="Y99" t="str">
            <v>太平市公所8</v>
          </cell>
          <cell r="Z99" t="str">
            <v>小      計</v>
          </cell>
          <cell r="AD99">
            <v>1756137</v>
          </cell>
          <cell r="AU99" t="str">
            <v>豐原市公所17</v>
          </cell>
        </row>
        <row r="100">
          <cell r="AU100" t="str">
            <v>豐原市公所18</v>
          </cell>
        </row>
        <row r="101">
          <cell r="AU101" t="str">
            <v>豐原市公所19</v>
          </cell>
          <cell r="BE101" t="str">
            <v>合計</v>
          </cell>
          <cell r="BI101">
            <v>1802002</v>
          </cell>
        </row>
        <row r="102">
          <cell r="Z102" t="str">
            <v>工  程  項  目</v>
          </cell>
          <cell r="AA102" t="str">
            <v>單位</v>
          </cell>
          <cell r="AB102" t="str">
            <v>數   量</v>
          </cell>
          <cell r="AC102" t="str">
            <v>單   價</v>
          </cell>
          <cell r="AD102" t="str">
            <v>總   價</v>
          </cell>
          <cell r="AU102" t="str">
            <v>豐原市公所20</v>
          </cell>
        </row>
        <row r="103">
          <cell r="Y103" t="str">
            <v>石岡鄉公所1</v>
          </cell>
          <cell r="Z103" t="str">
            <v>材料試驗費</v>
          </cell>
          <cell r="AA103" t="str">
            <v>式</v>
          </cell>
          <cell r="AB103">
            <v>1</v>
          </cell>
          <cell r="AC103">
            <v>11420</v>
          </cell>
          <cell r="AD103">
            <v>6274</v>
          </cell>
          <cell r="AU103" t="str">
            <v>豐原市公所21</v>
          </cell>
        </row>
        <row r="104">
          <cell r="Y104" t="str">
            <v>石岡鄉公所2</v>
          </cell>
          <cell r="Z104" t="str">
            <v>勞工安全衛生費</v>
          </cell>
          <cell r="AA104" t="str">
            <v>式</v>
          </cell>
          <cell r="AB104">
            <v>1</v>
          </cell>
          <cell r="AC104">
            <v>7905</v>
          </cell>
          <cell r="AD104">
            <v>63228</v>
          </cell>
          <cell r="AU104" t="str">
            <v>豐原市公所22</v>
          </cell>
        </row>
        <row r="105">
          <cell r="Y105" t="str">
            <v>石岡鄉公所3</v>
          </cell>
          <cell r="Z105" t="str">
            <v>營造綜合保險費</v>
          </cell>
          <cell r="AA105" t="str">
            <v>式</v>
          </cell>
          <cell r="AB105">
            <v>1</v>
          </cell>
          <cell r="AC105">
            <v>4269</v>
          </cell>
          <cell r="AD105">
            <v>0</v>
          </cell>
          <cell r="AU105" t="str">
            <v>豐原市公所23</v>
          </cell>
          <cell r="AW105" t="str">
            <v>合計</v>
          </cell>
          <cell r="BA105">
            <v>1913811</v>
          </cell>
        </row>
        <row r="106">
          <cell r="Y106" t="str">
            <v>石岡鄉公所4</v>
          </cell>
          <cell r="Z106" t="str">
            <v>包商利潤及管理費</v>
          </cell>
          <cell r="AA106" t="str">
            <v>式</v>
          </cell>
          <cell r="AB106">
            <v>1</v>
          </cell>
          <cell r="AC106">
            <v>68285.810000000012</v>
          </cell>
          <cell r="AD106">
            <v>0</v>
          </cell>
          <cell r="AU106" t="str">
            <v>豐原市公所24</v>
          </cell>
        </row>
        <row r="107">
          <cell r="Y107" t="str">
            <v>石岡鄉公所5</v>
          </cell>
          <cell r="Z107" t="str">
            <v>加值營業稅</v>
          </cell>
          <cell r="AA107" t="str">
            <v>式</v>
          </cell>
          <cell r="AB107">
            <v>1</v>
          </cell>
          <cell r="AC107">
            <v>42687</v>
          </cell>
          <cell r="AD107">
            <v>42687</v>
          </cell>
          <cell r="AU107" t="str">
            <v>豐原市公所25</v>
          </cell>
        </row>
        <row r="108">
          <cell r="Y108" t="str">
            <v>石岡鄉公所6</v>
          </cell>
          <cell r="Z108" t="str">
            <v>合      計</v>
          </cell>
          <cell r="AD108">
            <v>1750161</v>
          </cell>
          <cell r="AU108" t="str">
            <v>豐原市公所26</v>
          </cell>
        </row>
        <row r="109">
          <cell r="AU109" t="str">
            <v>豐原市公所27</v>
          </cell>
        </row>
        <row r="110">
          <cell r="AU110" t="str">
            <v>豐原市公所28</v>
          </cell>
        </row>
        <row r="111">
          <cell r="Z111" t="str">
            <v>工  程  項  目</v>
          </cell>
          <cell r="AA111" t="str">
            <v>單位</v>
          </cell>
          <cell r="AB111" t="str">
            <v>數   量</v>
          </cell>
          <cell r="AC111" t="str">
            <v>單   價</v>
          </cell>
          <cell r="AD111" t="str">
            <v>總   價</v>
          </cell>
          <cell r="AU111" t="str">
            <v>豐原市公所29</v>
          </cell>
        </row>
        <row r="112">
          <cell r="Y112" t="str">
            <v>霧峰鄉公所1</v>
          </cell>
          <cell r="Z112" t="str">
            <v>材料試驗費</v>
          </cell>
          <cell r="AA112" t="str">
            <v>式</v>
          </cell>
          <cell r="AB112">
            <v>1</v>
          </cell>
          <cell r="AC112">
            <v>11420</v>
          </cell>
          <cell r="AD112">
            <v>6274</v>
          </cell>
          <cell r="AU112" t="str">
            <v>豐原市公所30</v>
          </cell>
        </row>
        <row r="113">
          <cell r="Y113" t="str">
            <v>霧峰鄉公所2</v>
          </cell>
          <cell r="Z113" t="str">
            <v>營造綜合保險費(約1.0%)</v>
          </cell>
          <cell r="AA113" t="str">
            <v>式</v>
          </cell>
          <cell r="AB113">
            <v>1</v>
          </cell>
          <cell r="AC113">
            <v>7905</v>
          </cell>
          <cell r="AD113">
            <v>63228</v>
          </cell>
          <cell r="AU113" t="str">
            <v>豐原市公所31</v>
          </cell>
        </row>
        <row r="114">
          <cell r="Y114" t="str">
            <v>霧峰鄉公所3</v>
          </cell>
          <cell r="Z114" t="str">
            <v>勞工安全衛生管理費(約1.0%)</v>
          </cell>
          <cell r="AA114" t="str">
            <v>式</v>
          </cell>
          <cell r="AB114">
            <v>1</v>
          </cell>
          <cell r="AC114">
            <v>7905</v>
          </cell>
          <cell r="AD114">
            <v>0</v>
          </cell>
          <cell r="AU114" t="str">
            <v>豐原市公所32</v>
          </cell>
        </row>
        <row r="115">
          <cell r="Y115" t="str">
            <v>霧峰鄉公所4</v>
          </cell>
          <cell r="Z115" t="str">
            <v>包商利潤(約8%)</v>
          </cell>
          <cell r="AA115" t="str">
            <v>式</v>
          </cell>
          <cell r="AB115">
            <v>1</v>
          </cell>
          <cell r="AC115">
            <v>63227.6</v>
          </cell>
          <cell r="AD115">
            <v>0</v>
          </cell>
          <cell r="AU115" t="str">
            <v>豐原市公所33</v>
          </cell>
        </row>
        <row r="116">
          <cell r="Y116" t="str">
            <v>霧峰鄉公所5</v>
          </cell>
          <cell r="Z116" t="str">
            <v>營業稅(約5%)</v>
          </cell>
          <cell r="AA116" t="str">
            <v>式</v>
          </cell>
          <cell r="AB116">
            <v>1</v>
          </cell>
          <cell r="AC116">
            <v>43477</v>
          </cell>
          <cell r="AD116">
            <v>42687</v>
          </cell>
          <cell r="AU116" t="str">
            <v>豐原市公所34</v>
          </cell>
        </row>
        <row r="117">
          <cell r="Y117" t="str">
            <v>霧峰鄉公所6</v>
          </cell>
          <cell r="Z117" t="str">
            <v>小計</v>
          </cell>
          <cell r="AD117">
            <v>1750161</v>
          </cell>
          <cell r="AU117" t="str">
            <v>豐原市公所35</v>
          </cell>
        </row>
        <row r="118">
          <cell r="Y118" t="str">
            <v>霧峰鄉公所7</v>
          </cell>
          <cell r="AU118" t="str">
            <v>豐原市公所36</v>
          </cell>
        </row>
        <row r="119">
          <cell r="Y119" t="str">
            <v>霧峰鄉公所8</v>
          </cell>
          <cell r="Z119" t="str">
            <v>工程管理費(3%)</v>
          </cell>
          <cell r="AA119" t="str">
            <v>式</v>
          </cell>
          <cell r="AB119">
            <v>1</v>
          </cell>
          <cell r="AD119">
            <v>49134</v>
          </cell>
          <cell r="AU119" t="str">
            <v>豐原市公所37</v>
          </cell>
        </row>
        <row r="120">
          <cell r="Y120" t="str">
            <v>霧峰鄉公所9</v>
          </cell>
          <cell r="AU120" t="str">
            <v>豐原市公所38</v>
          </cell>
        </row>
        <row r="121">
          <cell r="Y121" t="str">
            <v>霧峰鄉公所10</v>
          </cell>
          <cell r="Z121" t="str">
            <v>委託技術服務費(6.8%)</v>
          </cell>
          <cell r="AA121" t="str">
            <v>式</v>
          </cell>
          <cell r="AB121">
            <v>1</v>
          </cell>
          <cell r="AD121">
            <v>111809</v>
          </cell>
          <cell r="AU121" t="str">
            <v>豐原市公所39</v>
          </cell>
        </row>
        <row r="122">
          <cell r="Y122" t="str">
            <v>霧峰鄉公所11</v>
          </cell>
          <cell r="AU122" t="str">
            <v>豐原市公所40</v>
          </cell>
          <cell r="AV122" t="str">
            <v xml:space="preserve">     本工程預算總額計新台幣</v>
          </cell>
          <cell r="BA122" t="str">
            <v>壹佰玖拾壹萬參仟捌佰壹拾壹元整</v>
          </cell>
          <cell r="BD122" t="str">
            <v xml:space="preserve">     本工程預算總額計新台幣</v>
          </cell>
          <cell r="BI122" t="str">
            <v>壹佰捌拾萬貳仟零貳元整</v>
          </cell>
        </row>
        <row r="123">
          <cell r="Y123" t="str">
            <v>霧峰鄉公所12</v>
          </cell>
          <cell r="Z123" t="str">
            <v>空氣污染防制費</v>
          </cell>
          <cell r="AA123" t="str">
            <v>式</v>
          </cell>
          <cell r="AB123">
            <v>1</v>
          </cell>
          <cell r="AD123">
            <v>2707</v>
          </cell>
        </row>
        <row r="124">
          <cell r="Y124" t="str">
            <v>霧峰鄉公所13</v>
          </cell>
          <cell r="Z124" t="str">
            <v>(0.3%*發包工程費)</v>
          </cell>
          <cell r="AU124" t="str">
            <v>縣府土木課</v>
          </cell>
          <cell r="AV124" t="str">
            <v>項次</v>
          </cell>
          <cell r="AW124" t="str">
            <v>工程項目</v>
          </cell>
          <cell r="AX124" t="str">
            <v>單位</v>
          </cell>
          <cell r="AY124" t="str">
            <v>數   量</v>
          </cell>
          <cell r="AZ124" t="str">
            <v>單   價</v>
          </cell>
          <cell r="BA124" t="str">
            <v>總   價</v>
          </cell>
          <cell r="BB124" t="str">
            <v>附   註</v>
          </cell>
          <cell r="BD124" t="str">
            <v>項次</v>
          </cell>
          <cell r="BE124" t="str">
            <v>工程項目</v>
          </cell>
          <cell r="BF124" t="str">
            <v>單位</v>
          </cell>
          <cell r="BG124" t="str">
            <v>數   量</v>
          </cell>
          <cell r="BH124" t="str">
            <v>單   價</v>
          </cell>
          <cell r="BI124" t="str">
            <v>總   價</v>
          </cell>
          <cell r="BJ124" t="str">
            <v>附   註</v>
          </cell>
        </row>
        <row r="125">
          <cell r="Y125" t="str">
            <v>霧峰鄉公所14</v>
          </cell>
          <cell r="AU125" t="str">
            <v>縣府土木課1</v>
          </cell>
        </row>
        <row r="126">
          <cell r="Y126" t="str">
            <v>霧峰鄉公所15</v>
          </cell>
          <cell r="Z126" t="str">
            <v>總    計</v>
          </cell>
          <cell r="AD126">
            <v>908376</v>
          </cell>
          <cell r="AU126" t="str">
            <v>縣府土木課2</v>
          </cell>
          <cell r="AV126">
            <v>1</v>
          </cell>
          <cell r="AW126" t="str">
            <v>發包工程費</v>
          </cell>
          <cell r="AX126" t="str">
            <v>式</v>
          </cell>
          <cell r="AY126">
            <v>1</v>
          </cell>
          <cell r="AZ126" t="str">
            <v xml:space="preserve">---------   </v>
          </cell>
          <cell r="BA126">
            <v>1707474</v>
          </cell>
          <cell r="BD126">
            <v>1</v>
          </cell>
          <cell r="BE126" t="str">
            <v>發包工程費</v>
          </cell>
          <cell r="BF126" t="str">
            <v>式</v>
          </cell>
          <cell r="BG126">
            <v>1</v>
          </cell>
          <cell r="BH126" t="str">
            <v xml:space="preserve">---------   </v>
          </cell>
          <cell r="BI126">
            <v>1707474</v>
          </cell>
        </row>
        <row r="127">
          <cell r="AU127" t="str">
            <v>縣府土木課3</v>
          </cell>
        </row>
        <row r="128">
          <cell r="AU128" t="str">
            <v>縣府土木課4</v>
          </cell>
        </row>
        <row r="129">
          <cell r="Z129" t="str">
            <v>工  程  項  目</v>
          </cell>
          <cell r="AA129" t="str">
            <v>單位</v>
          </cell>
          <cell r="AB129" t="str">
            <v>數   量</v>
          </cell>
          <cell r="AC129" t="str">
            <v>單   價</v>
          </cell>
          <cell r="AD129" t="str">
            <v>總   價</v>
          </cell>
          <cell r="AU129" t="str">
            <v>縣府土木課5</v>
          </cell>
          <cell r="AV129">
            <v>2</v>
          </cell>
          <cell r="AW129" t="str">
            <v>工程管理費</v>
          </cell>
          <cell r="AX129" t="str">
            <v>式</v>
          </cell>
          <cell r="AY129">
            <v>1</v>
          </cell>
          <cell r="AZ129" t="str">
            <v xml:space="preserve">---------   </v>
          </cell>
          <cell r="BA129">
            <v>51031</v>
          </cell>
          <cell r="BD129">
            <v>2</v>
          </cell>
          <cell r="BE129" t="str">
            <v>工程管理費</v>
          </cell>
          <cell r="BF129" t="str">
            <v>式</v>
          </cell>
          <cell r="BG129">
            <v>1</v>
          </cell>
          <cell r="BH129" t="str">
            <v xml:space="preserve">---------   </v>
          </cell>
          <cell r="BI129">
            <v>51031</v>
          </cell>
        </row>
        <row r="130">
          <cell r="Y130" t="str">
            <v>龍井鄉公所1</v>
          </cell>
          <cell r="Z130" t="str">
            <v>勞工安全衛生管理費(約0.8%)</v>
          </cell>
          <cell r="AA130" t="str">
            <v>式</v>
          </cell>
          <cell r="AB130">
            <v>1</v>
          </cell>
          <cell r="AC130">
            <v>6274</v>
          </cell>
          <cell r="AD130">
            <v>6274</v>
          </cell>
          <cell r="AE130">
            <v>0</v>
          </cell>
          <cell r="AU130" t="str">
            <v>縣府土木課6</v>
          </cell>
          <cell r="AW130" t="str">
            <v>500萬元以下3%</v>
          </cell>
          <cell r="BE130" t="str">
            <v>500萬元以下3%</v>
          </cell>
        </row>
        <row r="131">
          <cell r="Y131" t="str">
            <v>龍井鄉公所2</v>
          </cell>
          <cell r="Z131" t="str">
            <v>包商利潤(約8%)</v>
          </cell>
          <cell r="AA131" t="str">
            <v>式</v>
          </cell>
          <cell r="AB131">
            <v>1</v>
          </cell>
          <cell r="AC131">
            <v>63227.6</v>
          </cell>
          <cell r="AD131">
            <v>63227.6</v>
          </cell>
          <cell r="AE131">
            <v>0</v>
          </cell>
          <cell r="AU131" t="str">
            <v>縣府土木課7</v>
          </cell>
          <cell r="AW131">
            <v>0</v>
          </cell>
          <cell r="BE131">
            <v>0</v>
          </cell>
        </row>
        <row r="132">
          <cell r="Y132" t="str">
            <v>龍井鄉公所3</v>
          </cell>
          <cell r="Z132" t="str">
            <v>小      計</v>
          </cell>
          <cell r="AD132">
            <v>853737</v>
          </cell>
          <cell r="AE132">
            <v>0</v>
          </cell>
          <cell r="AU132" t="str">
            <v>縣府土木課8</v>
          </cell>
        </row>
        <row r="133">
          <cell r="Y133" t="str">
            <v>龍井鄉公所4</v>
          </cell>
          <cell r="AU133" t="str">
            <v>縣府土木課9</v>
          </cell>
        </row>
        <row r="134">
          <cell r="Y134" t="str">
            <v>龍井鄉公所5</v>
          </cell>
          <cell r="Z134" t="str">
            <v>稅捐(約5%)</v>
          </cell>
          <cell r="AA134" t="str">
            <v>式</v>
          </cell>
          <cell r="AB134">
            <v>1</v>
          </cell>
          <cell r="AC134">
            <v>42687</v>
          </cell>
          <cell r="AD134">
            <v>42687</v>
          </cell>
          <cell r="AE134">
            <v>0</v>
          </cell>
          <cell r="AU134" t="str">
            <v>縣府土木課10</v>
          </cell>
          <cell r="AV134">
            <v>3</v>
          </cell>
          <cell r="AW134" t="str">
            <v>委託技術服務費</v>
          </cell>
          <cell r="AX134" t="str">
            <v>式</v>
          </cell>
          <cell r="AY134">
            <v>1</v>
          </cell>
          <cell r="AZ134" t="str">
            <v xml:space="preserve">---------   </v>
          </cell>
          <cell r="BA134">
            <v>116108</v>
          </cell>
          <cell r="BD134">
            <v>3</v>
          </cell>
          <cell r="BE134" t="str">
            <v>空氣污染防制費</v>
          </cell>
          <cell r="BF134" t="str">
            <v>式</v>
          </cell>
          <cell r="BG134">
            <v>1</v>
          </cell>
          <cell r="BH134" t="str">
            <v xml:space="preserve">---------   </v>
          </cell>
          <cell r="BI134">
            <v>2707</v>
          </cell>
        </row>
        <row r="135">
          <cell r="Y135" t="str">
            <v>龍井鄉公所6</v>
          </cell>
          <cell r="AU135" t="str">
            <v>縣府土木課11</v>
          </cell>
          <cell r="AW135" t="str">
            <v>1000萬元以下6.8%</v>
          </cell>
          <cell r="BE135" t="str">
            <v>(0.3%*發包工程費)</v>
          </cell>
        </row>
        <row r="136">
          <cell r="Y136" t="str">
            <v>龍井鄉公所7</v>
          </cell>
          <cell r="Z136" t="str">
            <v>營造綜合保險費(約0.7%)</v>
          </cell>
          <cell r="AA136" t="str">
            <v>式</v>
          </cell>
          <cell r="AB136">
            <v>1</v>
          </cell>
          <cell r="AC136">
            <v>5976</v>
          </cell>
          <cell r="AD136">
            <v>5976</v>
          </cell>
          <cell r="AE136">
            <v>0</v>
          </cell>
          <cell r="AU136" t="str">
            <v>縣府土木課12</v>
          </cell>
          <cell r="AW136">
            <v>0</v>
          </cell>
        </row>
        <row r="137">
          <cell r="Y137" t="str">
            <v>龍井鄉公所8</v>
          </cell>
          <cell r="AU137" t="str">
            <v>縣府土木課13</v>
          </cell>
        </row>
        <row r="138">
          <cell r="Y138" t="str">
            <v>龍井鄉公所9</v>
          </cell>
          <cell r="Z138" t="str">
            <v>合      計</v>
          </cell>
          <cell r="AB138">
            <v>1</v>
          </cell>
          <cell r="AD138">
            <v>902400</v>
          </cell>
          <cell r="AE138">
            <v>0</v>
          </cell>
          <cell r="AU138" t="str">
            <v>縣府土木課14</v>
          </cell>
          <cell r="BE138" t="str">
            <v>總計</v>
          </cell>
          <cell r="BI138">
            <v>1761212</v>
          </cell>
        </row>
        <row r="139">
          <cell r="AU139" t="str">
            <v>縣府土木課15</v>
          </cell>
          <cell r="AV139">
            <v>4</v>
          </cell>
          <cell r="AW139" t="str">
            <v>空氣污染防制費</v>
          </cell>
          <cell r="AX139" t="str">
            <v>式</v>
          </cell>
          <cell r="AY139">
            <v>1</v>
          </cell>
          <cell r="AZ139" t="str">
            <v xml:space="preserve">---------   </v>
          </cell>
          <cell r="BA139">
            <v>2707</v>
          </cell>
        </row>
        <row r="140">
          <cell r="AU140" t="str">
            <v>縣府土木課16</v>
          </cell>
          <cell r="AW140" t="str">
            <v>(0.3%*發包工程費)</v>
          </cell>
        </row>
        <row r="141">
          <cell r="Z141" t="str">
            <v>工  程  項  目</v>
          </cell>
          <cell r="AA141" t="str">
            <v>單位</v>
          </cell>
          <cell r="AB141" t="str">
            <v>數   量</v>
          </cell>
          <cell r="AC141" t="str">
            <v>單   價</v>
          </cell>
          <cell r="AD141" t="str">
            <v>總   價</v>
          </cell>
          <cell r="AU141" t="str">
            <v>縣府土木課17</v>
          </cell>
        </row>
        <row r="142">
          <cell r="Y142" t="str">
            <v>新社鄉公所1</v>
          </cell>
          <cell r="Z142" t="str">
            <v>材料試驗費</v>
          </cell>
          <cell r="AA142" t="str">
            <v>式</v>
          </cell>
          <cell r="AB142">
            <v>1</v>
          </cell>
          <cell r="AC142">
            <v>11420</v>
          </cell>
          <cell r="AD142">
            <v>6274</v>
          </cell>
          <cell r="AU142" t="str">
            <v>縣府土木課18</v>
          </cell>
        </row>
        <row r="143">
          <cell r="Y143" t="str">
            <v>新社鄉公所2</v>
          </cell>
          <cell r="Z143" t="str">
            <v>勞工安全衛生管理費(約1.0%)</v>
          </cell>
          <cell r="AA143" t="str">
            <v>式</v>
          </cell>
          <cell r="AB143">
            <v>1</v>
          </cell>
          <cell r="AC143">
            <v>7905</v>
          </cell>
          <cell r="AD143">
            <v>63228</v>
          </cell>
          <cell r="AU143" t="str">
            <v>縣府土木課19</v>
          </cell>
          <cell r="AW143" t="str">
            <v>總計</v>
          </cell>
          <cell r="BA143">
            <v>1877320</v>
          </cell>
        </row>
        <row r="144">
          <cell r="Y144" t="str">
            <v>新社鄉公所3</v>
          </cell>
          <cell r="Z144" t="str">
            <v>包商利潤(約8%)</v>
          </cell>
          <cell r="AA144" t="str">
            <v>式</v>
          </cell>
          <cell r="AB144">
            <v>1</v>
          </cell>
          <cell r="AC144">
            <v>68285.810000000012</v>
          </cell>
          <cell r="AD144">
            <v>0</v>
          </cell>
          <cell r="AU144" t="str">
            <v>縣府土木課20</v>
          </cell>
        </row>
        <row r="145">
          <cell r="Y145" t="str">
            <v>新社鄉公所4</v>
          </cell>
          <cell r="Z145" t="str">
            <v>稅捐(約5%)</v>
          </cell>
          <cell r="AA145" t="str">
            <v>式</v>
          </cell>
          <cell r="AB145">
            <v>1</v>
          </cell>
          <cell r="AC145">
            <v>42687</v>
          </cell>
          <cell r="AD145">
            <v>0</v>
          </cell>
          <cell r="AU145" t="str">
            <v>縣府土木課21</v>
          </cell>
        </row>
        <row r="146">
          <cell r="Y146" t="str">
            <v>新社鄉公所5</v>
          </cell>
          <cell r="Z146" t="str">
            <v>保險費(約1%)</v>
          </cell>
          <cell r="AA146" t="str">
            <v>式</v>
          </cell>
          <cell r="AB146">
            <v>1</v>
          </cell>
          <cell r="AC146">
            <v>8537</v>
          </cell>
          <cell r="AD146">
            <v>42687</v>
          </cell>
          <cell r="AU146" t="str">
            <v>縣府土木課22</v>
          </cell>
        </row>
        <row r="147">
          <cell r="Y147" t="str">
            <v>新社鄉公所6</v>
          </cell>
          <cell r="Z147" t="str">
            <v>小          計</v>
          </cell>
          <cell r="AD147">
            <v>1750161</v>
          </cell>
          <cell r="AU147" t="str">
            <v>縣府土木課23</v>
          </cell>
        </row>
        <row r="148">
          <cell r="AU148" t="str">
            <v>縣府土木課24</v>
          </cell>
        </row>
        <row r="149">
          <cell r="AU149" t="str">
            <v>縣府土木課25</v>
          </cell>
        </row>
        <row r="150">
          <cell r="Z150" t="str">
            <v>工  程  項  目</v>
          </cell>
          <cell r="AA150" t="str">
            <v>單位</v>
          </cell>
          <cell r="AB150" t="str">
            <v>數   量</v>
          </cell>
          <cell r="AC150" t="str">
            <v>單   價</v>
          </cell>
          <cell r="AD150" t="str">
            <v>總   價</v>
          </cell>
          <cell r="AU150" t="str">
            <v>縣府土木課26</v>
          </cell>
        </row>
        <row r="151">
          <cell r="Y151" t="str">
            <v>清水鎮公所1</v>
          </cell>
          <cell r="Z151" t="str">
            <v>材料試驗費</v>
          </cell>
          <cell r="AA151" t="str">
            <v>式</v>
          </cell>
          <cell r="AB151">
            <v>1</v>
          </cell>
          <cell r="AC151">
            <v>11420</v>
          </cell>
          <cell r="AD151">
            <v>6274</v>
          </cell>
          <cell r="AU151" t="str">
            <v>縣府土木課27</v>
          </cell>
        </row>
        <row r="152">
          <cell r="Y152" t="str">
            <v>清水鎮公所2</v>
          </cell>
          <cell r="Z152" t="str">
            <v>營造綜合保險費(約0.5%)</v>
          </cell>
          <cell r="AA152" t="str">
            <v>式</v>
          </cell>
          <cell r="AB152">
            <v>1</v>
          </cell>
          <cell r="AC152">
            <v>3953</v>
          </cell>
          <cell r="AD152">
            <v>63228</v>
          </cell>
          <cell r="AU152" t="str">
            <v>縣府土木課28</v>
          </cell>
        </row>
        <row r="153">
          <cell r="Y153" t="str">
            <v>清水鎮公所3</v>
          </cell>
          <cell r="Z153" t="str">
            <v>勞工安全衛生管理費(約0.5%)</v>
          </cell>
          <cell r="AA153" t="str">
            <v>式</v>
          </cell>
          <cell r="AB153">
            <v>1</v>
          </cell>
          <cell r="AC153">
            <v>4269</v>
          </cell>
          <cell r="AD153">
            <v>0</v>
          </cell>
          <cell r="AU153" t="str">
            <v>縣府土木課29</v>
          </cell>
        </row>
        <row r="154">
          <cell r="Y154" t="str">
            <v>清水鎮公所4</v>
          </cell>
          <cell r="Z154" t="str">
            <v>包商利潤及管理費(約5%)</v>
          </cell>
          <cell r="AA154" t="str">
            <v>式</v>
          </cell>
          <cell r="AB154">
            <v>1</v>
          </cell>
          <cell r="AC154">
            <v>42673.7</v>
          </cell>
          <cell r="AD154">
            <v>0</v>
          </cell>
          <cell r="AU154" t="str">
            <v>縣府土木課30</v>
          </cell>
        </row>
        <row r="155">
          <cell r="Y155" t="str">
            <v>清水鎮公所5</v>
          </cell>
          <cell r="Z155" t="str">
            <v>營業稅(約5%)</v>
          </cell>
          <cell r="AA155" t="str">
            <v>式</v>
          </cell>
          <cell r="AB155">
            <v>1</v>
          </cell>
          <cell r="AC155">
            <v>42687</v>
          </cell>
          <cell r="AD155">
            <v>42687</v>
          </cell>
          <cell r="AU155" t="str">
            <v>縣府土木課31</v>
          </cell>
        </row>
        <row r="156">
          <cell r="Y156" t="str">
            <v>清水鎮公所6</v>
          </cell>
          <cell r="Z156" t="str">
            <v>合      計</v>
          </cell>
          <cell r="AD156">
            <v>1750161</v>
          </cell>
          <cell r="AU156" t="str">
            <v>縣府土木課32</v>
          </cell>
        </row>
        <row r="157">
          <cell r="AU157" t="str">
            <v>縣府土木課33</v>
          </cell>
        </row>
        <row r="158">
          <cell r="AU158" t="str">
            <v>縣府土木課34</v>
          </cell>
        </row>
        <row r="159">
          <cell r="Z159" t="str">
            <v>工  程  項  目</v>
          </cell>
          <cell r="AA159" t="str">
            <v>單位</v>
          </cell>
          <cell r="AB159" t="str">
            <v>數   量</v>
          </cell>
          <cell r="AC159" t="str">
            <v>單   價</v>
          </cell>
          <cell r="AD159" t="str">
            <v>總   價</v>
          </cell>
          <cell r="AU159" t="str">
            <v>縣府土木課35</v>
          </cell>
        </row>
        <row r="160">
          <cell r="Y160" t="str">
            <v>東勢鎮公所1</v>
          </cell>
          <cell r="Z160" t="str">
            <v>鑽心取樣試驗費</v>
          </cell>
          <cell r="AA160" t="str">
            <v>組</v>
          </cell>
          <cell r="AB160">
            <v>1</v>
          </cell>
          <cell r="AC160">
            <v>11420</v>
          </cell>
          <cell r="AD160">
            <v>6274</v>
          </cell>
          <cell r="AE160">
            <v>0</v>
          </cell>
          <cell r="AU160" t="str">
            <v>縣府土木課36</v>
          </cell>
        </row>
        <row r="161">
          <cell r="Y161" t="str">
            <v>東勢鎮公所2</v>
          </cell>
          <cell r="Z161" t="str">
            <v>營造綜合保險費(約0.7%)</v>
          </cell>
          <cell r="AA161" t="str">
            <v>式</v>
          </cell>
          <cell r="AB161">
            <v>1</v>
          </cell>
          <cell r="AC161">
            <v>5534</v>
          </cell>
          <cell r="AD161">
            <v>63228</v>
          </cell>
          <cell r="AE161">
            <v>0</v>
          </cell>
          <cell r="AU161" t="str">
            <v>縣府土木課37</v>
          </cell>
        </row>
        <row r="162">
          <cell r="Y162" t="str">
            <v>東勢鎮公所3</v>
          </cell>
          <cell r="Z162" t="str">
            <v>勞工安全衛生管理費(約0.8%)</v>
          </cell>
          <cell r="AA162" t="str">
            <v>式</v>
          </cell>
          <cell r="AB162">
            <v>1</v>
          </cell>
          <cell r="AC162">
            <v>6324</v>
          </cell>
          <cell r="AD162">
            <v>0</v>
          </cell>
          <cell r="AE162">
            <v>0</v>
          </cell>
          <cell r="AU162" t="str">
            <v>縣府土木課38</v>
          </cell>
        </row>
        <row r="163">
          <cell r="Y163" t="str">
            <v>東勢鎮公所4</v>
          </cell>
          <cell r="Z163" t="str">
            <v>包商管理及利潤(約7%)</v>
          </cell>
          <cell r="AA163" t="str">
            <v>式</v>
          </cell>
          <cell r="AB163">
            <v>1</v>
          </cell>
          <cell r="AC163">
            <v>55322.51</v>
          </cell>
          <cell r="AD163">
            <v>0</v>
          </cell>
          <cell r="AE163">
            <v>0</v>
          </cell>
          <cell r="AU163" t="str">
            <v>縣府土木課39</v>
          </cell>
        </row>
        <row r="164">
          <cell r="Y164" t="str">
            <v>東勢鎮公所5</v>
          </cell>
          <cell r="Z164" t="str">
            <v>稅捐(約5%)</v>
          </cell>
          <cell r="AA164" t="str">
            <v>式</v>
          </cell>
          <cell r="AB164">
            <v>1</v>
          </cell>
          <cell r="AC164">
            <v>42687</v>
          </cell>
          <cell r="AD164">
            <v>42687</v>
          </cell>
          <cell r="AE164">
            <v>0</v>
          </cell>
          <cell r="AU164" t="str">
            <v>縣府土木課40</v>
          </cell>
          <cell r="AV164" t="str">
            <v xml:space="preserve">     本工程預算總額計新台幣</v>
          </cell>
          <cell r="BA164" t="str">
            <v>壹佰捌拾柒萬柒仟參佰貳拾元整</v>
          </cell>
          <cell r="BD164" t="str">
            <v xml:space="preserve">     本工程預算總額計新台幣</v>
          </cell>
          <cell r="BI164" t="str">
            <v>壹佰柒拾陸萬壹仟貳佰壹拾貳元整</v>
          </cell>
        </row>
        <row r="165">
          <cell r="Y165" t="str">
            <v>東勢鎮公所6</v>
          </cell>
          <cell r="Z165" t="str">
            <v>小      計</v>
          </cell>
          <cell r="AD165">
            <v>1750161</v>
          </cell>
          <cell r="AE165">
            <v>0</v>
          </cell>
        </row>
        <row r="166">
          <cell r="AU166" t="str">
            <v>大肚鄉公所</v>
          </cell>
          <cell r="AV166" t="str">
            <v>項次</v>
          </cell>
          <cell r="AW166" t="str">
            <v>工程項目</v>
          </cell>
          <cell r="AX166" t="str">
            <v>單位</v>
          </cell>
          <cell r="AY166" t="str">
            <v>數   量</v>
          </cell>
          <cell r="AZ166" t="str">
            <v>單   價</v>
          </cell>
          <cell r="BA166" t="str">
            <v>總   價</v>
          </cell>
          <cell r="BB166" t="str">
            <v>附   註</v>
          </cell>
          <cell r="BD166" t="str">
            <v>項次</v>
          </cell>
          <cell r="BE166" t="str">
            <v>工程項目</v>
          </cell>
          <cell r="BF166" t="str">
            <v>單位</v>
          </cell>
          <cell r="BG166" t="str">
            <v>數   量</v>
          </cell>
          <cell r="BH166" t="str">
            <v>單   價</v>
          </cell>
          <cell r="BI166" t="str">
            <v>總   價</v>
          </cell>
          <cell r="BJ166" t="str">
            <v>附   註</v>
          </cell>
        </row>
        <row r="167">
          <cell r="AU167" t="str">
            <v>大肚鄉公所1</v>
          </cell>
        </row>
        <row r="168">
          <cell r="Z168" t="str">
            <v>工  程  項  目</v>
          </cell>
          <cell r="AA168" t="str">
            <v>單位</v>
          </cell>
          <cell r="AB168" t="str">
            <v>數   量</v>
          </cell>
          <cell r="AC168" t="str">
            <v>單   價</v>
          </cell>
          <cell r="AD168" t="str">
            <v>總   價</v>
          </cell>
          <cell r="AU168" t="str">
            <v>大肚鄉公所2</v>
          </cell>
          <cell r="AV168">
            <v>1</v>
          </cell>
          <cell r="AW168" t="str">
            <v>發 包 工 程 費</v>
          </cell>
          <cell r="AX168" t="str">
            <v>式</v>
          </cell>
          <cell r="AY168">
            <v>1</v>
          </cell>
          <cell r="AZ168" t="str">
            <v xml:space="preserve">---------   </v>
          </cell>
          <cell r="BA168">
            <v>42687</v>
          </cell>
          <cell r="BD168">
            <v>1</v>
          </cell>
          <cell r="BE168" t="str">
            <v>發 包 工 程 費</v>
          </cell>
          <cell r="BF168" t="str">
            <v>式</v>
          </cell>
          <cell r="BG168">
            <v>1</v>
          </cell>
          <cell r="BH168" t="str">
            <v xml:space="preserve">---------   </v>
          </cell>
          <cell r="BI168">
            <v>42687</v>
          </cell>
        </row>
        <row r="169">
          <cell r="Y169" t="str">
            <v>神岡鄉公所1</v>
          </cell>
          <cell r="Z169" t="str">
            <v>材料試驗費</v>
          </cell>
          <cell r="AA169" t="str">
            <v>式</v>
          </cell>
          <cell r="AB169">
            <v>1</v>
          </cell>
          <cell r="AC169">
            <v>11420</v>
          </cell>
          <cell r="AD169">
            <v>6274</v>
          </cell>
          <cell r="AU169" t="str">
            <v>大肚鄉公所3</v>
          </cell>
        </row>
        <row r="170">
          <cell r="Y170" t="str">
            <v>神岡鄉公所2</v>
          </cell>
          <cell r="Z170" t="str">
            <v>營造綜合保險費(約0.7%)</v>
          </cell>
          <cell r="AA170" t="str">
            <v>式</v>
          </cell>
          <cell r="AB170">
            <v>1</v>
          </cell>
          <cell r="AC170">
            <v>5534</v>
          </cell>
          <cell r="AD170">
            <v>63228</v>
          </cell>
          <cell r="AU170" t="str">
            <v>大肚鄉公所4</v>
          </cell>
        </row>
        <row r="171">
          <cell r="Y171" t="str">
            <v>神岡鄉公所3</v>
          </cell>
          <cell r="Z171" t="str">
            <v>勞工安全衛生管理費(約1%)</v>
          </cell>
          <cell r="AA171" t="str">
            <v>式</v>
          </cell>
          <cell r="AB171">
            <v>1</v>
          </cell>
          <cell r="AC171">
            <v>8537</v>
          </cell>
          <cell r="AD171">
            <v>0</v>
          </cell>
          <cell r="AU171" t="str">
            <v>大肚鄉公所5</v>
          </cell>
          <cell r="AV171">
            <v>2</v>
          </cell>
          <cell r="AW171" t="str">
            <v>工 程 管 理 費</v>
          </cell>
          <cell r="AX171" t="str">
            <v>式</v>
          </cell>
          <cell r="AY171">
            <v>1</v>
          </cell>
          <cell r="AZ171" t="str">
            <v xml:space="preserve">---------   </v>
          </cell>
          <cell r="BA171">
            <v>51031</v>
          </cell>
          <cell r="BD171">
            <v>2</v>
          </cell>
          <cell r="BE171" t="str">
            <v>工 程 管 理 費</v>
          </cell>
          <cell r="BF171" t="str">
            <v>式</v>
          </cell>
          <cell r="BG171">
            <v>1</v>
          </cell>
          <cell r="BH171" t="str">
            <v xml:space="preserve">---------   </v>
          </cell>
          <cell r="BI171">
            <v>51031</v>
          </cell>
        </row>
        <row r="172">
          <cell r="Y172" t="str">
            <v>神岡鄉公所4</v>
          </cell>
          <cell r="Z172" t="str">
            <v>包商利潤(約8%)</v>
          </cell>
          <cell r="AA172" t="str">
            <v>式</v>
          </cell>
          <cell r="AB172">
            <v>1</v>
          </cell>
          <cell r="AC172">
            <v>68285.810000000012</v>
          </cell>
          <cell r="AD172">
            <v>0</v>
          </cell>
          <cell r="AU172" t="str">
            <v>大肚鄉公所6</v>
          </cell>
          <cell r="AW172" t="str">
            <v>500萬元以下3%</v>
          </cell>
          <cell r="BE172" t="str">
            <v>500萬元以下3%</v>
          </cell>
        </row>
        <row r="173">
          <cell r="Y173" t="str">
            <v>神岡鄉公所5</v>
          </cell>
          <cell r="Z173" t="str">
            <v>稅捐(約5%)</v>
          </cell>
          <cell r="AA173" t="str">
            <v>式</v>
          </cell>
          <cell r="AB173">
            <v>1</v>
          </cell>
          <cell r="AC173">
            <v>42687</v>
          </cell>
          <cell r="AD173">
            <v>42687</v>
          </cell>
          <cell r="AU173" t="str">
            <v>大肚鄉公所7</v>
          </cell>
          <cell r="AW173">
            <v>0</v>
          </cell>
          <cell r="BE173">
            <v>0</v>
          </cell>
        </row>
        <row r="174">
          <cell r="Y174" t="str">
            <v>神岡鄉公所6</v>
          </cell>
          <cell r="Z174" t="str">
            <v>小      計</v>
          </cell>
          <cell r="AD174">
            <v>1750161</v>
          </cell>
          <cell r="AU174" t="str">
            <v>大肚鄉公所8</v>
          </cell>
        </row>
        <row r="175">
          <cell r="AU175" t="str">
            <v>大肚鄉公所9</v>
          </cell>
        </row>
        <row r="176">
          <cell r="AU176" t="str">
            <v>大肚鄉公所10</v>
          </cell>
          <cell r="AV176">
            <v>3</v>
          </cell>
          <cell r="AW176" t="str">
            <v>委託技術服務費</v>
          </cell>
          <cell r="AX176" t="str">
            <v>式</v>
          </cell>
          <cell r="AY176">
            <v>1</v>
          </cell>
          <cell r="AZ176" t="str">
            <v xml:space="preserve">---------   </v>
          </cell>
          <cell r="BA176">
            <v>116108</v>
          </cell>
          <cell r="BD176">
            <v>3</v>
          </cell>
          <cell r="BE176" t="str">
            <v>空 氣 污 染 防 制 費</v>
          </cell>
          <cell r="BF176" t="str">
            <v>式</v>
          </cell>
          <cell r="BG176">
            <v>1</v>
          </cell>
          <cell r="BH176" t="str">
            <v xml:space="preserve">---------   </v>
          </cell>
          <cell r="BI176">
            <v>2707</v>
          </cell>
        </row>
        <row r="177">
          <cell r="AU177" t="str">
            <v>大肚鄉公所11</v>
          </cell>
          <cell r="AW177" t="str">
            <v>1000萬元以下6.8%</v>
          </cell>
          <cell r="BE177" t="str">
            <v>(0.3%*發包工程費)</v>
          </cell>
        </row>
        <row r="178">
          <cell r="AU178" t="str">
            <v>大肚鄉公所12</v>
          </cell>
          <cell r="AW178">
            <v>0</v>
          </cell>
        </row>
        <row r="179">
          <cell r="AU179" t="str">
            <v>大肚鄉公所13</v>
          </cell>
        </row>
        <row r="180">
          <cell r="AU180" t="str">
            <v>大肚鄉公所14</v>
          </cell>
          <cell r="BE180" t="str">
            <v>合計</v>
          </cell>
          <cell r="BI180">
            <v>96425</v>
          </cell>
        </row>
        <row r="181">
          <cell r="AU181" t="str">
            <v>大肚鄉公所15</v>
          </cell>
          <cell r="AV181">
            <v>4</v>
          </cell>
          <cell r="AW181" t="str">
            <v>空 氣 污 染 防 制 費</v>
          </cell>
          <cell r="AX181" t="str">
            <v>式</v>
          </cell>
          <cell r="AY181">
            <v>1</v>
          </cell>
          <cell r="AZ181" t="str">
            <v xml:space="preserve">---------   </v>
          </cell>
          <cell r="BA181">
            <v>2707</v>
          </cell>
        </row>
        <row r="182">
          <cell r="AU182" t="str">
            <v>大肚鄉公所16</v>
          </cell>
          <cell r="AW182" t="str">
            <v>(0.3%*發包工程費)</v>
          </cell>
        </row>
        <row r="183">
          <cell r="AU183" t="str">
            <v>大肚鄉公所17</v>
          </cell>
        </row>
        <row r="184">
          <cell r="AU184" t="str">
            <v>大肚鄉公所18</v>
          </cell>
        </row>
        <row r="185">
          <cell r="AU185" t="str">
            <v>大肚鄉公所19</v>
          </cell>
          <cell r="AW185" t="str">
            <v>合計</v>
          </cell>
          <cell r="BA185">
            <v>212533</v>
          </cell>
        </row>
        <row r="186">
          <cell r="AU186" t="str">
            <v>大肚鄉公所20</v>
          </cell>
        </row>
        <row r="187">
          <cell r="AU187" t="str">
            <v>大肚鄉公所21</v>
          </cell>
        </row>
        <row r="188">
          <cell r="AU188" t="str">
            <v>大肚鄉公所22</v>
          </cell>
        </row>
        <row r="189">
          <cell r="AU189" t="str">
            <v>大肚鄉公所23</v>
          </cell>
        </row>
        <row r="190">
          <cell r="AU190" t="str">
            <v>大肚鄉公所24</v>
          </cell>
        </row>
        <row r="191">
          <cell r="AU191" t="str">
            <v>大肚鄉公所25</v>
          </cell>
        </row>
        <row r="192">
          <cell r="AU192" t="str">
            <v>大肚鄉公所26</v>
          </cell>
        </row>
        <row r="193">
          <cell r="AU193" t="str">
            <v>大肚鄉公所27</v>
          </cell>
        </row>
        <row r="194">
          <cell r="AU194" t="str">
            <v>大肚鄉公所28</v>
          </cell>
        </row>
        <row r="195">
          <cell r="AU195" t="str">
            <v>大肚鄉公所29</v>
          </cell>
        </row>
        <row r="196">
          <cell r="AU196" t="str">
            <v>大肚鄉公所30</v>
          </cell>
        </row>
        <row r="197">
          <cell r="AU197" t="str">
            <v>大肚鄉公所31</v>
          </cell>
        </row>
        <row r="198">
          <cell r="AU198" t="str">
            <v>大肚鄉公所32</v>
          </cell>
        </row>
        <row r="199">
          <cell r="AU199" t="str">
            <v>大肚鄉公所33</v>
          </cell>
        </row>
        <row r="200">
          <cell r="AU200" t="str">
            <v>大肚鄉公所34</v>
          </cell>
        </row>
        <row r="201">
          <cell r="AU201" t="str">
            <v>大肚鄉公所35</v>
          </cell>
        </row>
        <row r="202">
          <cell r="AU202" t="str">
            <v>大肚鄉公所36</v>
          </cell>
        </row>
        <row r="203">
          <cell r="AU203" t="str">
            <v>大肚鄉公所37</v>
          </cell>
        </row>
        <row r="204">
          <cell r="AU204" t="str">
            <v>大肚鄉公所38</v>
          </cell>
        </row>
        <row r="205">
          <cell r="AU205" t="str">
            <v>大肚鄉公所39</v>
          </cell>
        </row>
        <row r="206">
          <cell r="AU206" t="str">
            <v>大肚鄉公所40</v>
          </cell>
          <cell r="AV206" t="str">
            <v xml:space="preserve">     本工程預算總額計新台幣</v>
          </cell>
          <cell r="BA206" t="str">
            <v>貳拾壹萬貳仟伍佰參拾參元整</v>
          </cell>
          <cell r="BD206" t="str">
            <v xml:space="preserve">     本工程預算總額計新台幣</v>
          </cell>
          <cell r="BI206" t="str">
            <v>玖萬陸仟肆佰貳拾伍元整</v>
          </cell>
        </row>
        <row r="208">
          <cell r="AU208" t="str">
            <v>太平市公所</v>
          </cell>
          <cell r="AV208" t="str">
            <v>項次</v>
          </cell>
          <cell r="AW208" t="str">
            <v>工程項目</v>
          </cell>
          <cell r="AX208" t="str">
            <v>單位</v>
          </cell>
          <cell r="AY208" t="str">
            <v>數   量</v>
          </cell>
          <cell r="AZ208" t="str">
            <v>單   價</v>
          </cell>
          <cell r="BA208" t="str">
            <v>總   價</v>
          </cell>
          <cell r="BB208" t="str">
            <v>附   註</v>
          </cell>
          <cell r="BD208" t="str">
            <v>項次</v>
          </cell>
          <cell r="BE208" t="str">
            <v>工程項目</v>
          </cell>
          <cell r="BF208" t="str">
            <v>單位</v>
          </cell>
          <cell r="BG208" t="str">
            <v>數   量</v>
          </cell>
          <cell r="BH208" t="str">
            <v>單   價</v>
          </cell>
          <cell r="BI208" t="str">
            <v>總   價</v>
          </cell>
          <cell r="BJ208" t="str">
            <v>附   註</v>
          </cell>
        </row>
        <row r="209">
          <cell r="AU209" t="str">
            <v>太平市公所1</v>
          </cell>
        </row>
        <row r="210">
          <cell r="AU210" t="str">
            <v>太平市公所2</v>
          </cell>
          <cell r="AV210">
            <v>1</v>
          </cell>
          <cell r="AW210" t="str">
            <v>發 包 工 程 費</v>
          </cell>
          <cell r="AX210" t="str">
            <v>式</v>
          </cell>
          <cell r="AY210">
            <v>1</v>
          </cell>
          <cell r="AZ210" t="str">
            <v xml:space="preserve">---------   </v>
          </cell>
          <cell r="BA210">
            <v>1756137</v>
          </cell>
          <cell r="BD210">
            <v>1</v>
          </cell>
          <cell r="BE210" t="str">
            <v>發 包 工 程 費</v>
          </cell>
          <cell r="BF210" t="str">
            <v>式</v>
          </cell>
          <cell r="BG210">
            <v>1</v>
          </cell>
          <cell r="BH210" t="str">
            <v xml:space="preserve">---------   </v>
          </cell>
          <cell r="BI210">
            <v>1756137</v>
          </cell>
        </row>
        <row r="211">
          <cell r="AU211" t="str">
            <v>太平市公所3</v>
          </cell>
        </row>
        <row r="212">
          <cell r="AU212" t="str">
            <v>太平市公所4</v>
          </cell>
        </row>
        <row r="213">
          <cell r="AU213" t="str">
            <v>太平市公所5</v>
          </cell>
          <cell r="AV213">
            <v>2</v>
          </cell>
          <cell r="AW213" t="str">
            <v>工 程 管 理 費</v>
          </cell>
          <cell r="AX213" t="str">
            <v>式</v>
          </cell>
          <cell r="AY213">
            <v>1</v>
          </cell>
          <cell r="AZ213" t="str">
            <v xml:space="preserve">---------   </v>
          </cell>
          <cell r="BA213">
            <v>51031</v>
          </cell>
          <cell r="BD213">
            <v>2</v>
          </cell>
          <cell r="BE213" t="str">
            <v>工 程 管 理 費</v>
          </cell>
          <cell r="BF213" t="str">
            <v>式</v>
          </cell>
          <cell r="BG213">
            <v>1</v>
          </cell>
          <cell r="BH213" t="str">
            <v xml:space="preserve">---------   </v>
          </cell>
          <cell r="BI213">
            <v>51031</v>
          </cell>
        </row>
        <row r="214">
          <cell r="AU214" t="str">
            <v>太平市公所6</v>
          </cell>
          <cell r="AW214" t="str">
            <v>500萬元以下3%</v>
          </cell>
          <cell r="BE214" t="str">
            <v>500萬元以下3%</v>
          </cell>
        </row>
        <row r="215">
          <cell r="AU215" t="str">
            <v>太平市公所7</v>
          </cell>
          <cell r="AW215">
            <v>0</v>
          </cell>
          <cell r="BE215">
            <v>0</v>
          </cell>
        </row>
        <row r="216">
          <cell r="AU216" t="str">
            <v>太平市公所8</v>
          </cell>
        </row>
        <row r="217">
          <cell r="AU217" t="str">
            <v>太平市公所9</v>
          </cell>
        </row>
        <row r="218">
          <cell r="AU218" t="str">
            <v>太平市公所10</v>
          </cell>
          <cell r="AV218">
            <v>3</v>
          </cell>
          <cell r="AW218" t="str">
            <v>委託技術服務費</v>
          </cell>
          <cell r="AX218" t="str">
            <v>式</v>
          </cell>
          <cell r="AY218">
            <v>1</v>
          </cell>
          <cell r="AZ218" t="str">
            <v xml:space="preserve">---------   </v>
          </cell>
          <cell r="BA218">
            <v>116108</v>
          </cell>
          <cell r="BD218">
            <v>4</v>
          </cell>
          <cell r="BE218" t="str">
            <v>空 氣 污 染 防 制 費</v>
          </cell>
          <cell r="BF218" t="str">
            <v>式</v>
          </cell>
          <cell r="BG218">
            <v>1</v>
          </cell>
          <cell r="BH218" t="str">
            <v xml:space="preserve">---------   </v>
          </cell>
          <cell r="BI218">
            <v>2707</v>
          </cell>
        </row>
        <row r="219">
          <cell r="AU219" t="str">
            <v>太平市公所11</v>
          </cell>
          <cell r="AW219" t="str">
            <v>1000萬元以下6.8%</v>
          </cell>
          <cell r="BE219" t="str">
            <v>(0.3%*發包工程費)</v>
          </cell>
        </row>
        <row r="220">
          <cell r="AU220" t="str">
            <v>太平市公所12</v>
          </cell>
          <cell r="AW220">
            <v>0</v>
          </cell>
        </row>
        <row r="221">
          <cell r="AU221" t="str">
            <v>太平市公所13</v>
          </cell>
        </row>
        <row r="222">
          <cell r="AU222" t="str">
            <v>太平市公所14</v>
          </cell>
          <cell r="BE222" t="str">
            <v>合計</v>
          </cell>
          <cell r="BI222">
            <v>1809875</v>
          </cell>
        </row>
        <row r="223">
          <cell r="AU223" t="str">
            <v>太平市公所15</v>
          </cell>
          <cell r="AV223">
            <v>4</v>
          </cell>
          <cell r="AW223" t="str">
            <v>空 氣 污 染 防 制 費</v>
          </cell>
          <cell r="AX223" t="str">
            <v>式</v>
          </cell>
          <cell r="AY223">
            <v>1</v>
          </cell>
          <cell r="AZ223" t="str">
            <v xml:space="preserve">---------   </v>
          </cell>
          <cell r="BA223">
            <v>2707</v>
          </cell>
        </row>
        <row r="224">
          <cell r="AU224" t="str">
            <v>太平市公所16</v>
          </cell>
          <cell r="AW224" t="str">
            <v>(0.3%*發包工程費)</v>
          </cell>
        </row>
        <row r="225">
          <cell r="AU225" t="str">
            <v>太平市公所17</v>
          </cell>
        </row>
        <row r="226">
          <cell r="AU226" t="str">
            <v>太平市公所18</v>
          </cell>
        </row>
        <row r="227">
          <cell r="AU227" t="str">
            <v>太平市公所19</v>
          </cell>
          <cell r="AW227" t="str">
            <v>合計</v>
          </cell>
          <cell r="BA227">
            <v>1925983</v>
          </cell>
        </row>
        <row r="228">
          <cell r="AU228" t="str">
            <v>太平市公所20</v>
          </cell>
        </row>
        <row r="229">
          <cell r="AU229" t="str">
            <v>太平市公所21</v>
          </cell>
        </row>
        <row r="230">
          <cell r="AU230" t="str">
            <v>太平市公所22</v>
          </cell>
        </row>
        <row r="231">
          <cell r="AU231" t="str">
            <v>太平市公所23</v>
          </cell>
        </row>
        <row r="232">
          <cell r="AU232" t="str">
            <v>太平市公所24</v>
          </cell>
        </row>
        <row r="233">
          <cell r="AU233" t="str">
            <v>太平市公所25</v>
          </cell>
        </row>
        <row r="234">
          <cell r="AU234" t="str">
            <v>太平市公所26</v>
          </cell>
        </row>
        <row r="235">
          <cell r="AU235" t="str">
            <v>太平市公所27</v>
          </cell>
        </row>
        <row r="236">
          <cell r="AU236" t="str">
            <v>太平市公所28</v>
          </cell>
        </row>
        <row r="237">
          <cell r="AU237" t="str">
            <v>太平市公所29</v>
          </cell>
        </row>
        <row r="238">
          <cell r="AU238" t="str">
            <v>太平市公所30</v>
          </cell>
        </row>
        <row r="239">
          <cell r="AU239" t="str">
            <v>太平市公所31</v>
          </cell>
        </row>
        <row r="240">
          <cell r="AU240" t="str">
            <v>太平市公所32</v>
          </cell>
        </row>
        <row r="241">
          <cell r="AU241" t="str">
            <v>太平市公所33</v>
          </cell>
        </row>
        <row r="242">
          <cell r="AU242" t="str">
            <v>太平市公所34</v>
          </cell>
        </row>
        <row r="243">
          <cell r="AU243" t="str">
            <v>太平市公所35</v>
          </cell>
        </row>
        <row r="244">
          <cell r="AU244" t="str">
            <v>太平市公所36</v>
          </cell>
        </row>
        <row r="245">
          <cell r="AU245" t="str">
            <v>太平市公所37</v>
          </cell>
        </row>
        <row r="246">
          <cell r="AU246" t="str">
            <v>太平市公所38</v>
          </cell>
        </row>
        <row r="247">
          <cell r="AU247" t="str">
            <v>太平市公所39</v>
          </cell>
        </row>
        <row r="248">
          <cell r="AU248" t="str">
            <v>太平市公所40</v>
          </cell>
          <cell r="AV248" t="str">
            <v xml:space="preserve">     本工程預算總額計新台幣</v>
          </cell>
          <cell r="BA248" t="str">
            <v>壹佰玖拾貳萬伍仟玖佰捌拾參元整</v>
          </cell>
          <cell r="BD248" t="str">
            <v xml:space="preserve">     本工程預算總額計新台幣</v>
          </cell>
          <cell r="BI248" t="str">
            <v>壹佰捌拾萬玖仟捌佰柒拾伍元整</v>
          </cell>
        </row>
        <row r="250">
          <cell r="AU250" t="str">
            <v>石岡鄉公所</v>
          </cell>
          <cell r="AV250" t="str">
            <v>項次</v>
          </cell>
          <cell r="AW250" t="str">
            <v>工程項目</v>
          </cell>
          <cell r="AX250" t="str">
            <v>單位</v>
          </cell>
          <cell r="AY250" t="str">
            <v>數   量</v>
          </cell>
          <cell r="AZ250" t="str">
            <v>單   價</v>
          </cell>
          <cell r="BA250" t="str">
            <v>總   價</v>
          </cell>
          <cell r="BB250" t="str">
            <v>附   註</v>
          </cell>
          <cell r="BD250" t="str">
            <v>項次</v>
          </cell>
          <cell r="BE250" t="str">
            <v>工程項目</v>
          </cell>
          <cell r="BF250" t="str">
            <v>單位</v>
          </cell>
          <cell r="BG250" t="str">
            <v>數   量</v>
          </cell>
          <cell r="BH250" t="str">
            <v>單   價</v>
          </cell>
          <cell r="BI250" t="str">
            <v>總   價</v>
          </cell>
          <cell r="BJ250" t="str">
            <v>附   註</v>
          </cell>
        </row>
        <row r="251">
          <cell r="AU251" t="str">
            <v>石岡鄉公所1</v>
          </cell>
        </row>
        <row r="252">
          <cell r="AU252" t="str">
            <v>石岡鄉公所2</v>
          </cell>
          <cell r="AV252">
            <v>1</v>
          </cell>
          <cell r="AW252" t="str">
            <v>發 包 工 程 費</v>
          </cell>
          <cell r="AX252" t="str">
            <v>式</v>
          </cell>
          <cell r="AY252">
            <v>1</v>
          </cell>
          <cell r="AZ252" t="str">
            <v xml:space="preserve">---------   </v>
          </cell>
          <cell r="BA252">
            <v>1750161</v>
          </cell>
          <cell r="BD252">
            <v>1</v>
          </cell>
          <cell r="BE252" t="str">
            <v>發 包 工 程 費</v>
          </cell>
          <cell r="BF252" t="str">
            <v>式</v>
          </cell>
          <cell r="BG252">
            <v>1</v>
          </cell>
          <cell r="BH252" t="str">
            <v xml:space="preserve">---------   </v>
          </cell>
          <cell r="BI252">
            <v>1750161</v>
          </cell>
        </row>
        <row r="253">
          <cell r="AU253" t="str">
            <v>石岡鄉公所3</v>
          </cell>
        </row>
        <row r="254">
          <cell r="AU254" t="str">
            <v>石岡鄉公所4</v>
          </cell>
        </row>
        <row r="255">
          <cell r="AU255" t="str">
            <v>石岡鄉公所5</v>
          </cell>
          <cell r="AV255">
            <v>2</v>
          </cell>
          <cell r="AW255" t="str">
            <v>工 程 管 理 費</v>
          </cell>
          <cell r="AX255" t="str">
            <v>式</v>
          </cell>
          <cell r="AY255">
            <v>1</v>
          </cell>
          <cell r="AZ255" t="str">
            <v xml:space="preserve">---------   </v>
          </cell>
          <cell r="BA255">
            <v>51031</v>
          </cell>
          <cell r="BD255">
            <v>2</v>
          </cell>
          <cell r="BE255" t="str">
            <v>工 程 管 理 費</v>
          </cell>
          <cell r="BF255" t="str">
            <v>式</v>
          </cell>
          <cell r="BG255">
            <v>1</v>
          </cell>
          <cell r="BH255" t="str">
            <v xml:space="preserve">---------   </v>
          </cell>
          <cell r="BI255">
            <v>51031</v>
          </cell>
        </row>
        <row r="256">
          <cell r="AU256" t="str">
            <v>石岡鄉公所6</v>
          </cell>
          <cell r="AW256" t="str">
            <v>500萬元以下3%</v>
          </cell>
          <cell r="BA256" t="str">
            <v xml:space="preserve"> </v>
          </cell>
          <cell r="BE256" t="str">
            <v>500萬元以下3%</v>
          </cell>
          <cell r="BI256" t="str">
            <v xml:space="preserve"> </v>
          </cell>
        </row>
        <row r="257">
          <cell r="AU257" t="str">
            <v>石岡鄉公所7</v>
          </cell>
          <cell r="AW257">
            <v>0</v>
          </cell>
          <cell r="BE257">
            <v>0</v>
          </cell>
        </row>
        <row r="258">
          <cell r="AU258" t="str">
            <v>石岡鄉公所8</v>
          </cell>
        </row>
        <row r="259">
          <cell r="AU259" t="str">
            <v>石岡鄉公所9</v>
          </cell>
        </row>
        <row r="260">
          <cell r="AU260" t="str">
            <v>石岡鄉公所10</v>
          </cell>
          <cell r="AV260">
            <v>3</v>
          </cell>
          <cell r="AW260" t="str">
            <v>委託技術服務費</v>
          </cell>
          <cell r="AX260" t="str">
            <v>式</v>
          </cell>
          <cell r="AY260">
            <v>1</v>
          </cell>
          <cell r="AZ260" t="str">
            <v xml:space="preserve">---------   </v>
          </cell>
          <cell r="BA260">
            <v>116108</v>
          </cell>
          <cell r="BD260">
            <v>3</v>
          </cell>
          <cell r="BE260" t="str">
            <v>空 氣 污 染 防 制 費</v>
          </cell>
          <cell r="BF260" t="str">
            <v>式</v>
          </cell>
          <cell r="BG260">
            <v>1</v>
          </cell>
          <cell r="BH260" t="str">
            <v xml:space="preserve">---------   </v>
          </cell>
          <cell r="BI260">
            <v>2707</v>
          </cell>
        </row>
        <row r="261">
          <cell r="AU261" t="str">
            <v>石岡鄉公所11</v>
          </cell>
          <cell r="AW261" t="str">
            <v>1000萬元以下6.8%</v>
          </cell>
          <cell r="BA261" t="str">
            <v xml:space="preserve"> </v>
          </cell>
          <cell r="BE261" t="str">
            <v>(0.3%*發包工程費)</v>
          </cell>
        </row>
        <row r="262">
          <cell r="AU262" t="str">
            <v>石岡鄉公所12</v>
          </cell>
          <cell r="AW262">
            <v>0</v>
          </cell>
        </row>
        <row r="263">
          <cell r="AU263" t="str">
            <v>石岡鄉公所13</v>
          </cell>
        </row>
        <row r="264">
          <cell r="AU264" t="str">
            <v>石岡鄉公所14</v>
          </cell>
          <cell r="BE264" t="str">
            <v>合計</v>
          </cell>
          <cell r="BI264">
            <v>1803899</v>
          </cell>
        </row>
        <row r="265">
          <cell r="AU265" t="str">
            <v>石岡鄉公所15</v>
          </cell>
          <cell r="AV265">
            <v>4</v>
          </cell>
          <cell r="AW265" t="str">
            <v>空 氣 污 染 防 制 費</v>
          </cell>
          <cell r="AX265" t="str">
            <v>式</v>
          </cell>
          <cell r="AY265">
            <v>1</v>
          </cell>
          <cell r="AZ265" t="str">
            <v xml:space="preserve">---------   </v>
          </cell>
          <cell r="BA265">
            <v>2707</v>
          </cell>
        </row>
        <row r="266">
          <cell r="AU266" t="str">
            <v>石岡鄉公所16</v>
          </cell>
          <cell r="AW266" t="str">
            <v>(0.3%*發包工程費)</v>
          </cell>
        </row>
        <row r="267">
          <cell r="AU267" t="str">
            <v>石岡鄉公所17</v>
          </cell>
        </row>
        <row r="268">
          <cell r="AU268" t="str">
            <v>石岡鄉公所18</v>
          </cell>
        </row>
        <row r="269">
          <cell r="AU269" t="str">
            <v>石岡鄉公所19</v>
          </cell>
          <cell r="AW269" t="str">
            <v>合計</v>
          </cell>
          <cell r="BA269">
            <v>1920007</v>
          </cell>
        </row>
        <row r="270">
          <cell r="AU270" t="str">
            <v>石岡鄉公所20</v>
          </cell>
        </row>
        <row r="271">
          <cell r="AU271" t="str">
            <v>石岡鄉公所21</v>
          </cell>
        </row>
        <row r="272">
          <cell r="AU272" t="str">
            <v>石岡鄉公所22</v>
          </cell>
        </row>
        <row r="273">
          <cell r="AU273" t="str">
            <v>石岡鄉公所23</v>
          </cell>
        </row>
        <row r="274">
          <cell r="AU274" t="str">
            <v>石岡鄉公所24</v>
          </cell>
        </row>
        <row r="275">
          <cell r="AU275" t="str">
            <v>石岡鄉公所25</v>
          </cell>
        </row>
        <row r="276">
          <cell r="AU276" t="str">
            <v>石岡鄉公所26</v>
          </cell>
        </row>
        <row r="277">
          <cell r="AU277" t="str">
            <v>石岡鄉公所27</v>
          </cell>
        </row>
        <row r="278">
          <cell r="AU278" t="str">
            <v>石岡鄉公所28</v>
          </cell>
        </row>
        <row r="279">
          <cell r="AU279" t="str">
            <v>石岡鄉公所29</v>
          </cell>
        </row>
        <row r="280">
          <cell r="AU280" t="str">
            <v>石岡鄉公所30</v>
          </cell>
        </row>
        <row r="281">
          <cell r="AU281" t="str">
            <v>石岡鄉公所31</v>
          </cell>
        </row>
        <row r="282">
          <cell r="AU282" t="str">
            <v>石岡鄉公所32</v>
          </cell>
        </row>
        <row r="283">
          <cell r="AU283" t="str">
            <v>石岡鄉公所33</v>
          </cell>
        </row>
        <row r="284">
          <cell r="AU284" t="str">
            <v>石岡鄉公所34</v>
          </cell>
        </row>
        <row r="285">
          <cell r="AU285" t="str">
            <v>石岡鄉公所35</v>
          </cell>
        </row>
        <row r="286">
          <cell r="AU286" t="str">
            <v>石岡鄉公所36</v>
          </cell>
        </row>
        <row r="287">
          <cell r="AU287" t="str">
            <v>石岡鄉公所37</v>
          </cell>
        </row>
        <row r="288">
          <cell r="AU288" t="str">
            <v>石岡鄉公所38</v>
          </cell>
        </row>
        <row r="289">
          <cell r="AU289" t="str">
            <v>石岡鄉公所39</v>
          </cell>
        </row>
        <row r="290">
          <cell r="AU290" t="str">
            <v>石岡鄉公所40</v>
          </cell>
          <cell r="AV290" t="str">
            <v xml:space="preserve">     本工程預算總額計新台幣</v>
          </cell>
          <cell r="BA290" t="str">
            <v>壹佰玖拾貳萬零柒元整</v>
          </cell>
          <cell r="BD290" t="str">
            <v xml:space="preserve">     本工程預算總額計新台幣</v>
          </cell>
          <cell r="BI290" t="str">
            <v>壹佰捌拾萬參仟捌佰玖拾玖元整</v>
          </cell>
        </row>
        <row r="292">
          <cell r="AU292" t="str">
            <v>霧峰鄉公所</v>
          </cell>
          <cell r="AV292" t="str">
            <v>項次</v>
          </cell>
          <cell r="AW292" t="str">
            <v>工程項目</v>
          </cell>
          <cell r="AX292" t="str">
            <v>單位</v>
          </cell>
          <cell r="AY292" t="str">
            <v>數   量</v>
          </cell>
          <cell r="AZ292" t="str">
            <v>單   價</v>
          </cell>
          <cell r="BA292" t="str">
            <v>總   價</v>
          </cell>
          <cell r="BB292" t="str">
            <v>附   註</v>
          </cell>
          <cell r="BD292" t="str">
            <v>項次</v>
          </cell>
          <cell r="BE292" t="str">
            <v>工程項目</v>
          </cell>
          <cell r="BF292" t="str">
            <v>單位</v>
          </cell>
          <cell r="BG292" t="str">
            <v>數   量</v>
          </cell>
          <cell r="BH292" t="str">
            <v>單   價</v>
          </cell>
          <cell r="BI292" t="str">
            <v>總   價</v>
          </cell>
          <cell r="BJ292" t="str">
            <v>附   註</v>
          </cell>
        </row>
        <row r="293">
          <cell r="AU293" t="str">
            <v>霧峰鄉公所1</v>
          </cell>
        </row>
        <row r="294">
          <cell r="AU294" t="str">
            <v>霧峰鄉公所2</v>
          </cell>
          <cell r="AV294">
            <v>1</v>
          </cell>
          <cell r="AW294" t="str">
            <v>發 包 工 程 費</v>
          </cell>
          <cell r="AX294" t="str">
            <v>式</v>
          </cell>
          <cell r="AY294">
            <v>1</v>
          </cell>
          <cell r="AZ294" t="str">
            <v xml:space="preserve">---------   </v>
          </cell>
          <cell r="BA294">
            <v>1750161</v>
          </cell>
          <cell r="BD294">
            <v>1</v>
          </cell>
          <cell r="BE294" t="str">
            <v>發 包 工 程 費</v>
          </cell>
          <cell r="BF294" t="str">
            <v>式</v>
          </cell>
          <cell r="BG294">
            <v>1</v>
          </cell>
          <cell r="BH294" t="str">
            <v xml:space="preserve">---------   </v>
          </cell>
          <cell r="BI294">
            <v>1750161</v>
          </cell>
        </row>
        <row r="295">
          <cell r="AU295" t="str">
            <v>霧峰鄉公所3</v>
          </cell>
        </row>
        <row r="296">
          <cell r="AU296" t="str">
            <v>霧峰鄉公所4</v>
          </cell>
        </row>
        <row r="297">
          <cell r="AU297" t="str">
            <v>霧峰鄉公所5</v>
          </cell>
          <cell r="AV297">
            <v>2</v>
          </cell>
          <cell r="AW297" t="str">
            <v>工 程 管 理 費</v>
          </cell>
          <cell r="AX297" t="str">
            <v>式</v>
          </cell>
          <cell r="AY297">
            <v>1</v>
          </cell>
          <cell r="AZ297" t="str">
            <v xml:space="preserve">---------   </v>
          </cell>
          <cell r="BA297">
            <v>49134</v>
          </cell>
          <cell r="BD297">
            <v>2</v>
          </cell>
          <cell r="BE297" t="str">
            <v>工 程 管 理 費</v>
          </cell>
          <cell r="BF297" t="str">
            <v>式</v>
          </cell>
          <cell r="BG297">
            <v>1</v>
          </cell>
          <cell r="BH297" t="str">
            <v xml:space="preserve">---------   </v>
          </cell>
          <cell r="BI297">
            <v>49134</v>
          </cell>
        </row>
        <row r="298">
          <cell r="AU298" t="str">
            <v>霧峰鄉公所6</v>
          </cell>
          <cell r="AW298" t="str">
            <v>500萬元以下3%</v>
          </cell>
          <cell r="BE298" t="str">
            <v>500萬元以下3%</v>
          </cell>
        </row>
        <row r="299">
          <cell r="AU299" t="str">
            <v>霧峰鄉公所7</v>
          </cell>
          <cell r="AW299">
            <v>0</v>
          </cell>
          <cell r="BE299">
            <v>0</v>
          </cell>
        </row>
        <row r="300">
          <cell r="AU300" t="str">
            <v>霧峰鄉公所8</v>
          </cell>
        </row>
        <row r="301">
          <cell r="AU301" t="str">
            <v>霧峰鄉公所9</v>
          </cell>
        </row>
        <row r="302">
          <cell r="AU302" t="str">
            <v>霧峰鄉公所10</v>
          </cell>
          <cell r="AV302">
            <v>3</v>
          </cell>
          <cell r="AW302" t="str">
            <v>委託技術服務費</v>
          </cell>
          <cell r="AX302" t="str">
            <v>式</v>
          </cell>
          <cell r="AY302">
            <v>1</v>
          </cell>
          <cell r="AZ302" t="str">
            <v xml:space="preserve">---------   </v>
          </cell>
          <cell r="BA302">
            <v>111809</v>
          </cell>
          <cell r="BD302">
            <v>3</v>
          </cell>
          <cell r="BE302" t="str">
            <v>空 氣 污 染 防 制 費</v>
          </cell>
          <cell r="BF302" t="str">
            <v>式</v>
          </cell>
          <cell r="BG302">
            <v>1</v>
          </cell>
          <cell r="BH302" t="str">
            <v xml:space="preserve">---------   </v>
          </cell>
          <cell r="BI302">
            <v>2707</v>
          </cell>
        </row>
        <row r="303">
          <cell r="AU303" t="str">
            <v>霧峰鄉公所11</v>
          </cell>
          <cell r="AW303" t="str">
            <v>1000萬元以下6.8%</v>
          </cell>
          <cell r="BE303" t="str">
            <v>(0.3%*發包工程費)</v>
          </cell>
        </row>
        <row r="304">
          <cell r="AU304" t="str">
            <v>霧峰鄉公所12</v>
          </cell>
          <cell r="AW304">
            <v>0</v>
          </cell>
        </row>
        <row r="305">
          <cell r="AU305" t="str">
            <v>霧峰鄉公所13</v>
          </cell>
        </row>
        <row r="306">
          <cell r="AU306" t="str">
            <v>霧峰鄉公所14</v>
          </cell>
          <cell r="BE306" t="str">
            <v>總    計</v>
          </cell>
          <cell r="BI306">
            <v>1802002</v>
          </cell>
        </row>
        <row r="307">
          <cell r="AU307" t="str">
            <v>霧峰鄉公所15</v>
          </cell>
          <cell r="AV307">
            <v>4</v>
          </cell>
          <cell r="AW307" t="str">
            <v>空 氣 污 染 防 制 費</v>
          </cell>
          <cell r="AX307" t="str">
            <v>式</v>
          </cell>
          <cell r="AY307">
            <v>1</v>
          </cell>
          <cell r="AZ307" t="str">
            <v xml:space="preserve">---------   </v>
          </cell>
          <cell r="BA307">
            <v>2707</v>
          </cell>
        </row>
        <row r="308">
          <cell r="AU308" t="str">
            <v>霧峰鄉公所16</v>
          </cell>
          <cell r="AW308" t="str">
            <v>(0.3%*發包工程費)</v>
          </cell>
        </row>
        <row r="309">
          <cell r="AU309" t="str">
            <v>霧峰鄉公所17</v>
          </cell>
        </row>
        <row r="310">
          <cell r="AU310" t="str">
            <v>霧峰鄉公所18</v>
          </cell>
        </row>
        <row r="311">
          <cell r="AU311" t="str">
            <v>霧峰鄉公所19</v>
          </cell>
          <cell r="AW311" t="str">
            <v>總    計</v>
          </cell>
          <cell r="BA311">
            <v>1913811</v>
          </cell>
        </row>
        <row r="312">
          <cell r="AU312" t="str">
            <v>霧峰鄉公所20</v>
          </cell>
        </row>
        <row r="313">
          <cell r="AU313" t="str">
            <v>霧峰鄉公所21</v>
          </cell>
        </row>
        <row r="314">
          <cell r="AU314" t="str">
            <v>霧峰鄉公所22</v>
          </cell>
        </row>
        <row r="315">
          <cell r="AU315" t="str">
            <v>霧峰鄉公所23</v>
          </cell>
        </row>
        <row r="316">
          <cell r="AU316" t="str">
            <v>霧峰鄉公所24</v>
          </cell>
        </row>
        <row r="317">
          <cell r="AU317" t="str">
            <v>霧峰鄉公所25</v>
          </cell>
        </row>
        <row r="318">
          <cell r="AU318" t="str">
            <v>霧峰鄉公所26</v>
          </cell>
        </row>
        <row r="319">
          <cell r="AU319" t="str">
            <v>霧峰鄉公所27</v>
          </cell>
        </row>
        <row r="320">
          <cell r="AU320" t="str">
            <v>霧峰鄉公所28</v>
          </cell>
        </row>
        <row r="321">
          <cell r="AU321" t="str">
            <v>霧峰鄉公所29</v>
          </cell>
        </row>
        <row r="322">
          <cell r="AU322" t="str">
            <v>霧峰鄉公所30</v>
          </cell>
        </row>
        <row r="323">
          <cell r="AU323" t="str">
            <v>霧峰鄉公所31</v>
          </cell>
        </row>
        <row r="324">
          <cell r="AU324" t="str">
            <v>霧峰鄉公所32</v>
          </cell>
        </row>
        <row r="325">
          <cell r="AU325" t="str">
            <v>霧峰鄉公所33</v>
          </cell>
        </row>
        <row r="326">
          <cell r="AU326" t="str">
            <v>霧峰鄉公所34</v>
          </cell>
        </row>
        <row r="327">
          <cell r="AU327" t="str">
            <v>霧峰鄉公所35</v>
          </cell>
        </row>
        <row r="328">
          <cell r="AU328" t="str">
            <v>霧峰鄉公所36</v>
          </cell>
        </row>
        <row r="329">
          <cell r="AU329" t="str">
            <v>霧峰鄉公所37</v>
          </cell>
        </row>
        <row r="330">
          <cell r="AU330" t="str">
            <v>霧峰鄉公所38</v>
          </cell>
        </row>
        <row r="331">
          <cell r="AU331" t="str">
            <v>霧峰鄉公所39</v>
          </cell>
        </row>
        <row r="332">
          <cell r="AU332" t="str">
            <v>霧峰鄉公所40</v>
          </cell>
          <cell r="BA332" t="str">
            <v>壹佰玖拾壹萬參仟捌佰壹拾壹元整</v>
          </cell>
          <cell r="BI332" t="str">
            <v>壹佰捌拾萬貳仟零貳元整</v>
          </cell>
        </row>
        <row r="334">
          <cell r="AU334" t="str">
            <v>龍井鄉公所</v>
          </cell>
          <cell r="AV334" t="str">
            <v>項次</v>
          </cell>
          <cell r="AW334" t="str">
            <v>工程項目</v>
          </cell>
          <cell r="AX334" t="str">
            <v>單位</v>
          </cell>
          <cell r="AY334" t="str">
            <v>數   量</v>
          </cell>
          <cell r="AZ334" t="str">
            <v>單   價</v>
          </cell>
          <cell r="BA334" t="str">
            <v>總   價</v>
          </cell>
          <cell r="BB334" t="str">
            <v>附   註</v>
          </cell>
          <cell r="BD334" t="str">
            <v>項次</v>
          </cell>
          <cell r="BE334" t="str">
            <v>工程項目</v>
          </cell>
          <cell r="BF334" t="str">
            <v>單位</v>
          </cell>
          <cell r="BG334" t="str">
            <v>數   量</v>
          </cell>
          <cell r="BH334" t="str">
            <v>單   價</v>
          </cell>
          <cell r="BI334" t="str">
            <v>總   價</v>
          </cell>
          <cell r="BJ334" t="str">
            <v>附   註</v>
          </cell>
        </row>
        <row r="335">
          <cell r="AU335" t="str">
            <v>龍井鄉公所1</v>
          </cell>
        </row>
        <row r="336">
          <cell r="AU336" t="str">
            <v>龍井鄉公所2</v>
          </cell>
          <cell r="AV336">
            <v>1</v>
          </cell>
          <cell r="AW336" t="str">
            <v>發 包 工 程 費</v>
          </cell>
          <cell r="AX336" t="str">
            <v>式</v>
          </cell>
          <cell r="AY336">
            <v>1</v>
          </cell>
          <cell r="AZ336" t="str">
            <v xml:space="preserve">---------   </v>
          </cell>
          <cell r="BA336">
            <v>902400</v>
          </cell>
          <cell r="BD336">
            <v>1</v>
          </cell>
          <cell r="BE336" t="str">
            <v>發 包 工 程 費</v>
          </cell>
          <cell r="BF336" t="str">
            <v>式</v>
          </cell>
          <cell r="BG336">
            <v>1</v>
          </cell>
          <cell r="BH336" t="str">
            <v xml:space="preserve">---------   </v>
          </cell>
          <cell r="BI336">
            <v>902400</v>
          </cell>
        </row>
        <row r="337">
          <cell r="AU337" t="str">
            <v>龍井鄉公所3</v>
          </cell>
        </row>
        <row r="338">
          <cell r="AU338" t="str">
            <v>龍井鄉公所4</v>
          </cell>
        </row>
        <row r="339">
          <cell r="AU339" t="str">
            <v>龍井鄉公所5</v>
          </cell>
          <cell r="AV339">
            <v>2</v>
          </cell>
          <cell r="AW339" t="str">
            <v>工 程 管 理 費</v>
          </cell>
          <cell r="AX339" t="str">
            <v>式</v>
          </cell>
          <cell r="AY339">
            <v>1</v>
          </cell>
          <cell r="AZ339" t="str">
            <v xml:space="preserve">---------   </v>
          </cell>
          <cell r="BA339">
            <v>25419</v>
          </cell>
          <cell r="BD339">
            <v>2</v>
          </cell>
          <cell r="BE339" t="str">
            <v>工 程 管 理 費</v>
          </cell>
          <cell r="BF339" t="str">
            <v>式</v>
          </cell>
          <cell r="BG339">
            <v>1</v>
          </cell>
          <cell r="BH339" t="str">
            <v xml:space="preserve">---------   </v>
          </cell>
          <cell r="BI339">
            <v>25419</v>
          </cell>
        </row>
        <row r="340">
          <cell r="AU340" t="str">
            <v>龍井鄉公所6</v>
          </cell>
          <cell r="AW340" t="str">
            <v>500萬元以下3%</v>
          </cell>
          <cell r="BE340" t="str">
            <v>500萬元以下3%</v>
          </cell>
        </row>
        <row r="341">
          <cell r="AU341" t="str">
            <v>龍井鄉公所7</v>
          </cell>
          <cell r="AW341">
            <v>0</v>
          </cell>
          <cell r="BE341">
            <v>0</v>
          </cell>
        </row>
        <row r="342">
          <cell r="AU342" t="str">
            <v>龍井鄉公所8</v>
          </cell>
        </row>
        <row r="343">
          <cell r="AU343" t="str">
            <v>龍井鄉公所9</v>
          </cell>
        </row>
        <row r="344">
          <cell r="AU344" t="str">
            <v>龍井鄉公所10</v>
          </cell>
          <cell r="AV344">
            <v>3</v>
          </cell>
          <cell r="AW344" t="str">
            <v>委託技術服務費</v>
          </cell>
          <cell r="AX344" t="str">
            <v>式</v>
          </cell>
          <cell r="AY344">
            <v>1</v>
          </cell>
          <cell r="AZ344" t="str">
            <v xml:space="preserve">---------   </v>
          </cell>
          <cell r="BA344">
            <v>58054</v>
          </cell>
          <cell r="BD344">
            <v>3</v>
          </cell>
          <cell r="BE344" t="str">
            <v>空 氣 污 染 防 制 費</v>
          </cell>
          <cell r="BF344" t="str">
            <v>式</v>
          </cell>
          <cell r="BG344">
            <v>1</v>
          </cell>
          <cell r="BH344" t="str">
            <v xml:space="preserve">---------   </v>
          </cell>
          <cell r="BI344">
            <v>2707</v>
          </cell>
        </row>
        <row r="345">
          <cell r="AU345" t="str">
            <v>龍井鄉公所11</v>
          </cell>
          <cell r="AW345" t="str">
            <v>1000萬元以下6.8%</v>
          </cell>
          <cell r="BE345" t="str">
            <v>(0.3%*發包工程費)</v>
          </cell>
        </row>
        <row r="346">
          <cell r="AU346" t="str">
            <v>龍井鄉公所12</v>
          </cell>
          <cell r="AW346">
            <v>0</v>
          </cell>
        </row>
        <row r="347">
          <cell r="AU347" t="str">
            <v>龍井鄉公所13</v>
          </cell>
        </row>
        <row r="348">
          <cell r="AU348" t="str">
            <v>龍井鄉公所14</v>
          </cell>
          <cell r="BD348">
            <v>4</v>
          </cell>
          <cell r="BE348" t="str">
            <v>材 料 試 驗 費</v>
          </cell>
          <cell r="BF348" t="str">
            <v>式</v>
          </cell>
          <cell r="BG348" t="str">
            <v>1.00</v>
          </cell>
          <cell r="BH348" t="str">
            <v xml:space="preserve">---------   </v>
          </cell>
          <cell r="BI348">
            <v>11420</v>
          </cell>
        </row>
        <row r="349">
          <cell r="AU349" t="str">
            <v>龍井鄉公所15</v>
          </cell>
          <cell r="AV349">
            <v>4</v>
          </cell>
          <cell r="AW349" t="str">
            <v>空 氣 污 染 防 制 費</v>
          </cell>
          <cell r="AX349" t="str">
            <v>式</v>
          </cell>
          <cell r="AY349">
            <v>1</v>
          </cell>
          <cell r="AZ349" t="str">
            <v xml:space="preserve">---------   </v>
          </cell>
          <cell r="BA349">
            <v>2707</v>
          </cell>
        </row>
        <row r="350">
          <cell r="AU350" t="str">
            <v>龍井鄉公所16</v>
          </cell>
          <cell r="AW350" t="str">
            <v>(0.3%*發包工程費)</v>
          </cell>
          <cell r="BH350" t="str">
            <v xml:space="preserve"> </v>
          </cell>
        </row>
        <row r="351">
          <cell r="AU351" t="str">
            <v>龍井鄉公所17</v>
          </cell>
          <cell r="BE351" t="str">
            <v>合計</v>
          </cell>
          <cell r="BI351">
            <v>941946</v>
          </cell>
        </row>
        <row r="352">
          <cell r="AU352" t="str">
            <v>龍井鄉公所18</v>
          </cell>
        </row>
        <row r="353">
          <cell r="AU353" t="str">
            <v>龍井鄉公所19</v>
          </cell>
          <cell r="AV353">
            <v>5</v>
          </cell>
          <cell r="AW353" t="str">
            <v>材 料 試 驗 費</v>
          </cell>
          <cell r="AX353" t="str">
            <v>式</v>
          </cell>
          <cell r="AY353" t="str">
            <v>1.00</v>
          </cell>
          <cell r="AZ353" t="str">
            <v xml:space="preserve">---------   </v>
          </cell>
          <cell r="BA353">
            <v>11420</v>
          </cell>
        </row>
        <row r="354">
          <cell r="AU354" t="str">
            <v>龍井鄉公所20</v>
          </cell>
        </row>
        <row r="355">
          <cell r="AU355" t="str">
            <v>龍井鄉公所21</v>
          </cell>
          <cell r="AZ355" t="str">
            <v xml:space="preserve"> </v>
          </cell>
        </row>
        <row r="356">
          <cell r="AU356" t="str">
            <v>龍井鄉公所22</v>
          </cell>
          <cell r="AW356" t="str">
            <v>合計</v>
          </cell>
          <cell r="BA356">
            <v>1000000</v>
          </cell>
        </row>
        <row r="357">
          <cell r="AU357" t="str">
            <v>龍井鄉公所23</v>
          </cell>
        </row>
        <row r="358">
          <cell r="AU358" t="str">
            <v>龍井鄉公所24</v>
          </cell>
        </row>
        <row r="359">
          <cell r="AU359" t="str">
            <v>龍井鄉公所25</v>
          </cell>
        </row>
        <row r="360">
          <cell r="AU360" t="str">
            <v>龍井鄉公所26</v>
          </cell>
        </row>
        <row r="361">
          <cell r="AU361" t="str">
            <v>龍井鄉公所27</v>
          </cell>
        </row>
        <row r="362">
          <cell r="AU362" t="str">
            <v>龍井鄉公所28</v>
          </cell>
        </row>
        <row r="363">
          <cell r="AU363" t="str">
            <v>龍井鄉公所29</v>
          </cell>
        </row>
        <row r="364">
          <cell r="AU364" t="str">
            <v>龍井鄉公所30</v>
          </cell>
        </row>
        <row r="365">
          <cell r="AU365" t="str">
            <v>龍井鄉公所31</v>
          </cell>
        </row>
        <row r="366">
          <cell r="AU366" t="str">
            <v>龍井鄉公所32</v>
          </cell>
        </row>
        <row r="367">
          <cell r="AU367" t="str">
            <v>龍井鄉公所33</v>
          </cell>
        </row>
        <row r="368">
          <cell r="AU368" t="str">
            <v>龍井鄉公所34</v>
          </cell>
        </row>
        <row r="369">
          <cell r="AU369" t="str">
            <v>龍井鄉公所35</v>
          </cell>
        </row>
        <row r="370">
          <cell r="AU370" t="str">
            <v>龍井鄉公所36</v>
          </cell>
        </row>
        <row r="371">
          <cell r="AU371" t="str">
            <v>龍井鄉公所37</v>
          </cell>
        </row>
        <row r="372">
          <cell r="AU372" t="str">
            <v>龍井鄉公所38</v>
          </cell>
        </row>
        <row r="373">
          <cell r="AU373" t="str">
            <v>龍井鄉公所39</v>
          </cell>
        </row>
        <row r="374">
          <cell r="AU374" t="str">
            <v>龍井鄉公所40</v>
          </cell>
          <cell r="AV374" t="str">
            <v xml:space="preserve">     本工程預算總額計新台幣</v>
          </cell>
          <cell r="BA374" t="str">
            <v>壹佰萬元整</v>
          </cell>
          <cell r="BD374" t="str">
            <v xml:space="preserve">     本工程預算總額計新台幣</v>
          </cell>
          <cell r="BI374" t="str">
            <v>玖拾肆萬壹仟玖佰肆拾陸元整</v>
          </cell>
        </row>
        <row r="376">
          <cell r="AU376" t="str">
            <v>新社鄉公所</v>
          </cell>
          <cell r="AV376" t="str">
            <v>項次</v>
          </cell>
          <cell r="AW376" t="str">
            <v>工程項目</v>
          </cell>
          <cell r="AX376" t="str">
            <v>單位</v>
          </cell>
          <cell r="AY376" t="str">
            <v>數   量</v>
          </cell>
          <cell r="AZ376" t="str">
            <v>單   價</v>
          </cell>
          <cell r="BA376" t="str">
            <v>總   價</v>
          </cell>
          <cell r="BB376" t="str">
            <v>附   註</v>
          </cell>
          <cell r="BD376" t="str">
            <v>項次</v>
          </cell>
          <cell r="BE376" t="str">
            <v>工程項目</v>
          </cell>
          <cell r="BF376" t="str">
            <v>單位</v>
          </cell>
          <cell r="BG376" t="str">
            <v>數   量</v>
          </cell>
          <cell r="BH376" t="str">
            <v>單   價</v>
          </cell>
          <cell r="BI376" t="str">
            <v>總   價</v>
          </cell>
          <cell r="BJ376" t="str">
            <v>附   註</v>
          </cell>
        </row>
        <row r="377">
          <cell r="AU377" t="str">
            <v>新社鄉公所1</v>
          </cell>
        </row>
        <row r="378">
          <cell r="AU378" t="str">
            <v>新社鄉公所2</v>
          </cell>
          <cell r="AV378">
            <v>1</v>
          </cell>
          <cell r="AW378" t="str">
            <v>發 包 工 程 費</v>
          </cell>
          <cell r="AX378" t="str">
            <v>式</v>
          </cell>
          <cell r="AY378">
            <v>1</v>
          </cell>
          <cell r="AZ378" t="str">
            <v xml:space="preserve">---------   </v>
          </cell>
          <cell r="BA378">
            <v>1750161</v>
          </cell>
          <cell r="BD378">
            <v>1</v>
          </cell>
          <cell r="BE378" t="str">
            <v>發 包 工 程 費</v>
          </cell>
          <cell r="BF378" t="str">
            <v>式</v>
          </cell>
          <cell r="BG378">
            <v>1</v>
          </cell>
          <cell r="BH378" t="str">
            <v xml:space="preserve">---------   </v>
          </cell>
          <cell r="BI378">
            <v>1750161</v>
          </cell>
        </row>
        <row r="379">
          <cell r="AU379" t="str">
            <v>新社鄉公所3</v>
          </cell>
        </row>
        <row r="380">
          <cell r="AU380" t="str">
            <v>新社鄉公所4</v>
          </cell>
        </row>
        <row r="381">
          <cell r="AU381" t="str">
            <v>新社鄉公所5</v>
          </cell>
          <cell r="AV381">
            <v>2</v>
          </cell>
          <cell r="AW381" t="str">
            <v>工 程 管 理 費</v>
          </cell>
          <cell r="AX381" t="str">
            <v>式</v>
          </cell>
          <cell r="AY381">
            <v>1</v>
          </cell>
          <cell r="AZ381" t="str">
            <v xml:space="preserve">---------   </v>
          </cell>
          <cell r="BA381">
            <v>51031</v>
          </cell>
          <cell r="BD381">
            <v>2</v>
          </cell>
          <cell r="BE381" t="str">
            <v>工 程 管 理 費</v>
          </cell>
          <cell r="BF381" t="str">
            <v>式</v>
          </cell>
          <cell r="BG381">
            <v>1</v>
          </cell>
          <cell r="BH381" t="str">
            <v xml:space="preserve">---------   </v>
          </cell>
          <cell r="BI381">
            <v>51031</v>
          </cell>
        </row>
        <row r="382">
          <cell r="AU382" t="str">
            <v>新社鄉公所6</v>
          </cell>
          <cell r="AW382" t="str">
            <v>500萬元以下3%</v>
          </cell>
          <cell r="BE382" t="str">
            <v>500萬元以下3%</v>
          </cell>
        </row>
        <row r="383">
          <cell r="AU383" t="str">
            <v>新社鄉公所7</v>
          </cell>
          <cell r="AW383">
            <v>0</v>
          </cell>
          <cell r="BE383">
            <v>0</v>
          </cell>
        </row>
        <row r="384">
          <cell r="AU384" t="str">
            <v>新社鄉公所8</v>
          </cell>
        </row>
        <row r="385">
          <cell r="AU385" t="str">
            <v>新社鄉公所9</v>
          </cell>
        </row>
        <row r="386">
          <cell r="AU386" t="str">
            <v>新社鄉公所10</v>
          </cell>
          <cell r="AV386">
            <v>3</v>
          </cell>
          <cell r="AW386" t="str">
            <v>委託設計及協辦招標決標服務費</v>
          </cell>
          <cell r="AX386" t="str">
            <v>式</v>
          </cell>
          <cell r="AY386">
            <v>1</v>
          </cell>
          <cell r="AZ386" t="str">
            <v xml:space="preserve">---------   </v>
          </cell>
          <cell r="BA386">
            <v>116108</v>
          </cell>
          <cell r="BD386">
            <v>3</v>
          </cell>
          <cell r="BE386" t="str">
            <v>空 氣 污 染 防 制 費</v>
          </cell>
          <cell r="BF386" t="str">
            <v>式</v>
          </cell>
          <cell r="BG386">
            <v>1</v>
          </cell>
          <cell r="BH386" t="str">
            <v xml:space="preserve">---------   </v>
          </cell>
          <cell r="BI386">
            <v>2707</v>
          </cell>
        </row>
        <row r="387">
          <cell r="AU387" t="str">
            <v>新社鄉公所11</v>
          </cell>
          <cell r="AW387" t="str">
            <v>1000萬元以下6.8%</v>
          </cell>
          <cell r="BE387" t="str">
            <v>(0.3%*發包工程費)</v>
          </cell>
          <cell r="BH387" t="str">
            <v xml:space="preserve"> </v>
          </cell>
        </row>
        <row r="388">
          <cell r="AU388" t="str">
            <v>新社鄉公所12</v>
          </cell>
          <cell r="AW388">
            <v>0</v>
          </cell>
        </row>
        <row r="389">
          <cell r="AU389" t="str">
            <v>新社鄉公所13</v>
          </cell>
        </row>
        <row r="390">
          <cell r="AU390" t="str">
            <v>新社鄉公所14</v>
          </cell>
          <cell r="BE390" t="str">
            <v>合計</v>
          </cell>
          <cell r="BI390">
            <v>1803899</v>
          </cell>
        </row>
        <row r="391">
          <cell r="AU391" t="str">
            <v>新社鄉公所15</v>
          </cell>
          <cell r="AV391">
            <v>4</v>
          </cell>
          <cell r="AW391" t="str">
            <v>委託監造服務費</v>
          </cell>
          <cell r="AX391" t="str">
            <v>式</v>
          </cell>
          <cell r="AY391">
            <v>1</v>
          </cell>
          <cell r="AZ391" t="str">
            <v xml:space="preserve">---------   </v>
          </cell>
          <cell r="BA391">
            <v>0</v>
          </cell>
        </row>
        <row r="392">
          <cell r="AU392" t="str">
            <v>新社鄉公所16</v>
          </cell>
          <cell r="AW392" t="str">
            <v>1000萬元以下0%</v>
          </cell>
        </row>
        <row r="393">
          <cell r="AU393" t="str">
            <v>新社鄉公所17</v>
          </cell>
          <cell r="AW393">
            <v>0</v>
          </cell>
        </row>
        <row r="394">
          <cell r="AU394" t="str">
            <v>新社鄉公所18</v>
          </cell>
        </row>
        <row r="395">
          <cell r="AU395" t="str">
            <v>新社鄉公所19</v>
          </cell>
        </row>
        <row r="396">
          <cell r="AU396" t="str">
            <v>新社鄉公所20</v>
          </cell>
          <cell r="AV396">
            <v>5</v>
          </cell>
          <cell r="AW396" t="str">
            <v>空 氣 污 染 防 制 費</v>
          </cell>
          <cell r="AX396" t="str">
            <v>式</v>
          </cell>
          <cell r="AY396">
            <v>1</v>
          </cell>
          <cell r="AZ396" t="str">
            <v xml:space="preserve">---------   </v>
          </cell>
          <cell r="BA396">
            <v>2707</v>
          </cell>
        </row>
        <row r="397">
          <cell r="AU397" t="str">
            <v>新社鄉公所21</v>
          </cell>
          <cell r="AW397" t="str">
            <v>(0.3%*發包工程費)</v>
          </cell>
          <cell r="AZ397" t="str">
            <v xml:space="preserve"> </v>
          </cell>
        </row>
        <row r="398">
          <cell r="AU398" t="str">
            <v>新社鄉公所22</v>
          </cell>
        </row>
        <row r="399">
          <cell r="AU399" t="str">
            <v>新社鄉公所23</v>
          </cell>
        </row>
        <row r="400">
          <cell r="AU400" t="str">
            <v>新社鄉公所24</v>
          </cell>
          <cell r="AW400" t="str">
            <v>合計</v>
          </cell>
          <cell r="BA400">
            <v>1920007</v>
          </cell>
        </row>
        <row r="401">
          <cell r="AU401" t="str">
            <v>新社鄉公所25</v>
          </cell>
        </row>
        <row r="402">
          <cell r="AU402" t="str">
            <v>新社鄉公所26</v>
          </cell>
        </row>
        <row r="403">
          <cell r="AU403" t="str">
            <v>新社鄉公所27</v>
          </cell>
        </row>
        <row r="404">
          <cell r="AU404" t="str">
            <v>新社鄉公所28</v>
          </cell>
        </row>
        <row r="405">
          <cell r="AU405" t="str">
            <v>新社鄉公所29</v>
          </cell>
        </row>
        <row r="406">
          <cell r="AU406" t="str">
            <v>新社鄉公所30</v>
          </cell>
        </row>
        <row r="407">
          <cell r="AU407" t="str">
            <v>新社鄉公所31</v>
          </cell>
        </row>
        <row r="408">
          <cell r="AU408" t="str">
            <v>新社鄉公所32</v>
          </cell>
        </row>
        <row r="409">
          <cell r="AU409" t="str">
            <v>新社鄉公所33</v>
          </cell>
        </row>
        <row r="410">
          <cell r="AU410" t="str">
            <v>新社鄉公所34</v>
          </cell>
        </row>
        <row r="411">
          <cell r="AU411" t="str">
            <v>新社鄉公所35</v>
          </cell>
        </row>
        <row r="412">
          <cell r="AU412" t="str">
            <v>新社鄉公所36</v>
          </cell>
        </row>
        <row r="413">
          <cell r="AU413" t="str">
            <v>新社鄉公所37</v>
          </cell>
        </row>
        <row r="414">
          <cell r="AU414" t="str">
            <v>新社鄉公所38</v>
          </cell>
        </row>
        <row r="415">
          <cell r="AU415" t="str">
            <v>新社鄉公所39</v>
          </cell>
        </row>
        <row r="416">
          <cell r="AU416" t="str">
            <v>新社鄉公所40</v>
          </cell>
          <cell r="AV416" t="str">
            <v xml:space="preserve">     本工程預算總額計新台幣</v>
          </cell>
          <cell r="BA416" t="str">
            <v>壹佰玖拾貳萬零柒元整</v>
          </cell>
          <cell r="BD416" t="str">
            <v xml:space="preserve">     本工程預算總額計新台幣</v>
          </cell>
          <cell r="BI416" t="str">
            <v>壹佰捌拾萬參仟捌佰玖拾玖元整</v>
          </cell>
        </row>
        <row r="418">
          <cell r="AU418" t="str">
            <v>清水鎮公所</v>
          </cell>
          <cell r="AV418" t="str">
            <v>項次</v>
          </cell>
          <cell r="AW418" t="str">
            <v>工程項目</v>
          </cell>
          <cell r="AX418" t="str">
            <v>單位</v>
          </cell>
          <cell r="AY418" t="str">
            <v>數   量</v>
          </cell>
          <cell r="AZ418" t="str">
            <v>單   價</v>
          </cell>
          <cell r="BA418" t="str">
            <v>總   價</v>
          </cell>
          <cell r="BB418" t="str">
            <v>附   註</v>
          </cell>
          <cell r="BD418" t="str">
            <v>項次</v>
          </cell>
          <cell r="BE418" t="str">
            <v>工程項目</v>
          </cell>
          <cell r="BF418" t="str">
            <v>單位</v>
          </cell>
          <cell r="BG418" t="str">
            <v>數   量</v>
          </cell>
          <cell r="BH418" t="str">
            <v>單   價</v>
          </cell>
          <cell r="BI418" t="str">
            <v>總   價</v>
          </cell>
          <cell r="BJ418" t="str">
            <v>附   註</v>
          </cell>
        </row>
        <row r="419">
          <cell r="AU419" t="str">
            <v>清水鎮公所1</v>
          </cell>
        </row>
        <row r="420">
          <cell r="AU420" t="str">
            <v>清水鎮公所2</v>
          </cell>
          <cell r="AV420">
            <v>1</v>
          </cell>
          <cell r="AW420" t="str">
            <v>發 包 工 程 費</v>
          </cell>
          <cell r="AX420" t="str">
            <v>式</v>
          </cell>
          <cell r="AY420">
            <v>1</v>
          </cell>
          <cell r="AZ420" t="str">
            <v xml:space="preserve">---------   </v>
          </cell>
          <cell r="BA420">
            <v>1750161</v>
          </cell>
          <cell r="BD420">
            <v>1</v>
          </cell>
          <cell r="BE420" t="str">
            <v>發 包 工 程 費</v>
          </cell>
          <cell r="BF420" t="str">
            <v>式</v>
          </cell>
          <cell r="BG420">
            <v>1</v>
          </cell>
          <cell r="BH420" t="str">
            <v xml:space="preserve">---------   </v>
          </cell>
          <cell r="BI420">
            <v>1750161</v>
          </cell>
        </row>
        <row r="421">
          <cell r="AU421" t="str">
            <v>清水鎮公所3</v>
          </cell>
        </row>
        <row r="422">
          <cell r="AU422" t="str">
            <v>清水鎮公所4</v>
          </cell>
        </row>
        <row r="423">
          <cell r="AU423" t="str">
            <v>清水鎮公所5</v>
          </cell>
          <cell r="AV423">
            <v>2</v>
          </cell>
          <cell r="AW423" t="str">
            <v>工 程 管 理 費</v>
          </cell>
          <cell r="AX423" t="str">
            <v>式</v>
          </cell>
          <cell r="AY423">
            <v>1</v>
          </cell>
          <cell r="AZ423" t="str">
            <v xml:space="preserve">---------   </v>
          </cell>
          <cell r="BA423">
            <v>49134</v>
          </cell>
          <cell r="BD423">
            <v>2</v>
          </cell>
          <cell r="BE423" t="str">
            <v>工 程 管 理 費</v>
          </cell>
          <cell r="BF423" t="str">
            <v>式</v>
          </cell>
          <cell r="BG423">
            <v>1</v>
          </cell>
          <cell r="BH423" t="str">
            <v xml:space="preserve">---------   </v>
          </cell>
          <cell r="BI423">
            <v>49134</v>
          </cell>
        </row>
        <row r="424">
          <cell r="AU424" t="str">
            <v>清水鎮公所6</v>
          </cell>
          <cell r="AW424" t="str">
            <v>500萬元以下3%</v>
          </cell>
          <cell r="BE424" t="str">
            <v>500萬元以下3%</v>
          </cell>
        </row>
        <row r="425">
          <cell r="AU425" t="str">
            <v>清水鎮公所7</v>
          </cell>
          <cell r="AW425">
            <v>0</v>
          </cell>
          <cell r="BE425">
            <v>0</v>
          </cell>
        </row>
        <row r="426">
          <cell r="AU426" t="str">
            <v>清水鎮公所8</v>
          </cell>
        </row>
        <row r="427">
          <cell r="AU427" t="str">
            <v>清水鎮公所9</v>
          </cell>
        </row>
        <row r="428">
          <cell r="AU428" t="str">
            <v>清水鎮公所10</v>
          </cell>
          <cell r="AV428">
            <v>3</v>
          </cell>
          <cell r="AW428" t="str">
            <v>委託技術服務費</v>
          </cell>
          <cell r="AX428" t="str">
            <v>式</v>
          </cell>
          <cell r="AY428">
            <v>1</v>
          </cell>
          <cell r="AZ428" t="str">
            <v xml:space="preserve">---------   </v>
          </cell>
          <cell r="BA428">
            <v>111809</v>
          </cell>
          <cell r="BD428">
            <v>3</v>
          </cell>
          <cell r="BE428" t="str">
            <v>空 氣 污 染 防 制 費</v>
          </cell>
          <cell r="BF428" t="str">
            <v>式</v>
          </cell>
          <cell r="BG428">
            <v>1</v>
          </cell>
          <cell r="BH428" t="str">
            <v xml:space="preserve">---------   </v>
          </cell>
          <cell r="BI428">
            <v>2707</v>
          </cell>
        </row>
        <row r="429">
          <cell r="AU429" t="str">
            <v>清水鎮公所11</v>
          </cell>
          <cell r="AW429" t="str">
            <v>1000萬元以下6.8%</v>
          </cell>
          <cell r="BE429" t="str">
            <v>(0.3%*發包工程費)</v>
          </cell>
          <cell r="BH429" t="str">
            <v xml:space="preserve"> </v>
          </cell>
        </row>
        <row r="430">
          <cell r="AU430" t="str">
            <v>清水鎮公所12</v>
          </cell>
          <cell r="AW430">
            <v>0</v>
          </cell>
        </row>
        <row r="431">
          <cell r="AU431" t="str">
            <v>清水鎮公所13</v>
          </cell>
        </row>
        <row r="432">
          <cell r="AU432" t="str">
            <v>清水鎮公所14</v>
          </cell>
          <cell r="BE432" t="str">
            <v>合計</v>
          </cell>
          <cell r="BI432">
            <v>1802002</v>
          </cell>
        </row>
        <row r="433">
          <cell r="AU433" t="str">
            <v>清水鎮公所15</v>
          </cell>
          <cell r="AV433">
            <v>4</v>
          </cell>
          <cell r="AW433" t="str">
            <v>空 氣 污 染 防 制 費</v>
          </cell>
          <cell r="AX433" t="str">
            <v>式</v>
          </cell>
          <cell r="AY433">
            <v>1</v>
          </cell>
          <cell r="AZ433" t="str">
            <v xml:space="preserve">---------   </v>
          </cell>
          <cell r="BA433">
            <v>2707</v>
          </cell>
        </row>
        <row r="434">
          <cell r="AU434" t="str">
            <v>清水鎮公所16</v>
          </cell>
          <cell r="AW434" t="str">
            <v>(0.3%*發包工程費)</v>
          </cell>
        </row>
        <row r="435">
          <cell r="AU435" t="str">
            <v>清水鎮公所17</v>
          </cell>
        </row>
        <row r="436">
          <cell r="AU436" t="str">
            <v>清水鎮公所18</v>
          </cell>
        </row>
        <row r="437">
          <cell r="AU437" t="str">
            <v>清水鎮公所19</v>
          </cell>
          <cell r="AW437" t="str">
            <v>合計</v>
          </cell>
          <cell r="BA437">
            <v>1913811</v>
          </cell>
        </row>
        <row r="438">
          <cell r="AU438" t="str">
            <v>清水鎮公所20</v>
          </cell>
        </row>
        <row r="439">
          <cell r="AU439" t="str">
            <v>清水鎮公所21</v>
          </cell>
        </row>
        <row r="440">
          <cell r="AU440" t="str">
            <v>清水鎮公所22</v>
          </cell>
        </row>
        <row r="441">
          <cell r="AU441" t="str">
            <v>清水鎮公所23</v>
          </cell>
        </row>
        <row r="442">
          <cell r="AU442" t="str">
            <v>清水鎮公所24</v>
          </cell>
        </row>
        <row r="443">
          <cell r="AU443" t="str">
            <v>清水鎮公所25</v>
          </cell>
        </row>
        <row r="444">
          <cell r="AU444" t="str">
            <v>清水鎮公所26</v>
          </cell>
        </row>
        <row r="445">
          <cell r="AU445" t="str">
            <v>清水鎮公所27</v>
          </cell>
        </row>
        <row r="446">
          <cell r="AU446" t="str">
            <v>清水鎮公所28</v>
          </cell>
        </row>
        <row r="447">
          <cell r="AU447" t="str">
            <v>清水鎮公所29</v>
          </cell>
        </row>
        <row r="448">
          <cell r="AU448" t="str">
            <v>清水鎮公所30</v>
          </cell>
        </row>
        <row r="449">
          <cell r="AU449" t="str">
            <v>清水鎮公所31</v>
          </cell>
        </row>
        <row r="450">
          <cell r="AU450" t="str">
            <v>清水鎮公所32</v>
          </cell>
        </row>
        <row r="451">
          <cell r="AU451" t="str">
            <v>清水鎮公所33</v>
          </cell>
        </row>
        <row r="452">
          <cell r="AU452" t="str">
            <v>清水鎮公所34</v>
          </cell>
        </row>
        <row r="453">
          <cell r="AU453" t="str">
            <v>清水鎮公所35</v>
          </cell>
        </row>
        <row r="454">
          <cell r="AU454" t="str">
            <v>清水鎮公所36</v>
          </cell>
        </row>
        <row r="455">
          <cell r="AU455" t="str">
            <v>清水鎮公所37</v>
          </cell>
        </row>
        <row r="456">
          <cell r="AU456" t="str">
            <v>清水鎮公所38</v>
          </cell>
        </row>
        <row r="457">
          <cell r="AU457" t="str">
            <v>清水鎮公所39</v>
          </cell>
        </row>
        <row r="458">
          <cell r="AU458" t="str">
            <v>清水鎮公所40</v>
          </cell>
          <cell r="AV458" t="str">
            <v xml:space="preserve">     本工程預算總額計新台幣</v>
          </cell>
          <cell r="BA458" t="str">
            <v>壹佰玖拾壹萬參仟捌佰壹拾壹元整</v>
          </cell>
          <cell r="BD458" t="str">
            <v xml:space="preserve">     本工程預算總額計新台幣</v>
          </cell>
          <cell r="BI458" t="str">
            <v>壹佰捌拾萬貳仟零貳元整</v>
          </cell>
        </row>
        <row r="460">
          <cell r="AU460" t="str">
            <v>東勢鎮公所</v>
          </cell>
          <cell r="AV460" t="str">
            <v>項次</v>
          </cell>
          <cell r="AW460" t="str">
            <v>工程項目</v>
          </cell>
          <cell r="AX460" t="str">
            <v>單位</v>
          </cell>
          <cell r="AY460" t="str">
            <v>數   量</v>
          </cell>
          <cell r="AZ460" t="str">
            <v>單   價</v>
          </cell>
          <cell r="BA460" t="str">
            <v>總   價</v>
          </cell>
          <cell r="BB460" t="str">
            <v>附   註</v>
          </cell>
          <cell r="BD460" t="str">
            <v>項次</v>
          </cell>
          <cell r="BE460" t="str">
            <v>工程項目</v>
          </cell>
          <cell r="BF460" t="str">
            <v>單位</v>
          </cell>
          <cell r="BG460" t="str">
            <v>數   量</v>
          </cell>
          <cell r="BH460" t="str">
            <v>單   價</v>
          </cell>
          <cell r="BI460" t="str">
            <v>總   價</v>
          </cell>
          <cell r="BJ460" t="str">
            <v>附   註</v>
          </cell>
        </row>
        <row r="461">
          <cell r="AU461" t="str">
            <v>東勢鎮公所1</v>
          </cell>
        </row>
        <row r="462">
          <cell r="AU462" t="str">
            <v>東勢鎮公所2</v>
          </cell>
          <cell r="AV462">
            <v>1</v>
          </cell>
          <cell r="AW462" t="str">
            <v>發 包 工 程 費</v>
          </cell>
          <cell r="AX462" t="str">
            <v>式</v>
          </cell>
          <cell r="AY462">
            <v>1</v>
          </cell>
          <cell r="AZ462" t="str">
            <v xml:space="preserve">---------   </v>
          </cell>
          <cell r="BA462">
            <v>1750161</v>
          </cell>
          <cell r="BD462">
            <v>1</v>
          </cell>
          <cell r="BE462" t="str">
            <v>發 包 工 程 費</v>
          </cell>
          <cell r="BF462" t="str">
            <v>式</v>
          </cell>
          <cell r="BG462">
            <v>1</v>
          </cell>
          <cell r="BH462" t="str">
            <v xml:space="preserve">---------   </v>
          </cell>
          <cell r="BI462">
            <v>1750161</v>
          </cell>
        </row>
        <row r="463">
          <cell r="AU463" t="str">
            <v>東勢鎮公所3</v>
          </cell>
        </row>
        <row r="464">
          <cell r="AU464" t="str">
            <v>東勢鎮公所4</v>
          </cell>
        </row>
        <row r="465">
          <cell r="AU465" t="str">
            <v>東勢鎮公所5</v>
          </cell>
          <cell r="AV465">
            <v>2</v>
          </cell>
          <cell r="AW465" t="str">
            <v>工程管理費</v>
          </cell>
          <cell r="AX465" t="str">
            <v>式</v>
          </cell>
          <cell r="AY465">
            <v>1</v>
          </cell>
          <cell r="AZ465" t="str">
            <v xml:space="preserve">---------   </v>
          </cell>
          <cell r="BA465">
            <v>49134</v>
          </cell>
          <cell r="BD465">
            <v>2</v>
          </cell>
          <cell r="BE465" t="str">
            <v>工程管理費</v>
          </cell>
          <cell r="BF465" t="str">
            <v>式</v>
          </cell>
          <cell r="BG465">
            <v>1</v>
          </cell>
          <cell r="BH465" t="str">
            <v xml:space="preserve">---------   </v>
          </cell>
          <cell r="BI465">
            <v>49134</v>
          </cell>
        </row>
        <row r="466">
          <cell r="AU466" t="str">
            <v>東勢鎮公所6</v>
          </cell>
          <cell r="AW466" t="str">
            <v>500萬元以下3%</v>
          </cell>
          <cell r="BE466" t="str">
            <v>500萬元以下3%</v>
          </cell>
        </row>
        <row r="467">
          <cell r="AU467" t="str">
            <v>東勢鎮公所7</v>
          </cell>
          <cell r="AW467">
            <v>0</v>
          </cell>
          <cell r="BE467">
            <v>0</v>
          </cell>
        </row>
        <row r="468">
          <cell r="AU468" t="str">
            <v>東勢鎮公所8</v>
          </cell>
        </row>
        <row r="469">
          <cell r="AU469" t="str">
            <v>東勢鎮公所9</v>
          </cell>
        </row>
        <row r="470">
          <cell r="AU470" t="str">
            <v>東勢鎮公所10</v>
          </cell>
          <cell r="AV470">
            <v>3</v>
          </cell>
          <cell r="AW470" t="str">
            <v>委託技術服務費</v>
          </cell>
          <cell r="AX470" t="str">
            <v>式</v>
          </cell>
          <cell r="AY470">
            <v>1</v>
          </cell>
          <cell r="AZ470" t="str">
            <v xml:space="preserve">---------   </v>
          </cell>
          <cell r="BA470">
            <v>111809</v>
          </cell>
          <cell r="BD470">
            <v>3</v>
          </cell>
          <cell r="BE470" t="str">
            <v>空氣污染防制費</v>
          </cell>
          <cell r="BF470" t="str">
            <v>式</v>
          </cell>
          <cell r="BG470">
            <v>1</v>
          </cell>
          <cell r="BH470" t="str">
            <v xml:space="preserve">---------   </v>
          </cell>
          <cell r="BI470">
            <v>2707</v>
          </cell>
        </row>
        <row r="471">
          <cell r="AU471" t="str">
            <v>東勢鎮公所11</v>
          </cell>
          <cell r="AW471" t="str">
            <v>1000萬元以下6.8%</v>
          </cell>
          <cell r="BE471" t="str">
            <v>(0.3%*發包工程費)</v>
          </cell>
          <cell r="BH471" t="str">
            <v xml:space="preserve"> </v>
          </cell>
        </row>
        <row r="472">
          <cell r="AU472" t="str">
            <v>東勢鎮公所12</v>
          </cell>
          <cell r="AW472">
            <v>0</v>
          </cell>
        </row>
        <row r="473">
          <cell r="AU473" t="str">
            <v>東勢鎮公所13</v>
          </cell>
        </row>
        <row r="474">
          <cell r="AU474" t="str">
            <v>東勢鎮公所14</v>
          </cell>
          <cell r="BE474" t="str">
            <v>總    計</v>
          </cell>
          <cell r="BI474">
            <v>1802002</v>
          </cell>
        </row>
        <row r="475">
          <cell r="AU475" t="str">
            <v>東勢鎮公所15</v>
          </cell>
          <cell r="AV475">
            <v>4</v>
          </cell>
          <cell r="AW475" t="str">
            <v>空氣污染防制費</v>
          </cell>
          <cell r="AX475" t="str">
            <v>式</v>
          </cell>
          <cell r="AY475">
            <v>1</v>
          </cell>
          <cell r="AZ475" t="str">
            <v xml:space="preserve">---------   </v>
          </cell>
          <cell r="BA475">
            <v>2707</v>
          </cell>
        </row>
        <row r="476">
          <cell r="AU476" t="str">
            <v>東勢鎮公所16</v>
          </cell>
          <cell r="AW476" t="str">
            <v>(0.3%*發包工程費)</v>
          </cell>
        </row>
        <row r="477">
          <cell r="AU477" t="str">
            <v>東勢鎮公所17</v>
          </cell>
        </row>
        <row r="478">
          <cell r="AU478" t="str">
            <v>東勢鎮公所18</v>
          </cell>
        </row>
        <row r="479">
          <cell r="AU479" t="str">
            <v>東勢鎮公所19</v>
          </cell>
          <cell r="AW479" t="str">
            <v>總    計</v>
          </cell>
          <cell r="BA479">
            <v>1913811</v>
          </cell>
        </row>
        <row r="480">
          <cell r="AU480" t="str">
            <v>東勢鎮公所20</v>
          </cell>
        </row>
        <row r="481">
          <cell r="AU481" t="str">
            <v>東勢鎮公所21</v>
          </cell>
        </row>
        <row r="482">
          <cell r="AU482" t="str">
            <v>東勢鎮公所22</v>
          </cell>
        </row>
        <row r="483">
          <cell r="AU483" t="str">
            <v>東勢鎮公所23</v>
          </cell>
        </row>
        <row r="484">
          <cell r="AU484" t="str">
            <v>東勢鎮公所24</v>
          </cell>
        </row>
        <row r="485">
          <cell r="AU485" t="str">
            <v>東勢鎮公所25</v>
          </cell>
        </row>
        <row r="486">
          <cell r="AU486" t="str">
            <v>東勢鎮公所26</v>
          </cell>
        </row>
        <row r="487">
          <cell r="AU487" t="str">
            <v>東勢鎮公所27</v>
          </cell>
        </row>
        <row r="488">
          <cell r="AU488" t="str">
            <v>東勢鎮公所28</v>
          </cell>
        </row>
        <row r="489">
          <cell r="AU489" t="str">
            <v>東勢鎮公所29</v>
          </cell>
        </row>
        <row r="490">
          <cell r="AU490" t="str">
            <v>東勢鎮公所30</v>
          </cell>
        </row>
        <row r="491">
          <cell r="AU491" t="str">
            <v>東勢鎮公所31</v>
          </cell>
        </row>
        <row r="492">
          <cell r="AU492" t="str">
            <v>東勢鎮公所32</v>
          </cell>
        </row>
        <row r="493">
          <cell r="AU493" t="str">
            <v>東勢鎮公所33</v>
          </cell>
        </row>
        <row r="494">
          <cell r="AU494" t="str">
            <v>東勢鎮公所34</v>
          </cell>
        </row>
        <row r="495">
          <cell r="AU495" t="str">
            <v>東勢鎮公所35</v>
          </cell>
        </row>
        <row r="496">
          <cell r="AU496" t="str">
            <v>東勢鎮公所36</v>
          </cell>
        </row>
        <row r="497">
          <cell r="AU497" t="str">
            <v>東勢鎮公所37</v>
          </cell>
        </row>
        <row r="498">
          <cell r="AU498" t="str">
            <v>東勢鎮公所38</v>
          </cell>
        </row>
        <row r="499">
          <cell r="AU499" t="str">
            <v>東勢鎮公所39</v>
          </cell>
        </row>
        <row r="500">
          <cell r="AU500" t="str">
            <v>東勢鎮公所40</v>
          </cell>
          <cell r="AV500" t="str">
            <v xml:space="preserve">     本工程預算總額計新台幣</v>
          </cell>
          <cell r="BA500" t="str">
            <v>壹佰玖拾壹萬參仟捌佰壹拾壹元整</v>
          </cell>
          <cell r="BD500" t="str">
            <v xml:space="preserve">     本工程預算總額計新台幣</v>
          </cell>
          <cell r="BI500" t="str">
            <v>壹佰捌拾萬貳仟零貳元整</v>
          </cell>
        </row>
        <row r="502">
          <cell r="AU502" t="str">
            <v>神岡鄉公所</v>
          </cell>
          <cell r="AV502" t="str">
            <v>項次</v>
          </cell>
          <cell r="AW502" t="str">
            <v>工程項目</v>
          </cell>
          <cell r="AX502" t="str">
            <v>單位</v>
          </cell>
          <cell r="AY502" t="str">
            <v>數   量</v>
          </cell>
          <cell r="AZ502" t="str">
            <v>單   價</v>
          </cell>
          <cell r="BA502" t="str">
            <v>總   價</v>
          </cell>
          <cell r="BB502" t="str">
            <v>附   註</v>
          </cell>
          <cell r="BD502" t="str">
            <v>項次</v>
          </cell>
          <cell r="BE502" t="str">
            <v>工程項目</v>
          </cell>
          <cell r="BF502" t="str">
            <v>單位</v>
          </cell>
          <cell r="BG502" t="str">
            <v>數   量</v>
          </cell>
          <cell r="BH502" t="str">
            <v>單   價</v>
          </cell>
          <cell r="BI502" t="str">
            <v>總   價</v>
          </cell>
          <cell r="BJ502" t="str">
            <v>附   註</v>
          </cell>
        </row>
        <row r="503">
          <cell r="AU503" t="str">
            <v>神岡鄉公所1</v>
          </cell>
        </row>
        <row r="504">
          <cell r="AU504" t="str">
            <v>神岡鄉公所2</v>
          </cell>
          <cell r="AV504">
            <v>1</v>
          </cell>
          <cell r="AW504" t="str">
            <v>發 包 工 程 費</v>
          </cell>
          <cell r="AX504" t="str">
            <v>式</v>
          </cell>
          <cell r="AY504">
            <v>1</v>
          </cell>
          <cell r="AZ504" t="str">
            <v xml:space="preserve">---------   </v>
          </cell>
          <cell r="BA504">
            <v>1750161</v>
          </cell>
          <cell r="BD504">
            <v>1</v>
          </cell>
          <cell r="BE504" t="str">
            <v>發 包 工 程 費</v>
          </cell>
          <cell r="BF504" t="str">
            <v>式</v>
          </cell>
          <cell r="BG504">
            <v>1</v>
          </cell>
          <cell r="BH504" t="str">
            <v xml:space="preserve">---------   </v>
          </cell>
          <cell r="BI504">
            <v>1750161</v>
          </cell>
        </row>
        <row r="505">
          <cell r="AU505" t="str">
            <v>神岡鄉公所3</v>
          </cell>
        </row>
        <row r="506">
          <cell r="AU506" t="str">
            <v>神岡鄉公所4</v>
          </cell>
        </row>
        <row r="507">
          <cell r="AU507" t="str">
            <v>神岡鄉公所5</v>
          </cell>
          <cell r="AV507">
            <v>2</v>
          </cell>
          <cell r="AW507" t="str">
            <v>工程管理費</v>
          </cell>
          <cell r="AX507" t="str">
            <v>式</v>
          </cell>
          <cell r="AY507">
            <v>1</v>
          </cell>
          <cell r="AZ507" t="str">
            <v xml:space="preserve">---------   </v>
          </cell>
          <cell r="BA507">
            <v>49134</v>
          </cell>
          <cell r="BD507">
            <v>2</v>
          </cell>
          <cell r="BE507" t="str">
            <v>工程管理費</v>
          </cell>
          <cell r="BF507" t="str">
            <v>式</v>
          </cell>
          <cell r="BG507">
            <v>1</v>
          </cell>
          <cell r="BH507" t="str">
            <v xml:space="preserve">---------   </v>
          </cell>
          <cell r="BI507">
            <v>49134</v>
          </cell>
        </row>
        <row r="508">
          <cell r="AU508" t="str">
            <v>神岡鄉公所6</v>
          </cell>
          <cell r="AW508" t="str">
            <v>500萬元以下3%</v>
          </cell>
          <cell r="BE508" t="str">
            <v>500萬元以下3%</v>
          </cell>
        </row>
        <row r="509">
          <cell r="AU509" t="str">
            <v>神岡鄉公所7</v>
          </cell>
          <cell r="AW509">
            <v>0</v>
          </cell>
          <cell r="BE509">
            <v>0</v>
          </cell>
        </row>
        <row r="510">
          <cell r="AU510" t="str">
            <v>神岡鄉公所8</v>
          </cell>
        </row>
        <row r="511">
          <cell r="AU511" t="str">
            <v>神岡鄉公所9</v>
          </cell>
        </row>
        <row r="512">
          <cell r="AU512" t="str">
            <v>神岡鄉公所10</v>
          </cell>
          <cell r="AV512">
            <v>3</v>
          </cell>
          <cell r="AW512" t="str">
            <v>委託技術服務費</v>
          </cell>
          <cell r="AX512" t="str">
            <v>式</v>
          </cell>
          <cell r="AY512">
            <v>1</v>
          </cell>
          <cell r="AZ512" t="str">
            <v xml:space="preserve">---------   </v>
          </cell>
          <cell r="BA512">
            <v>111809</v>
          </cell>
          <cell r="BD512">
            <v>3</v>
          </cell>
          <cell r="BE512" t="str">
            <v>空氣污染防制費</v>
          </cell>
          <cell r="BF512" t="str">
            <v>式</v>
          </cell>
          <cell r="BG512">
            <v>1</v>
          </cell>
          <cell r="BH512" t="str">
            <v xml:space="preserve">---------   </v>
          </cell>
          <cell r="BI512">
            <v>2707</v>
          </cell>
        </row>
        <row r="513">
          <cell r="AU513" t="str">
            <v>神岡鄉公所11</v>
          </cell>
          <cell r="AW513" t="str">
            <v>1000萬元以下6.8%</v>
          </cell>
          <cell r="BE513" t="str">
            <v>(0.3%*發包工程費)</v>
          </cell>
          <cell r="BH513" t="str">
            <v xml:space="preserve"> </v>
          </cell>
        </row>
        <row r="514">
          <cell r="AU514" t="str">
            <v>神岡鄉公所12</v>
          </cell>
          <cell r="AW514">
            <v>0</v>
          </cell>
        </row>
        <row r="515">
          <cell r="AU515" t="str">
            <v>神岡鄉公所13</v>
          </cell>
        </row>
        <row r="516">
          <cell r="AU516" t="str">
            <v>神岡鄉公所14</v>
          </cell>
          <cell r="BE516" t="str">
            <v>總    計</v>
          </cell>
          <cell r="BI516">
            <v>1802002</v>
          </cell>
        </row>
        <row r="517">
          <cell r="AU517" t="str">
            <v>神岡鄉公所15</v>
          </cell>
          <cell r="AV517">
            <v>4</v>
          </cell>
          <cell r="AW517" t="str">
            <v>空氣污染防制費</v>
          </cell>
          <cell r="AX517" t="str">
            <v>式</v>
          </cell>
          <cell r="AY517">
            <v>1</v>
          </cell>
          <cell r="AZ517" t="str">
            <v xml:space="preserve">---------   </v>
          </cell>
          <cell r="BA517">
            <v>2707</v>
          </cell>
        </row>
        <row r="518">
          <cell r="AU518" t="str">
            <v>神岡鄉公所16</v>
          </cell>
          <cell r="AW518" t="str">
            <v>(0.3%*發包工程費)</v>
          </cell>
        </row>
        <row r="519">
          <cell r="AU519" t="str">
            <v>神岡鄉公所17</v>
          </cell>
        </row>
        <row r="520">
          <cell r="AU520" t="str">
            <v>神岡鄉公所18</v>
          </cell>
        </row>
        <row r="521">
          <cell r="AU521" t="str">
            <v>神岡鄉公所19</v>
          </cell>
          <cell r="AW521" t="str">
            <v>總    計</v>
          </cell>
          <cell r="BA521">
            <v>1913811</v>
          </cell>
        </row>
        <row r="522">
          <cell r="AU522" t="str">
            <v>神岡鄉公所20</v>
          </cell>
        </row>
        <row r="523">
          <cell r="AU523" t="str">
            <v>神岡鄉公所21</v>
          </cell>
        </row>
        <row r="524">
          <cell r="AU524" t="str">
            <v>神岡鄉公所22</v>
          </cell>
        </row>
        <row r="525">
          <cell r="AU525" t="str">
            <v>神岡鄉公所23</v>
          </cell>
        </row>
        <row r="526">
          <cell r="AU526" t="str">
            <v>神岡鄉公所24</v>
          </cell>
        </row>
        <row r="527">
          <cell r="AU527" t="str">
            <v>神岡鄉公所25</v>
          </cell>
        </row>
        <row r="528">
          <cell r="AU528" t="str">
            <v>神岡鄉公所26</v>
          </cell>
        </row>
        <row r="529">
          <cell r="AU529" t="str">
            <v>神岡鄉公所27</v>
          </cell>
        </row>
        <row r="530">
          <cell r="AU530" t="str">
            <v>神岡鄉公所28</v>
          </cell>
        </row>
        <row r="531">
          <cell r="AU531" t="str">
            <v>神岡鄉公所29</v>
          </cell>
        </row>
        <row r="532">
          <cell r="AU532" t="str">
            <v>神岡鄉公所30</v>
          </cell>
        </row>
        <row r="533">
          <cell r="AU533" t="str">
            <v>神岡鄉公所31</v>
          </cell>
        </row>
        <row r="534">
          <cell r="AU534" t="str">
            <v>神岡鄉公所32</v>
          </cell>
        </row>
        <row r="535">
          <cell r="AU535" t="str">
            <v>神岡鄉公所33</v>
          </cell>
        </row>
        <row r="536">
          <cell r="AU536" t="str">
            <v>神岡鄉公所34</v>
          </cell>
        </row>
        <row r="537">
          <cell r="AU537" t="str">
            <v>神岡鄉公所35</v>
          </cell>
        </row>
        <row r="538">
          <cell r="AU538" t="str">
            <v>神岡鄉公所36</v>
          </cell>
        </row>
        <row r="539">
          <cell r="AU539" t="str">
            <v>神岡鄉公所37</v>
          </cell>
        </row>
        <row r="540">
          <cell r="AU540" t="str">
            <v>神岡鄉公所38</v>
          </cell>
        </row>
        <row r="541">
          <cell r="AU541" t="str">
            <v>神岡鄉公所39</v>
          </cell>
        </row>
        <row r="542">
          <cell r="AU542" t="str">
            <v>神岡鄉公所40</v>
          </cell>
          <cell r="AV542" t="str">
            <v xml:space="preserve">     本工程預算總額計新台幣</v>
          </cell>
          <cell r="BA542" t="str">
            <v>壹佰玖拾壹萬參仟捌佰壹拾壹元整</v>
          </cell>
          <cell r="BD542" t="str">
            <v xml:space="preserve">     本工程預算總額計新台幣</v>
          </cell>
          <cell r="BI542" t="str">
            <v>壹佰捌拾萬貳仟零貳元整</v>
          </cell>
        </row>
        <row r="544">
          <cell r="AU544">
            <v>87</v>
          </cell>
          <cell r="AV544" t="str">
            <v>項次</v>
          </cell>
          <cell r="AW544" t="str">
            <v>工程項目</v>
          </cell>
          <cell r="AX544" t="str">
            <v>單位</v>
          </cell>
          <cell r="AY544" t="str">
            <v>數   量</v>
          </cell>
          <cell r="AZ544" t="str">
            <v>單   價</v>
          </cell>
          <cell r="BA544" t="str">
            <v>總   價</v>
          </cell>
          <cell r="BB544" t="str">
            <v>附   註</v>
          </cell>
          <cell r="BD544" t="str">
            <v>項次</v>
          </cell>
          <cell r="BE544" t="str">
            <v>工程項目</v>
          </cell>
          <cell r="BF544" t="str">
            <v>單位</v>
          </cell>
          <cell r="BG544" t="str">
            <v>數   量</v>
          </cell>
          <cell r="BH544" t="str">
            <v>單   價</v>
          </cell>
          <cell r="BI544" t="str">
            <v>總   價</v>
          </cell>
          <cell r="BJ544" t="str">
            <v>附   註</v>
          </cell>
        </row>
        <row r="584">
          <cell r="AV584" t="str">
            <v xml:space="preserve">     本工程預算總額計新台幣</v>
          </cell>
        </row>
        <row r="586">
          <cell r="AU586">
            <v>88</v>
          </cell>
          <cell r="AV586" t="str">
            <v>項次</v>
          </cell>
          <cell r="AW586" t="str">
            <v>工程項目</v>
          </cell>
          <cell r="AX586" t="str">
            <v>單位</v>
          </cell>
          <cell r="AY586" t="str">
            <v>數   量</v>
          </cell>
          <cell r="AZ586" t="str">
            <v>單   價</v>
          </cell>
          <cell r="BA586" t="str">
            <v>總   價</v>
          </cell>
          <cell r="BB586" t="str">
            <v>附   註</v>
          </cell>
          <cell r="BD586" t="str">
            <v>項次</v>
          </cell>
          <cell r="BE586" t="str">
            <v>工程項目</v>
          </cell>
          <cell r="BF586" t="str">
            <v>單位</v>
          </cell>
          <cell r="BG586" t="str">
            <v>數   量</v>
          </cell>
          <cell r="BH586" t="str">
            <v>單   價</v>
          </cell>
          <cell r="BI586" t="str">
            <v>總   價</v>
          </cell>
          <cell r="BJ586" t="str">
            <v>附   註</v>
          </cell>
        </row>
        <row r="626">
          <cell r="AV626" t="str">
            <v xml:space="preserve">     本工程預算總額計新台幣</v>
          </cell>
        </row>
        <row r="628">
          <cell r="AU628">
            <v>89</v>
          </cell>
          <cell r="AV628" t="str">
            <v>項次</v>
          </cell>
          <cell r="AW628" t="str">
            <v>工程項目</v>
          </cell>
          <cell r="AX628" t="str">
            <v>單位</v>
          </cell>
          <cell r="AY628" t="str">
            <v>數   量</v>
          </cell>
          <cell r="AZ628" t="str">
            <v>單   價</v>
          </cell>
          <cell r="BA628" t="str">
            <v>總   價</v>
          </cell>
          <cell r="BB628" t="str">
            <v>附   註</v>
          </cell>
          <cell r="BD628" t="str">
            <v>項次</v>
          </cell>
          <cell r="BE628" t="str">
            <v>工程項目</v>
          </cell>
          <cell r="BF628" t="str">
            <v>單位</v>
          </cell>
          <cell r="BG628" t="str">
            <v>數   量</v>
          </cell>
          <cell r="BH628" t="str">
            <v>單   價</v>
          </cell>
          <cell r="BI628" t="str">
            <v>總   價</v>
          </cell>
          <cell r="BJ628" t="str">
            <v>附   註</v>
          </cell>
        </row>
        <row r="668">
          <cell r="AV668" t="str">
            <v xml:space="preserve">     本工程預算總額計新台幣</v>
          </cell>
        </row>
        <row r="670">
          <cell r="AU670">
            <v>90</v>
          </cell>
          <cell r="AV670" t="str">
            <v>項次</v>
          </cell>
          <cell r="AW670" t="str">
            <v>工程項目</v>
          </cell>
          <cell r="AX670" t="str">
            <v>單位</v>
          </cell>
          <cell r="AY670" t="str">
            <v>數   量</v>
          </cell>
          <cell r="AZ670" t="str">
            <v>單   價</v>
          </cell>
          <cell r="BA670" t="str">
            <v>總   價</v>
          </cell>
          <cell r="BB670" t="str">
            <v>附   註</v>
          </cell>
          <cell r="BD670" t="str">
            <v>項次</v>
          </cell>
          <cell r="BE670" t="str">
            <v>工程項目</v>
          </cell>
          <cell r="BF670" t="str">
            <v>單位</v>
          </cell>
          <cell r="BG670" t="str">
            <v>數   量</v>
          </cell>
          <cell r="BH670" t="str">
            <v>單   價</v>
          </cell>
          <cell r="BI670" t="str">
            <v>總   價</v>
          </cell>
          <cell r="BJ670" t="str">
            <v>附   註</v>
          </cell>
        </row>
        <row r="710">
          <cell r="AV710" t="str">
            <v xml:space="preserve">     本工程預算總額計新台幣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封面"/>
      <sheetName val="預1"/>
      <sheetName val="預2"/>
      <sheetName val="單1"/>
      <sheetName val="統1"/>
      <sheetName val="計1"/>
      <sheetName val="計2"/>
      <sheetName val="計3"/>
      <sheetName val="計4"/>
      <sheetName val="土1"/>
      <sheetName val="土2"/>
      <sheetName val="施工進度表"/>
      <sheetName val="東勢估"/>
      <sheetName val="估價單"/>
      <sheetName val="標單"/>
    </sheetNames>
    <sheetDataSet>
      <sheetData sheetId="0" refreshError="1">
        <row r="19">
          <cell r="S19" t="str">
            <v>原有結構物損壞修復費</v>
          </cell>
          <cell r="T19" t="str">
            <v>式</v>
          </cell>
          <cell r="U19">
            <v>1</v>
          </cell>
          <cell r="V19">
            <v>5000</v>
          </cell>
          <cell r="W19">
            <v>5000</v>
          </cell>
          <cell r="Z19" t="str">
            <v>材料試驗費</v>
          </cell>
          <cell r="AA19" t="str">
            <v>式</v>
          </cell>
          <cell r="AB19">
            <v>1</v>
          </cell>
          <cell r="AD19">
            <v>26340</v>
          </cell>
        </row>
        <row r="20">
          <cell r="S20" t="str">
            <v>臨時擋土設施費</v>
          </cell>
          <cell r="T20" t="str">
            <v>式</v>
          </cell>
          <cell r="U20">
            <v>1</v>
          </cell>
          <cell r="V20">
            <v>15000</v>
          </cell>
          <cell r="W20">
            <v>15000</v>
          </cell>
          <cell r="Z20" t="str">
            <v>營造綜合保險費</v>
          </cell>
          <cell r="AA20" t="str">
            <v>式</v>
          </cell>
          <cell r="AB20">
            <v>1</v>
          </cell>
          <cell r="AD20">
            <v>41900</v>
          </cell>
        </row>
        <row r="21">
          <cell r="S21" t="str">
            <v>橋樑澆鑄臨時支撐設施費</v>
          </cell>
          <cell r="T21" t="str">
            <v>式</v>
          </cell>
          <cell r="U21">
            <v>1</v>
          </cell>
          <cell r="V21">
            <v>12000</v>
          </cell>
          <cell r="W21">
            <v>12000</v>
          </cell>
          <cell r="Z21" t="str">
            <v>勞工安全衛生費</v>
          </cell>
          <cell r="AA21" t="str">
            <v>式</v>
          </cell>
          <cell r="AB21">
            <v>1</v>
          </cell>
          <cell r="AD21">
            <v>39339</v>
          </cell>
        </row>
        <row r="22">
          <cell r="S22" t="str">
            <v>施工機具搬運費</v>
          </cell>
          <cell r="T22" t="str">
            <v>式</v>
          </cell>
          <cell r="U22">
            <v>1</v>
          </cell>
          <cell r="V22">
            <v>12000</v>
          </cell>
          <cell r="W22">
            <v>12000</v>
          </cell>
          <cell r="Z22" t="str">
            <v>包商利潤及管理費(含施工標示牌)</v>
          </cell>
          <cell r="AA22" t="str">
            <v>式</v>
          </cell>
          <cell r="AB22">
            <v>1</v>
          </cell>
          <cell r="AD22">
            <v>314521.82</v>
          </cell>
        </row>
        <row r="23">
          <cell r="S23" t="str">
            <v>人工小搬運費</v>
          </cell>
          <cell r="T23" t="str">
            <v>式</v>
          </cell>
          <cell r="U23">
            <v>1</v>
          </cell>
          <cell r="V23">
            <v>9000</v>
          </cell>
          <cell r="W23">
            <v>9000</v>
          </cell>
          <cell r="Z23" t="str">
            <v>加值營業稅</v>
          </cell>
          <cell r="AA23" t="str">
            <v>式</v>
          </cell>
          <cell r="AB23">
            <v>1</v>
          </cell>
          <cell r="AD23">
            <v>216481</v>
          </cell>
        </row>
        <row r="24">
          <cell r="S24" t="str">
            <v>施工中交通安全設施及維護費</v>
          </cell>
          <cell r="T24" t="str">
            <v>式</v>
          </cell>
          <cell r="U24">
            <v>1</v>
          </cell>
          <cell r="V24">
            <v>6000</v>
          </cell>
          <cell r="W24">
            <v>6000</v>
          </cell>
          <cell r="Z24" t="str">
            <v>合      計</v>
          </cell>
          <cell r="AA24">
            <v>0</v>
          </cell>
          <cell r="AB24">
            <v>0</v>
          </cell>
          <cell r="AD24">
            <v>4546100</v>
          </cell>
        </row>
        <row r="25">
          <cell r="S25" t="str">
            <v>施工中周遭環境維護費</v>
          </cell>
          <cell r="T25" t="str">
            <v>式</v>
          </cell>
          <cell r="U25">
            <v>1</v>
          </cell>
          <cell r="V25">
            <v>5000</v>
          </cell>
          <cell r="W25">
            <v>5000</v>
          </cell>
          <cell r="Z25" t="str">
            <v/>
          </cell>
          <cell r="AA25" t="str">
            <v/>
          </cell>
          <cell r="AB25" t="str">
            <v/>
          </cell>
          <cell r="AD25" t="str">
            <v/>
          </cell>
        </row>
        <row r="26">
          <cell r="S26" t="str">
            <v>品管費(約2%)</v>
          </cell>
          <cell r="T26" t="str">
            <v>式</v>
          </cell>
          <cell r="U26">
            <v>1</v>
          </cell>
          <cell r="V26">
            <v>76618</v>
          </cell>
          <cell r="W26">
            <v>76618</v>
          </cell>
          <cell r="Z26" t="str">
            <v/>
          </cell>
          <cell r="AA26" t="str">
            <v/>
          </cell>
          <cell r="AB26" t="str">
            <v/>
          </cell>
          <cell r="AD26" t="str">
            <v/>
          </cell>
        </row>
        <row r="27">
          <cell r="W27" t="str">
            <v/>
          </cell>
          <cell r="Z27" t="str">
            <v/>
          </cell>
          <cell r="AA27" t="str">
            <v/>
          </cell>
          <cell r="AB27" t="str">
            <v/>
          </cell>
          <cell r="AD27" t="str">
            <v/>
          </cell>
        </row>
        <row r="28">
          <cell r="W28" t="str">
            <v/>
          </cell>
          <cell r="Z28" t="str">
            <v/>
          </cell>
          <cell r="AA28" t="str">
            <v/>
          </cell>
          <cell r="AB28" t="str">
            <v/>
          </cell>
          <cell r="AD28" t="str">
            <v/>
          </cell>
        </row>
        <row r="29">
          <cell r="W29" t="str">
            <v/>
          </cell>
          <cell r="Z29" t="str">
            <v/>
          </cell>
          <cell r="AA29" t="str">
            <v/>
          </cell>
          <cell r="AB29" t="str">
            <v/>
          </cell>
          <cell r="AD29" t="str">
            <v/>
          </cell>
        </row>
        <row r="30">
          <cell r="W30" t="str">
            <v/>
          </cell>
          <cell r="Z30" t="str">
            <v/>
          </cell>
          <cell r="AA30" t="str">
            <v/>
          </cell>
          <cell r="AB30" t="str">
            <v/>
          </cell>
          <cell r="AD30" t="str">
            <v/>
          </cell>
        </row>
        <row r="31">
          <cell r="W31" t="str">
            <v/>
          </cell>
          <cell r="Z31" t="str">
            <v/>
          </cell>
          <cell r="AA31" t="str">
            <v/>
          </cell>
          <cell r="AB31" t="str">
            <v/>
          </cell>
          <cell r="AD31" t="str">
            <v/>
          </cell>
        </row>
        <row r="32">
          <cell r="W32" t="str">
            <v/>
          </cell>
          <cell r="Z32" t="str">
            <v/>
          </cell>
          <cell r="AA32" t="str">
            <v/>
          </cell>
          <cell r="AB32" t="str">
            <v/>
          </cell>
          <cell r="AD32" t="str">
            <v/>
          </cell>
        </row>
        <row r="33">
          <cell r="W33" t="str">
            <v/>
          </cell>
          <cell r="Z33" t="str">
            <v/>
          </cell>
          <cell r="AA33" t="str">
            <v/>
          </cell>
          <cell r="AB33" t="str">
            <v/>
          </cell>
          <cell r="AD33" t="str">
            <v/>
          </cell>
        </row>
        <row r="34">
          <cell r="W34" t="str">
            <v/>
          </cell>
          <cell r="Z34" t="str">
            <v/>
          </cell>
          <cell r="AA34" t="str">
            <v/>
          </cell>
          <cell r="AB34" t="str">
            <v/>
          </cell>
          <cell r="AD34" t="str">
            <v/>
          </cell>
        </row>
        <row r="35">
          <cell r="W35" t="str">
            <v/>
          </cell>
          <cell r="Z35" t="str">
            <v/>
          </cell>
          <cell r="AA35" t="str">
            <v/>
          </cell>
          <cell r="AB35" t="str">
            <v/>
          </cell>
          <cell r="AD35" t="str">
            <v/>
          </cell>
        </row>
        <row r="36">
          <cell r="W36" t="str">
            <v/>
          </cell>
          <cell r="Z36" t="str">
            <v/>
          </cell>
          <cell r="AA36" t="str">
            <v/>
          </cell>
          <cell r="AB36" t="str">
            <v/>
          </cell>
          <cell r="AD36" t="str">
            <v/>
          </cell>
        </row>
        <row r="37">
          <cell r="W37" t="str">
            <v/>
          </cell>
          <cell r="Z37" t="str">
            <v/>
          </cell>
          <cell r="AA37" t="str">
            <v/>
          </cell>
          <cell r="AB37" t="str">
            <v/>
          </cell>
          <cell r="AD37" t="str">
            <v/>
          </cell>
        </row>
        <row r="38">
          <cell r="W38" t="str">
            <v/>
          </cell>
          <cell r="Z38" t="str">
            <v/>
          </cell>
          <cell r="AA38" t="str">
            <v/>
          </cell>
          <cell r="AB38" t="str">
            <v/>
          </cell>
          <cell r="AD38" t="str">
            <v/>
          </cell>
        </row>
        <row r="39">
          <cell r="W39" t="str">
            <v/>
          </cell>
          <cell r="Z39" t="str">
            <v/>
          </cell>
          <cell r="AA39" t="str">
            <v/>
          </cell>
          <cell r="AB39" t="str">
            <v/>
          </cell>
          <cell r="AD39" t="str">
            <v/>
          </cell>
        </row>
        <row r="40">
          <cell r="W40" t="str">
            <v/>
          </cell>
          <cell r="Z40" t="str">
            <v/>
          </cell>
          <cell r="AA40" t="str">
            <v/>
          </cell>
          <cell r="AB40" t="str">
            <v/>
          </cell>
          <cell r="AD40" t="str">
            <v/>
          </cell>
        </row>
        <row r="41">
          <cell r="W41" t="str">
            <v/>
          </cell>
          <cell r="Z41" t="str">
            <v/>
          </cell>
          <cell r="AA41" t="str">
            <v/>
          </cell>
          <cell r="AB41" t="str">
            <v/>
          </cell>
          <cell r="AD41" t="str">
            <v/>
          </cell>
        </row>
        <row r="42">
          <cell r="W42" t="str">
            <v/>
          </cell>
          <cell r="Z42" t="str">
            <v/>
          </cell>
          <cell r="AA42" t="str">
            <v/>
          </cell>
          <cell r="AB42" t="str">
            <v/>
          </cell>
          <cell r="AD42" t="str">
            <v/>
          </cell>
        </row>
        <row r="43">
          <cell r="W43" t="str">
            <v/>
          </cell>
          <cell r="Z43" t="str">
            <v/>
          </cell>
          <cell r="AA43" t="str">
            <v/>
          </cell>
          <cell r="AB43" t="str">
            <v/>
          </cell>
          <cell r="AD43" t="str">
            <v/>
          </cell>
        </row>
        <row r="44">
          <cell r="W44" t="str">
            <v/>
          </cell>
          <cell r="Z44" t="str">
            <v/>
          </cell>
          <cell r="AA44" t="str">
            <v/>
          </cell>
          <cell r="AB44" t="str">
            <v/>
          </cell>
          <cell r="AD44" t="str">
            <v/>
          </cell>
        </row>
        <row r="45">
          <cell r="W45" t="str">
            <v/>
          </cell>
          <cell r="Z45" t="str">
            <v/>
          </cell>
          <cell r="AA45" t="str">
            <v/>
          </cell>
          <cell r="AB45" t="str">
            <v/>
          </cell>
          <cell r="AD45" t="str">
            <v/>
          </cell>
        </row>
        <row r="46">
          <cell r="W46" t="str">
            <v/>
          </cell>
          <cell r="Z46" t="str">
            <v/>
          </cell>
          <cell r="AA46" t="str">
            <v/>
          </cell>
          <cell r="AB46" t="str">
            <v/>
          </cell>
          <cell r="AD46" t="str">
            <v/>
          </cell>
        </row>
        <row r="47">
          <cell r="W47" t="str">
            <v/>
          </cell>
          <cell r="Z47" t="str">
            <v/>
          </cell>
          <cell r="AA47" t="str">
            <v/>
          </cell>
          <cell r="AB47" t="str">
            <v/>
          </cell>
          <cell r="AD47" t="str">
            <v/>
          </cell>
        </row>
        <row r="48">
          <cell r="W48" t="str">
            <v/>
          </cell>
          <cell r="Z48" t="str">
            <v/>
          </cell>
          <cell r="AA48" t="str">
            <v/>
          </cell>
          <cell r="AB48" t="str">
            <v/>
          </cell>
          <cell r="AD48" t="str">
            <v/>
          </cell>
        </row>
        <row r="49">
          <cell r="W49" t="str">
            <v/>
          </cell>
          <cell r="Z49" t="str">
            <v/>
          </cell>
          <cell r="AA49" t="str">
            <v/>
          </cell>
          <cell r="AB49" t="str">
            <v/>
          </cell>
          <cell r="AD49" t="str">
            <v/>
          </cell>
        </row>
        <row r="50">
          <cell r="W50" t="str">
            <v/>
          </cell>
          <cell r="Z50" t="str">
            <v/>
          </cell>
          <cell r="AA50" t="str">
            <v/>
          </cell>
          <cell r="AB50" t="str">
            <v/>
          </cell>
          <cell r="AD50" t="str">
            <v/>
          </cell>
        </row>
        <row r="51">
          <cell r="W51" t="str">
            <v/>
          </cell>
          <cell r="Z51" t="str">
            <v/>
          </cell>
          <cell r="AA51" t="str">
            <v/>
          </cell>
          <cell r="AB51" t="str">
            <v/>
          </cell>
          <cell r="AD51" t="str">
            <v/>
          </cell>
        </row>
        <row r="52">
          <cell r="W52" t="str">
            <v/>
          </cell>
          <cell r="Z52" t="str">
            <v/>
          </cell>
          <cell r="AA52" t="str">
            <v/>
          </cell>
          <cell r="AB52" t="str">
            <v/>
          </cell>
          <cell r="AD52" t="str">
            <v/>
          </cell>
        </row>
        <row r="53">
          <cell r="W53" t="str">
            <v/>
          </cell>
          <cell r="Z53" t="str">
            <v/>
          </cell>
          <cell r="AA53" t="str">
            <v/>
          </cell>
          <cell r="AB53" t="str">
            <v/>
          </cell>
          <cell r="AD53" t="str">
            <v/>
          </cell>
        </row>
        <row r="54">
          <cell r="W54" t="str">
            <v/>
          </cell>
          <cell r="Z54" t="str">
            <v/>
          </cell>
          <cell r="AA54" t="str">
            <v/>
          </cell>
          <cell r="AB54" t="str">
            <v/>
          </cell>
          <cell r="AD54" t="str">
            <v/>
          </cell>
        </row>
        <row r="55">
          <cell r="W55" t="str">
            <v/>
          </cell>
          <cell r="Z55" t="str">
            <v/>
          </cell>
          <cell r="AA55" t="str">
            <v/>
          </cell>
          <cell r="AB55" t="str">
            <v/>
          </cell>
          <cell r="AD55" t="str">
            <v/>
          </cell>
        </row>
        <row r="56">
          <cell r="W56" t="str">
            <v/>
          </cell>
          <cell r="Z56" t="str">
            <v/>
          </cell>
          <cell r="AA56" t="str">
            <v/>
          </cell>
          <cell r="AB56" t="str">
            <v/>
          </cell>
          <cell r="AD56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預1"/>
      <sheetName val="預2"/>
      <sheetName val="單1"/>
      <sheetName val="單2"/>
      <sheetName val="單3"/>
      <sheetName val="單4"/>
      <sheetName val="單5"/>
      <sheetName val="單6"/>
      <sheetName val="單7"/>
      <sheetName val="單8"/>
      <sheetName val="統1"/>
      <sheetName val="計1"/>
      <sheetName val="計2"/>
      <sheetName val="施工進度表"/>
    </sheetNames>
    <sheetDataSet>
      <sheetData sheetId="0" refreshError="1"/>
      <sheetData sheetId="1" refreshError="1"/>
      <sheetData sheetId="2" refreshError="1"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>
            <v>24</v>
          </cell>
        </row>
        <row r="34">
          <cell r="A34" t="str">
            <v>(二)</v>
          </cell>
        </row>
        <row r="36">
          <cell r="A36" t="str">
            <v>(三)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2"/>
      <sheetName val="封面"/>
      <sheetName val="預1"/>
      <sheetName val="單1"/>
      <sheetName val="單2"/>
      <sheetName val="單3"/>
      <sheetName val="單4"/>
      <sheetName val="單5"/>
      <sheetName val="單6"/>
      <sheetName val="單7"/>
      <sheetName val="單8"/>
      <sheetName val="統1"/>
      <sheetName val="計1"/>
      <sheetName val="計2"/>
      <sheetName val="施工進度表"/>
    </sheetNames>
    <sheetDataSet>
      <sheetData sheetId="0" refreshError="1"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>
            <v>24</v>
          </cell>
        </row>
        <row r="34">
          <cell r="A34" t="str">
            <v>(二)</v>
          </cell>
        </row>
        <row r="36">
          <cell r="A36" t="str">
            <v>(三)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"/>
      <sheetName val="施"/>
      <sheetName val="總"/>
      <sheetName val="預1"/>
      <sheetName val="1"/>
      <sheetName val="2"/>
      <sheetName val="3"/>
      <sheetName val="4"/>
      <sheetName val="統1"/>
      <sheetName val="計1"/>
      <sheetName val="計2"/>
      <sheetName val="後壁"/>
    </sheetNames>
    <sheetDataSet>
      <sheetData sheetId="0"/>
      <sheetData sheetId="1"/>
      <sheetData sheetId="2"/>
      <sheetData sheetId="3" refreshError="1">
        <row r="15">
          <cell r="A15">
            <v>9</v>
          </cell>
        </row>
        <row r="16">
          <cell r="A16">
            <v>10</v>
          </cell>
        </row>
        <row r="17">
          <cell r="A17">
            <v>11</v>
          </cell>
        </row>
        <row r="18">
          <cell r="A18">
            <v>12</v>
          </cell>
        </row>
        <row r="19">
          <cell r="A19">
            <v>13</v>
          </cell>
        </row>
        <row r="20">
          <cell r="A20">
            <v>14</v>
          </cell>
        </row>
        <row r="21">
          <cell r="A21">
            <v>15</v>
          </cell>
        </row>
        <row r="22">
          <cell r="A22">
            <v>16</v>
          </cell>
        </row>
        <row r="23">
          <cell r="A23">
            <v>17</v>
          </cell>
        </row>
        <row r="24">
          <cell r="A24">
            <v>18</v>
          </cell>
        </row>
        <row r="25">
          <cell r="A25">
            <v>19</v>
          </cell>
        </row>
        <row r="26">
          <cell r="A26">
            <v>20</v>
          </cell>
        </row>
        <row r="27">
          <cell r="A27">
            <v>21</v>
          </cell>
        </row>
        <row r="28">
          <cell r="A28">
            <v>22</v>
          </cell>
        </row>
        <row r="29">
          <cell r="A29">
            <v>23</v>
          </cell>
        </row>
        <row r="30">
          <cell r="A30">
            <v>24</v>
          </cell>
        </row>
        <row r="34">
          <cell r="A34" t="str">
            <v xml:space="preserve"> 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1"/>
      <sheetName val="封"/>
      <sheetName val="施"/>
      <sheetName val="總"/>
      <sheetName val="1"/>
      <sheetName val="2"/>
      <sheetName val="3"/>
      <sheetName val="4"/>
      <sheetName val="統1"/>
      <sheetName val="計1"/>
      <sheetName val="計2"/>
      <sheetName val="後壁"/>
    </sheetNames>
    <sheetDataSet>
      <sheetData sheetId="0">
        <row r="15">
          <cell r="A15">
            <v>9</v>
          </cell>
        </row>
        <row r="16">
          <cell r="A16">
            <v>10</v>
          </cell>
        </row>
        <row r="17">
          <cell r="A17">
            <v>11</v>
          </cell>
        </row>
        <row r="18">
          <cell r="A18">
            <v>12</v>
          </cell>
        </row>
        <row r="19">
          <cell r="A19">
            <v>13</v>
          </cell>
        </row>
        <row r="20">
          <cell r="A20">
            <v>14</v>
          </cell>
        </row>
        <row r="21">
          <cell r="A21">
            <v>15</v>
          </cell>
        </row>
        <row r="22">
          <cell r="A22">
            <v>16</v>
          </cell>
        </row>
        <row r="23">
          <cell r="A23">
            <v>17</v>
          </cell>
        </row>
        <row r="24">
          <cell r="A24">
            <v>18</v>
          </cell>
        </row>
        <row r="25">
          <cell r="A25">
            <v>19</v>
          </cell>
        </row>
        <row r="26">
          <cell r="A26">
            <v>20</v>
          </cell>
        </row>
        <row r="27">
          <cell r="A27">
            <v>21</v>
          </cell>
        </row>
        <row r="28">
          <cell r="A28">
            <v>22</v>
          </cell>
        </row>
        <row r="29">
          <cell r="A29">
            <v>23</v>
          </cell>
        </row>
        <row r="30">
          <cell r="A30">
            <v>24</v>
          </cell>
        </row>
        <row r="34">
          <cell r="A34" t="str">
            <v xml:space="preserve"> 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封面"/>
      <sheetName val="預1"/>
      <sheetName val="預2"/>
      <sheetName val="預3"/>
      <sheetName val="單1"/>
      <sheetName val="統1"/>
      <sheetName val="計1"/>
      <sheetName val="計2"/>
      <sheetName val="計3"/>
      <sheetName val="計4"/>
      <sheetName val="東勢估"/>
      <sheetName val="估價單"/>
      <sheetName val="標單"/>
      <sheetName val="土方表1"/>
      <sheetName val="土方表2"/>
      <sheetName val="統2"/>
      <sheetName val="土方表3"/>
      <sheetName val="土方表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89">
          <cell r="F89">
            <v>449.67700000000002</v>
          </cell>
          <cell r="G89" t="str">
            <v>M3</v>
          </cell>
        </row>
        <row r="90">
          <cell r="F90">
            <v>24.413</v>
          </cell>
          <cell r="G90" t="str">
            <v>M3</v>
          </cell>
        </row>
        <row r="91">
          <cell r="F91">
            <v>400.25700000000006</v>
          </cell>
          <cell r="G91" t="str">
            <v>M3</v>
          </cell>
        </row>
        <row r="92">
          <cell r="F92">
            <v>73.832999999999998</v>
          </cell>
          <cell r="G92" t="str">
            <v>M3</v>
          </cell>
        </row>
        <row r="93">
          <cell r="F93">
            <v>278.40499999999997</v>
          </cell>
          <cell r="G93" t="str">
            <v>M3</v>
          </cell>
        </row>
        <row r="94">
          <cell r="F94">
            <v>60.408000000000008</v>
          </cell>
          <cell r="G94" t="str">
            <v>M3</v>
          </cell>
        </row>
        <row r="95">
          <cell r="F95">
            <v>241.63200000000003</v>
          </cell>
          <cell r="G95" t="str">
            <v>M3</v>
          </cell>
        </row>
        <row r="96">
          <cell r="F96">
            <v>604.08000000000004</v>
          </cell>
          <cell r="G96" t="str">
            <v>M2</v>
          </cell>
        </row>
        <row r="97">
          <cell r="F97">
            <v>604.08000000000004</v>
          </cell>
          <cell r="G97" t="str">
            <v>M2</v>
          </cell>
        </row>
        <row r="101">
          <cell r="F101">
            <v>31.6785</v>
          </cell>
          <cell r="G101" t="str">
            <v>M3</v>
          </cell>
        </row>
        <row r="102">
          <cell r="F102">
            <v>74.000976000000009</v>
          </cell>
          <cell r="G102" t="str">
            <v>M2</v>
          </cell>
        </row>
        <row r="103">
          <cell r="F103">
            <v>290.90638080000002</v>
          </cell>
          <cell r="G103" t="str">
            <v>KG</v>
          </cell>
        </row>
        <row r="108">
          <cell r="F108">
            <v>0.27936000000000005</v>
          </cell>
          <cell r="G108" t="str">
            <v>M3</v>
          </cell>
        </row>
        <row r="109">
          <cell r="F109">
            <v>41.412286399999999</v>
          </cell>
          <cell r="G109" t="str">
            <v>M3</v>
          </cell>
        </row>
        <row r="110">
          <cell r="F110">
            <v>297.54613599999999</v>
          </cell>
          <cell r="G110" t="str">
            <v>M2</v>
          </cell>
        </row>
        <row r="111">
          <cell r="F111">
            <v>3718.4970822000005</v>
          </cell>
          <cell r="G111" t="str">
            <v>KG</v>
          </cell>
        </row>
        <row r="112">
          <cell r="F112">
            <v>17</v>
          </cell>
          <cell r="G112" t="str">
            <v>組</v>
          </cell>
        </row>
        <row r="115">
          <cell r="F115">
            <v>9.0614399999999993</v>
          </cell>
          <cell r="G115" t="str">
            <v>M3</v>
          </cell>
        </row>
        <row r="116">
          <cell r="F116">
            <v>48.327679999999994</v>
          </cell>
          <cell r="G116" t="str">
            <v>M3</v>
          </cell>
        </row>
        <row r="117">
          <cell r="F117">
            <v>483.27680000000004</v>
          </cell>
          <cell r="G117" t="str">
            <v>M2</v>
          </cell>
        </row>
        <row r="118">
          <cell r="F118">
            <v>5321.2267668000004</v>
          </cell>
          <cell r="G118" t="str">
            <v>KG</v>
          </cell>
        </row>
        <row r="121">
          <cell r="F121">
            <v>0.52</v>
          </cell>
          <cell r="G121" t="str">
            <v>M3</v>
          </cell>
        </row>
        <row r="122">
          <cell r="F122">
            <v>2.96</v>
          </cell>
          <cell r="G122" t="str">
            <v>M3</v>
          </cell>
        </row>
        <row r="123">
          <cell r="F123">
            <v>24.08</v>
          </cell>
          <cell r="G123" t="str">
            <v>M2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封面"/>
      <sheetName val="預1"/>
      <sheetName val="預2"/>
      <sheetName val="單1"/>
      <sheetName val="單-綜合"/>
      <sheetName val="統1"/>
      <sheetName val="計1"/>
      <sheetName val="計2"/>
      <sheetName val="計3"/>
      <sheetName val="計4"/>
      <sheetName val="土1"/>
      <sheetName val="土2"/>
      <sheetName val="東勢估"/>
      <sheetName val="估價單"/>
      <sheetName val="標單"/>
      <sheetName val="施工進度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封面"/>
      <sheetName val="預1"/>
      <sheetName val="預2"/>
      <sheetName val="單1"/>
      <sheetName val="統1"/>
      <sheetName val="計1"/>
      <sheetName val="計2"/>
      <sheetName val="計3"/>
      <sheetName val="計4"/>
      <sheetName val="土1"/>
      <sheetName val="土2"/>
      <sheetName val="東勢估"/>
      <sheetName val="估價單"/>
      <sheetName val="標單"/>
    </sheetNames>
    <sheetDataSet>
      <sheetData sheetId="0" refreshError="1">
        <row r="22">
          <cell r="AP22" t="str">
            <v>豐原市公所</v>
          </cell>
        </row>
        <row r="23">
          <cell r="AP23" t="str">
            <v>縣府土木課</v>
          </cell>
        </row>
        <row r="24">
          <cell r="AP24" t="str">
            <v>大肚鄉公所</v>
          </cell>
        </row>
        <row r="25">
          <cell r="AP25" t="str">
            <v>太平市公所</v>
          </cell>
        </row>
        <row r="26">
          <cell r="AP26" t="str">
            <v>石岡鄉公所</v>
          </cell>
        </row>
        <row r="27">
          <cell r="AP27" t="str">
            <v>霧峰鄉公所</v>
          </cell>
        </row>
        <row r="28">
          <cell r="AP28" t="str">
            <v>龍井鄉公所</v>
          </cell>
        </row>
        <row r="29">
          <cell r="AP29" t="str">
            <v>新社鄉公所</v>
          </cell>
        </row>
        <row r="30">
          <cell r="AP30" t="str">
            <v>清水鎮公所</v>
          </cell>
        </row>
        <row r="31">
          <cell r="AP31" t="str">
            <v>東勢鎮公所</v>
          </cell>
        </row>
        <row r="32">
          <cell r="AP32" t="str">
            <v>神岡鄉公所</v>
          </cell>
        </row>
        <row r="33">
          <cell r="AP33">
            <v>87</v>
          </cell>
        </row>
        <row r="34">
          <cell r="AP34">
            <v>88</v>
          </cell>
        </row>
        <row r="35">
          <cell r="AP35">
            <v>89</v>
          </cell>
        </row>
        <row r="36">
          <cell r="AP36">
            <v>90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計1"/>
      <sheetName val="計2"/>
      <sheetName val="計3"/>
      <sheetName val="計4"/>
      <sheetName val="封面"/>
      <sheetName val="預1"/>
      <sheetName val="預2"/>
      <sheetName val="單1"/>
      <sheetName val="統1"/>
      <sheetName val="東勢估"/>
      <sheetName val="估價單"/>
      <sheetName val="標單"/>
    </sheetNames>
    <sheetDataSet>
      <sheetData sheetId="0">
        <row r="19">
          <cell r="Z19">
            <v>1</v>
          </cell>
          <cell r="AG19">
            <v>1</v>
          </cell>
        </row>
        <row r="20">
          <cell r="Z20">
            <v>1</v>
          </cell>
          <cell r="AG20">
            <v>1</v>
          </cell>
        </row>
        <row r="21">
          <cell r="Z21">
            <v>1</v>
          </cell>
          <cell r="AG21">
            <v>1</v>
          </cell>
        </row>
        <row r="22">
          <cell r="Z22">
            <v>1</v>
          </cell>
          <cell r="AG22">
            <v>1</v>
          </cell>
        </row>
        <row r="23">
          <cell r="Z23">
            <v>1</v>
          </cell>
          <cell r="AG23">
            <v>1</v>
          </cell>
        </row>
        <row r="24">
          <cell r="Z24">
            <v>1</v>
          </cell>
          <cell r="AG24">
            <v>0</v>
          </cell>
        </row>
        <row r="25">
          <cell r="Z25" t="str">
            <v/>
          </cell>
          <cell r="AG25" t="str">
            <v/>
          </cell>
        </row>
        <row r="26">
          <cell r="Z26" t="str">
            <v/>
          </cell>
          <cell r="AG26" t="str">
            <v/>
          </cell>
        </row>
        <row r="27">
          <cell r="Z27" t="str">
            <v/>
          </cell>
          <cell r="AG27" t="str">
            <v/>
          </cell>
        </row>
        <row r="28">
          <cell r="Z28" t="str">
            <v/>
          </cell>
          <cell r="AG28" t="str">
            <v/>
          </cell>
        </row>
        <row r="29">
          <cell r="Z29" t="str">
            <v/>
          </cell>
          <cell r="AG29" t="str">
            <v/>
          </cell>
        </row>
        <row r="30">
          <cell r="Z30" t="str">
            <v/>
          </cell>
          <cell r="AG30" t="str">
            <v/>
          </cell>
        </row>
        <row r="31">
          <cell r="Z31" t="str">
            <v/>
          </cell>
          <cell r="AG31" t="str">
            <v/>
          </cell>
        </row>
        <row r="32">
          <cell r="Z32" t="str">
            <v/>
          </cell>
          <cell r="AG32" t="str">
            <v/>
          </cell>
        </row>
        <row r="33">
          <cell r="Z33" t="str">
            <v/>
          </cell>
          <cell r="AG33" t="str">
            <v/>
          </cell>
        </row>
        <row r="34">
          <cell r="Z34" t="str">
            <v/>
          </cell>
          <cell r="AG34" t="str">
            <v/>
          </cell>
        </row>
        <row r="35">
          <cell r="Z35" t="str">
            <v/>
          </cell>
          <cell r="AG35" t="str">
            <v/>
          </cell>
        </row>
        <row r="36">
          <cell r="Z36" t="str">
            <v/>
          </cell>
          <cell r="AG36" t="str">
            <v/>
          </cell>
        </row>
        <row r="37">
          <cell r="Z37" t="str">
            <v/>
          </cell>
          <cell r="AG37" t="str">
            <v/>
          </cell>
        </row>
        <row r="38">
          <cell r="Z38" t="str">
            <v/>
          </cell>
          <cell r="AG38" t="str">
            <v/>
          </cell>
        </row>
        <row r="39">
          <cell r="Z39" t="str">
            <v/>
          </cell>
          <cell r="AG39" t="str">
            <v/>
          </cell>
        </row>
        <row r="40">
          <cell r="Z40" t="str">
            <v/>
          </cell>
          <cell r="AG40" t="str">
            <v/>
          </cell>
        </row>
        <row r="41">
          <cell r="Z41" t="str">
            <v/>
          </cell>
          <cell r="AG41" t="str">
            <v/>
          </cell>
        </row>
        <row r="42">
          <cell r="Z42" t="str">
            <v/>
          </cell>
          <cell r="AG42" t="str">
            <v/>
          </cell>
        </row>
        <row r="43">
          <cell r="Z43" t="str">
            <v/>
          </cell>
          <cell r="AG43" t="str">
            <v/>
          </cell>
        </row>
        <row r="44">
          <cell r="Z44" t="str">
            <v/>
          </cell>
          <cell r="AG44" t="str">
            <v/>
          </cell>
        </row>
        <row r="45">
          <cell r="Z45" t="str">
            <v/>
          </cell>
          <cell r="AG45" t="str">
            <v/>
          </cell>
        </row>
        <row r="46">
          <cell r="Z46" t="str">
            <v/>
          </cell>
          <cell r="AG46" t="str">
            <v/>
          </cell>
        </row>
        <row r="47">
          <cell r="Z47" t="str">
            <v/>
          </cell>
          <cell r="AG47" t="str">
            <v/>
          </cell>
        </row>
        <row r="48">
          <cell r="Z48" t="str">
            <v/>
          </cell>
          <cell r="AG48" t="str">
            <v/>
          </cell>
        </row>
        <row r="49">
          <cell r="Z49" t="str">
            <v/>
          </cell>
          <cell r="AG49" t="str">
            <v/>
          </cell>
        </row>
        <row r="50">
          <cell r="Z50" t="str">
            <v/>
          </cell>
          <cell r="AG50" t="str">
            <v/>
          </cell>
        </row>
        <row r="51">
          <cell r="Z51" t="str">
            <v/>
          </cell>
          <cell r="AG51" t="str">
            <v/>
          </cell>
        </row>
        <row r="52">
          <cell r="Z52" t="str">
            <v/>
          </cell>
          <cell r="AG52" t="str">
            <v/>
          </cell>
        </row>
        <row r="53">
          <cell r="Z53" t="str">
            <v/>
          </cell>
          <cell r="AG53" t="str">
            <v/>
          </cell>
        </row>
        <row r="54">
          <cell r="Z54" t="str">
            <v/>
          </cell>
          <cell r="AG54" t="str">
            <v/>
          </cell>
        </row>
        <row r="55">
          <cell r="Z55" t="str">
            <v/>
          </cell>
          <cell r="AG55" t="str">
            <v/>
          </cell>
        </row>
        <row r="56">
          <cell r="Z56" t="str">
            <v/>
          </cell>
          <cell r="AG56" t="str">
            <v/>
          </cell>
        </row>
      </sheetData>
      <sheetData sheetId="1">
        <row r="7">
          <cell r="B7" t="str">
            <v>半重力式擋土牆</v>
          </cell>
          <cell r="I7">
            <v>0</v>
          </cell>
        </row>
        <row r="8">
          <cell r="B8" t="str">
            <v>挖方</v>
          </cell>
          <cell r="F8">
            <v>324.09000000000003</v>
          </cell>
          <cell r="G8" t="str">
            <v>M3</v>
          </cell>
          <cell r="I8">
            <v>324.08999999999997</v>
          </cell>
        </row>
        <row r="9">
          <cell r="B9" t="str">
            <v>基礎回填夯實</v>
          </cell>
          <cell r="F9">
            <v>324.09000000000003</v>
          </cell>
          <cell r="G9" t="str">
            <v>M3</v>
          </cell>
          <cell r="I9">
            <v>324.08999999999997</v>
          </cell>
        </row>
        <row r="10">
          <cell r="B10" t="str">
            <v>175kg/cm2預拌混凝土</v>
          </cell>
          <cell r="F10">
            <v>378.29999999999995</v>
          </cell>
          <cell r="G10" t="str">
            <v>M3</v>
          </cell>
          <cell r="I10">
            <v>378.3</v>
          </cell>
        </row>
        <row r="11">
          <cell r="B11" t="str">
            <v>軀體模板</v>
          </cell>
          <cell r="F11">
            <v>637.37699999999995</v>
          </cell>
          <cell r="G11" t="str">
            <v>M2</v>
          </cell>
          <cell r="I11">
            <v>637.38</v>
          </cell>
        </row>
        <row r="12">
          <cell r="B12" t="str">
            <v>鋼筋及彎紮組立</v>
          </cell>
          <cell r="F12">
            <v>8493.799860000001</v>
          </cell>
          <cell r="G12" t="str">
            <v>KG</v>
          </cell>
          <cell r="I12">
            <v>8493.7999999999993</v>
          </cell>
        </row>
        <row r="13">
          <cell r="B13" t="str">
            <v>預置式排水器</v>
          </cell>
          <cell r="F13">
            <v>117</v>
          </cell>
          <cell r="G13" t="str">
            <v>處</v>
          </cell>
          <cell r="I13">
            <v>117</v>
          </cell>
        </row>
        <row r="14">
          <cell r="I14">
            <v>0</v>
          </cell>
        </row>
        <row r="15">
          <cell r="B15" t="str">
            <v>塊狀護欄</v>
          </cell>
          <cell r="I15">
            <v>0</v>
          </cell>
        </row>
        <row r="16">
          <cell r="B16" t="str">
            <v>175kg/cm2預拌混凝土</v>
          </cell>
          <cell r="F16">
            <v>3</v>
          </cell>
          <cell r="G16" t="str">
            <v>M3</v>
          </cell>
          <cell r="I16">
            <v>3</v>
          </cell>
        </row>
        <row r="17">
          <cell r="B17" t="str">
            <v>軀體模板</v>
          </cell>
          <cell r="F17">
            <v>26</v>
          </cell>
          <cell r="G17" t="str">
            <v>M2</v>
          </cell>
          <cell r="I17">
            <v>26</v>
          </cell>
        </row>
        <row r="18">
          <cell r="B18" t="str">
            <v>鋼筋及彎紮組立</v>
          </cell>
          <cell r="F18">
            <v>195.51999999999998</v>
          </cell>
          <cell r="G18" t="str">
            <v>KG</v>
          </cell>
          <cell r="I18">
            <v>195.52</v>
          </cell>
        </row>
        <row r="19">
          <cell r="B19" t="str">
            <v>漆白水泥漆(二度)</v>
          </cell>
          <cell r="F19">
            <v>32</v>
          </cell>
          <cell r="G19" t="str">
            <v>M2</v>
          </cell>
          <cell r="I19">
            <v>32</v>
          </cell>
        </row>
        <row r="20">
          <cell r="I20">
            <v>0</v>
          </cell>
        </row>
        <row r="21">
          <cell r="B21" t="str">
            <v>路面工程</v>
          </cell>
          <cell r="I21">
            <v>0</v>
          </cell>
        </row>
        <row r="22">
          <cell r="B22" t="str">
            <v>瀝青混凝土及舖設</v>
          </cell>
          <cell r="F22">
            <v>11.700000000000001</v>
          </cell>
          <cell r="G22" t="str">
            <v>M3</v>
          </cell>
          <cell r="I22">
            <v>11.7</v>
          </cell>
        </row>
        <row r="23">
          <cell r="B23" t="str">
            <v>舖設透層</v>
          </cell>
          <cell r="F23">
            <v>234</v>
          </cell>
          <cell r="G23" t="str">
            <v>M2</v>
          </cell>
          <cell r="I23">
            <v>234</v>
          </cell>
        </row>
        <row r="24">
          <cell r="B24" t="str">
            <v>15cm厚碎石級配料底層舖壓</v>
          </cell>
          <cell r="F24">
            <v>35.1</v>
          </cell>
          <cell r="G24" t="str">
            <v>M3</v>
          </cell>
          <cell r="I24">
            <v>35.1</v>
          </cell>
        </row>
        <row r="25">
          <cell r="B25" t="str">
            <v>路基整理</v>
          </cell>
          <cell r="F25">
            <v>234</v>
          </cell>
          <cell r="G25" t="str">
            <v>M2</v>
          </cell>
          <cell r="I25">
            <v>234</v>
          </cell>
        </row>
        <row r="26">
          <cell r="I26">
            <v>0</v>
          </cell>
        </row>
        <row r="27">
          <cell r="I27">
            <v>0</v>
          </cell>
        </row>
        <row r="28">
          <cell r="I28">
            <v>0</v>
          </cell>
        </row>
        <row r="29">
          <cell r="I29">
            <v>0</v>
          </cell>
        </row>
        <row r="30">
          <cell r="I30">
            <v>0</v>
          </cell>
        </row>
        <row r="31">
          <cell r="I31">
            <v>0</v>
          </cell>
        </row>
        <row r="32">
          <cell r="I32">
            <v>0</v>
          </cell>
        </row>
        <row r="33">
          <cell r="I33">
            <v>0</v>
          </cell>
        </row>
        <row r="34">
          <cell r="I34">
            <v>0</v>
          </cell>
        </row>
        <row r="35">
          <cell r="I35">
            <v>0</v>
          </cell>
        </row>
        <row r="36">
          <cell r="I36">
            <v>0</v>
          </cell>
        </row>
        <row r="37">
          <cell r="I37">
            <v>0</v>
          </cell>
        </row>
        <row r="38">
          <cell r="I38">
            <v>0</v>
          </cell>
        </row>
        <row r="39">
          <cell r="I39">
            <v>0</v>
          </cell>
        </row>
        <row r="40">
          <cell r="I40">
            <v>0</v>
          </cell>
        </row>
        <row r="41">
          <cell r="I41">
            <v>0</v>
          </cell>
        </row>
        <row r="42">
          <cell r="I42">
            <v>0</v>
          </cell>
        </row>
        <row r="43">
          <cell r="I43">
            <v>0</v>
          </cell>
        </row>
        <row r="44">
          <cell r="I44">
            <v>0</v>
          </cell>
        </row>
        <row r="45">
          <cell r="I45">
            <v>0</v>
          </cell>
        </row>
        <row r="46">
          <cell r="I46">
            <v>0</v>
          </cell>
        </row>
      </sheetData>
      <sheetData sheetId="2">
        <row r="47">
          <cell r="I47">
            <v>0</v>
          </cell>
        </row>
        <row r="48">
          <cell r="I48">
            <v>0</v>
          </cell>
        </row>
        <row r="49">
          <cell r="I49">
            <v>0</v>
          </cell>
        </row>
        <row r="50">
          <cell r="I50">
            <v>0</v>
          </cell>
        </row>
        <row r="51">
          <cell r="I51">
            <v>0</v>
          </cell>
        </row>
        <row r="52">
          <cell r="I52">
            <v>0</v>
          </cell>
        </row>
        <row r="53">
          <cell r="I53">
            <v>0</v>
          </cell>
        </row>
        <row r="54">
          <cell r="I54">
            <v>0</v>
          </cell>
        </row>
        <row r="55">
          <cell r="I55">
            <v>0</v>
          </cell>
        </row>
        <row r="56">
          <cell r="I56">
            <v>0</v>
          </cell>
        </row>
        <row r="57">
          <cell r="I57">
            <v>0</v>
          </cell>
        </row>
        <row r="58">
          <cell r="I58">
            <v>0</v>
          </cell>
        </row>
        <row r="59">
          <cell r="I59">
            <v>0</v>
          </cell>
        </row>
        <row r="60">
          <cell r="I60">
            <v>0</v>
          </cell>
        </row>
        <row r="61">
          <cell r="I61">
            <v>0</v>
          </cell>
        </row>
        <row r="62">
          <cell r="I62">
            <v>0</v>
          </cell>
        </row>
        <row r="63">
          <cell r="I63">
            <v>0</v>
          </cell>
        </row>
        <row r="64">
          <cell r="I64">
            <v>0</v>
          </cell>
        </row>
        <row r="65">
          <cell r="I65">
            <v>0</v>
          </cell>
        </row>
        <row r="66">
          <cell r="I66">
            <v>0</v>
          </cell>
        </row>
        <row r="67">
          <cell r="I67">
            <v>0</v>
          </cell>
        </row>
        <row r="68">
          <cell r="I68">
            <v>0</v>
          </cell>
        </row>
        <row r="69">
          <cell r="I69">
            <v>0</v>
          </cell>
        </row>
        <row r="70">
          <cell r="I70">
            <v>0</v>
          </cell>
        </row>
        <row r="71">
          <cell r="I71">
            <v>0</v>
          </cell>
        </row>
        <row r="72">
          <cell r="I72">
            <v>0</v>
          </cell>
        </row>
        <row r="73">
          <cell r="I73">
            <v>0</v>
          </cell>
        </row>
        <row r="74">
          <cell r="I74">
            <v>0</v>
          </cell>
        </row>
        <row r="75">
          <cell r="I75">
            <v>0</v>
          </cell>
        </row>
        <row r="76">
          <cell r="I76">
            <v>0</v>
          </cell>
        </row>
        <row r="77">
          <cell r="I77">
            <v>0</v>
          </cell>
        </row>
        <row r="78">
          <cell r="I78">
            <v>0</v>
          </cell>
        </row>
        <row r="79">
          <cell r="I79">
            <v>0</v>
          </cell>
        </row>
        <row r="80">
          <cell r="I80">
            <v>0</v>
          </cell>
        </row>
        <row r="81">
          <cell r="I81">
            <v>0</v>
          </cell>
        </row>
        <row r="82">
          <cell r="I82">
            <v>0</v>
          </cell>
        </row>
        <row r="83">
          <cell r="I83">
            <v>0</v>
          </cell>
        </row>
        <row r="84">
          <cell r="I84">
            <v>0</v>
          </cell>
        </row>
        <row r="85">
          <cell r="I85">
            <v>0</v>
          </cell>
        </row>
        <row r="86">
          <cell r="I86">
            <v>0</v>
          </cell>
        </row>
      </sheetData>
      <sheetData sheetId="3">
        <row r="87">
          <cell r="I87">
            <v>0</v>
          </cell>
        </row>
        <row r="88">
          <cell r="I88">
            <v>0</v>
          </cell>
        </row>
        <row r="89">
          <cell r="I89">
            <v>0</v>
          </cell>
        </row>
        <row r="90">
          <cell r="I90">
            <v>0</v>
          </cell>
        </row>
        <row r="91">
          <cell r="I91">
            <v>0</v>
          </cell>
        </row>
        <row r="92">
          <cell r="I92">
            <v>0</v>
          </cell>
        </row>
        <row r="93">
          <cell r="I93">
            <v>0</v>
          </cell>
        </row>
        <row r="94">
          <cell r="I94">
            <v>0</v>
          </cell>
        </row>
        <row r="95">
          <cell r="I95">
            <v>0</v>
          </cell>
        </row>
        <row r="96">
          <cell r="I96">
            <v>0</v>
          </cell>
        </row>
        <row r="97">
          <cell r="I97">
            <v>0</v>
          </cell>
        </row>
        <row r="98">
          <cell r="I98">
            <v>0</v>
          </cell>
        </row>
        <row r="99">
          <cell r="I99">
            <v>0</v>
          </cell>
        </row>
        <row r="100">
          <cell r="I100">
            <v>0</v>
          </cell>
        </row>
        <row r="101">
          <cell r="I101">
            <v>0</v>
          </cell>
        </row>
        <row r="102">
          <cell r="I102">
            <v>0</v>
          </cell>
        </row>
        <row r="103">
          <cell r="I103">
            <v>0</v>
          </cell>
        </row>
        <row r="104">
          <cell r="I104">
            <v>0</v>
          </cell>
        </row>
        <row r="105">
          <cell r="I105">
            <v>0</v>
          </cell>
        </row>
        <row r="106">
          <cell r="I106">
            <v>0</v>
          </cell>
        </row>
        <row r="107">
          <cell r="I107">
            <v>0</v>
          </cell>
        </row>
        <row r="108">
          <cell r="I108">
            <v>0</v>
          </cell>
        </row>
        <row r="109">
          <cell r="I109">
            <v>0</v>
          </cell>
        </row>
        <row r="110">
          <cell r="I110">
            <v>0</v>
          </cell>
        </row>
        <row r="111">
          <cell r="I111">
            <v>0</v>
          </cell>
        </row>
        <row r="112">
          <cell r="I112">
            <v>0</v>
          </cell>
        </row>
        <row r="113">
          <cell r="I113">
            <v>0</v>
          </cell>
        </row>
        <row r="114">
          <cell r="I114">
            <v>0</v>
          </cell>
        </row>
        <row r="115">
          <cell r="I115">
            <v>0</v>
          </cell>
        </row>
        <row r="116">
          <cell r="I116">
            <v>0</v>
          </cell>
        </row>
        <row r="117">
          <cell r="I117">
            <v>0</v>
          </cell>
        </row>
        <row r="118">
          <cell r="I118">
            <v>0</v>
          </cell>
        </row>
        <row r="119">
          <cell r="I119">
            <v>0</v>
          </cell>
        </row>
        <row r="120">
          <cell r="I120">
            <v>0</v>
          </cell>
        </row>
        <row r="121">
          <cell r="I121">
            <v>0</v>
          </cell>
        </row>
        <row r="122">
          <cell r="I122">
            <v>0</v>
          </cell>
        </row>
        <row r="123">
          <cell r="I123">
            <v>0</v>
          </cell>
        </row>
        <row r="124">
          <cell r="I124">
            <v>0</v>
          </cell>
        </row>
        <row r="125">
          <cell r="I125">
            <v>0</v>
          </cell>
        </row>
        <row r="126">
          <cell r="I126">
            <v>0</v>
          </cell>
        </row>
      </sheetData>
      <sheetData sheetId="4">
        <row r="127">
          <cell r="I127">
            <v>0</v>
          </cell>
        </row>
        <row r="128">
          <cell r="I128">
            <v>0</v>
          </cell>
        </row>
        <row r="129">
          <cell r="I129">
            <v>0</v>
          </cell>
        </row>
        <row r="130">
          <cell r="I130">
            <v>0</v>
          </cell>
        </row>
        <row r="131">
          <cell r="I131">
            <v>0</v>
          </cell>
        </row>
        <row r="132">
          <cell r="I132">
            <v>0</v>
          </cell>
        </row>
        <row r="133">
          <cell r="I133">
            <v>0</v>
          </cell>
        </row>
        <row r="134">
          <cell r="I134">
            <v>0</v>
          </cell>
        </row>
        <row r="135">
          <cell r="I135">
            <v>0</v>
          </cell>
        </row>
        <row r="136">
          <cell r="I136">
            <v>0</v>
          </cell>
        </row>
        <row r="137">
          <cell r="I137">
            <v>0</v>
          </cell>
        </row>
        <row r="138">
          <cell r="I138">
            <v>0</v>
          </cell>
        </row>
        <row r="139">
          <cell r="I139">
            <v>0</v>
          </cell>
        </row>
        <row r="140">
          <cell r="I140">
            <v>0</v>
          </cell>
        </row>
        <row r="141">
          <cell r="I141">
            <v>0</v>
          </cell>
        </row>
        <row r="142">
          <cell r="I142">
            <v>0</v>
          </cell>
        </row>
        <row r="143">
          <cell r="I143">
            <v>0</v>
          </cell>
        </row>
        <row r="144">
          <cell r="I144">
            <v>0</v>
          </cell>
        </row>
        <row r="145">
          <cell r="I145">
            <v>0</v>
          </cell>
        </row>
        <row r="146">
          <cell r="I146">
            <v>0</v>
          </cell>
        </row>
        <row r="147">
          <cell r="I147">
            <v>0</v>
          </cell>
        </row>
        <row r="148">
          <cell r="I148">
            <v>0</v>
          </cell>
        </row>
        <row r="149">
          <cell r="I149">
            <v>0</v>
          </cell>
        </row>
        <row r="150">
          <cell r="I150">
            <v>0</v>
          </cell>
        </row>
        <row r="151">
          <cell r="I151">
            <v>0</v>
          </cell>
        </row>
        <row r="152">
          <cell r="I152">
            <v>0</v>
          </cell>
        </row>
        <row r="153">
          <cell r="I153">
            <v>0</v>
          </cell>
        </row>
        <row r="154">
          <cell r="I154">
            <v>0</v>
          </cell>
        </row>
        <row r="155">
          <cell r="I155">
            <v>0</v>
          </cell>
        </row>
        <row r="156">
          <cell r="I156">
            <v>0</v>
          </cell>
        </row>
        <row r="157">
          <cell r="I157">
            <v>0</v>
          </cell>
        </row>
        <row r="158">
          <cell r="I158">
            <v>0</v>
          </cell>
        </row>
        <row r="159">
          <cell r="I159">
            <v>0</v>
          </cell>
        </row>
        <row r="160">
          <cell r="I160">
            <v>0</v>
          </cell>
        </row>
        <row r="161">
          <cell r="I161">
            <v>0</v>
          </cell>
        </row>
        <row r="162">
          <cell r="I162">
            <v>0</v>
          </cell>
        </row>
        <row r="163">
          <cell r="I163">
            <v>0</v>
          </cell>
        </row>
        <row r="164">
          <cell r="I164">
            <v>0</v>
          </cell>
        </row>
        <row r="165">
          <cell r="I165">
            <v>0</v>
          </cell>
        </row>
        <row r="166">
          <cell r="I166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封面 (2)"/>
      <sheetName val="封面"/>
      <sheetName val="預1"/>
      <sheetName val="預2"/>
      <sheetName val="單1"/>
      <sheetName val="統1"/>
      <sheetName val="計1"/>
      <sheetName val="計2"/>
      <sheetName val="計3"/>
      <sheetName val="計4"/>
      <sheetName val="土1"/>
      <sheetName val="土2"/>
      <sheetName val="東勢估"/>
      <sheetName val="估價單"/>
      <sheetName val="標單"/>
      <sheetName val="施工進度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>
        <row r="87">
          <cell r="I87">
            <v>0</v>
          </cell>
        </row>
        <row r="88">
          <cell r="I88">
            <v>0</v>
          </cell>
        </row>
        <row r="89">
          <cell r="I89">
            <v>0</v>
          </cell>
        </row>
        <row r="90">
          <cell r="I90">
            <v>0</v>
          </cell>
        </row>
        <row r="91">
          <cell r="I91">
            <v>0</v>
          </cell>
        </row>
        <row r="92">
          <cell r="I92">
            <v>0</v>
          </cell>
        </row>
        <row r="93">
          <cell r="I93">
            <v>0</v>
          </cell>
        </row>
        <row r="94">
          <cell r="I94">
            <v>0</v>
          </cell>
        </row>
        <row r="95">
          <cell r="I95">
            <v>0</v>
          </cell>
        </row>
        <row r="96">
          <cell r="I96">
            <v>0</v>
          </cell>
        </row>
        <row r="97">
          <cell r="I97">
            <v>0</v>
          </cell>
        </row>
        <row r="98">
          <cell r="I98">
            <v>0</v>
          </cell>
        </row>
        <row r="99">
          <cell r="I99">
            <v>0</v>
          </cell>
        </row>
        <row r="100">
          <cell r="I100">
            <v>0</v>
          </cell>
        </row>
        <row r="101">
          <cell r="I101">
            <v>0</v>
          </cell>
        </row>
        <row r="102">
          <cell r="I102">
            <v>0</v>
          </cell>
        </row>
        <row r="103">
          <cell r="I103">
            <v>0</v>
          </cell>
        </row>
        <row r="104">
          <cell r="I104">
            <v>0</v>
          </cell>
        </row>
        <row r="105">
          <cell r="I105">
            <v>0</v>
          </cell>
        </row>
        <row r="106">
          <cell r="I106">
            <v>0</v>
          </cell>
        </row>
        <row r="107">
          <cell r="I107">
            <v>0</v>
          </cell>
        </row>
        <row r="108">
          <cell r="I108">
            <v>0</v>
          </cell>
        </row>
        <row r="109">
          <cell r="I109">
            <v>0</v>
          </cell>
        </row>
        <row r="110">
          <cell r="I110">
            <v>0</v>
          </cell>
        </row>
        <row r="111">
          <cell r="I111">
            <v>0</v>
          </cell>
        </row>
        <row r="112">
          <cell r="I112">
            <v>0</v>
          </cell>
        </row>
        <row r="113">
          <cell r="I113">
            <v>0</v>
          </cell>
        </row>
        <row r="114">
          <cell r="I114">
            <v>0</v>
          </cell>
        </row>
        <row r="115">
          <cell r="I115">
            <v>0</v>
          </cell>
        </row>
        <row r="116">
          <cell r="I116">
            <v>0</v>
          </cell>
        </row>
        <row r="117">
          <cell r="I117">
            <v>0</v>
          </cell>
        </row>
        <row r="118">
          <cell r="I118">
            <v>0</v>
          </cell>
        </row>
        <row r="119">
          <cell r="I119">
            <v>0</v>
          </cell>
        </row>
        <row r="120">
          <cell r="I120">
            <v>0</v>
          </cell>
        </row>
        <row r="121">
          <cell r="I121">
            <v>0</v>
          </cell>
        </row>
        <row r="122">
          <cell r="I122">
            <v>0</v>
          </cell>
        </row>
        <row r="123">
          <cell r="I123">
            <v>0</v>
          </cell>
        </row>
        <row r="124">
          <cell r="I124">
            <v>0</v>
          </cell>
        </row>
        <row r="125">
          <cell r="I125">
            <v>0</v>
          </cell>
        </row>
        <row r="126">
          <cell r="I126">
            <v>0</v>
          </cell>
        </row>
      </sheetData>
      <sheetData sheetId="10" refreshError="1">
        <row r="127">
          <cell r="I127">
            <v>0</v>
          </cell>
        </row>
        <row r="128">
          <cell r="I128">
            <v>0</v>
          </cell>
        </row>
        <row r="129">
          <cell r="I129">
            <v>0</v>
          </cell>
        </row>
        <row r="130">
          <cell r="I130">
            <v>0</v>
          </cell>
        </row>
        <row r="131">
          <cell r="I131">
            <v>0</v>
          </cell>
        </row>
        <row r="132">
          <cell r="I132">
            <v>0</v>
          </cell>
        </row>
        <row r="133">
          <cell r="I133">
            <v>0</v>
          </cell>
        </row>
        <row r="134">
          <cell r="I134">
            <v>0</v>
          </cell>
        </row>
        <row r="135">
          <cell r="I135">
            <v>0</v>
          </cell>
        </row>
        <row r="136">
          <cell r="I136">
            <v>0</v>
          </cell>
        </row>
        <row r="137">
          <cell r="I137">
            <v>0</v>
          </cell>
        </row>
        <row r="138">
          <cell r="I138">
            <v>0</v>
          </cell>
        </row>
        <row r="139">
          <cell r="I139">
            <v>0</v>
          </cell>
        </row>
        <row r="140">
          <cell r="I140">
            <v>0</v>
          </cell>
        </row>
        <row r="141">
          <cell r="I141">
            <v>0</v>
          </cell>
        </row>
        <row r="142">
          <cell r="I142">
            <v>0</v>
          </cell>
        </row>
        <row r="143">
          <cell r="I143">
            <v>0</v>
          </cell>
        </row>
        <row r="144">
          <cell r="I144">
            <v>0</v>
          </cell>
        </row>
        <row r="145">
          <cell r="I145">
            <v>0</v>
          </cell>
        </row>
        <row r="146">
          <cell r="I146">
            <v>0</v>
          </cell>
        </row>
        <row r="147">
          <cell r="I147">
            <v>0</v>
          </cell>
        </row>
        <row r="148">
          <cell r="I148">
            <v>0</v>
          </cell>
        </row>
        <row r="149">
          <cell r="I149">
            <v>0</v>
          </cell>
        </row>
        <row r="150">
          <cell r="I150">
            <v>0</v>
          </cell>
        </row>
        <row r="151">
          <cell r="I151">
            <v>0</v>
          </cell>
        </row>
        <row r="152">
          <cell r="I152">
            <v>0</v>
          </cell>
        </row>
        <row r="153">
          <cell r="I153">
            <v>0</v>
          </cell>
        </row>
        <row r="154">
          <cell r="I154">
            <v>0</v>
          </cell>
        </row>
        <row r="155">
          <cell r="I155">
            <v>0</v>
          </cell>
        </row>
        <row r="156">
          <cell r="I156">
            <v>0</v>
          </cell>
        </row>
        <row r="157">
          <cell r="I157">
            <v>0</v>
          </cell>
        </row>
        <row r="158">
          <cell r="I158">
            <v>0</v>
          </cell>
        </row>
        <row r="159">
          <cell r="I159">
            <v>0</v>
          </cell>
        </row>
        <row r="160">
          <cell r="I160">
            <v>0</v>
          </cell>
        </row>
        <row r="161">
          <cell r="I161">
            <v>0</v>
          </cell>
        </row>
        <row r="162">
          <cell r="I162">
            <v>0</v>
          </cell>
        </row>
        <row r="163">
          <cell r="I163">
            <v>0</v>
          </cell>
        </row>
        <row r="164">
          <cell r="I164">
            <v>0</v>
          </cell>
        </row>
        <row r="165">
          <cell r="I165">
            <v>0</v>
          </cell>
        </row>
        <row r="166">
          <cell r="I166">
            <v>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明細表"/>
      <sheetName val="數量統計表"/>
      <sheetName val="數量計算表"/>
      <sheetName val="單價"/>
      <sheetName val="包商明細表"/>
      <sheetName val="包商單價"/>
      <sheetName val="單價分析表"/>
      <sheetName val="單價分析 "/>
      <sheetName val="lj0060-預算書"/>
    </sheetNames>
    <sheetDataSet>
      <sheetData sheetId="0" refreshError="1">
        <row r="2">
          <cell r="B2" t="str">
            <v>路竹鄉後鄉村</v>
          </cell>
        </row>
      </sheetData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明細表"/>
      <sheetName val="單價分析表"/>
      <sheetName val="數量計算表總表"/>
      <sheetName val="工程計算表"/>
      <sheetName val="清水橋 "/>
      <sheetName val="土石方"/>
      <sheetName val="清水橋A1橋台-stl"/>
      <sheetName val="清水橋A2橋台-stl"/>
      <sheetName val="清水橋GB-stl"/>
      <sheetName val="進橋版-stl"/>
      <sheetName val="單價分析"/>
      <sheetName val="Sheet3"/>
      <sheetName val="工程預算表"/>
      <sheetName val="明隧道結構數量"/>
      <sheetName val="路基數量"/>
      <sheetName val="預2"/>
      <sheetName val="總表"/>
      <sheetName val="131C預算書"/>
      <sheetName val="營繕工程變更設計預算表"/>
      <sheetName val="清水橋_"/>
      <sheetName val="清水橋_1"/>
      <sheetName val="清水橋_2"/>
      <sheetName val="工程預算書"/>
      <sheetName val="Sheet1"/>
      <sheetName val="預算明細表"/>
      <sheetName val="清水橋_4"/>
      <sheetName val="清水橋_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 refreshError="1"/>
      <sheetData sheetId="24" refreshError="1"/>
      <sheetData sheetId="25" refreshError="1"/>
      <sheetData sheetId="26"/>
      <sheetData sheetId="2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 (2)"/>
      <sheetName val="總表"/>
      <sheetName val="封面"/>
      <sheetName val="預1"/>
      <sheetName val="預2"/>
      <sheetName val="單1"/>
      <sheetName val="統1"/>
      <sheetName val="計1"/>
      <sheetName val="計2"/>
      <sheetName val="計3"/>
      <sheetName val="計4"/>
      <sheetName val="A"/>
      <sheetName val="土方表1"/>
      <sheetName val="東勢估"/>
      <sheetName val="估價單"/>
      <sheetName val="標單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封面"/>
      <sheetName val="預1"/>
      <sheetName val="預2"/>
      <sheetName val="單1"/>
      <sheetName val="統1"/>
      <sheetName val="計1"/>
      <sheetName val="計2"/>
      <sheetName val="計3"/>
      <sheetName val="計4"/>
      <sheetName val="東勢估"/>
      <sheetName val="估價單"/>
      <sheetName val="標單"/>
      <sheetName val="進度表"/>
      <sheetName val="#REF"/>
      <sheetName val="聯結-hh009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證明 "/>
      <sheetName val="決算書"/>
      <sheetName val="記錄 "/>
      <sheetName val="詳1 "/>
      <sheetName val="詳2 "/>
      <sheetName val="詳3 "/>
      <sheetName val="驗收表"/>
      <sheetName val="決算表"/>
      <sheetName val="統計 "/>
      <sheetName val="計算1"/>
      <sheetName val="計算2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包商估價單"/>
      <sheetName val="包商單價分析表"/>
      <sheetName val="(一)4.擋牆合計"/>
      <sheetName val="A型擋牆"/>
      <sheetName val="B型擋牆"/>
      <sheetName val="(一)3.CB&amp;RCP合計"/>
      <sheetName val="CB"/>
      <sheetName val="RCP"/>
      <sheetName val="CB(H=1.2)-STL"/>
      <sheetName val="(一)1.側溝工程"/>
      <sheetName val="U溝設置表"/>
      <sheetName val="U溝-STL"/>
      <sheetName val="封面"/>
      <sheetName val="封面 (2)"/>
      <sheetName val="明細表"/>
      <sheetName val="單價分析表"/>
      <sheetName val="UD端-STL"/>
      <sheetName val="V-BOX端頭"/>
      <sheetName val="路基數量"/>
      <sheetName val="數量合計"/>
      <sheetName val="明隧道-stl"/>
      <sheetName val="明隧道結構數量"/>
      <sheetName val="U溝基礎漸變高差表"/>
      <sheetName val="土石方計算表"/>
      <sheetName val="鋼筋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4">
          <cell r="B4" t="str">
            <v>豐原市中八八線復建明隧道工程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表1"/>
      <sheetName val="表2"/>
      <sheetName val="證明書"/>
      <sheetName val="報告"/>
      <sheetName val="記錄"/>
      <sheetName val="詳細1"/>
      <sheetName val="詳細2"/>
      <sheetName val="詳細3"/>
      <sheetName val="統計"/>
      <sheetName val="計算1"/>
      <sheetName val="工期"/>
      <sheetName val="進度表"/>
      <sheetName val="監工報表-(樣)"/>
      <sheetName val="保固"/>
      <sheetName val="相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3">
          <cell r="G3">
            <v>36622</v>
          </cell>
          <cell r="H3">
            <v>36623</v>
          </cell>
          <cell r="I3">
            <v>36624</v>
          </cell>
          <cell r="J3">
            <v>36625</v>
          </cell>
          <cell r="K3">
            <v>36626</v>
          </cell>
          <cell r="L3">
            <v>36627</v>
          </cell>
          <cell r="M3">
            <v>36628</v>
          </cell>
          <cell r="N3">
            <v>36629</v>
          </cell>
          <cell r="O3">
            <v>36630</v>
          </cell>
          <cell r="P3">
            <v>36631</v>
          </cell>
          <cell r="Q3">
            <v>36632</v>
          </cell>
          <cell r="R3">
            <v>36633</v>
          </cell>
          <cell r="S3">
            <v>36634</v>
          </cell>
          <cell r="T3">
            <v>36635</v>
          </cell>
          <cell r="U3">
            <v>36636</v>
          </cell>
          <cell r="V3">
            <v>36637</v>
          </cell>
          <cell r="W3">
            <v>36638</v>
          </cell>
          <cell r="X3">
            <v>36639</v>
          </cell>
          <cell r="Y3">
            <v>36640</v>
          </cell>
          <cell r="Z3">
            <v>36641</v>
          </cell>
          <cell r="AA3">
            <v>36642</v>
          </cell>
          <cell r="AB3">
            <v>36643</v>
          </cell>
          <cell r="AC3">
            <v>36644</v>
          </cell>
          <cell r="AD3">
            <v>36645</v>
          </cell>
          <cell r="AE3">
            <v>36646</v>
          </cell>
          <cell r="AF3">
            <v>36647</v>
          </cell>
          <cell r="AG3">
            <v>36648</v>
          </cell>
          <cell r="AH3">
            <v>36649</v>
          </cell>
          <cell r="AI3">
            <v>36650</v>
          </cell>
          <cell r="AJ3">
            <v>36651</v>
          </cell>
          <cell r="AK3">
            <v>36652</v>
          </cell>
          <cell r="AL3">
            <v>36653</v>
          </cell>
          <cell r="AM3">
            <v>36654</v>
          </cell>
          <cell r="AN3">
            <v>36655</v>
          </cell>
          <cell r="AO3">
            <v>36656</v>
          </cell>
          <cell r="AP3">
            <v>36657</v>
          </cell>
          <cell r="AQ3">
            <v>36658</v>
          </cell>
          <cell r="AR3">
            <v>36659</v>
          </cell>
          <cell r="AS3">
            <v>36660</v>
          </cell>
          <cell r="AT3">
            <v>36661</v>
          </cell>
          <cell r="AU3" t="str">
            <v xml:space="preserve"> </v>
          </cell>
          <cell r="AV3" t="str">
            <v xml:space="preserve"> </v>
          </cell>
          <cell r="AW3" t="str">
            <v xml:space="preserve"> </v>
          </cell>
          <cell r="AX3" t="str">
            <v xml:space="preserve"> </v>
          </cell>
          <cell r="AY3" t="str">
            <v xml:space="preserve"> </v>
          </cell>
          <cell r="AZ3" t="str">
            <v xml:space="preserve"> </v>
          </cell>
          <cell r="BA3" t="str">
            <v xml:space="preserve"> </v>
          </cell>
          <cell r="BB3" t="str">
            <v xml:space="preserve"> </v>
          </cell>
          <cell r="BC3" t="str">
            <v xml:space="preserve"> </v>
          </cell>
          <cell r="BD3" t="str">
            <v xml:space="preserve"> </v>
          </cell>
          <cell r="BE3" t="str">
            <v xml:space="preserve"> </v>
          </cell>
          <cell r="BF3" t="str">
            <v xml:space="preserve"> </v>
          </cell>
          <cell r="BG3" t="str">
            <v xml:space="preserve"> </v>
          </cell>
          <cell r="BH3" t="str">
            <v xml:space="preserve"> </v>
          </cell>
          <cell r="BI3" t="str">
            <v xml:space="preserve"> </v>
          </cell>
          <cell r="BJ3" t="str">
            <v xml:space="preserve"> </v>
          </cell>
          <cell r="BK3" t="str">
            <v xml:space="preserve"> </v>
          </cell>
          <cell r="BL3" t="str">
            <v xml:space="preserve"> </v>
          </cell>
          <cell r="BM3" t="str">
            <v xml:space="preserve"> </v>
          </cell>
          <cell r="BN3" t="str">
            <v xml:space="preserve"> </v>
          </cell>
          <cell r="BO3" t="str">
            <v xml:space="preserve"> </v>
          </cell>
          <cell r="BP3" t="str">
            <v xml:space="preserve"> </v>
          </cell>
          <cell r="BQ3" t="str">
            <v xml:space="preserve"> </v>
          </cell>
          <cell r="BR3" t="str">
            <v xml:space="preserve"> </v>
          </cell>
          <cell r="BS3" t="str">
            <v xml:space="preserve"> </v>
          </cell>
          <cell r="BT3" t="str">
            <v xml:space="preserve"> </v>
          </cell>
          <cell r="BU3" t="str">
            <v xml:space="preserve"> </v>
          </cell>
          <cell r="BV3" t="str">
            <v xml:space="preserve"> </v>
          </cell>
          <cell r="BW3" t="str">
            <v xml:space="preserve"> </v>
          </cell>
          <cell r="BX3" t="str">
            <v xml:space="preserve"> </v>
          </cell>
          <cell r="BY3" t="str">
            <v xml:space="preserve"> </v>
          </cell>
          <cell r="BZ3" t="str">
            <v xml:space="preserve"> </v>
          </cell>
          <cell r="CA3" t="str">
            <v xml:space="preserve"> </v>
          </cell>
          <cell r="CB3" t="str">
            <v xml:space="preserve"> </v>
          </cell>
          <cell r="CC3" t="str">
            <v xml:space="preserve"> </v>
          </cell>
          <cell r="CD3" t="str">
            <v xml:space="preserve"> </v>
          </cell>
          <cell r="CE3" t="str">
            <v xml:space="preserve"> </v>
          </cell>
          <cell r="CF3" t="str">
            <v xml:space="preserve"> </v>
          </cell>
          <cell r="CG3" t="str">
            <v xml:space="preserve"> </v>
          </cell>
          <cell r="CH3" t="str">
            <v xml:space="preserve"> </v>
          </cell>
          <cell r="CI3" t="str">
            <v xml:space="preserve"> </v>
          </cell>
          <cell r="CJ3" t="str">
            <v xml:space="preserve"> </v>
          </cell>
          <cell r="CK3" t="str">
            <v xml:space="preserve"> </v>
          </cell>
          <cell r="CL3" t="str">
            <v xml:space="preserve"> </v>
          </cell>
          <cell r="CM3" t="str">
            <v xml:space="preserve"> </v>
          </cell>
          <cell r="CN3" t="str">
            <v xml:space="preserve"> </v>
          </cell>
          <cell r="CO3" t="str">
            <v xml:space="preserve"> </v>
          </cell>
          <cell r="CP3" t="str">
            <v xml:space="preserve"> </v>
          </cell>
          <cell r="CQ3" t="str">
            <v xml:space="preserve"> </v>
          </cell>
          <cell r="CR3" t="str">
            <v xml:space="preserve"> </v>
          </cell>
          <cell r="CS3" t="str">
            <v xml:space="preserve"> </v>
          </cell>
          <cell r="CT3" t="str">
            <v xml:space="preserve"> </v>
          </cell>
          <cell r="CU3" t="str">
            <v xml:space="preserve"> </v>
          </cell>
          <cell r="CV3" t="str">
            <v xml:space="preserve"> </v>
          </cell>
          <cell r="CW3" t="str">
            <v xml:space="preserve"> </v>
          </cell>
          <cell r="CX3" t="str">
            <v xml:space="preserve"> </v>
          </cell>
          <cell r="CY3" t="str">
            <v xml:space="preserve"> </v>
          </cell>
          <cell r="CZ3" t="str">
            <v xml:space="preserve"> </v>
          </cell>
          <cell r="DA3" t="str">
            <v xml:space="preserve"> </v>
          </cell>
          <cell r="DB3" t="str">
            <v xml:space="preserve"> </v>
          </cell>
          <cell r="DC3" t="str">
            <v xml:space="preserve"> </v>
          </cell>
          <cell r="DD3" t="str">
            <v xml:space="preserve"> </v>
          </cell>
          <cell r="DE3" t="str">
            <v xml:space="preserve"> </v>
          </cell>
          <cell r="DF3" t="str">
            <v xml:space="preserve"> </v>
          </cell>
          <cell r="DG3" t="str">
            <v xml:space="preserve"> </v>
          </cell>
          <cell r="DH3" t="str">
            <v xml:space="preserve"> </v>
          </cell>
          <cell r="DI3" t="str">
            <v xml:space="preserve"> </v>
          </cell>
          <cell r="DJ3" t="str">
            <v xml:space="preserve"> </v>
          </cell>
          <cell r="DK3" t="str">
            <v xml:space="preserve"> </v>
          </cell>
          <cell r="DL3" t="str">
            <v xml:space="preserve"> </v>
          </cell>
          <cell r="DM3" t="str">
            <v xml:space="preserve"> </v>
          </cell>
          <cell r="DN3" t="str">
            <v xml:space="preserve"> </v>
          </cell>
          <cell r="DO3" t="str">
            <v xml:space="preserve"> </v>
          </cell>
          <cell r="DP3" t="str">
            <v xml:space="preserve"> </v>
          </cell>
          <cell r="DQ3" t="str">
            <v xml:space="preserve"> </v>
          </cell>
          <cell r="DR3" t="str">
            <v xml:space="preserve"> </v>
          </cell>
          <cell r="DS3" t="str">
            <v xml:space="preserve"> </v>
          </cell>
          <cell r="DT3" t="str">
            <v xml:space="preserve"> </v>
          </cell>
          <cell r="DU3" t="str">
            <v xml:space="preserve"> </v>
          </cell>
          <cell r="DV3" t="str">
            <v xml:space="preserve"> </v>
          </cell>
          <cell r="DW3" t="str">
            <v xml:space="preserve"> </v>
          </cell>
          <cell r="DX3" t="str">
            <v xml:space="preserve"> </v>
          </cell>
          <cell r="DY3" t="str">
            <v xml:space="preserve"> </v>
          </cell>
          <cell r="DZ3" t="str">
            <v xml:space="preserve"> </v>
          </cell>
          <cell r="EA3" t="str">
            <v xml:space="preserve"> </v>
          </cell>
          <cell r="EB3" t="str">
            <v xml:space="preserve"> </v>
          </cell>
          <cell r="EC3" t="str">
            <v xml:space="preserve"> </v>
          </cell>
          <cell r="ED3" t="str">
            <v xml:space="preserve"> </v>
          </cell>
          <cell r="EE3" t="str">
            <v xml:space="preserve"> </v>
          </cell>
          <cell r="EF3" t="str">
            <v xml:space="preserve"> </v>
          </cell>
          <cell r="EG3" t="str">
            <v xml:space="preserve"> </v>
          </cell>
          <cell r="EH3" t="str">
            <v xml:space="preserve"> </v>
          </cell>
          <cell r="EI3" t="str">
            <v xml:space="preserve"> </v>
          </cell>
          <cell r="EJ3" t="str">
            <v xml:space="preserve"> </v>
          </cell>
          <cell r="EK3" t="str">
            <v xml:space="preserve"> </v>
          </cell>
          <cell r="EL3" t="str">
            <v xml:space="preserve"> </v>
          </cell>
          <cell r="EM3" t="str">
            <v xml:space="preserve"> </v>
          </cell>
          <cell r="EN3" t="str">
            <v xml:space="preserve"> </v>
          </cell>
          <cell r="EO3" t="str">
            <v xml:space="preserve"> </v>
          </cell>
          <cell r="EP3" t="str">
            <v xml:space="preserve"> </v>
          </cell>
          <cell r="EQ3" t="str">
            <v xml:space="preserve"> </v>
          </cell>
          <cell r="ER3" t="str">
            <v xml:space="preserve"> </v>
          </cell>
          <cell r="ES3" t="str">
            <v xml:space="preserve"> </v>
          </cell>
          <cell r="ET3" t="str">
            <v xml:space="preserve"> </v>
          </cell>
          <cell r="EU3" t="str">
            <v xml:space="preserve"> </v>
          </cell>
          <cell r="EV3" t="str">
            <v xml:space="preserve"> </v>
          </cell>
          <cell r="EW3" t="str">
            <v xml:space="preserve"> </v>
          </cell>
          <cell r="EX3" t="str">
            <v xml:space="preserve"> </v>
          </cell>
          <cell r="EY3" t="str">
            <v xml:space="preserve"> </v>
          </cell>
          <cell r="EZ3" t="str">
            <v xml:space="preserve"> </v>
          </cell>
          <cell r="FA3" t="str">
            <v xml:space="preserve"> </v>
          </cell>
          <cell r="FB3" t="str">
            <v xml:space="preserve"> </v>
          </cell>
          <cell r="FC3" t="str">
            <v xml:space="preserve"> </v>
          </cell>
          <cell r="FD3" t="str">
            <v xml:space="preserve"> </v>
          </cell>
          <cell r="FE3" t="str">
            <v xml:space="preserve"> </v>
          </cell>
          <cell r="FF3" t="str">
            <v xml:space="preserve"> </v>
          </cell>
          <cell r="FG3" t="str">
            <v xml:space="preserve"> </v>
          </cell>
          <cell r="FH3" t="str">
            <v xml:space="preserve"> </v>
          </cell>
          <cell r="FI3" t="str">
            <v xml:space="preserve"> </v>
          </cell>
          <cell r="FJ3" t="str">
            <v xml:space="preserve"> </v>
          </cell>
          <cell r="FK3" t="str">
            <v xml:space="preserve"> </v>
          </cell>
          <cell r="FL3" t="str">
            <v xml:space="preserve"> </v>
          </cell>
          <cell r="FM3" t="str">
            <v xml:space="preserve"> </v>
          </cell>
          <cell r="FN3" t="str">
            <v xml:space="preserve"> </v>
          </cell>
          <cell r="FO3" t="str">
            <v xml:space="preserve"> </v>
          </cell>
          <cell r="FP3" t="str">
            <v xml:space="preserve"> </v>
          </cell>
          <cell r="FQ3" t="str">
            <v xml:space="preserve"> </v>
          </cell>
          <cell r="FR3" t="str">
            <v xml:space="preserve"> </v>
          </cell>
          <cell r="FS3" t="str">
            <v xml:space="preserve"> </v>
          </cell>
          <cell r="FT3" t="str">
            <v xml:space="preserve"> </v>
          </cell>
          <cell r="FU3" t="str">
            <v xml:space="preserve"> </v>
          </cell>
          <cell r="FV3" t="str">
            <v xml:space="preserve"> </v>
          </cell>
          <cell r="FW3" t="str">
            <v xml:space="preserve"> </v>
          </cell>
          <cell r="FX3" t="str">
            <v xml:space="preserve"> </v>
          </cell>
          <cell r="FY3" t="str">
            <v xml:space="preserve"> </v>
          </cell>
          <cell r="FZ3" t="str">
            <v xml:space="preserve"> </v>
          </cell>
          <cell r="GA3" t="str">
            <v xml:space="preserve"> </v>
          </cell>
          <cell r="GB3" t="str">
            <v xml:space="preserve"> </v>
          </cell>
          <cell r="GC3" t="str">
            <v xml:space="preserve"> </v>
          </cell>
          <cell r="GD3" t="str">
            <v xml:space="preserve"> </v>
          </cell>
          <cell r="GE3" t="str">
            <v xml:space="preserve"> </v>
          </cell>
          <cell r="GF3" t="str">
            <v xml:space="preserve"> </v>
          </cell>
          <cell r="GG3" t="str">
            <v xml:space="preserve"> </v>
          </cell>
          <cell r="GH3" t="str">
            <v xml:space="preserve"> </v>
          </cell>
          <cell r="GI3" t="str">
            <v xml:space="preserve"> </v>
          </cell>
          <cell r="GJ3" t="str">
            <v xml:space="preserve"> </v>
          </cell>
          <cell r="GK3" t="str">
            <v xml:space="preserve"> </v>
          </cell>
        </row>
      </sheetData>
      <sheetData sheetId="13" refreshError="1"/>
      <sheetData sheetId="14" refreshError="1"/>
      <sheetData sheetId="1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封面"/>
      <sheetName val="預0"/>
      <sheetName val="預1"/>
      <sheetName val="預2"/>
      <sheetName val="預3"/>
      <sheetName val="預4"/>
      <sheetName val="單1"/>
      <sheetName val="統1"/>
      <sheetName val="統2"/>
      <sheetName val="計1"/>
      <sheetName val="計2"/>
      <sheetName val="計3"/>
      <sheetName val="計4"/>
      <sheetName val="土1"/>
      <sheetName val="土2"/>
      <sheetName val="土3"/>
      <sheetName val="土4"/>
      <sheetName val="土5"/>
      <sheetName val="土6"/>
      <sheetName val="東勢估"/>
      <sheetName val="估價單"/>
      <sheetName val="標單"/>
    </sheetNames>
    <sheetDataSet>
      <sheetData sheetId="0">
        <row r="19">
          <cell r="AD19">
            <v>98350</v>
          </cell>
        </row>
        <row r="20">
          <cell r="AD20">
            <v>98350</v>
          </cell>
        </row>
        <row r="21">
          <cell r="AD21">
            <v>73763</v>
          </cell>
        </row>
        <row r="22">
          <cell r="AD22">
            <v>73763</v>
          </cell>
        </row>
        <row r="23">
          <cell r="AD23">
            <v>73763</v>
          </cell>
        </row>
        <row r="24">
          <cell r="AD24">
            <v>860500.20000000007</v>
          </cell>
        </row>
        <row r="25">
          <cell r="AD25">
            <v>678614</v>
          </cell>
        </row>
        <row r="26">
          <cell r="AD26">
            <v>14250900</v>
          </cell>
        </row>
        <row r="27">
          <cell r="AD27">
            <v>0</v>
          </cell>
        </row>
        <row r="28">
          <cell r="AD28">
            <v>0</v>
          </cell>
        </row>
        <row r="29">
          <cell r="AD29" t="str">
            <v/>
          </cell>
        </row>
        <row r="30">
          <cell r="AD30" t="str">
            <v/>
          </cell>
        </row>
        <row r="31">
          <cell r="AD31" t="str">
            <v/>
          </cell>
        </row>
        <row r="32">
          <cell r="AD32" t="str">
            <v/>
          </cell>
        </row>
        <row r="33">
          <cell r="AD33" t="str">
            <v/>
          </cell>
        </row>
        <row r="34">
          <cell r="AD34" t="str">
            <v/>
          </cell>
        </row>
        <row r="35">
          <cell r="AD35" t="str">
            <v/>
          </cell>
        </row>
        <row r="36">
          <cell r="AD36" t="str">
            <v/>
          </cell>
        </row>
        <row r="37">
          <cell r="AD37" t="str">
            <v/>
          </cell>
        </row>
        <row r="38">
          <cell r="AD38" t="str">
            <v/>
          </cell>
        </row>
        <row r="39">
          <cell r="AD39" t="str">
            <v/>
          </cell>
        </row>
        <row r="40">
          <cell r="AD40" t="str">
            <v/>
          </cell>
        </row>
        <row r="41">
          <cell r="AD41" t="str">
            <v/>
          </cell>
        </row>
        <row r="42">
          <cell r="AD42" t="str">
            <v/>
          </cell>
        </row>
        <row r="43">
          <cell r="AD43" t="str">
            <v/>
          </cell>
        </row>
        <row r="44">
          <cell r="AD44" t="str">
            <v/>
          </cell>
        </row>
        <row r="45">
          <cell r="AD45" t="str">
            <v/>
          </cell>
        </row>
        <row r="46">
          <cell r="AD46" t="str">
            <v/>
          </cell>
        </row>
        <row r="47">
          <cell r="AD47" t="str">
            <v/>
          </cell>
        </row>
        <row r="48">
          <cell r="AD48" t="str">
            <v/>
          </cell>
        </row>
        <row r="49">
          <cell r="AD49" t="str">
            <v/>
          </cell>
        </row>
        <row r="50">
          <cell r="AD50" t="str">
            <v/>
          </cell>
        </row>
        <row r="51">
          <cell r="AD51" t="str">
            <v/>
          </cell>
        </row>
        <row r="52">
          <cell r="AD52" t="str">
            <v/>
          </cell>
        </row>
        <row r="53">
          <cell r="AD53" t="str">
            <v/>
          </cell>
        </row>
        <row r="54">
          <cell r="AD54" t="str">
            <v/>
          </cell>
        </row>
        <row r="55">
          <cell r="AD55" t="str">
            <v/>
          </cell>
        </row>
        <row r="56">
          <cell r="AD56" t="str">
            <v/>
          </cell>
        </row>
      </sheetData>
      <sheetData sheetId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/>
      <sheetData sheetId="9" refreshError="1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封面"/>
      <sheetName val="預1"/>
      <sheetName val="預3"/>
      <sheetName val="補充1"/>
      <sheetName val="補充2"/>
      <sheetName val="單1"/>
      <sheetName val="統1"/>
      <sheetName val="計1"/>
      <sheetName val="計2"/>
      <sheetName val="計3"/>
      <sheetName val="計4"/>
      <sheetName val="土1"/>
      <sheetName val="土2"/>
      <sheetName val="土3"/>
      <sheetName val="土4"/>
      <sheetName val="土5"/>
      <sheetName val="土6"/>
      <sheetName val="東勢估"/>
      <sheetName val="估價單"/>
      <sheetName val="標單"/>
      <sheetName val="預2"/>
    </sheetNames>
    <sheetDataSet>
      <sheetData sheetId="0">
        <row r="19">
          <cell r="K19">
            <v>1</v>
          </cell>
          <cell r="R19">
            <v>26</v>
          </cell>
          <cell r="AF19" t="str">
            <v>35</v>
          </cell>
        </row>
        <row r="20">
          <cell r="K20">
            <v>2</v>
          </cell>
          <cell r="R20">
            <v>27</v>
          </cell>
          <cell r="AF20" t="str">
            <v>36</v>
          </cell>
        </row>
        <row r="21">
          <cell r="K21">
            <v>3</v>
          </cell>
          <cell r="R21">
            <v>28</v>
          </cell>
          <cell r="AF21" t="str">
            <v/>
          </cell>
        </row>
        <row r="22">
          <cell r="K22">
            <v>4</v>
          </cell>
          <cell r="R22">
            <v>29</v>
          </cell>
          <cell r="AF22" t="str">
            <v>二</v>
          </cell>
        </row>
        <row r="23">
          <cell r="K23">
            <v>5</v>
          </cell>
          <cell r="R23">
            <v>30</v>
          </cell>
          <cell r="AF23" t="str">
            <v>三</v>
          </cell>
        </row>
        <row r="24">
          <cell r="K24">
            <v>6</v>
          </cell>
          <cell r="R24">
            <v>31</v>
          </cell>
          <cell r="AF24" t="str">
            <v>四</v>
          </cell>
        </row>
        <row r="25">
          <cell r="K25">
            <v>7</v>
          </cell>
          <cell r="R25">
            <v>32</v>
          </cell>
          <cell r="AF25" t="str">
            <v/>
          </cell>
        </row>
        <row r="26">
          <cell r="K26">
            <v>8</v>
          </cell>
          <cell r="R26">
            <v>33</v>
          </cell>
          <cell r="AF26" t="str">
            <v/>
          </cell>
        </row>
        <row r="27">
          <cell r="K27">
            <v>9</v>
          </cell>
          <cell r="R27">
            <v>34</v>
          </cell>
          <cell r="AF27" t="str">
            <v/>
          </cell>
        </row>
        <row r="28">
          <cell r="K28">
            <v>10</v>
          </cell>
          <cell r="R28">
            <v>35</v>
          </cell>
          <cell r="AF28" t="str">
            <v/>
          </cell>
        </row>
        <row r="29">
          <cell r="K29">
            <v>11</v>
          </cell>
          <cell r="R29">
            <v>36</v>
          </cell>
          <cell r="AF29" t="str">
            <v/>
          </cell>
        </row>
        <row r="30">
          <cell r="K30">
            <v>12</v>
          </cell>
          <cell r="R30">
            <v>37</v>
          </cell>
          <cell r="AF30" t="str">
            <v/>
          </cell>
        </row>
        <row r="31">
          <cell r="K31">
            <v>13</v>
          </cell>
          <cell r="R31">
            <v>38</v>
          </cell>
          <cell r="AF31" t="str">
            <v/>
          </cell>
        </row>
        <row r="32">
          <cell r="K32">
            <v>14</v>
          </cell>
          <cell r="R32">
            <v>39</v>
          </cell>
          <cell r="AF32" t="str">
            <v/>
          </cell>
        </row>
        <row r="33">
          <cell r="K33">
            <v>15</v>
          </cell>
          <cell r="R33">
            <v>40</v>
          </cell>
          <cell r="AF33" t="str">
            <v/>
          </cell>
        </row>
        <row r="34">
          <cell r="K34">
            <v>16</v>
          </cell>
          <cell r="R34">
            <v>41</v>
          </cell>
          <cell r="AF34" t="str">
            <v/>
          </cell>
        </row>
        <row r="35">
          <cell r="K35">
            <v>17</v>
          </cell>
          <cell r="R35">
            <v>42</v>
          </cell>
          <cell r="AF35" t="str">
            <v/>
          </cell>
        </row>
        <row r="36">
          <cell r="K36">
            <v>18</v>
          </cell>
          <cell r="R36">
            <v>43</v>
          </cell>
          <cell r="AF36" t="str">
            <v/>
          </cell>
        </row>
        <row r="37">
          <cell r="K37">
            <v>19</v>
          </cell>
          <cell r="R37">
            <v>44</v>
          </cell>
          <cell r="AF37" t="str">
            <v/>
          </cell>
        </row>
        <row r="38">
          <cell r="K38">
            <v>20</v>
          </cell>
          <cell r="R38">
            <v>45</v>
          </cell>
          <cell r="AF38" t="str">
            <v/>
          </cell>
        </row>
        <row r="39">
          <cell r="K39">
            <v>21</v>
          </cell>
          <cell r="R39">
            <v>46</v>
          </cell>
          <cell r="AF39" t="str">
            <v/>
          </cell>
        </row>
        <row r="40">
          <cell r="K40">
            <v>22</v>
          </cell>
          <cell r="R40">
            <v>47</v>
          </cell>
          <cell r="AF40" t="str">
            <v/>
          </cell>
        </row>
        <row r="41">
          <cell r="K41">
            <v>23</v>
          </cell>
          <cell r="R41">
            <v>48</v>
          </cell>
          <cell r="AF41" t="str">
            <v/>
          </cell>
        </row>
        <row r="42">
          <cell r="K42">
            <v>24</v>
          </cell>
          <cell r="R42">
            <v>49</v>
          </cell>
          <cell r="AF42" t="str">
            <v/>
          </cell>
        </row>
        <row r="43">
          <cell r="K43">
            <v>25</v>
          </cell>
          <cell r="R43">
            <v>50</v>
          </cell>
          <cell r="AF43" t="str">
            <v/>
          </cell>
        </row>
        <row r="44">
          <cell r="K44">
            <v>26</v>
          </cell>
          <cell r="R44">
            <v>51</v>
          </cell>
          <cell r="AF44" t="str">
            <v/>
          </cell>
        </row>
        <row r="45">
          <cell r="K45">
            <v>27</v>
          </cell>
          <cell r="R45">
            <v>52</v>
          </cell>
          <cell r="AF45" t="str">
            <v/>
          </cell>
        </row>
        <row r="46">
          <cell r="K46">
            <v>28</v>
          </cell>
          <cell r="R46">
            <v>53</v>
          </cell>
          <cell r="AF46" t="str">
            <v/>
          </cell>
        </row>
        <row r="47">
          <cell r="K47">
            <v>29</v>
          </cell>
          <cell r="R47">
            <v>54</v>
          </cell>
          <cell r="AF47" t="str">
            <v/>
          </cell>
        </row>
        <row r="48">
          <cell r="K48">
            <v>30</v>
          </cell>
          <cell r="R48">
            <v>55</v>
          </cell>
          <cell r="AF48" t="str">
            <v/>
          </cell>
        </row>
        <row r="49">
          <cell r="K49">
            <v>31</v>
          </cell>
          <cell r="R49">
            <v>56</v>
          </cell>
          <cell r="AF49" t="str">
            <v/>
          </cell>
        </row>
        <row r="50">
          <cell r="K50">
            <v>32</v>
          </cell>
          <cell r="R50">
            <v>57</v>
          </cell>
          <cell r="AF50" t="str">
            <v/>
          </cell>
        </row>
        <row r="51">
          <cell r="K51">
            <v>33</v>
          </cell>
          <cell r="R51">
            <v>58</v>
          </cell>
          <cell r="AF51" t="str">
            <v/>
          </cell>
        </row>
        <row r="52">
          <cell r="K52">
            <v>34</v>
          </cell>
          <cell r="R52">
            <v>59</v>
          </cell>
          <cell r="AF52" t="str">
            <v/>
          </cell>
        </row>
        <row r="53">
          <cell r="K53">
            <v>35</v>
          </cell>
          <cell r="R53">
            <v>60</v>
          </cell>
          <cell r="AF53" t="str">
            <v/>
          </cell>
        </row>
        <row r="54">
          <cell r="K54">
            <v>36</v>
          </cell>
          <cell r="R54">
            <v>61</v>
          </cell>
          <cell r="AF54" t="str">
            <v/>
          </cell>
        </row>
        <row r="55">
          <cell r="K55">
            <v>37</v>
          </cell>
          <cell r="R55">
            <v>62</v>
          </cell>
          <cell r="AF55" t="str">
            <v/>
          </cell>
        </row>
        <row r="56">
          <cell r="K56">
            <v>38</v>
          </cell>
          <cell r="R56">
            <v>63</v>
          </cell>
          <cell r="AF56" t="str">
            <v/>
          </cell>
        </row>
      </sheetData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e"/>
      <sheetName val="計劃"/>
      <sheetName val="總表"/>
      <sheetName val="封"/>
      <sheetName val="預1"/>
      <sheetName val="預2"/>
      <sheetName val="預3"/>
      <sheetName val="基"/>
      <sheetName val="單1"/>
      <sheetName val="雜"/>
      <sheetName val="統1"/>
      <sheetName val="計1"/>
      <sheetName val="計2"/>
      <sheetName val="計3"/>
      <sheetName val="計4"/>
      <sheetName val="土1"/>
      <sheetName val="估1"/>
      <sheetName val="估2"/>
      <sheetName val="估3"/>
      <sheetName val="估單"/>
    </sheetNames>
    <sheetDataSet>
      <sheetData sheetId="0"/>
      <sheetData sheetId="1"/>
      <sheetData sheetId="2" refreshError="1">
        <row r="9">
          <cell r="AE9" t="str">
            <v>約12%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封面"/>
      <sheetName val="預1"/>
      <sheetName val="預2"/>
      <sheetName val="預3"/>
      <sheetName val="基1"/>
      <sheetName val="單1"/>
      <sheetName val="統1"/>
      <sheetName val="計1"/>
      <sheetName val="計2"/>
      <sheetName val="土 "/>
      <sheetName val="東勢估"/>
      <sheetName val="估價單"/>
      <sheetName val="標單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2"/>
      <sheetName val="詳1~3"/>
      <sheetName val="首"/>
      <sheetName val="封面"/>
      <sheetName val="統1"/>
      <sheetName val="計1"/>
      <sheetName val="計2"/>
      <sheetName val="統2"/>
      <sheetName val="單價"/>
      <sheetName val="Sheet3"/>
    </sheetNames>
    <sheetDataSet>
      <sheetData sheetId="0"/>
      <sheetData sheetId="1" refreshError="1">
        <row r="7">
          <cell r="A7" t="str">
            <v>一</v>
          </cell>
        </row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 t="str">
            <v/>
          </cell>
        </row>
        <row r="32">
          <cell r="A32" t="str">
            <v>二</v>
          </cell>
        </row>
        <row r="33">
          <cell r="A33" t="str">
            <v>三</v>
          </cell>
        </row>
        <row r="34">
          <cell r="A34" t="str">
            <v/>
          </cell>
        </row>
        <row r="35">
          <cell r="A35" t="str">
            <v/>
          </cell>
        </row>
        <row r="36">
          <cell r="A36" t="str">
            <v/>
          </cell>
        </row>
        <row r="37">
          <cell r="A37" t="str">
            <v/>
          </cell>
        </row>
        <row r="38">
          <cell r="A38" t="str">
            <v/>
          </cell>
        </row>
        <row r="39">
          <cell r="A39" t="str">
            <v/>
          </cell>
        </row>
        <row r="40">
          <cell r="A40" t="str">
            <v/>
          </cell>
        </row>
        <row r="41">
          <cell r="A41" t="str">
            <v/>
          </cell>
        </row>
        <row r="42">
          <cell r="A42" t="str">
            <v/>
          </cell>
        </row>
        <row r="43">
          <cell r="A43" t="str">
            <v/>
          </cell>
        </row>
        <row r="44">
          <cell r="A44" t="str">
            <v/>
          </cell>
        </row>
        <row r="45">
          <cell r="A45" t="str">
            <v/>
          </cell>
        </row>
        <row r="46">
          <cell r="A46" t="str">
            <v/>
          </cell>
        </row>
        <row r="48">
          <cell r="A48" t="str">
            <v>課長                        覆核                        編 製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e"/>
      <sheetName val="總表"/>
      <sheetName val="封"/>
      <sheetName val="計劃"/>
      <sheetName val="預1"/>
      <sheetName val="預2"/>
      <sheetName val="預3"/>
      <sheetName val="單1"/>
      <sheetName val="基"/>
      <sheetName val="雜"/>
      <sheetName val="統1"/>
      <sheetName val="計1"/>
      <sheetName val="計2"/>
      <sheetName val="計3"/>
      <sheetName val="計4"/>
      <sheetName val="土1"/>
      <sheetName val="土2"/>
      <sheetName val="估1"/>
      <sheetName val="估2"/>
      <sheetName val="估3"/>
      <sheetName val="估單"/>
    </sheetNames>
    <sheetDataSet>
      <sheetData sheetId="0" refreshError="1"/>
      <sheetData sheetId="1" refreshError="1">
        <row r="9">
          <cell r="CQ9" t="str">
            <v>編號:</v>
          </cell>
          <cell r="CR9" t="str">
            <v xml:space="preserve"> </v>
          </cell>
          <cell r="CS9" t="str">
            <v>工 程 項 目</v>
          </cell>
          <cell r="CU9" t="str">
            <v>挖土機(怪手)挖普通土</v>
          </cell>
          <cell r="CW9" t="str">
            <v>單    位</v>
          </cell>
          <cell r="CX9" t="str">
            <v>100m3</v>
          </cell>
        </row>
        <row r="10">
          <cell r="CQ10" t="str">
            <v>工   程   項   目</v>
          </cell>
          <cell r="CS10" t="str">
            <v>說 明</v>
          </cell>
          <cell r="CT10" t="str">
            <v>單 位</v>
          </cell>
          <cell r="CU10" t="str">
            <v>數  量</v>
          </cell>
          <cell r="CV10" t="str">
            <v>單   價</v>
          </cell>
          <cell r="CW10" t="str">
            <v>總    價</v>
          </cell>
          <cell r="CX10" t="str">
            <v>備    註</v>
          </cell>
        </row>
        <row r="11">
          <cell r="CQ11" t="str">
            <v>柴油</v>
          </cell>
          <cell r="CS11" t="str">
            <v xml:space="preserve"> </v>
          </cell>
          <cell r="CT11" t="str">
            <v>加侖</v>
          </cell>
          <cell r="CU11">
            <v>12.6</v>
          </cell>
          <cell r="CV11">
            <v>57</v>
          </cell>
          <cell r="CW11">
            <v>718.2</v>
          </cell>
          <cell r="CX11" t="str">
            <v>一加侖以四公升計算</v>
          </cell>
        </row>
        <row r="12">
          <cell r="CQ12" t="str">
            <v>潤滑油</v>
          </cell>
          <cell r="CT12" t="str">
            <v>加侖</v>
          </cell>
          <cell r="CU12">
            <v>1.2</v>
          </cell>
          <cell r="CV12">
            <v>220</v>
          </cell>
          <cell r="CW12">
            <v>264</v>
          </cell>
        </row>
        <row r="13">
          <cell r="CQ13" t="str">
            <v>特種技工</v>
          </cell>
          <cell r="CS13" t="str">
            <v xml:space="preserve"> </v>
          </cell>
          <cell r="CT13" t="str">
            <v>工</v>
          </cell>
          <cell r="CU13">
            <v>1.5</v>
          </cell>
          <cell r="CV13">
            <v>800</v>
          </cell>
          <cell r="CW13">
            <v>1200</v>
          </cell>
        </row>
        <row r="14">
          <cell r="CQ14" t="str">
            <v>半技工</v>
          </cell>
          <cell r="CT14" t="str">
            <v>工</v>
          </cell>
          <cell r="CU14">
            <v>1</v>
          </cell>
          <cell r="CV14">
            <v>560</v>
          </cell>
          <cell r="CW14">
            <v>560</v>
          </cell>
          <cell r="CX14" t="str">
            <v xml:space="preserve"> </v>
          </cell>
        </row>
        <row r="15">
          <cell r="CQ15" t="str">
            <v>普通工</v>
          </cell>
          <cell r="CS15" t="str">
            <v xml:space="preserve"> </v>
          </cell>
          <cell r="CT15" t="str">
            <v>工</v>
          </cell>
          <cell r="CU15">
            <v>2</v>
          </cell>
          <cell r="CV15">
            <v>530</v>
          </cell>
          <cell r="CW15">
            <v>1060</v>
          </cell>
          <cell r="CX15" t="str">
            <v>含人工整理</v>
          </cell>
        </row>
        <row r="16">
          <cell r="CQ16" t="str">
            <v>機械維護及折舊</v>
          </cell>
          <cell r="CT16" t="str">
            <v>式</v>
          </cell>
          <cell r="CU16">
            <v>1</v>
          </cell>
          <cell r="CV16" t="str">
            <v xml:space="preserve"> </v>
          </cell>
          <cell r="CW16">
            <v>797.8</v>
          </cell>
          <cell r="CX16" t="str">
            <v>約工資部份30%</v>
          </cell>
        </row>
        <row r="17">
          <cell r="CQ17" t="str">
            <v xml:space="preserve"> </v>
          </cell>
          <cell r="CR17" t="str">
            <v xml:space="preserve"> </v>
          </cell>
          <cell r="CT17" t="str">
            <v xml:space="preserve"> </v>
          </cell>
          <cell r="CU17" t="str">
            <v>小計</v>
          </cell>
          <cell r="CV17" t="str">
            <v xml:space="preserve"> </v>
          </cell>
          <cell r="CW17">
            <v>4600</v>
          </cell>
          <cell r="CX17" t="str">
            <v>/100</v>
          </cell>
        </row>
        <row r="18">
          <cell r="CQ18" t="str">
            <v xml:space="preserve"> </v>
          </cell>
          <cell r="CR18" t="str">
            <v xml:space="preserve"> </v>
          </cell>
          <cell r="CS18" t="str">
            <v xml:space="preserve"> </v>
          </cell>
          <cell r="CT18" t="str">
            <v xml:space="preserve"> </v>
          </cell>
          <cell r="CU18" t="str">
            <v xml:space="preserve"> </v>
          </cell>
          <cell r="CV18" t="str">
            <v xml:space="preserve"> </v>
          </cell>
          <cell r="CW18" t="str">
            <v xml:space="preserve"> </v>
          </cell>
          <cell r="CX18" t="str">
            <v xml:space="preserve"> </v>
          </cell>
        </row>
        <row r="20">
          <cell r="CV20" t="str">
            <v xml:space="preserve"> </v>
          </cell>
          <cell r="CW20" t="str">
            <v xml:space="preserve"> </v>
          </cell>
          <cell r="CX20" t="str">
            <v xml:space="preserve"> </v>
          </cell>
        </row>
        <row r="24">
          <cell r="CQ24" t="str">
            <v xml:space="preserve"> </v>
          </cell>
          <cell r="CS24" t="str">
            <v xml:space="preserve"> </v>
          </cell>
          <cell r="CT24" t="str">
            <v xml:space="preserve"> </v>
          </cell>
          <cell r="CU24" t="str">
            <v xml:space="preserve"> </v>
          </cell>
        </row>
        <row r="25">
          <cell r="CQ25" t="str">
            <v xml:space="preserve"> </v>
          </cell>
          <cell r="CR25" t="str">
            <v xml:space="preserve"> </v>
          </cell>
          <cell r="CS25" t="str">
            <v xml:space="preserve"> </v>
          </cell>
          <cell r="CT25" t="str">
            <v xml:space="preserve"> </v>
          </cell>
          <cell r="CU25" t="str">
            <v xml:space="preserve"> </v>
          </cell>
          <cell r="CV25" t="str">
            <v xml:space="preserve"> </v>
          </cell>
        </row>
        <row r="27">
          <cell r="CQ27" t="str">
            <v xml:space="preserve"> </v>
          </cell>
          <cell r="CR27" t="str">
            <v>每</v>
          </cell>
          <cell r="CS27" t="str">
            <v>m3</v>
          </cell>
          <cell r="CT27" t="str">
            <v>單 價 計</v>
          </cell>
          <cell r="CV27" t="str">
            <v xml:space="preserve"> </v>
          </cell>
          <cell r="CW27">
            <v>46</v>
          </cell>
          <cell r="CX27" t="str">
            <v xml:space="preserve"> </v>
          </cell>
        </row>
        <row r="30">
          <cell r="CQ30" t="str">
            <v>編號:</v>
          </cell>
          <cell r="CR30" t="str">
            <v xml:space="preserve"> </v>
          </cell>
          <cell r="CS30" t="str">
            <v>工 程 項 目</v>
          </cell>
          <cell r="CU30" t="str">
            <v>挖土機(怪手)挖卵.塊石土</v>
          </cell>
          <cell r="CW30" t="str">
            <v xml:space="preserve">  單    位</v>
          </cell>
          <cell r="CX30" t="str">
            <v>100m3</v>
          </cell>
        </row>
        <row r="31">
          <cell r="CQ31" t="str">
            <v xml:space="preserve"> 工   程   項   目</v>
          </cell>
          <cell r="CS31" t="str">
            <v xml:space="preserve"> 說 明</v>
          </cell>
          <cell r="CT31" t="str">
            <v xml:space="preserve"> 單 位</v>
          </cell>
          <cell r="CU31" t="str">
            <v xml:space="preserve"> 數  量</v>
          </cell>
          <cell r="CV31" t="str">
            <v xml:space="preserve">  單  價</v>
          </cell>
          <cell r="CW31" t="str">
            <v xml:space="preserve">  總    價 </v>
          </cell>
          <cell r="CX31" t="str">
            <v>備    註</v>
          </cell>
        </row>
        <row r="32">
          <cell r="CQ32" t="str">
            <v>柴油</v>
          </cell>
          <cell r="CS32" t="str">
            <v xml:space="preserve"> </v>
          </cell>
          <cell r="CT32" t="str">
            <v>加侖</v>
          </cell>
          <cell r="CU32">
            <v>20</v>
          </cell>
          <cell r="CV32">
            <v>57</v>
          </cell>
          <cell r="CW32">
            <v>1140</v>
          </cell>
          <cell r="CX32" t="str">
            <v>一加侖以四公升計算</v>
          </cell>
        </row>
        <row r="33">
          <cell r="CQ33" t="str">
            <v>潤滑油</v>
          </cell>
          <cell r="CT33" t="str">
            <v>加侖</v>
          </cell>
          <cell r="CU33">
            <v>1.8</v>
          </cell>
          <cell r="CV33">
            <v>220</v>
          </cell>
          <cell r="CW33">
            <v>396</v>
          </cell>
        </row>
        <row r="34">
          <cell r="CQ34" t="str">
            <v>特種技工</v>
          </cell>
          <cell r="CS34" t="str">
            <v xml:space="preserve"> </v>
          </cell>
          <cell r="CT34" t="str">
            <v>工</v>
          </cell>
          <cell r="CU34">
            <v>2.5</v>
          </cell>
          <cell r="CV34">
            <v>800</v>
          </cell>
          <cell r="CW34">
            <v>2000</v>
          </cell>
        </row>
        <row r="35">
          <cell r="CQ35" t="str">
            <v>半技工</v>
          </cell>
          <cell r="CT35" t="str">
            <v>工</v>
          </cell>
          <cell r="CU35">
            <v>2</v>
          </cell>
          <cell r="CV35">
            <v>560</v>
          </cell>
          <cell r="CW35">
            <v>1120</v>
          </cell>
          <cell r="CX35" t="str">
            <v xml:space="preserve"> </v>
          </cell>
        </row>
        <row r="36">
          <cell r="CQ36" t="str">
            <v>普通工</v>
          </cell>
          <cell r="CS36" t="str">
            <v xml:space="preserve"> </v>
          </cell>
          <cell r="CT36" t="str">
            <v>工</v>
          </cell>
          <cell r="CU36">
            <v>4</v>
          </cell>
          <cell r="CV36">
            <v>530</v>
          </cell>
          <cell r="CW36">
            <v>2120</v>
          </cell>
          <cell r="CX36" t="str">
            <v>含人工整理</v>
          </cell>
        </row>
        <row r="37">
          <cell r="CQ37" t="str">
            <v>機械維護及折舊</v>
          </cell>
          <cell r="CT37" t="str">
            <v>式</v>
          </cell>
          <cell r="CU37">
            <v>1</v>
          </cell>
          <cell r="CV37" t="str">
            <v xml:space="preserve"> </v>
          </cell>
          <cell r="CW37">
            <v>1524</v>
          </cell>
          <cell r="CX37" t="str">
            <v>約工資部份30%</v>
          </cell>
        </row>
        <row r="38">
          <cell r="CQ38" t="str">
            <v xml:space="preserve"> </v>
          </cell>
          <cell r="CR38" t="str">
            <v xml:space="preserve"> </v>
          </cell>
          <cell r="CT38" t="str">
            <v xml:space="preserve"> </v>
          </cell>
          <cell r="CU38" t="str">
            <v>小計</v>
          </cell>
          <cell r="CV38" t="str">
            <v xml:space="preserve"> </v>
          </cell>
          <cell r="CW38">
            <v>8300</v>
          </cell>
          <cell r="CX38" t="str">
            <v>/100</v>
          </cell>
        </row>
        <row r="39">
          <cell r="CQ39" t="str">
            <v xml:space="preserve"> </v>
          </cell>
          <cell r="CR39" t="str">
            <v xml:space="preserve"> </v>
          </cell>
          <cell r="CS39" t="str">
            <v xml:space="preserve"> </v>
          </cell>
          <cell r="CT39" t="str">
            <v xml:space="preserve"> </v>
          </cell>
          <cell r="CU39" t="str">
            <v xml:space="preserve"> </v>
          </cell>
          <cell r="CV39" t="str">
            <v xml:space="preserve"> </v>
          </cell>
          <cell r="CW39" t="str">
            <v xml:space="preserve"> </v>
          </cell>
          <cell r="CX39" t="str">
            <v xml:space="preserve"> </v>
          </cell>
        </row>
        <row r="41">
          <cell r="CV41" t="str">
            <v xml:space="preserve"> </v>
          </cell>
          <cell r="CW41" t="str">
            <v xml:space="preserve"> </v>
          </cell>
          <cell r="CX41" t="str">
            <v xml:space="preserve"> </v>
          </cell>
        </row>
        <row r="45">
          <cell r="CQ45" t="str">
            <v xml:space="preserve"> </v>
          </cell>
          <cell r="CS45" t="str">
            <v xml:space="preserve"> </v>
          </cell>
          <cell r="CT45" t="str">
            <v xml:space="preserve"> </v>
          </cell>
          <cell r="CU45" t="str">
            <v xml:space="preserve"> </v>
          </cell>
        </row>
        <row r="46">
          <cell r="CQ46" t="str">
            <v xml:space="preserve"> </v>
          </cell>
          <cell r="CR46" t="str">
            <v xml:space="preserve"> </v>
          </cell>
          <cell r="CS46" t="str">
            <v xml:space="preserve"> </v>
          </cell>
          <cell r="CT46" t="str">
            <v xml:space="preserve"> </v>
          </cell>
          <cell r="CU46" t="str">
            <v xml:space="preserve"> </v>
          </cell>
          <cell r="CV46" t="str">
            <v xml:space="preserve"> </v>
          </cell>
        </row>
        <row r="48">
          <cell r="CQ48" t="str">
            <v xml:space="preserve"> </v>
          </cell>
          <cell r="CR48" t="str">
            <v>每</v>
          </cell>
          <cell r="CS48" t="str">
            <v>m3</v>
          </cell>
          <cell r="CT48" t="str">
            <v>單 價 計</v>
          </cell>
          <cell r="CV48" t="str">
            <v xml:space="preserve"> </v>
          </cell>
          <cell r="CW48">
            <v>83</v>
          </cell>
          <cell r="CX48" t="str">
            <v xml:space="preserve"> </v>
          </cell>
        </row>
        <row r="51">
          <cell r="CQ51" t="str">
            <v>編號:</v>
          </cell>
          <cell r="CR51" t="str">
            <v xml:space="preserve"> </v>
          </cell>
          <cell r="CS51" t="str">
            <v>工 程 項 目</v>
          </cell>
          <cell r="CU51" t="str">
            <v>機械挖軟岩</v>
          </cell>
          <cell r="CW51" t="str">
            <v xml:space="preserve">  單    位</v>
          </cell>
          <cell r="CX51" t="str">
            <v>100m3</v>
          </cell>
        </row>
        <row r="52">
          <cell r="CQ52" t="str">
            <v xml:space="preserve"> 工   程   項   目</v>
          </cell>
          <cell r="CS52" t="str">
            <v xml:space="preserve"> 說 明</v>
          </cell>
          <cell r="CT52" t="str">
            <v xml:space="preserve"> 單 位</v>
          </cell>
          <cell r="CU52" t="str">
            <v xml:space="preserve"> 數  量</v>
          </cell>
          <cell r="CV52" t="str">
            <v xml:space="preserve">  單  價</v>
          </cell>
          <cell r="CW52" t="str">
            <v xml:space="preserve">  總    價 </v>
          </cell>
          <cell r="CX52" t="str">
            <v>備    註</v>
          </cell>
        </row>
        <row r="53">
          <cell r="CQ53" t="str">
            <v>柴油</v>
          </cell>
          <cell r="CS53" t="str">
            <v xml:space="preserve"> </v>
          </cell>
          <cell r="CT53" t="str">
            <v>加侖</v>
          </cell>
          <cell r="CU53">
            <v>50</v>
          </cell>
          <cell r="CV53">
            <v>57</v>
          </cell>
          <cell r="CW53">
            <v>2850</v>
          </cell>
          <cell r="CX53" t="str">
            <v>一加侖以四公升計算</v>
          </cell>
        </row>
        <row r="54">
          <cell r="CQ54" t="str">
            <v>潤滑油</v>
          </cell>
          <cell r="CT54" t="str">
            <v>加侖</v>
          </cell>
          <cell r="CU54">
            <v>6</v>
          </cell>
          <cell r="CV54">
            <v>220</v>
          </cell>
          <cell r="CW54">
            <v>1320</v>
          </cell>
        </row>
        <row r="55">
          <cell r="CQ55" t="str">
            <v>特種技工</v>
          </cell>
          <cell r="CS55" t="str">
            <v xml:space="preserve"> </v>
          </cell>
          <cell r="CT55" t="str">
            <v>工</v>
          </cell>
          <cell r="CU55">
            <v>6</v>
          </cell>
          <cell r="CV55">
            <v>800</v>
          </cell>
          <cell r="CW55">
            <v>4800</v>
          </cell>
        </row>
        <row r="56">
          <cell r="CQ56" t="str">
            <v>半技工</v>
          </cell>
          <cell r="CT56" t="str">
            <v>工</v>
          </cell>
          <cell r="CU56">
            <v>4</v>
          </cell>
          <cell r="CV56">
            <v>560</v>
          </cell>
          <cell r="CW56">
            <v>2240</v>
          </cell>
          <cell r="CX56" t="str">
            <v xml:space="preserve"> </v>
          </cell>
        </row>
        <row r="57">
          <cell r="CQ57" t="str">
            <v>普通工</v>
          </cell>
          <cell r="CS57" t="str">
            <v xml:space="preserve"> </v>
          </cell>
          <cell r="CT57" t="str">
            <v>工</v>
          </cell>
          <cell r="CU57">
            <v>10</v>
          </cell>
          <cell r="CV57">
            <v>530</v>
          </cell>
          <cell r="CW57">
            <v>5300</v>
          </cell>
          <cell r="CX57" t="str">
            <v>含人工整理</v>
          </cell>
        </row>
        <row r="58">
          <cell r="CQ58" t="str">
            <v>機械維護及折舊</v>
          </cell>
          <cell r="CT58" t="str">
            <v>式</v>
          </cell>
          <cell r="CU58">
            <v>1</v>
          </cell>
          <cell r="CV58" t="str">
            <v xml:space="preserve"> </v>
          </cell>
          <cell r="CW58">
            <v>3690</v>
          </cell>
          <cell r="CX58" t="str">
            <v>約油類30%</v>
          </cell>
        </row>
        <row r="59">
          <cell r="CQ59" t="str">
            <v xml:space="preserve"> </v>
          </cell>
          <cell r="CR59" t="str">
            <v xml:space="preserve"> </v>
          </cell>
          <cell r="CT59" t="str">
            <v xml:space="preserve"> </v>
          </cell>
          <cell r="CU59" t="str">
            <v>小計</v>
          </cell>
          <cell r="CV59" t="str">
            <v xml:space="preserve"> </v>
          </cell>
          <cell r="CW59">
            <v>20200</v>
          </cell>
          <cell r="CX59" t="str">
            <v>/100</v>
          </cell>
        </row>
        <row r="60">
          <cell r="CQ60" t="str">
            <v xml:space="preserve"> </v>
          </cell>
          <cell r="CR60" t="str">
            <v xml:space="preserve"> </v>
          </cell>
          <cell r="CS60" t="str">
            <v xml:space="preserve"> </v>
          </cell>
          <cell r="CT60" t="str">
            <v xml:space="preserve"> </v>
          </cell>
          <cell r="CU60" t="str">
            <v xml:space="preserve"> </v>
          </cell>
          <cell r="CV60" t="str">
            <v xml:space="preserve"> </v>
          </cell>
          <cell r="CW60" t="str">
            <v xml:space="preserve"> </v>
          </cell>
          <cell r="CX60" t="str">
            <v xml:space="preserve"> </v>
          </cell>
        </row>
        <row r="62">
          <cell r="CV62" t="str">
            <v xml:space="preserve"> </v>
          </cell>
          <cell r="CW62" t="str">
            <v xml:space="preserve"> </v>
          </cell>
          <cell r="CX62" t="str">
            <v xml:space="preserve"> </v>
          </cell>
        </row>
        <row r="66">
          <cell r="CQ66" t="str">
            <v xml:space="preserve"> </v>
          </cell>
          <cell r="CS66" t="str">
            <v xml:space="preserve"> </v>
          </cell>
          <cell r="CT66" t="str">
            <v xml:space="preserve"> </v>
          </cell>
          <cell r="CU66" t="str">
            <v xml:space="preserve"> </v>
          </cell>
        </row>
        <row r="67">
          <cell r="CQ67" t="str">
            <v xml:space="preserve"> </v>
          </cell>
          <cell r="CR67" t="str">
            <v xml:space="preserve"> </v>
          </cell>
          <cell r="CS67" t="str">
            <v xml:space="preserve"> </v>
          </cell>
          <cell r="CT67" t="str">
            <v xml:space="preserve"> </v>
          </cell>
          <cell r="CU67" t="str">
            <v xml:space="preserve"> </v>
          </cell>
          <cell r="CV67" t="str">
            <v xml:space="preserve"> </v>
          </cell>
        </row>
        <row r="69">
          <cell r="CQ69" t="str">
            <v xml:space="preserve"> </v>
          </cell>
          <cell r="CR69" t="str">
            <v>每</v>
          </cell>
          <cell r="CS69" t="str">
            <v>m3</v>
          </cell>
          <cell r="CT69" t="str">
            <v>單 價 計</v>
          </cell>
          <cell r="CV69" t="str">
            <v xml:space="preserve"> </v>
          </cell>
          <cell r="CW69">
            <v>202</v>
          </cell>
          <cell r="CX69" t="str">
            <v xml:space="preserve"> </v>
          </cell>
        </row>
        <row r="72">
          <cell r="CQ72" t="str">
            <v>編號:</v>
          </cell>
          <cell r="CR72" t="str">
            <v xml:space="preserve"> </v>
          </cell>
          <cell r="CS72" t="str">
            <v>工 程 項 目</v>
          </cell>
          <cell r="CU72" t="str">
            <v>人工挖普通土</v>
          </cell>
          <cell r="CW72" t="str">
            <v>單    位</v>
          </cell>
          <cell r="CX72" t="str">
            <v>m3</v>
          </cell>
        </row>
        <row r="73">
          <cell r="CQ73" t="str">
            <v>工   程   項   目</v>
          </cell>
          <cell r="CS73" t="str">
            <v>說 明</v>
          </cell>
          <cell r="CT73" t="str">
            <v>單 位</v>
          </cell>
          <cell r="CU73" t="str">
            <v>數  量</v>
          </cell>
          <cell r="CV73" t="str">
            <v>單   價</v>
          </cell>
          <cell r="CW73" t="str">
            <v>總    價</v>
          </cell>
          <cell r="CX73" t="str">
            <v>備    註</v>
          </cell>
        </row>
        <row r="74">
          <cell r="CQ74" t="str">
            <v>普通工</v>
          </cell>
          <cell r="CS74" t="str">
            <v xml:space="preserve"> </v>
          </cell>
          <cell r="CT74" t="str">
            <v>工</v>
          </cell>
          <cell r="CU74">
            <v>0.3</v>
          </cell>
          <cell r="CV74">
            <v>530</v>
          </cell>
          <cell r="CW74">
            <v>159</v>
          </cell>
          <cell r="CX74" t="str">
            <v xml:space="preserve"> </v>
          </cell>
        </row>
        <row r="76">
          <cell r="CQ76" t="str">
            <v>工具搬運及損耗</v>
          </cell>
          <cell r="CS76" t="str">
            <v xml:space="preserve"> </v>
          </cell>
          <cell r="CT76" t="str">
            <v>式</v>
          </cell>
          <cell r="CU76">
            <v>1</v>
          </cell>
          <cell r="CV76" t="str">
            <v xml:space="preserve"> </v>
          </cell>
          <cell r="CW76">
            <v>3</v>
          </cell>
          <cell r="CX76" t="str">
            <v>約工資部份2%</v>
          </cell>
        </row>
        <row r="78">
          <cell r="CQ78" t="str">
            <v xml:space="preserve"> </v>
          </cell>
          <cell r="CR78" t="str">
            <v xml:space="preserve"> </v>
          </cell>
          <cell r="CT78" t="str">
            <v xml:space="preserve"> </v>
          </cell>
          <cell r="CU78" t="str">
            <v>小計</v>
          </cell>
          <cell r="CV78" t="str">
            <v xml:space="preserve"> </v>
          </cell>
          <cell r="CW78">
            <v>162</v>
          </cell>
          <cell r="CX78" t="str">
            <v xml:space="preserve"> </v>
          </cell>
        </row>
        <row r="79">
          <cell r="CQ79" t="str">
            <v xml:space="preserve"> </v>
          </cell>
          <cell r="CR79" t="str">
            <v xml:space="preserve"> </v>
          </cell>
          <cell r="CS79" t="str">
            <v xml:space="preserve"> </v>
          </cell>
          <cell r="CT79" t="str">
            <v xml:space="preserve"> </v>
          </cell>
          <cell r="CU79" t="str">
            <v xml:space="preserve"> </v>
          </cell>
          <cell r="CV79" t="str">
            <v xml:space="preserve"> </v>
          </cell>
          <cell r="CW79" t="str">
            <v xml:space="preserve"> </v>
          </cell>
          <cell r="CX79" t="str">
            <v xml:space="preserve"> </v>
          </cell>
        </row>
        <row r="81">
          <cell r="CV81" t="str">
            <v xml:space="preserve"> </v>
          </cell>
          <cell r="CW81" t="str">
            <v xml:space="preserve"> </v>
          </cell>
          <cell r="CX81" t="str">
            <v xml:space="preserve"> </v>
          </cell>
        </row>
        <row r="87">
          <cell r="CQ87" t="str">
            <v xml:space="preserve"> </v>
          </cell>
          <cell r="CS87" t="str">
            <v xml:space="preserve"> </v>
          </cell>
          <cell r="CT87" t="str">
            <v xml:space="preserve"> </v>
          </cell>
          <cell r="CU87" t="str">
            <v xml:space="preserve"> </v>
          </cell>
        </row>
        <row r="88">
          <cell r="CQ88" t="str">
            <v xml:space="preserve"> </v>
          </cell>
          <cell r="CR88" t="str">
            <v xml:space="preserve"> </v>
          </cell>
          <cell r="CS88" t="str">
            <v xml:space="preserve"> </v>
          </cell>
          <cell r="CT88" t="str">
            <v xml:space="preserve"> </v>
          </cell>
          <cell r="CU88" t="str">
            <v xml:space="preserve"> </v>
          </cell>
          <cell r="CV88" t="str">
            <v xml:space="preserve"> </v>
          </cell>
        </row>
        <row r="90">
          <cell r="CQ90" t="str">
            <v xml:space="preserve"> </v>
          </cell>
          <cell r="CR90" t="str">
            <v>每</v>
          </cell>
          <cell r="CS90" t="str">
            <v>m3</v>
          </cell>
          <cell r="CT90" t="str">
            <v>單 價 計</v>
          </cell>
          <cell r="CV90" t="str">
            <v xml:space="preserve"> </v>
          </cell>
          <cell r="CW90">
            <v>162</v>
          </cell>
          <cell r="CX90" t="str">
            <v xml:space="preserve"> </v>
          </cell>
        </row>
        <row r="93">
          <cell r="CQ93" t="str">
            <v>編號:</v>
          </cell>
          <cell r="CR93" t="str">
            <v xml:space="preserve"> </v>
          </cell>
          <cell r="CS93" t="str">
            <v>工 程 項 目</v>
          </cell>
          <cell r="CU93" t="str">
            <v>人工挖軟岩</v>
          </cell>
          <cell r="CW93" t="str">
            <v>單    位</v>
          </cell>
          <cell r="CX93" t="str">
            <v>m3</v>
          </cell>
        </row>
        <row r="94">
          <cell r="CQ94" t="str">
            <v>工   程   項   目</v>
          </cell>
          <cell r="CS94" t="str">
            <v>說 明</v>
          </cell>
          <cell r="CT94" t="str">
            <v>單 位</v>
          </cell>
          <cell r="CU94" t="str">
            <v>數  量</v>
          </cell>
          <cell r="CV94" t="str">
            <v>單   價</v>
          </cell>
          <cell r="CW94" t="str">
            <v>總    價</v>
          </cell>
          <cell r="CX94" t="str">
            <v>備    註</v>
          </cell>
        </row>
        <row r="95">
          <cell r="CQ95" t="str">
            <v>普通工</v>
          </cell>
          <cell r="CS95" t="str">
            <v xml:space="preserve"> </v>
          </cell>
          <cell r="CT95" t="str">
            <v>工</v>
          </cell>
          <cell r="CU95">
            <v>0.85</v>
          </cell>
          <cell r="CV95">
            <v>530</v>
          </cell>
          <cell r="CW95">
            <v>450.5</v>
          </cell>
          <cell r="CX95" t="str">
            <v xml:space="preserve"> </v>
          </cell>
        </row>
        <row r="97">
          <cell r="CQ97" t="str">
            <v>工具搬運及損耗</v>
          </cell>
          <cell r="CS97" t="str">
            <v xml:space="preserve"> </v>
          </cell>
          <cell r="CT97" t="str">
            <v>式</v>
          </cell>
          <cell r="CU97">
            <v>1</v>
          </cell>
          <cell r="CV97" t="str">
            <v xml:space="preserve"> </v>
          </cell>
          <cell r="CW97">
            <v>8.5</v>
          </cell>
          <cell r="CX97" t="str">
            <v>約工資部份2%</v>
          </cell>
        </row>
        <row r="99">
          <cell r="CQ99" t="str">
            <v xml:space="preserve"> </v>
          </cell>
          <cell r="CR99" t="str">
            <v xml:space="preserve"> </v>
          </cell>
          <cell r="CT99" t="str">
            <v xml:space="preserve"> </v>
          </cell>
          <cell r="CU99" t="str">
            <v>小計</v>
          </cell>
          <cell r="CV99" t="str">
            <v xml:space="preserve"> </v>
          </cell>
          <cell r="CW99">
            <v>459</v>
          </cell>
          <cell r="CX99" t="str">
            <v xml:space="preserve"> </v>
          </cell>
        </row>
        <row r="100">
          <cell r="CQ100" t="str">
            <v xml:space="preserve"> </v>
          </cell>
          <cell r="CR100" t="str">
            <v xml:space="preserve"> </v>
          </cell>
          <cell r="CS100" t="str">
            <v xml:space="preserve"> </v>
          </cell>
          <cell r="CT100" t="str">
            <v xml:space="preserve"> </v>
          </cell>
          <cell r="CU100" t="str">
            <v xml:space="preserve"> </v>
          </cell>
          <cell r="CV100" t="str">
            <v xml:space="preserve"> </v>
          </cell>
          <cell r="CW100" t="str">
            <v xml:space="preserve"> </v>
          </cell>
          <cell r="CX100" t="str">
            <v xml:space="preserve"> </v>
          </cell>
        </row>
        <row r="102">
          <cell r="CV102" t="str">
            <v xml:space="preserve"> </v>
          </cell>
          <cell r="CW102" t="str">
            <v xml:space="preserve"> </v>
          </cell>
          <cell r="CX102" t="str">
            <v xml:space="preserve"> </v>
          </cell>
        </row>
        <row r="108">
          <cell r="CQ108" t="str">
            <v xml:space="preserve"> </v>
          </cell>
          <cell r="CS108" t="str">
            <v xml:space="preserve"> </v>
          </cell>
          <cell r="CT108" t="str">
            <v xml:space="preserve"> </v>
          </cell>
          <cell r="CU108" t="str">
            <v xml:space="preserve"> </v>
          </cell>
        </row>
        <row r="109">
          <cell r="CQ109" t="str">
            <v xml:space="preserve"> </v>
          </cell>
          <cell r="CR109" t="str">
            <v xml:space="preserve"> </v>
          </cell>
          <cell r="CS109" t="str">
            <v xml:space="preserve"> </v>
          </cell>
          <cell r="CT109" t="str">
            <v xml:space="preserve"> </v>
          </cell>
          <cell r="CU109" t="str">
            <v xml:space="preserve"> </v>
          </cell>
          <cell r="CV109" t="str">
            <v xml:space="preserve"> </v>
          </cell>
        </row>
        <row r="111">
          <cell r="CQ111" t="str">
            <v xml:space="preserve"> </v>
          </cell>
          <cell r="CR111" t="str">
            <v>每</v>
          </cell>
          <cell r="CS111" t="str">
            <v>m3</v>
          </cell>
          <cell r="CT111" t="str">
            <v>單 價 計</v>
          </cell>
          <cell r="CV111" t="str">
            <v xml:space="preserve"> </v>
          </cell>
          <cell r="CW111">
            <v>459</v>
          </cell>
          <cell r="CX111" t="str">
            <v xml:space="preserve"> </v>
          </cell>
        </row>
        <row r="114">
          <cell r="CQ114" t="str">
            <v>編號:</v>
          </cell>
          <cell r="CR114" t="str">
            <v xml:space="preserve"> </v>
          </cell>
          <cell r="CS114" t="str">
            <v>工 程 項 目</v>
          </cell>
          <cell r="CU114" t="str">
            <v>回填土(機械)</v>
          </cell>
          <cell r="CW114" t="str">
            <v>單    位</v>
          </cell>
          <cell r="CX114" t="str">
            <v>m3</v>
          </cell>
        </row>
        <row r="115">
          <cell r="CQ115" t="str">
            <v>工   程   項   目</v>
          </cell>
          <cell r="CS115" t="str">
            <v>說 明</v>
          </cell>
          <cell r="CT115" t="str">
            <v>單 位</v>
          </cell>
          <cell r="CU115" t="str">
            <v>數  量</v>
          </cell>
          <cell r="CV115" t="str">
            <v>單   價</v>
          </cell>
          <cell r="CW115" t="str">
            <v>總    價</v>
          </cell>
          <cell r="CX115" t="str">
            <v>備    註</v>
          </cell>
        </row>
        <row r="116">
          <cell r="CQ116" t="str">
            <v>機具費</v>
          </cell>
          <cell r="CS116" t="str">
            <v xml:space="preserve"> </v>
          </cell>
          <cell r="CT116" t="str">
            <v>時</v>
          </cell>
          <cell r="CU116">
            <v>2.5000000000000001E-2</v>
          </cell>
          <cell r="CV116">
            <v>620</v>
          </cell>
          <cell r="CW116">
            <v>15.5</v>
          </cell>
          <cell r="CX116" t="str">
            <v>含填土.整平</v>
          </cell>
        </row>
        <row r="118">
          <cell r="CQ118" t="str">
            <v>工具搬運及損耗</v>
          </cell>
          <cell r="CS118" t="str">
            <v xml:space="preserve"> </v>
          </cell>
          <cell r="CT118" t="str">
            <v>式</v>
          </cell>
          <cell r="CU118">
            <v>1</v>
          </cell>
          <cell r="CV118" t="str">
            <v xml:space="preserve"> </v>
          </cell>
          <cell r="CW118">
            <v>0.5</v>
          </cell>
          <cell r="CX118" t="str">
            <v>約機具費部份3%</v>
          </cell>
        </row>
        <row r="120">
          <cell r="CU120" t="str">
            <v>小計</v>
          </cell>
          <cell r="CV120" t="str">
            <v xml:space="preserve"> </v>
          </cell>
          <cell r="CW120">
            <v>16</v>
          </cell>
        </row>
        <row r="128">
          <cell r="CV128" t="str">
            <v xml:space="preserve"> </v>
          </cell>
          <cell r="CW128" t="str">
            <v xml:space="preserve"> </v>
          </cell>
          <cell r="CX128" t="str">
            <v xml:space="preserve"> </v>
          </cell>
        </row>
        <row r="129">
          <cell r="CQ129" t="str">
            <v xml:space="preserve"> </v>
          </cell>
          <cell r="CS129" t="str">
            <v xml:space="preserve"> </v>
          </cell>
          <cell r="CT129" t="str">
            <v xml:space="preserve"> </v>
          </cell>
          <cell r="CU129" t="str">
            <v xml:space="preserve"> </v>
          </cell>
        </row>
        <row r="130">
          <cell r="CQ130" t="str">
            <v xml:space="preserve"> </v>
          </cell>
          <cell r="CR130" t="str">
            <v xml:space="preserve"> </v>
          </cell>
          <cell r="CS130" t="str">
            <v xml:space="preserve"> </v>
          </cell>
          <cell r="CT130" t="str">
            <v xml:space="preserve"> </v>
          </cell>
          <cell r="CU130" t="str">
            <v xml:space="preserve"> </v>
          </cell>
          <cell r="CV130" t="str">
            <v xml:space="preserve"> </v>
          </cell>
        </row>
        <row r="132">
          <cell r="CQ132" t="str">
            <v xml:space="preserve"> </v>
          </cell>
          <cell r="CR132" t="str">
            <v>每</v>
          </cell>
          <cell r="CS132" t="str">
            <v>m3</v>
          </cell>
          <cell r="CT132" t="str">
            <v>單 價 計</v>
          </cell>
          <cell r="CV132" t="str">
            <v xml:space="preserve"> </v>
          </cell>
          <cell r="CW132">
            <v>16</v>
          </cell>
          <cell r="CX132" t="str">
            <v xml:space="preserve"> </v>
          </cell>
        </row>
        <row r="135">
          <cell r="CQ135" t="str">
            <v>編號:</v>
          </cell>
          <cell r="CR135" t="str">
            <v xml:space="preserve"> </v>
          </cell>
          <cell r="CS135" t="str">
            <v>工 程 項 目</v>
          </cell>
          <cell r="CU135" t="str">
            <v>回填土(人工)</v>
          </cell>
          <cell r="CW135" t="str">
            <v>單    位</v>
          </cell>
          <cell r="CX135" t="str">
            <v>m3</v>
          </cell>
        </row>
        <row r="136">
          <cell r="CQ136" t="str">
            <v>工   程   項   目</v>
          </cell>
          <cell r="CS136" t="str">
            <v>說 明</v>
          </cell>
          <cell r="CT136" t="str">
            <v>單 位</v>
          </cell>
          <cell r="CU136" t="str">
            <v>數  量</v>
          </cell>
          <cell r="CV136" t="str">
            <v>單   價</v>
          </cell>
          <cell r="CW136" t="str">
            <v>總    價</v>
          </cell>
          <cell r="CX136" t="str">
            <v>備    註</v>
          </cell>
        </row>
        <row r="137">
          <cell r="CQ137" t="str">
            <v>普通工</v>
          </cell>
          <cell r="CS137" t="str">
            <v xml:space="preserve"> </v>
          </cell>
          <cell r="CT137" t="str">
            <v>工</v>
          </cell>
          <cell r="CU137">
            <v>0.06</v>
          </cell>
          <cell r="CV137">
            <v>530</v>
          </cell>
          <cell r="CW137">
            <v>31.8</v>
          </cell>
          <cell r="CX137" t="str">
            <v>含填土.整平</v>
          </cell>
        </row>
        <row r="139">
          <cell r="CQ139" t="str">
            <v>工具搬運及損耗</v>
          </cell>
          <cell r="CS139" t="str">
            <v xml:space="preserve"> </v>
          </cell>
          <cell r="CT139" t="str">
            <v>式</v>
          </cell>
          <cell r="CU139">
            <v>1</v>
          </cell>
          <cell r="CV139" t="str">
            <v xml:space="preserve"> </v>
          </cell>
          <cell r="CW139">
            <v>1.2</v>
          </cell>
          <cell r="CX139" t="str">
            <v>約工資部份3%</v>
          </cell>
        </row>
        <row r="141">
          <cell r="CU141" t="str">
            <v>小計</v>
          </cell>
          <cell r="CV141" t="str">
            <v xml:space="preserve"> </v>
          </cell>
          <cell r="CW141">
            <v>33</v>
          </cell>
        </row>
        <row r="149">
          <cell r="CV149" t="str">
            <v xml:space="preserve"> </v>
          </cell>
          <cell r="CW149" t="str">
            <v xml:space="preserve"> </v>
          </cell>
          <cell r="CX149" t="str">
            <v xml:space="preserve"> </v>
          </cell>
        </row>
        <row r="150">
          <cell r="CQ150" t="str">
            <v xml:space="preserve"> </v>
          </cell>
          <cell r="CS150" t="str">
            <v xml:space="preserve"> </v>
          </cell>
          <cell r="CT150" t="str">
            <v xml:space="preserve"> </v>
          </cell>
          <cell r="CU150" t="str">
            <v xml:space="preserve"> </v>
          </cell>
        </row>
        <row r="151">
          <cell r="CQ151" t="str">
            <v xml:space="preserve"> </v>
          </cell>
          <cell r="CR151" t="str">
            <v xml:space="preserve"> </v>
          </cell>
          <cell r="CS151" t="str">
            <v xml:space="preserve"> </v>
          </cell>
          <cell r="CT151" t="str">
            <v xml:space="preserve"> </v>
          </cell>
          <cell r="CU151" t="str">
            <v xml:space="preserve"> </v>
          </cell>
          <cell r="CV151" t="str">
            <v xml:space="preserve"> </v>
          </cell>
        </row>
        <row r="153">
          <cell r="CQ153" t="str">
            <v xml:space="preserve"> </v>
          </cell>
          <cell r="CR153" t="str">
            <v>每</v>
          </cell>
          <cell r="CS153" t="str">
            <v>m3</v>
          </cell>
          <cell r="CT153" t="str">
            <v>單 價 計</v>
          </cell>
          <cell r="CV153" t="str">
            <v xml:space="preserve"> </v>
          </cell>
          <cell r="CW153">
            <v>33</v>
          </cell>
          <cell r="CX153" t="str">
            <v xml:space="preserve"> </v>
          </cell>
        </row>
        <row r="156">
          <cell r="CQ156" t="str">
            <v>號數:</v>
          </cell>
          <cell r="CR156" t="str">
            <v xml:space="preserve"> </v>
          </cell>
          <cell r="CS156" t="str">
            <v>工 程 項 目</v>
          </cell>
          <cell r="CU156" t="str">
            <v>機械打除混凝土</v>
          </cell>
          <cell r="CW156" t="str">
            <v>單    位</v>
          </cell>
          <cell r="CX156" t="str">
            <v>m3</v>
          </cell>
        </row>
        <row r="157">
          <cell r="CQ157" t="str">
            <v>工   程   項   目</v>
          </cell>
          <cell r="CS157" t="str">
            <v>說 明</v>
          </cell>
          <cell r="CT157" t="str">
            <v>單 位</v>
          </cell>
          <cell r="CU157" t="str">
            <v>數  量</v>
          </cell>
          <cell r="CV157" t="str">
            <v>單   價</v>
          </cell>
          <cell r="CW157" t="str">
            <v>總    價</v>
          </cell>
          <cell r="CX157" t="str">
            <v>備    註</v>
          </cell>
        </row>
        <row r="158">
          <cell r="CQ158" t="str">
            <v>破碎機</v>
          </cell>
          <cell r="CS158" t="str">
            <v xml:space="preserve"> </v>
          </cell>
          <cell r="CT158" t="str">
            <v>小時</v>
          </cell>
          <cell r="CU158">
            <v>0.3</v>
          </cell>
          <cell r="CV158">
            <v>1100</v>
          </cell>
          <cell r="CW158">
            <v>330</v>
          </cell>
        </row>
        <row r="160">
          <cell r="CQ160" t="str">
            <v>0.7m3型挖土機</v>
          </cell>
          <cell r="CS160" t="str">
            <v xml:space="preserve"> </v>
          </cell>
          <cell r="CT160" t="str">
            <v>小時</v>
          </cell>
          <cell r="CU160">
            <v>0.02</v>
          </cell>
          <cell r="CV160">
            <v>750</v>
          </cell>
          <cell r="CW160">
            <v>15</v>
          </cell>
        </row>
        <row r="162">
          <cell r="CU162" t="str">
            <v>小計</v>
          </cell>
          <cell r="CV162" t="str">
            <v xml:space="preserve"> </v>
          </cell>
          <cell r="CW162">
            <v>345</v>
          </cell>
          <cell r="CX162" t="str">
            <v xml:space="preserve"> </v>
          </cell>
        </row>
        <row r="167">
          <cell r="CQ167" t="str">
            <v xml:space="preserve"> </v>
          </cell>
          <cell r="CS167" t="str">
            <v xml:space="preserve"> </v>
          </cell>
          <cell r="CT167" t="str">
            <v xml:space="preserve"> </v>
          </cell>
          <cell r="CU167" t="str">
            <v xml:space="preserve"> </v>
          </cell>
        </row>
        <row r="169">
          <cell r="CQ169" t="str">
            <v xml:space="preserve"> </v>
          </cell>
          <cell r="CR169" t="str">
            <v xml:space="preserve"> </v>
          </cell>
          <cell r="CS169" t="str">
            <v xml:space="preserve"> </v>
          </cell>
          <cell r="CT169" t="str">
            <v xml:space="preserve"> </v>
          </cell>
          <cell r="CU169" t="str">
            <v xml:space="preserve"> </v>
          </cell>
          <cell r="CV169" t="str">
            <v xml:space="preserve"> </v>
          </cell>
          <cell r="CW169" t="str">
            <v xml:space="preserve"> </v>
          </cell>
          <cell r="CX169" t="str">
            <v xml:space="preserve"> </v>
          </cell>
        </row>
        <row r="171">
          <cell r="CQ171" t="str">
            <v xml:space="preserve"> </v>
          </cell>
          <cell r="CR171" t="str">
            <v xml:space="preserve"> </v>
          </cell>
          <cell r="CS171" t="str">
            <v xml:space="preserve"> </v>
          </cell>
          <cell r="CT171" t="str">
            <v xml:space="preserve"> </v>
          </cell>
          <cell r="CU171" t="str">
            <v xml:space="preserve"> </v>
          </cell>
          <cell r="CV171" t="str">
            <v xml:space="preserve"> </v>
          </cell>
        </row>
        <row r="172">
          <cell r="CQ172" t="str">
            <v xml:space="preserve"> </v>
          </cell>
          <cell r="CS172" t="str">
            <v xml:space="preserve"> </v>
          </cell>
          <cell r="CT172" t="str">
            <v xml:space="preserve"> </v>
          </cell>
          <cell r="CU172" t="str">
            <v xml:space="preserve"> </v>
          </cell>
        </row>
        <row r="174">
          <cell r="CQ174" t="str">
            <v xml:space="preserve"> </v>
          </cell>
          <cell r="CR174" t="str">
            <v>每</v>
          </cell>
          <cell r="CS174" t="str">
            <v>m3</v>
          </cell>
          <cell r="CT174" t="str">
            <v>單 價 計</v>
          </cell>
          <cell r="CV174" t="str">
            <v xml:space="preserve"> </v>
          </cell>
          <cell r="CW174">
            <v>345</v>
          </cell>
        </row>
        <row r="177">
          <cell r="CQ177" t="str">
            <v>編號:</v>
          </cell>
          <cell r="CR177" t="str">
            <v xml:space="preserve"> </v>
          </cell>
          <cell r="CS177" t="str">
            <v>工 程 項 目</v>
          </cell>
          <cell r="CU177" t="str">
            <v>整地</v>
          </cell>
          <cell r="CW177" t="str">
            <v>單    位</v>
          </cell>
          <cell r="CX177" t="str">
            <v>m2</v>
          </cell>
        </row>
        <row r="178">
          <cell r="CQ178" t="str">
            <v>工   程   項   目</v>
          </cell>
          <cell r="CS178" t="str">
            <v>說 明</v>
          </cell>
          <cell r="CT178" t="str">
            <v>單 位</v>
          </cell>
          <cell r="CU178" t="str">
            <v>數  量</v>
          </cell>
          <cell r="CV178" t="str">
            <v>單    價</v>
          </cell>
          <cell r="CW178" t="str">
            <v>總    價</v>
          </cell>
          <cell r="CX178" t="str">
            <v>備    註</v>
          </cell>
        </row>
        <row r="179">
          <cell r="CQ179" t="str">
            <v>普通工</v>
          </cell>
          <cell r="CS179" t="str">
            <v xml:space="preserve"> </v>
          </cell>
          <cell r="CT179" t="str">
            <v>工</v>
          </cell>
          <cell r="CU179">
            <v>0.02</v>
          </cell>
          <cell r="CV179">
            <v>530</v>
          </cell>
          <cell r="CW179">
            <v>10.6</v>
          </cell>
        </row>
        <row r="181">
          <cell r="CQ181" t="str">
            <v>工具搬運及損耗</v>
          </cell>
          <cell r="CS181" t="str">
            <v xml:space="preserve"> </v>
          </cell>
          <cell r="CT181" t="str">
            <v>式</v>
          </cell>
          <cell r="CU181">
            <v>1</v>
          </cell>
          <cell r="CV181" t="str">
            <v xml:space="preserve"> </v>
          </cell>
          <cell r="CW181">
            <v>2.4</v>
          </cell>
          <cell r="CX181" t="str">
            <v>約工資部份30%</v>
          </cell>
        </row>
        <row r="183">
          <cell r="CU183" t="str">
            <v>小計</v>
          </cell>
          <cell r="CV183" t="str">
            <v xml:space="preserve"> </v>
          </cell>
          <cell r="CW183">
            <v>13</v>
          </cell>
          <cell r="CX183" t="str">
            <v xml:space="preserve"> </v>
          </cell>
        </row>
        <row r="193">
          <cell r="CQ193" t="str">
            <v xml:space="preserve"> </v>
          </cell>
          <cell r="CR193" t="str">
            <v xml:space="preserve"> </v>
          </cell>
          <cell r="CS193" t="str">
            <v xml:space="preserve"> </v>
          </cell>
          <cell r="CT193" t="str">
            <v xml:space="preserve"> </v>
          </cell>
          <cell r="CU193" t="str">
            <v xml:space="preserve"> </v>
          </cell>
          <cell r="CV193" t="str">
            <v xml:space="preserve"> </v>
          </cell>
          <cell r="CW193" t="str">
            <v xml:space="preserve"> </v>
          </cell>
          <cell r="CX193" t="str">
            <v xml:space="preserve"> </v>
          </cell>
        </row>
        <row r="195">
          <cell r="CQ195" t="str">
            <v xml:space="preserve"> </v>
          </cell>
          <cell r="CR195" t="str">
            <v>每</v>
          </cell>
          <cell r="CS195" t="str">
            <v>m2</v>
          </cell>
          <cell r="CT195" t="str">
            <v>單 價 計</v>
          </cell>
          <cell r="CV195" t="str">
            <v xml:space="preserve"> </v>
          </cell>
          <cell r="CW195">
            <v>13</v>
          </cell>
        </row>
        <row r="198">
          <cell r="CQ198" t="str">
            <v xml:space="preserve"> 號數 :   </v>
          </cell>
          <cell r="CR198">
            <v>0</v>
          </cell>
          <cell r="CS198" t="str">
            <v>工 程 項 目</v>
          </cell>
          <cell r="CU198" t="str">
            <v>AC路面刨除(5CM)</v>
          </cell>
          <cell r="CW198" t="str">
            <v>單    位</v>
          </cell>
          <cell r="CX198" t="str">
            <v>3000m2</v>
          </cell>
        </row>
        <row r="199">
          <cell r="CQ199" t="str">
            <v>工   程   項   目</v>
          </cell>
          <cell r="CS199" t="str">
            <v>說 明</v>
          </cell>
          <cell r="CT199" t="str">
            <v>單 位</v>
          </cell>
          <cell r="CU199" t="str">
            <v>數  量</v>
          </cell>
          <cell r="CV199" t="str">
            <v>單   價</v>
          </cell>
          <cell r="CW199" t="str">
            <v>總    價</v>
          </cell>
          <cell r="CX199" t="str">
            <v>備    註</v>
          </cell>
        </row>
        <row r="200">
          <cell r="CQ200" t="str">
            <v>切刨機</v>
          </cell>
          <cell r="CS200" t="str">
            <v xml:space="preserve"> </v>
          </cell>
          <cell r="CT200" t="str">
            <v>天</v>
          </cell>
          <cell r="CU200">
            <v>1</v>
          </cell>
          <cell r="CV200">
            <v>60000</v>
          </cell>
          <cell r="CW200">
            <v>60000</v>
          </cell>
        </row>
        <row r="201">
          <cell r="CQ201" t="str">
            <v>交通車</v>
          </cell>
          <cell r="CS201" t="str">
            <v xml:space="preserve"> </v>
          </cell>
          <cell r="CT201" t="str">
            <v>天</v>
          </cell>
          <cell r="CU201">
            <v>1</v>
          </cell>
          <cell r="CV201">
            <v>4000</v>
          </cell>
          <cell r="CW201">
            <v>4000</v>
          </cell>
        </row>
        <row r="202">
          <cell r="CQ202" t="str">
            <v>機械搬運</v>
          </cell>
          <cell r="CS202" t="str">
            <v xml:space="preserve"> </v>
          </cell>
          <cell r="CT202" t="str">
            <v>式</v>
          </cell>
          <cell r="CU202">
            <v>1</v>
          </cell>
          <cell r="CV202">
            <v>10000</v>
          </cell>
          <cell r="CW202">
            <v>10000</v>
          </cell>
        </row>
        <row r="203">
          <cell r="CQ203" t="str">
            <v>一般技工</v>
          </cell>
          <cell r="CS203" t="str">
            <v xml:space="preserve"> </v>
          </cell>
          <cell r="CT203" t="str">
            <v>工</v>
          </cell>
          <cell r="CU203">
            <v>3</v>
          </cell>
          <cell r="CV203">
            <v>720</v>
          </cell>
          <cell r="CW203">
            <v>2160</v>
          </cell>
        </row>
        <row r="204">
          <cell r="CQ204" t="str">
            <v>普通工</v>
          </cell>
          <cell r="CR204" t="str">
            <v xml:space="preserve"> </v>
          </cell>
          <cell r="CS204" t="str">
            <v xml:space="preserve"> </v>
          </cell>
          <cell r="CT204" t="str">
            <v>工</v>
          </cell>
          <cell r="CU204">
            <v>3</v>
          </cell>
          <cell r="CV204">
            <v>530</v>
          </cell>
          <cell r="CW204">
            <v>1590</v>
          </cell>
          <cell r="CX204" t="str">
            <v xml:space="preserve"> </v>
          </cell>
        </row>
        <row r="205">
          <cell r="CQ205" t="str">
            <v>切刨刀</v>
          </cell>
          <cell r="CT205" t="str">
            <v>支</v>
          </cell>
          <cell r="CU205">
            <v>350</v>
          </cell>
          <cell r="CV205">
            <v>300</v>
          </cell>
          <cell r="CW205">
            <v>105000</v>
          </cell>
        </row>
        <row r="206">
          <cell r="CQ206" t="str">
            <v>柴油</v>
          </cell>
          <cell r="CS206" t="str">
            <v xml:space="preserve"> </v>
          </cell>
          <cell r="CT206" t="str">
            <v>加侖</v>
          </cell>
          <cell r="CU206">
            <v>66</v>
          </cell>
          <cell r="CV206">
            <v>57</v>
          </cell>
          <cell r="CW206">
            <v>3762</v>
          </cell>
          <cell r="CX206" t="str">
            <v>一加侖以四公升計算</v>
          </cell>
        </row>
        <row r="207">
          <cell r="CQ207" t="str">
            <v>廢料運棄及路面清除</v>
          </cell>
          <cell r="CT207" t="str">
            <v>m2</v>
          </cell>
          <cell r="CU207">
            <v>3000</v>
          </cell>
          <cell r="CV207">
            <v>21</v>
          </cell>
          <cell r="CW207">
            <v>63000</v>
          </cell>
        </row>
        <row r="208">
          <cell r="CQ208" t="str">
            <v>交通維護</v>
          </cell>
          <cell r="CT208" t="str">
            <v>式</v>
          </cell>
          <cell r="CU208">
            <v>1</v>
          </cell>
          <cell r="CW208">
            <v>988</v>
          </cell>
        </row>
        <row r="209">
          <cell r="CU209" t="str">
            <v>小計</v>
          </cell>
          <cell r="CV209" t="str">
            <v xml:space="preserve"> </v>
          </cell>
          <cell r="CW209">
            <v>250500</v>
          </cell>
          <cell r="CX209" t="str">
            <v xml:space="preserve"> /3000</v>
          </cell>
        </row>
        <row r="213">
          <cell r="CQ213" t="str">
            <v xml:space="preserve"> </v>
          </cell>
          <cell r="CR213" t="str">
            <v xml:space="preserve"> </v>
          </cell>
          <cell r="CS213" t="str">
            <v xml:space="preserve"> </v>
          </cell>
          <cell r="CT213" t="str">
            <v xml:space="preserve"> </v>
          </cell>
          <cell r="CU213" t="str">
            <v xml:space="preserve"> </v>
          </cell>
          <cell r="CV213" t="str">
            <v xml:space="preserve"> </v>
          </cell>
        </row>
        <row r="215">
          <cell r="CQ215" t="str">
            <v xml:space="preserve"> </v>
          </cell>
          <cell r="CS215" t="str">
            <v xml:space="preserve"> </v>
          </cell>
          <cell r="CT215" t="str">
            <v xml:space="preserve"> </v>
          </cell>
        </row>
        <row r="216">
          <cell r="CQ216" t="str">
            <v xml:space="preserve"> </v>
          </cell>
          <cell r="CR216" t="str">
            <v>每</v>
          </cell>
          <cell r="CS216" t="str">
            <v>m2</v>
          </cell>
          <cell r="CT216" t="str">
            <v>單 價 計</v>
          </cell>
          <cell r="CV216" t="str">
            <v xml:space="preserve"> </v>
          </cell>
          <cell r="CW216">
            <v>83.5</v>
          </cell>
        </row>
        <row r="219">
          <cell r="CQ219" t="str">
            <v xml:space="preserve"> 號數 :  </v>
          </cell>
          <cell r="CR219">
            <v>0</v>
          </cell>
          <cell r="CS219" t="str">
            <v>工 程 項 目</v>
          </cell>
          <cell r="CU219" t="str">
            <v>造型模板製作及裝拆</v>
          </cell>
          <cell r="CW219" t="str">
            <v>單    位</v>
          </cell>
          <cell r="CX219" t="str">
            <v></v>
          </cell>
        </row>
        <row r="220">
          <cell r="CQ220" t="str">
            <v>工   程   項   目</v>
          </cell>
          <cell r="CS220" t="str">
            <v>說 明</v>
          </cell>
          <cell r="CT220" t="str">
            <v>單 位</v>
          </cell>
          <cell r="CU220" t="str">
            <v>數  量</v>
          </cell>
          <cell r="CV220" t="str">
            <v>單   價</v>
          </cell>
          <cell r="CW220" t="str">
            <v>總    價</v>
          </cell>
          <cell r="CX220" t="str">
            <v>備    註</v>
          </cell>
        </row>
        <row r="221">
          <cell r="CQ221" t="str">
            <v xml:space="preserve">造型模板              </v>
          </cell>
          <cell r="CS221" t="str">
            <v xml:space="preserve"> </v>
          </cell>
          <cell r="CT221" t="str">
            <v></v>
          </cell>
          <cell r="CU221">
            <v>1</v>
          </cell>
          <cell r="CV221">
            <v>280</v>
          </cell>
          <cell r="CW221">
            <v>280</v>
          </cell>
          <cell r="CX221" t="str">
            <v>使用6-8次</v>
          </cell>
        </row>
        <row r="223">
          <cell r="CQ223" t="str">
            <v>普通工</v>
          </cell>
          <cell r="CT223" t="str">
            <v>工</v>
          </cell>
          <cell r="CU223">
            <v>0.04</v>
          </cell>
          <cell r="CV223">
            <v>530</v>
          </cell>
          <cell r="CW223">
            <v>21.2</v>
          </cell>
        </row>
        <row r="225">
          <cell r="CQ225" t="str">
            <v>支撐料</v>
          </cell>
          <cell r="CS225" t="str">
            <v xml:space="preserve"> </v>
          </cell>
          <cell r="CT225" t="str">
            <v>式</v>
          </cell>
          <cell r="CU225">
            <v>1</v>
          </cell>
          <cell r="CV225">
            <v>0.8</v>
          </cell>
          <cell r="CW225">
            <v>0.8</v>
          </cell>
        </row>
        <row r="229">
          <cell r="CU229" t="str">
            <v>小計</v>
          </cell>
          <cell r="CV229" t="str">
            <v xml:space="preserve"> </v>
          </cell>
          <cell r="CW229">
            <v>302</v>
          </cell>
        </row>
        <row r="232">
          <cell r="CX232" t="str">
            <v xml:space="preserve"> </v>
          </cell>
        </row>
        <row r="236">
          <cell r="CS236" t="str">
            <v xml:space="preserve"> </v>
          </cell>
          <cell r="CT236" t="str">
            <v xml:space="preserve"> </v>
          </cell>
          <cell r="CU236" t="str">
            <v xml:space="preserve"> </v>
          </cell>
          <cell r="CV236" t="str">
            <v xml:space="preserve"> </v>
          </cell>
        </row>
        <row r="237">
          <cell r="CQ237" t="str">
            <v xml:space="preserve"> </v>
          </cell>
          <cell r="CR237" t="str">
            <v>每</v>
          </cell>
          <cell r="CS237" t="str">
            <v></v>
          </cell>
          <cell r="CT237" t="str">
            <v>單 價 計</v>
          </cell>
          <cell r="CV237" t="str">
            <v xml:space="preserve"> </v>
          </cell>
          <cell r="CW237">
            <v>302</v>
          </cell>
        </row>
        <row r="282">
          <cell r="CQ282" t="str">
            <v>編號:</v>
          </cell>
          <cell r="CR282" t="str">
            <v xml:space="preserve"> </v>
          </cell>
          <cell r="CS282" t="str">
            <v>工 程 項 目</v>
          </cell>
          <cell r="CU282" t="str">
            <v>填天然級配料</v>
          </cell>
          <cell r="CW282" t="str">
            <v xml:space="preserve">  單    位</v>
          </cell>
          <cell r="CX282" t="str">
            <v>m3</v>
          </cell>
        </row>
        <row r="283">
          <cell r="CQ283" t="str">
            <v xml:space="preserve"> 工   程   項   目</v>
          </cell>
          <cell r="CS283" t="str">
            <v xml:space="preserve"> 說 明</v>
          </cell>
          <cell r="CT283" t="str">
            <v xml:space="preserve"> 單 位</v>
          </cell>
          <cell r="CU283" t="str">
            <v xml:space="preserve"> 數  量</v>
          </cell>
          <cell r="CV283" t="str">
            <v xml:space="preserve">  單  價</v>
          </cell>
          <cell r="CW283" t="str">
            <v xml:space="preserve">  總    價 </v>
          </cell>
          <cell r="CX283" t="str">
            <v>備    註</v>
          </cell>
        </row>
        <row r="284">
          <cell r="CQ284" t="str">
            <v>天然級配</v>
          </cell>
          <cell r="CT284" t="str">
            <v>m3</v>
          </cell>
          <cell r="CU284">
            <v>1</v>
          </cell>
          <cell r="CV284">
            <v>253</v>
          </cell>
          <cell r="CW284">
            <v>253</v>
          </cell>
        </row>
        <row r="286">
          <cell r="CQ286" t="str">
            <v>普通工</v>
          </cell>
          <cell r="CS286" t="str">
            <v xml:space="preserve"> </v>
          </cell>
          <cell r="CT286" t="str">
            <v>工</v>
          </cell>
          <cell r="CU286">
            <v>0.06</v>
          </cell>
          <cell r="CV286">
            <v>530</v>
          </cell>
          <cell r="CW286">
            <v>31.8</v>
          </cell>
          <cell r="CX286" t="str">
            <v xml:space="preserve"> </v>
          </cell>
        </row>
        <row r="288">
          <cell r="CQ288" t="str">
            <v>工具搬運及損耗</v>
          </cell>
          <cell r="CS288" t="str">
            <v xml:space="preserve"> </v>
          </cell>
          <cell r="CT288" t="str">
            <v>式</v>
          </cell>
          <cell r="CU288">
            <v>1</v>
          </cell>
          <cell r="CV288" t="str">
            <v xml:space="preserve"> </v>
          </cell>
          <cell r="CW288">
            <v>1.2</v>
          </cell>
          <cell r="CX288" t="str">
            <v>約工資部份3%</v>
          </cell>
        </row>
        <row r="290">
          <cell r="CU290" t="str">
            <v>小計</v>
          </cell>
          <cell r="CV290" t="str">
            <v xml:space="preserve"> </v>
          </cell>
          <cell r="CW290">
            <v>286</v>
          </cell>
        </row>
        <row r="298">
          <cell r="CV298" t="str">
            <v xml:space="preserve"> </v>
          </cell>
          <cell r="CW298" t="str">
            <v xml:space="preserve"> </v>
          </cell>
          <cell r="CX298" t="str">
            <v xml:space="preserve"> </v>
          </cell>
        </row>
        <row r="299">
          <cell r="CQ299" t="str">
            <v xml:space="preserve"> </v>
          </cell>
          <cell r="CS299" t="str">
            <v xml:space="preserve"> </v>
          </cell>
          <cell r="CT299" t="str">
            <v xml:space="preserve"> </v>
          </cell>
          <cell r="CU299" t="str">
            <v xml:space="preserve"> </v>
          </cell>
        </row>
        <row r="300">
          <cell r="CQ300" t="str">
            <v xml:space="preserve"> </v>
          </cell>
          <cell r="CR300" t="str">
            <v>每</v>
          </cell>
          <cell r="CS300" t="str">
            <v>m3</v>
          </cell>
          <cell r="CT300" t="str">
            <v>單 價 計</v>
          </cell>
          <cell r="CV300" t="str">
            <v xml:space="preserve"> </v>
          </cell>
          <cell r="CW300">
            <v>286</v>
          </cell>
          <cell r="CX300" t="str">
            <v xml:space="preserve"> </v>
          </cell>
        </row>
        <row r="303">
          <cell r="CQ303" t="str">
            <v>號數10</v>
          </cell>
          <cell r="CR303" t="str">
            <v xml:space="preserve"> </v>
          </cell>
          <cell r="CS303" t="str">
            <v>工 程 項 目</v>
          </cell>
          <cell r="CU303" t="str">
            <v>碎石級配料底層舖壓(t=20cm)</v>
          </cell>
          <cell r="CW303" t="str">
            <v>單    位</v>
          </cell>
          <cell r="CX303" t="str">
            <v>100m2</v>
          </cell>
        </row>
        <row r="304">
          <cell r="CQ304" t="str">
            <v>工   程   項   目</v>
          </cell>
          <cell r="CS304" t="str">
            <v>說 明</v>
          </cell>
          <cell r="CT304" t="str">
            <v>單 位</v>
          </cell>
          <cell r="CU304" t="str">
            <v>數  量</v>
          </cell>
          <cell r="CV304" t="str">
            <v>單   價</v>
          </cell>
          <cell r="CW304" t="str">
            <v>總    價</v>
          </cell>
          <cell r="CX304" t="str">
            <v>備    註</v>
          </cell>
        </row>
        <row r="305">
          <cell r="CQ305" t="str">
            <v>普通工</v>
          </cell>
          <cell r="CS305" t="str">
            <v xml:space="preserve"> </v>
          </cell>
          <cell r="CT305" t="str">
            <v>工</v>
          </cell>
          <cell r="CU305">
            <v>0.1</v>
          </cell>
          <cell r="CV305">
            <v>530</v>
          </cell>
          <cell r="CW305">
            <v>53</v>
          </cell>
        </row>
        <row r="307">
          <cell r="CQ307" t="str">
            <v>碎石級配</v>
          </cell>
          <cell r="CS307" t="str">
            <v>20cm厚</v>
          </cell>
          <cell r="CT307" t="str">
            <v>m3</v>
          </cell>
          <cell r="CU307">
            <v>25</v>
          </cell>
          <cell r="CV307">
            <v>303</v>
          </cell>
          <cell r="CW307">
            <v>7575</v>
          </cell>
          <cell r="CX307" t="str">
            <v>20*1.25=25</v>
          </cell>
        </row>
        <row r="309">
          <cell r="CQ309" t="str">
            <v>平路機</v>
          </cell>
          <cell r="CS309" t="str">
            <v xml:space="preserve"> </v>
          </cell>
          <cell r="CT309" t="str">
            <v>hr</v>
          </cell>
          <cell r="CU309">
            <v>0.3</v>
          </cell>
          <cell r="CV309">
            <v>700</v>
          </cell>
          <cell r="CW309">
            <v>210</v>
          </cell>
          <cell r="CX309" t="str">
            <v>(推土機)</v>
          </cell>
        </row>
        <row r="311">
          <cell r="CQ311" t="str">
            <v>灑水車</v>
          </cell>
          <cell r="CS311" t="str">
            <v xml:space="preserve"> </v>
          </cell>
          <cell r="CT311" t="str">
            <v>hr</v>
          </cell>
          <cell r="CU311">
            <v>0.25</v>
          </cell>
          <cell r="CV311">
            <v>500</v>
          </cell>
          <cell r="CW311">
            <v>125</v>
          </cell>
          <cell r="CX311" t="str">
            <v>包括抽水機</v>
          </cell>
        </row>
        <row r="312">
          <cell r="CQ312" t="str">
            <v xml:space="preserve"> </v>
          </cell>
          <cell r="CS312" t="str">
            <v xml:space="preserve"> </v>
          </cell>
          <cell r="CT312" t="str">
            <v xml:space="preserve"> </v>
          </cell>
          <cell r="CU312" t="str">
            <v xml:space="preserve"> </v>
          </cell>
        </row>
        <row r="313">
          <cell r="CQ313" t="str">
            <v>10~15T壓路機</v>
          </cell>
          <cell r="CS313" t="str">
            <v xml:space="preserve"> </v>
          </cell>
          <cell r="CT313" t="str">
            <v>hr</v>
          </cell>
          <cell r="CU313">
            <v>0.38</v>
          </cell>
          <cell r="CV313">
            <v>670</v>
          </cell>
          <cell r="CW313">
            <v>254.6</v>
          </cell>
        </row>
        <row r="315">
          <cell r="CQ315" t="str">
            <v>工具搬運及損耗</v>
          </cell>
          <cell r="CS315" t="str">
            <v xml:space="preserve"> </v>
          </cell>
          <cell r="CT315" t="str">
            <v>式</v>
          </cell>
          <cell r="CU315">
            <v>1</v>
          </cell>
          <cell r="CV315" t="str">
            <v xml:space="preserve"> </v>
          </cell>
          <cell r="CW315">
            <v>1.06</v>
          </cell>
          <cell r="CX315" t="str">
            <v>約工資部份2%</v>
          </cell>
        </row>
        <row r="317">
          <cell r="CQ317" t="str">
            <v xml:space="preserve"> </v>
          </cell>
          <cell r="CS317" t="str">
            <v xml:space="preserve"> </v>
          </cell>
          <cell r="CT317" t="str">
            <v xml:space="preserve"> </v>
          </cell>
          <cell r="CU317" t="str">
            <v>計</v>
          </cell>
          <cell r="CV317" t="str">
            <v xml:space="preserve"> </v>
          </cell>
          <cell r="CW317">
            <v>8218.66</v>
          </cell>
          <cell r="CX317" t="str">
            <v xml:space="preserve"> /100</v>
          </cell>
        </row>
        <row r="321">
          <cell r="CQ321" t="str">
            <v xml:space="preserve"> </v>
          </cell>
          <cell r="CR321" t="str">
            <v>每</v>
          </cell>
          <cell r="CS321" t="str">
            <v>m2</v>
          </cell>
          <cell r="CT321" t="str">
            <v>單 價 計</v>
          </cell>
          <cell r="CV321" t="str">
            <v xml:space="preserve"> </v>
          </cell>
          <cell r="CW321">
            <v>82.19</v>
          </cell>
        </row>
        <row r="324">
          <cell r="CQ324" t="str">
            <v>號數:</v>
          </cell>
          <cell r="CR324" t="str">
            <v xml:space="preserve"> </v>
          </cell>
          <cell r="CS324" t="str">
            <v>工  程  項  目</v>
          </cell>
          <cell r="CU324" t="str">
            <v>瀝青混凝土面層(厚t=5cm)</v>
          </cell>
          <cell r="CW324" t="str">
            <v xml:space="preserve">  單    位</v>
          </cell>
          <cell r="CX324" t="str">
            <v>100m2</v>
          </cell>
        </row>
        <row r="325">
          <cell r="CQ325" t="str">
            <v xml:space="preserve"> 工   程   項   目</v>
          </cell>
          <cell r="CS325" t="str">
            <v xml:space="preserve"> 說 明</v>
          </cell>
          <cell r="CT325" t="str">
            <v xml:space="preserve"> 單 位</v>
          </cell>
          <cell r="CU325" t="str">
            <v xml:space="preserve"> 數  量</v>
          </cell>
          <cell r="CV325" t="str">
            <v xml:space="preserve">  單  價</v>
          </cell>
          <cell r="CW325" t="str">
            <v xml:space="preserve">  總    價 </v>
          </cell>
        </row>
        <row r="326">
          <cell r="CQ326" t="str">
            <v>一般技工</v>
          </cell>
          <cell r="CS326" t="str">
            <v xml:space="preserve"> </v>
          </cell>
          <cell r="CT326" t="str">
            <v>工</v>
          </cell>
          <cell r="CU326">
            <v>0.35</v>
          </cell>
          <cell r="CV326">
            <v>720</v>
          </cell>
          <cell r="CW326">
            <v>252</v>
          </cell>
        </row>
        <row r="327">
          <cell r="CQ327" t="str">
            <v>普通工</v>
          </cell>
          <cell r="CS327" t="str">
            <v xml:space="preserve"> </v>
          </cell>
          <cell r="CT327" t="str">
            <v>工</v>
          </cell>
          <cell r="CU327">
            <v>0.6</v>
          </cell>
          <cell r="CV327">
            <v>530</v>
          </cell>
          <cell r="CW327">
            <v>318</v>
          </cell>
        </row>
        <row r="328">
          <cell r="CQ328" t="str">
            <v>工具搬運及損耗</v>
          </cell>
          <cell r="CS328" t="str">
            <v xml:space="preserve"> </v>
          </cell>
          <cell r="CT328" t="str">
            <v>式</v>
          </cell>
          <cell r="CU328">
            <v>1</v>
          </cell>
          <cell r="CV328" t="str">
            <v xml:space="preserve"> </v>
          </cell>
          <cell r="CW328">
            <v>17.25</v>
          </cell>
          <cell r="CX328" t="str">
            <v>約工資部份3%</v>
          </cell>
        </row>
        <row r="329">
          <cell r="CQ329" t="str">
            <v>輕柴油</v>
          </cell>
          <cell r="CS329" t="str">
            <v xml:space="preserve"> </v>
          </cell>
          <cell r="CT329" t="str">
            <v>公升</v>
          </cell>
          <cell r="CU329">
            <v>1</v>
          </cell>
          <cell r="CV329">
            <v>14.25</v>
          </cell>
          <cell r="CW329">
            <v>14.25</v>
          </cell>
          <cell r="CX329" t="str">
            <v xml:space="preserve"> </v>
          </cell>
        </row>
        <row r="330">
          <cell r="CQ330" t="str">
            <v>瀝青混凝土舖裝機</v>
          </cell>
          <cell r="CS330" t="str">
            <v xml:space="preserve"> </v>
          </cell>
          <cell r="CT330" t="str">
            <v>小時</v>
          </cell>
          <cell r="CU330">
            <v>0.35</v>
          </cell>
          <cell r="CV330">
            <v>1300</v>
          </cell>
          <cell r="CW330">
            <v>455</v>
          </cell>
          <cell r="CX330" t="str">
            <v xml:space="preserve"> </v>
          </cell>
        </row>
        <row r="331">
          <cell r="CQ331" t="str">
            <v>12T壓路機</v>
          </cell>
          <cell r="CS331" t="str">
            <v xml:space="preserve"> </v>
          </cell>
          <cell r="CT331" t="str">
            <v>小時</v>
          </cell>
          <cell r="CU331">
            <v>0.35</v>
          </cell>
          <cell r="CV331">
            <v>850</v>
          </cell>
          <cell r="CW331">
            <v>297.5</v>
          </cell>
          <cell r="CX331" t="str">
            <v xml:space="preserve"> </v>
          </cell>
        </row>
        <row r="332">
          <cell r="CQ332" t="str">
            <v>6-8T壓路機</v>
          </cell>
          <cell r="CR332" t="str">
            <v xml:space="preserve"> </v>
          </cell>
          <cell r="CS332" t="str">
            <v xml:space="preserve"> </v>
          </cell>
          <cell r="CT332" t="str">
            <v>小時</v>
          </cell>
          <cell r="CU332">
            <v>0.35</v>
          </cell>
          <cell r="CV332">
            <v>850</v>
          </cell>
          <cell r="CW332">
            <v>297.5</v>
          </cell>
        </row>
        <row r="333">
          <cell r="CQ333" t="str">
            <v>膠輪壓路機</v>
          </cell>
          <cell r="CR333" t="str">
            <v xml:space="preserve"> </v>
          </cell>
          <cell r="CS333" t="str">
            <v xml:space="preserve"> </v>
          </cell>
          <cell r="CT333" t="str">
            <v>小時</v>
          </cell>
          <cell r="CU333">
            <v>0.35</v>
          </cell>
          <cell r="CV333">
            <v>760</v>
          </cell>
          <cell r="CW333">
            <v>266</v>
          </cell>
        </row>
        <row r="334">
          <cell r="CQ334" t="str">
            <v>拌合料</v>
          </cell>
          <cell r="CS334" t="str">
            <v xml:space="preserve"> </v>
          </cell>
          <cell r="CT334" t="str">
            <v>m3</v>
          </cell>
          <cell r="CU334">
            <v>5</v>
          </cell>
          <cell r="CV334">
            <v>2185</v>
          </cell>
          <cell r="CW334">
            <v>10925</v>
          </cell>
          <cell r="CX334" t="str">
            <v xml:space="preserve"> </v>
          </cell>
        </row>
        <row r="335">
          <cell r="CQ335" t="str">
            <v>拌合料運費</v>
          </cell>
          <cell r="CS335" t="str">
            <v xml:space="preserve"> </v>
          </cell>
          <cell r="CT335" t="str">
            <v>m3</v>
          </cell>
          <cell r="CU335">
            <v>5</v>
          </cell>
          <cell r="CV335">
            <v>149.5</v>
          </cell>
          <cell r="CW335">
            <v>747.5</v>
          </cell>
          <cell r="CX335" t="str">
            <v xml:space="preserve"> </v>
          </cell>
        </row>
        <row r="336">
          <cell r="CX336" t="str">
            <v xml:space="preserve"> </v>
          </cell>
        </row>
        <row r="337">
          <cell r="CU337" t="str">
            <v>計</v>
          </cell>
          <cell r="CV337" t="str">
            <v xml:space="preserve"> </v>
          </cell>
          <cell r="CW337">
            <v>13590</v>
          </cell>
          <cell r="CX337" t="str">
            <v xml:space="preserve"> /100</v>
          </cell>
        </row>
        <row r="338">
          <cell r="CX338" t="str">
            <v xml:space="preserve"> </v>
          </cell>
        </row>
        <row r="340">
          <cell r="CX340" t="str">
            <v xml:space="preserve"> </v>
          </cell>
        </row>
        <row r="342">
          <cell r="CQ342" t="str">
            <v xml:space="preserve"> </v>
          </cell>
          <cell r="CR342" t="str">
            <v>每</v>
          </cell>
          <cell r="CS342" t="str">
            <v>m2</v>
          </cell>
          <cell r="CT342" t="str">
            <v>單 價 計</v>
          </cell>
          <cell r="CV342" t="str">
            <v xml:space="preserve"> </v>
          </cell>
          <cell r="CW342">
            <v>135.9</v>
          </cell>
          <cell r="CX342" t="str">
            <v xml:space="preserve"> </v>
          </cell>
        </row>
        <row r="345">
          <cell r="CQ345" t="str">
            <v>號數:</v>
          </cell>
          <cell r="CR345" t="str">
            <v xml:space="preserve"> </v>
          </cell>
          <cell r="CS345" t="str">
            <v>工  程  項  目</v>
          </cell>
          <cell r="CU345" t="str">
            <v>透層(人工)</v>
          </cell>
          <cell r="CW345" t="str">
            <v xml:space="preserve">  單    位</v>
          </cell>
          <cell r="CX345" t="str">
            <v>100m2</v>
          </cell>
        </row>
        <row r="346">
          <cell r="CQ346" t="str">
            <v xml:space="preserve"> 工   程   項   目</v>
          </cell>
          <cell r="CS346" t="str">
            <v xml:space="preserve"> 說 明</v>
          </cell>
          <cell r="CT346" t="str">
            <v xml:space="preserve"> 單 位</v>
          </cell>
          <cell r="CU346" t="str">
            <v xml:space="preserve"> 數  量</v>
          </cell>
          <cell r="CV346" t="str">
            <v xml:space="preserve">  單  價</v>
          </cell>
          <cell r="CW346" t="str">
            <v xml:space="preserve">  總    價 </v>
          </cell>
          <cell r="CX346" t="str">
            <v>備    註</v>
          </cell>
        </row>
        <row r="347">
          <cell r="CQ347" t="str">
            <v>一般技工</v>
          </cell>
          <cell r="CS347" t="str">
            <v xml:space="preserve"> </v>
          </cell>
          <cell r="CT347" t="str">
            <v>工</v>
          </cell>
          <cell r="CU347">
            <v>0.15</v>
          </cell>
          <cell r="CV347">
            <v>720</v>
          </cell>
          <cell r="CW347">
            <v>108</v>
          </cell>
        </row>
        <row r="349">
          <cell r="CQ349" t="str">
            <v>普通工</v>
          </cell>
          <cell r="CS349" t="str">
            <v xml:space="preserve"> </v>
          </cell>
          <cell r="CT349" t="str">
            <v>工</v>
          </cell>
          <cell r="CU349">
            <v>0.8</v>
          </cell>
          <cell r="CV349">
            <v>530</v>
          </cell>
          <cell r="CW349">
            <v>424</v>
          </cell>
        </row>
        <row r="351">
          <cell r="CQ351" t="str">
            <v>工具搬運及損耗</v>
          </cell>
          <cell r="CS351" t="str">
            <v xml:space="preserve"> </v>
          </cell>
          <cell r="CT351" t="str">
            <v>式</v>
          </cell>
          <cell r="CU351">
            <v>1</v>
          </cell>
          <cell r="CV351" t="str">
            <v xml:space="preserve"> </v>
          </cell>
          <cell r="CW351">
            <v>15</v>
          </cell>
          <cell r="CX351" t="str">
            <v>約工資部份3%</v>
          </cell>
        </row>
        <row r="353">
          <cell r="CQ353" t="str">
            <v>燃枓</v>
          </cell>
          <cell r="CS353" t="str">
            <v>木材</v>
          </cell>
          <cell r="CT353" t="str">
            <v>公斤</v>
          </cell>
          <cell r="CU353">
            <v>10</v>
          </cell>
          <cell r="CV353">
            <v>2</v>
          </cell>
          <cell r="CW353">
            <v>20</v>
          </cell>
        </row>
        <row r="355">
          <cell r="CQ355" t="str">
            <v>瀝青 MC-1</v>
          </cell>
          <cell r="CS355" t="str">
            <v xml:space="preserve"> </v>
          </cell>
          <cell r="CT355" t="str">
            <v>公斤</v>
          </cell>
          <cell r="CU355">
            <v>90</v>
          </cell>
          <cell r="CV355">
            <v>8.6999999999999993</v>
          </cell>
          <cell r="CW355">
            <v>783</v>
          </cell>
        </row>
        <row r="357">
          <cell r="CV357" t="str">
            <v>小計</v>
          </cell>
          <cell r="CW357">
            <v>1350</v>
          </cell>
          <cell r="CX357" t="str">
            <v xml:space="preserve"> /100</v>
          </cell>
        </row>
        <row r="359">
          <cell r="CV359" t="str">
            <v xml:space="preserve"> </v>
          </cell>
          <cell r="CW359" t="str">
            <v xml:space="preserve"> </v>
          </cell>
          <cell r="CX359" t="str">
            <v xml:space="preserve"> </v>
          </cell>
        </row>
        <row r="360">
          <cell r="CQ360" t="str">
            <v xml:space="preserve"> </v>
          </cell>
          <cell r="CS360" t="str">
            <v xml:space="preserve"> </v>
          </cell>
          <cell r="CT360" t="str">
            <v xml:space="preserve"> </v>
          </cell>
          <cell r="CU360" t="str">
            <v xml:space="preserve"> </v>
          </cell>
        </row>
        <row r="361">
          <cell r="CQ361" t="str">
            <v xml:space="preserve"> </v>
          </cell>
          <cell r="CR361" t="str">
            <v xml:space="preserve"> </v>
          </cell>
          <cell r="CS361" t="str">
            <v xml:space="preserve"> </v>
          </cell>
          <cell r="CT361" t="str">
            <v xml:space="preserve"> </v>
          </cell>
          <cell r="CU361" t="str">
            <v xml:space="preserve"> </v>
          </cell>
          <cell r="CV361" t="str">
            <v xml:space="preserve"> </v>
          </cell>
        </row>
        <row r="363">
          <cell r="CQ363" t="str">
            <v xml:space="preserve"> </v>
          </cell>
          <cell r="CR363" t="str">
            <v>每</v>
          </cell>
          <cell r="CS363" t="str">
            <v>m2</v>
          </cell>
          <cell r="CT363" t="str">
            <v>單 價 計</v>
          </cell>
          <cell r="CV363" t="str">
            <v xml:space="preserve"> </v>
          </cell>
          <cell r="CW363">
            <v>13.5</v>
          </cell>
          <cell r="CX363" t="str">
            <v xml:space="preserve"> </v>
          </cell>
        </row>
        <row r="366">
          <cell r="CQ366" t="str">
            <v>號數:</v>
          </cell>
          <cell r="CR366" t="str">
            <v xml:space="preserve"> </v>
          </cell>
          <cell r="CS366" t="str">
            <v>工 程 項 目</v>
          </cell>
          <cell r="CU366" t="str">
            <v>路面整理</v>
          </cell>
          <cell r="CW366" t="str">
            <v>單    位</v>
          </cell>
          <cell r="CX366" t="str">
            <v>m2</v>
          </cell>
        </row>
        <row r="367">
          <cell r="CQ367" t="str">
            <v>工   程   項   目</v>
          </cell>
          <cell r="CS367" t="str">
            <v>說 明</v>
          </cell>
          <cell r="CT367" t="str">
            <v>單 位</v>
          </cell>
          <cell r="CU367" t="str">
            <v>數  量</v>
          </cell>
          <cell r="CV367" t="str">
            <v>單   價</v>
          </cell>
          <cell r="CW367" t="str">
            <v>總    價</v>
          </cell>
          <cell r="CX367" t="str">
            <v>備    註</v>
          </cell>
        </row>
        <row r="368">
          <cell r="CQ368" t="str">
            <v>普通工</v>
          </cell>
          <cell r="CS368" t="str">
            <v xml:space="preserve"> </v>
          </cell>
          <cell r="CT368" t="str">
            <v>工</v>
          </cell>
          <cell r="CU368">
            <v>0.02</v>
          </cell>
          <cell r="CV368">
            <v>530</v>
          </cell>
          <cell r="CW368">
            <v>10.6</v>
          </cell>
          <cell r="CX368" t="str">
            <v xml:space="preserve"> </v>
          </cell>
        </row>
        <row r="369">
          <cell r="CQ369" t="str">
            <v xml:space="preserve"> </v>
          </cell>
        </row>
        <row r="370">
          <cell r="CQ370" t="str">
            <v>工具損耗</v>
          </cell>
          <cell r="CS370" t="str">
            <v xml:space="preserve"> </v>
          </cell>
          <cell r="CT370" t="str">
            <v>式</v>
          </cell>
          <cell r="CU370">
            <v>1</v>
          </cell>
          <cell r="CV370" t="str">
            <v xml:space="preserve"> </v>
          </cell>
          <cell r="CW370">
            <v>0.4</v>
          </cell>
        </row>
        <row r="372">
          <cell r="CU372" t="str">
            <v>小計</v>
          </cell>
          <cell r="CV372" t="str">
            <v xml:space="preserve"> </v>
          </cell>
          <cell r="CW372">
            <v>11</v>
          </cell>
        </row>
        <row r="378">
          <cell r="CV378" t="str">
            <v xml:space="preserve"> </v>
          </cell>
          <cell r="CW378" t="str">
            <v xml:space="preserve"> </v>
          </cell>
        </row>
        <row r="379">
          <cell r="CQ379" t="str">
            <v xml:space="preserve"> </v>
          </cell>
          <cell r="CR379" t="str">
            <v xml:space="preserve"> </v>
          </cell>
          <cell r="CS379" t="str">
            <v xml:space="preserve"> </v>
          </cell>
          <cell r="CT379" t="str">
            <v xml:space="preserve"> </v>
          </cell>
          <cell r="CU379" t="str">
            <v xml:space="preserve"> </v>
          </cell>
          <cell r="CV379" t="str">
            <v xml:space="preserve"> </v>
          </cell>
          <cell r="CW379" t="str">
            <v xml:space="preserve"> </v>
          </cell>
          <cell r="CX379" t="str">
            <v xml:space="preserve"> </v>
          </cell>
        </row>
        <row r="381">
          <cell r="CQ381" t="str">
            <v xml:space="preserve"> </v>
          </cell>
          <cell r="CR381" t="str">
            <v xml:space="preserve"> </v>
          </cell>
          <cell r="CS381" t="str">
            <v xml:space="preserve"> </v>
          </cell>
          <cell r="CT381" t="str">
            <v xml:space="preserve"> </v>
          </cell>
          <cell r="CU381" t="str">
            <v xml:space="preserve"> </v>
          </cell>
          <cell r="CV381" t="str">
            <v xml:space="preserve"> </v>
          </cell>
        </row>
        <row r="383">
          <cell r="CV383" t="str">
            <v xml:space="preserve"> </v>
          </cell>
          <cell r="CW383" t="str">
            <v xml:space="preserve"> </v>
          </cell>
        </row>
        <row r="384">
          <cell r="CQ384" t="str">
            <v xml:space="preserve"> </v>
          </cell>
          <cell r="CR384" t="str">
            <v>每</v>
          </cell>
          <cell r="CS384" t="str">
            <v>m2</v>
          </cell>
          <cell r="CT384" t="str">
            <v>單 價 計</v>
          </cell>
          <cell r="CV384" t="str">
            <v xml:space="preserve"> </v>
          </cell>
          <cell r="CW384">
            <v>11</v>
          </cell>
        </row>
        <row r="534">
          <cell r="CQ534" t="str">
            <v>編號:</v>
          </cell>
          <cell r="CR534" t="str">
            <v xml:space="preserve"> </v>
          </cell>
          <cell r="CS534" t="str">
            <v>工 程 項 目</v>
          </cell>
          <cell r="CU534" t="str">
            <v>140kg/cm2預拌混凝土澆置費</v>
          </cell>
          <cell r="CW534" t="str">
            <v xml:space="preserve">  單    位</v>
          </cell>
          <cell r="CX534" t="str">
            <v>m3</v>
          </cell>
        </row>
        <row r="535">
          <cell r="CQ535" t="str">
            <v xml:space="preserve"> 工   程   項   目</v>
          </cell>
          <cell r="CS535" t="str">
            <v xml:space="preserve"> 說 明</v>
          </cell>
          <cell r="CT535" t="str">
            <v xml:space="preserve"> 單 位</v>
          </cell>
          <cell r="CU535" t="str">
            <v xml:space="preserve"> 數  量</v>
          </cell>
          <cell r="CV535" t="str">
            <v xml:space="preserve">  單  價</v>
          </cell>
          <cell r="CW535" t="str">
            <v xml:space="preserve">  總    價 </v>
          </cell>
          <cell r="CX535" t="str">
            <v>備    註</v>
          </cell>
        </row>
        <row r="536">
          <cell r="CQ536" t="str">
            <v>一般技工</v>
          </cell>
          <cell r="CS536" t="str">
            <v xml:space="preserve"> </v>
          </cell>
          <cell r="CT536" t="str">
            <v>工</v>
          </cell>
          <cell r="CU536">
            <v>0.06</v>
          </cell>
          <cell r="CV536">
            <v>720</v>
          </cell>
          <cell r="CW536">
            <v>43.2</v>
          </cell>
          <cell r="CX536" t="str">
            <v xml:space="preserve"> </v>
          </cell>
        </row>
        <row r="538">
          <cell r="CQ538" t="str">
            <v>普通工</v>
          </cell>
          <cell r="CS538" t="str">
            <v xml:space="preserve"> </v>
          </cell>
          <cell r="CT538" t="str">
            <v>工</v>
          </cell>
          <cell r="CU538">
            <v>0.18</v>
          </cell>
          <cell r="CV538">
            <v>530</v>
          </cell>
          <cell r="CW538">
            <v>95.4</v>
          </cell>
        </row>
        <row r="540">
          <cell r="CQ540" t="str">
            <v>預拌混凝土</v>
          </cell>
          <cell r="CS540" t="str">
            <v xml:space="preserve"> </v>
          </cell>
          <cell r="CT540" t="str">
            <v>m3</v>
          </cell>
          <cell r="CU540">
            <v>1</v>
          </cell>
          <cell r="CV540" t="str">
            <v xml:space="preserve"> </v>
          </cell>
          <cell r="CW540" t="str">
            <v xml:space="preserve"> </v>
          </cell>
          <cell r="CX540" t="str">
            <v>材料費另計</v>
          </cell>
        </row>
        <row r="542">
          <cell r="CQ542" t="str">
            <v>機具費(輸送設備及振動機)</v>
          </cell>
          <cell r="CT542" t="str">
            <v>式</v>
          </cell>
          <cell r="CU542">
            <v>1</v>
          </cell>
          <cell r="CV542" t="str">
            <v xml:space="preserve"> </v>
          </cell>
          <cell r="CW542">
            <v>57.25</v>
          </cell>
          <cell r="CX542" t="str">
            <v xml:space="preserve"> </v>
          </cell>
        </row>
        <row r="544">
          <cell r="CQ544" t="str">
            <v>工具搬運及損耗</v>
          </cell>
          <cell r="CS544" t="str">
            <v xml:space="preserve"> </v>
          </cell>
          <cell r="CT544" t="str">
            <v>式</v>
          </cell>
          <cell r="CU544">
            <v>1</v>
          </cell>
          <cell r="CV544" t="str">
            <v xml:space="preserve"> </v>
          </cell>
          <cell r="CW544">
            <v>4.1500000000000004</v>
          </cell>
          <cell r="CX544" t="str">
            <v>約工資部份3%</v>
          </cell>
        </row>
        <row r="545">
          <cell r="CQ545" t="str">
            <v xml:space="preserve"> </v>
          </cell>
          <cell r="CT545" t="str">
            <v xml:space="preserve"> </v>
          </cell>
          <cell r="CU545" t="str">
            <v xml:space="preserve"> </v>
          </cell>
          <cell r="CW545" t="str">
            <v xml:space="preserve"> </v>
          </cell>
        </row>
        <row r="546">
          <cell r="CQ546" t="str">
            <v xml:space="preserve"> </v>
          </cell>
          <cell r="CR546" t="str">
            <v xml:space="preserve"> </v>
          </cell>
          <cell r="CT546" t="str">
            <v xml:space="preserve"> </v>
          </cell>
          <cell r="CU546" t="str">
            <v>小計</v>
          </cell>
          <cell r="CV546" t="str">
            <v xml:space="preserve"> </v>
          </cell>
          <cell r="CW546">
            <v>200</v>
          </cell>
        </row>
        <row r="547">
          <cell r="CQ547" t="str">
            <v xml:space="preserve"> </v>
          </cell>
          <cell r="CR547" t="str">
            <v xml:space="preserve"> </v>
          </cell>
          <cell r="CS547" t="str">
            <v xml:space="preserve"> </v>
          </cell>
          <cell r="CT547" t="str">
            <v xml:space="preserve"> </v>
          </cell>
          <cell r="CU547" t="str">
            <v xml:space="preserve"> </v>
          </cell>
          <cell r="CV547" t="str">
            <v xml:space="preserve"> </v>
          </cell>
          <cell r="CW547" t="str">
            <v xml:space="preserve"> </v>
          </cell>
          <cell r="CX547" t="str">
            <v xml:space="preserve"> </v>
          </cell>
        </row>
        <row r="548">
          <cell r="CV548" t="str">
            <v xml:space="preserve"> </v>
          </cell>
          <cell r="CW548" t="str">
            <v xml:space="preserve"> </v>
          </cell>
          <cell r="CX548" t="str">
            <v xml:space="preserve"> </v>
          </cell>
        </row>
        <row r="549">
          <cell r="CQ549" t="str">
            <v xml:space="preserve"> </v>
          </cell>
          <cell r="CS549" t="str">
            <v xml:space="preserve"> </v>
          </cell>
          <cell r="CT549" t="str">
            <v xml:space="preserve"> </v>
          </cell>
          <cell r="CU549" t="str">
            <v xml:space="preserve"> </v>
          </cell>
        </row>
        <row r="550">
          <cell r="CQ550" t="str">
            <v xml:space="preserve"> </v>
          </cell>
          <cell r="CR550" t="str">
            <v xml:space="preserve"> </v>
          </cell>
          <cell r="CS550" t="str">
            <v xml:space="preserve"> </v>
          </cell>
          <cell r="CT550" t="str">
            <v xml:space="preserve"> </v>
          </cell>
          <cell r="CU550" t="str">
            <v xml:space="preserve"> </v>
          </cell>
          <cell r="CV550" t="str">
            <v xml:space="preserve"> </v>
          </cell>
        </row>
        <row r="552">
          <cell r="CQ552" t="str">
            <v xml:space="preserve"> </v>
          </cell>
          <cell r="CR552" t="str">
            <v>每</v>
          </cell>
          <cell r="CS552" t="str">
            <v>m3</v>
          </cell>
          <cell r="CT552" t="str">
            <v>單 價 計</v>
          </cell>
          <cell r="CV552" t="str">
            <v xml:space="preserve"> </v>
          </cell>
          <cell r="CW552">
            <v>200</v>
          </cell>
          <cell r="CX552" t="str">
            <v xml:space="preserve"> </v>
          </cell>
        </row>
        <row r="555">
          <cell r="CQ555" t="str">
            <v>編號:</v>
          </cell>
          <cell r="CR555" t="str">
            <v xml:space="preserve"> </v>
          </cell>
          <cell r="CS555" t="str">
            <v>工 程 項 目</v>
          </cell>
          <cell r="CU555" t="str">
            <v>175kg/cm2預拌混凝土澆置費</v>
          </cell>
          <cell r="CW555" t="str">
            <v>單    位</v>
          </cell>
          <cell r="CX555" t="str">
            <v>m3</v>
          </cell>
        </row>
        <row r="556">
          <cell r="CQ556" t="str">
            <v>工   程   項   目</v>
          </cell>
          <cell r="CS556" t="str">
            <v>說 明</v>
          </cell>
          <cell r="CT556" t="str">
            <v>單 位</v>
          </cell>
          <cell r="CU556" t="str">
            <v>數  量</v>
          </cell>
          <cell r="CV556" t="str">
            <v>單   價</v>
          </cell>
          <cell r="CW556" t="str">
            <v>總    價</v>
          </cell>
          <cell r="CX556" t="str">
            <v>備    註</v>
          </cell>
        </row>
        <row r="557">
          <cell r="CQ557" t="str">
            <v>一般技工</v>
          </cell>
          <cell r="CS557" t="str">
            <v xml:space="preserve"> </v>
          </cell>
          <cell r="CT557" t="str">
            <v>工</v>
          </cell>
          <cell r="CU557">
            <v>0.06</v>
          </cell>
          <cell r="CV557">
            <v>720</v>
          </cell>
          <cell r="CW557">
            <v>43.2</v>
          </cell>
          <cell r="CX557" t="str">
            <v xml:space="preserve"> </v>
          </cell>
        </row>
        <row r="558">
          <cell r="CU558" t="str">
            <v xml:space="preserve"> </v>
          </cell>
        </row>
        <row r="559">
          <cell r="CQ559" t="str">
            <v>普通工</v>
          </cell>
          <cell r="CS559" t="str">
            <v xml:space="preserve"> </v>
          </cell>
          <cell r="CT559" t="str">
            <v>工</v>
          </cell>
          <cell r="CU559">
            <v>0.18</v>
          </cell>
          <cell r="CV559">
            <v>530</v>
          </cell>
          <cell r="CW559">
            <v>95.4</v>
          </cell>
        </row>
        <row r="561">
          <cell r="CQ561" t="str">
            <v>預拌混凝土</v>
          </cell>
          <cell r="CS561" t="str">
            <v xml:space="preserve"> </v>
          </cell>
          <cell r="CT561" t="str">
            <v>m3</v>
          </cell>
          <cell r="CU561">
            <v>1</v>
          </cell>
          <cell r="CV561" t="str">
            <v xml:space="preserve"> </v>
          </cell>
          <cell r="CW561" t="str">
            <v xml:space="preserve"> </v>
          </cell>
          <cell r="CX561" t="str">
            <v>材料費另計</v>
          </cell>
        </row>
        <row r="563">
          <cell r="CQ563" t="str">
            <v>機具費(輸送設備及振動機)</v>
          </cell>
          <cell r="CT563" t="str">
            <v>式</v>
          </cell>
          <cell r="CU563">
            <v>1</v>
          </cell>
          <cell r="CV563" t="str">
            <v xml:space="preserve"> </v>
          </cell>
          <cell r="CW563">
            <v>57.25</v>
          </cell>
          <cell r="CX563" t="str">
            <v xml:space="preserve"> </v>
          </cell>
        </row>
        <row r="565">
          <cell r="CQ565" t="str">
            <v>工具搬運及損耗</v>
          </cell>
          <cell r="CS565" t="str">
            <v xml:space="preserve"> </v>
          </cell>
          <cell r="CT565" t="str">
            <v>式</v>
          </cell>
          <cell r="CU565">
            <v>1</v>
          </cell>
          <cell r="CV565" t="str">
            <v xml:space="preserve"> </v>
          </cell>
          <cell r="CW565">
            <v>4.1500000000000004</v>
          </cell>
          <cell r="CX565" t="str">
            <v>約工資部份3%</v>
          </cell>
        </row>
        <row r="566">
          <cell r="CQ566" t="str">
            <v xml:space="preserve"> </v>
          </cell>
          <cell r="CT566" t="str">
            <v xml:space="preserve"> </v>
          </cell>
          <cell r="CU566" t="str">
            <v xml:space="preserve"> </v>
          </cell>
          <cell r="CW566" t="str">
            <v xml:space="preserve"> </v>
          </cell>
        </row>
        <row r="567">
          <cell r="CQ567" t="str">
            <v xml:space="preserve"> </v>
          </cell>
          <cell r="CR567" t="str">
            <v xml:space="preserve"> </v>
          </cell>
          <cell r="CT567" t="str">
            <v xml:space="preserve"> </v>
          </cell>
          <cell r="CU567" t="str">
            <v>小計</v>
          </cell>
          <cell r="CV567" t="str">
            <v xml:space="preserve"> </v>
          </cell>
          <cell r="CW567">
            <v>200</v>
          </cell>
        </row>
        <row r="568">
          <cell r="CQ568" t="str">
            <v xml:space="preserve"> </v>
          </cell>
          <cell r="CR568" t="str">
            <v xml:space="preserve"> </v>
          </cell>
          <cell r="CS568" t="str">
            <v xml:space="preserve"> </v>
          </cell>
          <cell r="CT568" t="str">
            <v xml:space="preserve"> </v>
          </cell>
          <cell r="CU568" t="str">
            <v xml:space="preserve"> </v>
          </cell>
          <cell r="CV568" t="str">
            <v xml:space="preserve"> </v>
          </cell>
          <cell r="CW568" t="str">
            <v xml:space="preserve"> </v>
          </cell>
          <cell r="CX568" t="str">
            <v xml:space="preserve"> </v>
          </cell>
        </row>
        <row r="569">
          <cell r="CV569" t="str">
            <v xml:space="preserve"> </v>
          </cell>
          <cell r="CW569" t="str">
            <v xml:space="preserve"> </v>
          </cell>
          <cell r="CX569" t="str">
            <v xml:space="preserve"> </v>
          </cell>
        </row>
        <row r="570">
          <cell r="CQ570" t="str">
            <v xml:space="preserve"> </v>
          </cell>
          <cell r="CS570" t="str">
            <v xml:space="preserve"> </v>
          </cell>
          <cell r="CT570" t="str">
            <v xml:space="preserve"> </v>
          </cell>
          <cell r="CU570" t="str">
            <v xml:space="preserve"> </v>
          </cell>
        </row>
        <row r="571">
          <cell r="CQ571" t="str">
            <v xml:space="preserve"> </v>
          </cell>
          <cell r="CR571" t="str">
            <v xml:space="preserve"> </v>
          </cell>
          <cell r="CS571" t="str">
            <v xml:space="preserve"> </v>
          </cell>
          <cell r="CT571" t="str">
            <v xml:space="preserve"> </v>
          </cell>
          <cell r="CU571" t="str">
            <v xml:space="preserve"> </v>
          </cell>
          <cell r="CV571" t="str">
            <v xml:space="preserve"> </v>
          </cell>
        </row>
        <row r="573">
          <cell r="CQ573" t="str">
            <v xml:space="preserve"> </v>
          </cell>
          <cell r="CR573" t="str">
            <v>每</v>
          </cell>
          <cell r="CS573" t="str">
            <v>m3</v>
          </cell>
          <cell r="CT573" t="str">
            <v>單 價 計</v>
          </cell>
          <cell r="CV573" t="str">
            <v xml:space="preserve"> </v>
          </cell>
          <cell r="CW573">
            <v>200</v>
          </cell>
          <cell r="CX573" t="str">
            <v xml:space="preserve"> </v>
          </cell>
        </row>
        <row r="576">
          <cell r="CQ576" t="str">
            <v>編號:</v>
          </cell>
          <cell r="CR576" t="str">
            <v xml:space="preserve"> </v>
          </cell>
          <cell r="CS576" t="str">
            <v>工 程 項 目</v>
          </cell>
          <cell r="CU576" t="str">
            <v>210kg/cm2預拌混凝土澆置費</v>
          </cell>
          <cell r="CW576" t="str">
            <v>單    位</v>
          </cell>
          <cell r="CX576" t="str">
            <v>m3</v>
          </cell>
        </row>
        <row r="577">
          <cell r="CQ577" t="str">
            <v>工   程   項   目</v>
          </cell>
          <cell r="CS577" t="str">
            <v>說 明</v>
          </cell>
          <cell r="CT577" t="str">
            <v>單 位</v>
          </cell>
          <cell r="CU577" t="str">
            <v>數  量</v>
          </cell>
          <cell r="CV577" t="str">
            <v>單   價</v>
          </cell>
          <cell r="CW577" t="str">
            <v>總    價</v>
          </cell>
          <cell r="CX577" t="str">
            <v>備    註</v>
          </cell>
        </row>
        <row r="578">
          <cell r="CQ578" t="str">
            <v>一般技工</v>
          </cell>
          <cell r="CS578" t="str">
            <v xml:space="preserve"> </v>
          </cell>
          <cell r="CT578" t="str">
            <v>工</v>
          </cell>
          <cell r="CU578">
            <v>0.08</v>
          </cell>
          <cell r="CV578">
            <v>720</v>
          </cell>
          <cell r="CW578">
            <v>57.6</v>
          </cell>
        </row>
        <row r="580">
          <cell r="CQ580" t="str">
            <v>普通工</v>
          </cell>
          <cell r="CS580" t="str">
            <v xml:space="preserve"> </v>
          </cell>
          <cell r="CT580" t="str">
            <v>工</v>
          </cell>
          <cell r="CU580">
            <v>0.23</v>
          </cell>
          <cell r="CV580">
            <v>530</v>
          </cell>
          <cell r="CW580">
            <v>121.9</v>
          </cell>
        </row>
        <row r="582">
          <cell r="CQ582" t="str">
            <v>預拌混凝土</v>
          </cell>
          <cell r="CS582" t="str">
            <v xml:space="preserve"> </v>
          </cell>
          <cell r="CT582" t="str">
            <v>m3</v>
          </cell>
          <cell r="CU582">
            <v>1</v>
          </cell>
          <cell r="CV582" t="str">
            <v xml:space="preserve"> </v>
          </cell>
          <cell r="CW582" t="str">
            <v xml:space="preserve"> </v>
          </cell>
          <cell r="CX582" t="str">
            <v>材料費另計</v>
          </cell>
        </row>
        <row r="584">
          <cell r="CQ584" t="str">
            <v>機具費(輸送設備及振動機)</v>
          </cell>
          <cell r="CT584" t="str">
            <v>式</v>
          </cell>
          <cell r="CU584">
            <v>1</v>
          </cell>
          <cell r="CV584" t="str">
            <v xml:space="preserve"> </v>
          </cell>
          <cell r="CW584">
            <v>61.1</v>
          </cell>
          <cell r="CX584" t="str">
            <v xml:space="preserve"> </v>
          </cell>
        </row>
        <row r="586">
          <cell r="CQ586" t="str">
            <v>工具搬運及損耗</v>
          </cell>
          <cell r="CS586" t="str">
            <v xml:space="preserve"> </v>
          </cell>
          <cell r="CT586" t="str">
            <v>式</v>
          </cell>
          <cell r="CU586">
            <v>1</v>
          </cell>
          <cell r="CV586" t="str">
            <v xml:space="preserve"> </v>
          </cell>
          <cell r="CW586">
            <v>5.4</v>
          </cell>
          <cell r="CX586" t="str">
            <v>約工資部份3%</v>
          </cell>
        </row>
        <row r="587">
          <cell r="CQ587" t="str">
            <v xml:space="preserve"> </v>
          </cell>
          <cell r="CS587" t="str">
            <v xml:space="preserve"> </v>
          </cell>
          <cell r="CT587" t="str">
            <v xml:space="preserve"> </v>
          </cell>
          <cell r="CU587" t="str">
            <v xml:space="preserve"> </v>
          </cell>
          <cell r="CW587" t="str">
            <v xml:space="preserve"> </v>
          </cell>
        </row>
        <row r="588">
          <cell r="CQ588" t="str">
            <v xml:space="preserve"> </v>
          </cell>
          <cell r="CR588" t="str">
            <v xml:space="preserve"> </v>
          </cell>
          <cell r="CS588" t="str">
            <v xml:space="preserve"> </v>
          </cell>
          <cell r="CT588" t="str">
            <v xml:space="preserve"> </v>
          </cell>
          <cell r="CU588" t="str">
            <v>小計</v>
          </cell>
          <cell r="CV588" t="str">
            <v xml:space="preserve"> </v>
          </cell>
          <cell r="CW588">
            <v>246</v>
          </cell>
        </row>
        <row r="589">
          <cell r="CQ589" t="str">
            <v xml:space="preserve"> </v>
          </cell>
          <cell r="CR589" t="str">
            <v xml:space="preserve"> </v>
          </cell>
          <cell r="CS589" t="str">
            <v xml:space="preserve"> </v>
          </cell>
          <cell r="CT589" t="str">
            <v xml:space="preserve"> </v>
          </cell>
          <cell r="CU589" t="str">
            <v xml:space="preserve"> </v>
          </cell>
          <cell r="CV589" t="str">
            <v xml:space="preserve"> </v>
          </cell>
        </row>
        <row r="590">
          <cell r="CV590" t="str">
            <v xml:space="preserve"> </v>
          </cell>
        </row>
        <row r="591">
          <cell r="CQ591" t="str">
            <v xml:space="preserve"> </v>
          </cell>
          <cell r="CR591" t="str">
            <v xml:space="preserve"> </v>
          </cell>
          <cell r="CS591" t="str">
            <v xml:space="preserve"> </v>
          </cell>
          <cell r="CT591" t="str">
            <v xml:space="preserve"> </v>
          </cell>
          <cell r="CU591" t="str">
            <v xml:space="preserve"> </v>
          </cell>
        </row>
        <row r="592">
          <cell r="CQ592" t="str">
            <v xml:space="preserve"> </v>
          </cell>
          <cell r="CS592" t="str">
            <v xml:space="preserve"> </v>
          </cell>
          <cell r="CT592" t="str">
            <v xml:space="preserve"> </v>
          </cell>
          <cell r="CU592" t="str">
            <v xml:space="preserve"> </v>
          </cell>
          <cell r="CV592" t="str">
            <v xml:space="preserve"> </v>
          </cell>
        </row>
        <row r="594">
          <cell r="CQ594" t="str">
            <v xml:space="preserve"> </v>
          </cell>
          <cell r="CR594" t="str">
            <v>每</v>
          </cell>
          <cell r="CS594" t="str">
            <v>m3</v>
          </cell>
          <cell r="CT594" t="str">
            <v>單 價 計</v>
          </cell>
          <cell r="CV594" t="str">
            <v xml:space="preserve"> </v>
          </cell>
          <cell r="CW594">
            <v>246</v>
          </cell>
          <cell r="CX594" t="str">
            <v xml:space="preserve"> </v>
          </cell>
        </row>
        <row r="597">
          <cell r="CQ597" t="str">
            <v>號數:</v>
          </cell>
          <cell r="CR597" t="str">
            <v xml:space="preserve"> </v>
          </cell>
          <cell r="CS597" t="str">
            <v>工 程 項 目</v>
          </cell>
          <cell r="CU597" t="str">
            <v>機拌140kg/cm2混凝土</v>
          </cell>
          <cell r="CW597" t="str">
            <v xml:space="preserve">  單    位</v>
          </cell>
          <cell r="CX597" t="str">
            <v>m3</v>
          </cell>
        </row>
        <row r="598">
          <cell r="CQ598" t="str">
            <v xml:space="preserve"> 工   程   項   目</v>
          </cell>
          <cell r="CS598" t="str">
            <v xml:space="preserve"> 說 明</v>
          </cell>
          <cell r="CT598" t="str">
            <v xml:space="preserve"> 單 位</v>
          </cell>
          <cell r="CU598" t="str">
            <v xml:space="preserve"> 數  量</v>
          </cell>
          <cell r="CV598" t="str">
            <v xml:space="preserve">  單  價</v>
          </cell>
          <cell r="CW598" t="str">
            <v xml:space="preserve">  總    價 </v>
          </cell>
        </row>
        <row r="599">
          <cell r="CQ599" t="str">
            <v>淨砂</v>
          </cell>
          <cell r="CS599" t="str">
            <v xml:space="preserve"> </v>
          </cell>
          <cell r="CT599" t="str">
            <v>m3</v>
          </cell>
          <cell r="CU599">
            <v>0.45</v>
          </cell>
          <cell r="CV599">
            <v>489</v>
          </cell>
          <cell r="CW599">
            <v>220.05</v>
          </cell>
        </row>
        <row r="601">
          <cell r="CQ601" t="str">
            <v>洗石子</v>
          </cell>
          <cell r="CS601" t="str">
            <v xml:space="preserve"> </v>
          </cell>
          <cell r="CT601" t="str">
            <v>m3</v>
          </cell>
          <cell r="CU601">
            <v>0.9</v>
          </cell>
          <cell r="CV601">
            <v>346</v>
          </cell>
          <cell r="CW601">
            <v>311.39999999999998</v>
          </cell>
        </row>
        <row r="603">
          <cell r="CQ603" t="str">
            <v>柴油</v>
          </cell>
          <cell r="CT603" t="str">
            <v>公升</v>
          </cell>
          <cell r="CU603">
            <v>0.5</v>
          </cell>
          <cell r="CV603">
            <v>14.25</v>
          </cell>
          <cell r="CW603">
            <v>7.13</v>
          </cell>
        </row>
        <row r="605">
          <cell r="CQ605" t="str">
            <v>一般技工</v>
          </cell>
          <cell r="CS605" t="str">
            <v xml:space="preserve"> </v>
          </cell>
          <cell r="CT605" t="str">
            <v>工</v>
          </cell>
          <cell r="CU605">
            <v>0.1</v>
          </cell>
          <cell r="CV605">
            <v>720</v>
          </cell>
          <cell r="CW605">
            <v>72</v>
          </cell>
        </row>
        <row r="607">
          <cell r="CQ607" t="str">
            <v>普通工</v>
          </cell>
          <cell r="CS607" t="str">
            <v xml:space="preserve"> </v>
          </cell>
          <cell r="CT607" t="str">
            <v>工</v>
          </cell>
          <cell r="CU607">
            <v>0.65</v>
          </cell>
          <cell r="CV607">
            <v>530</v>
          </cell>
          <cell r="CW607">
            <v>344.5</v>
          </cell>
          <cell r="CX607" t="str">
            <v xml:space="preserve"> </v>
          </cell>
        </row>
        <row r="609">
          <cell r="CQ609" t="str">
            <v>水泥</v>
          </cell>
          <cell r="CR609" t="str">
            <v xml:space="preserve"> </v>
          </cell>
          <cell r="CS609" t="str">
            <v xml:space="preserve"> </v>
          </cell>
          <cell r="CT609" t="str">
            <v>包</v>
          </cell>
          <cell r="CU609">
            <v>4.5</v>
          </cell>
          <cell r="CV609" t="str">
            <v xml:space="preserve"> </v>
          </cell>
          <cell r="CW609" t="str">
            <v xml:space="preserve"> </v>
          </cell>
          <cell r="CX609" t="str">
            <v>材料費另計</v>
          </cell>
        </row>
        <row r="610">
          <cell r="CQ610" t="str">
            <v xml:space="preserve"> </v>
          </cell>
          <cell r="CR610" t="str">
            <v xml:space="preserve"> </v>
          </cell>
          <cell r="CS610" t="str">
            <v xml:space="preserve"> </v>
          </cell>
          <cell r="CT610" t="str">
            <v xml:space="preserve"> </v>
          </cell>
          <cell r="CU610" t="str">
            <v xml:space="preserve"> </v>
          </cell>
          <cell r="CV610" t="str">
            <v xml:space="preserve"> </v>
          </cell>
        </row>
        <row r="611">
          <cell r="CQ611" t="str">
            <v>機具費</v>
          </cell>
          <cell r="CT611" t="str">
            <v>式</v>
          </cell>
          <cell r="CU611">
            <v>1</v>
          </cell>
          <cell r="CV611" t="str">
            <v xml:space="preserve"> </v>
          </cell>
          <cell r="CW611">
            <v>71.3</v>
          </cell>
          <cell r="CX611" t="str">
            <v>約燃料費10倍</v>
          </cell>
        </row>
        <row r="613">
          <cell r="CU613" t="str">
            <v>小計</v>
          </cell>
          <cell r="CV613" t="str">
            <v xml:space="preserve"> </v>
          </cell>
          <cell r="CW613">
            <v>1026.3800000000001</v>
          </cell>
        </row>
        <row r="615">
          <cell r="CQ615" t="str">
            <v xml:space="preserve"> </v>
          </cell>
          <cell r="CR615" t="str">
            <v>每</v>
          </cell>
          <cell r="CS615" t="str">
            <v>m3</v>
          </cell>
          <cell r="CT615" t="str">
            <v>單 價 計</v>
          </cell>
          <cell r="CV615" t="str">
            <v xml:space="preserve"> </v>
          </cell>
          <cell r="CW615">
            <v>1026.3800000000001</v>
          </cell>
          <cell r="CX615" t="str">
            <v xml:space="preserve"> </v>
          </cell>
        </row>
        <row r="618">
          <cell r="CQ618" t="str">
            <v xml:space="preserve"> 號數 :  </v>
          </cell>
          <cell r="CR618">
            <v>0</v>
          </cell>
          <cell r="CS618" t="str">
            <v>工 程 項 目</v>
          </cell>
          <cell r="CU618" t="str">
            <v>排塊石</v>
          </cell>
          <cell r="CW618" t="str">
            <v>單    位</v>
          </cell>
          <cell r="CX618" t="str">
            <v></v>
          </cell>
        </row>
        <row r="619">
          <cell r="CQ619" t="str">
            <v>工   程   項   目</v>
          </cell>
          <cell r="CS619" t="str">
            <v>說 明</v>
          </cell>
          <cell r="CT619" t="str">
            <v>單 位</v>
          </cell>
          <cell r="CU619" t="str">
            <v>數  量</v>
          </cell>
          <cell r="CV619" t="str">
            <v>單   價</v>
          </cell>
          <cell r="CW619" t="str">
            <v>總    價</v>
          </cell>
          <cell r="CX619" t="str">
            <v>備    註</v>
          </cell>
        </row>
        <row r="620">
          <cell r="CQ620" t="str">
            <v>塊石</v>
          </cell>
          <cell r="CS620" t="str">
            <v>長徑約φ20cm</v>
          </cell>
          <cell r="CT620" t="str">
            <v></v>
          </cell>
          <cell r="CU620">
            <v>0.2</v>
          </cell>
          <cell r="CV620">
            <v>349</v>
          </cell>
          <cell r="CW620">
            <v>69.8</v>
          </cell>
        </row>
        <row r="621">
          <cell r="CQ621" t="str">
            <v>洗石子</v>
          </cell>
          <cell r="CS621" t="str">
            <v>填隙石子</v>
          </cell>
          <cell r="CT621" t="str">
            <v></v>
          </cell>
          <cell r="CU621">
            <v>0.06</v>
          </cell>
          <cell r="CV621">
            <v>0</v>
          </cell>
          <cell r="CW621">
            <v>0</v>
          </cell>
        </row>
        <row r="622">
          <cell r="CQ622" t="str">
            <v>一般技工</v>
          </cell>
          <cell r="CT622" t="str">
            <v>工</v>
          </cell>
          <cell r="CU622">
            <v>0.05</v>
          </cell>
          <cell r="CV622">
            <v>720</v>
          </cell>
          <cell r="CW622">
            <v>36</v>
          </cell>
        </row>
        <row r="623">
          <cell r="CQ623" t="str">
            <v>普通工</v>
          </cell>
          <cell r="CT623" t="str">
            <v>工</v>
          </cell>
          <cell r="CU623">
            <v>0.08</v>
          </cell>
          <cell r="CV623">
            <v>530</v>
          </cell>
          <cell r="CW623">
            <v>42.4</v>
          </cell>
        </row>
        <row r="624">
          <cell r="CQ624" t="str">
            <v>工具搬運及損耗</v>
          </cell>
          <cell r="CS624" t="str">
            <v>約工資之2%</v>
          </cell>
          <cell r="CT624" t="str">
            <v>式</v>
          </cell>
          <cell r="CU624">
            <v>1</v>
          </cell>
          <cell r="CV624">
            <v>1.6</v>
          </cell>
          <cell r="CW624">
            <v>1.6</v>
          </cell>
          <cell r="CX624" t="str">
            <v xml:space="preserve"> </v>
          </cell>
        </row>
        <row r="626">
          <cell r="CU626" t="str">
            <v>小計</v>
          </cell>
          <cell r="CV626" t="str">
            <v xml:space="preserve"> </v>
          </cell>
          <cell r="CW626">
            <v>149.79999999999998</v>
          </cell>
        </row>
        <row r="629">
          <cell r="CQ629" t="str">
            <v xml:space="preserve"> </v>
          </cell>
          <cell r="CS629" t="str">
            <v xml:space="preserve"> </v>
          </cell>
          <cell r="CT629" t="str">
            <v xml:space="preserve"> </v>
          </cell>
          <cell r="CU629" t="str">
            <v xml:space="preserve"> </v>
          </cell>
        </row>
        <row r="631">
          <cell r="CQ631" t="str">
            <v xml:space="preserve"> </v>
          </cell>
          <cell r="CR631" t="str">
            <v xml:space="preserve"> </v>
          </cell>
          <cell r="CS631" t="str">
            <v xml:space="preserve"> </v>
          </cell>
          <cell r="CT631" t="str">
            <v xml:space="preserve"> </v>
          </cell>
          <cell r="CU631" t="str">
            <v xml:space="preserve"> </v>
          </cell>
          <cell r="CV631" t="str">
            <v xml:space="preserve"> </v>
          </cell>
          <cell r="CW631" t="str">
            <v xml:space="preserve"> </v>
          </cell>
          <cell r="CX631" t="str">
            <v xml:space="preserve"> </v>
          </cell>
        </row>
        <row r="633">
          <cell r="CQ633" t="str">
            <v xml:space="preserve"> </v>
          </cell>
          <cell r="CR633" t="str">
            <v xml:space="preserve"> </v>
          </cell>
          <cell r="CS633" t="str">
            <v xml:space="preserve"> </v>
          </cell>
          <cell r="CT633" t="str">
            <v xml:space="preserve"> </v>
          </cell>
          <cell r="CU633" t="str">
            <v xml:space="preserve"> </v>
          </cell>
          <cell r="CV633" t="str">
            <v xml:space="preserve"> </v>
          </cell>
        </row>
        <row r="634">
          <cell r="CQ634" t="str">
            <v xml:space="preserve"> </v>
          </cell>
          <cell r="CR634" t="str">
            <v xml:space="preserve"> </v>
          </cell>
          <cell r="CS634" t="str">
            <v xml:space="preserve"> </v>
          </cell>
          <cell r="CT634" t="str">
            <v xml:space="preserve"> </v>
          </cell>
          <cell r="CU634" t="str">
            <v xml:space="preserve"> </v>
          </cell>
          <cell r="CV634" t="str">
            <v xml:space="preserve"> </v>
          </cell>
        </row>
        <row r="636">
          <cell r="CQ636" t="str">
            <v xml:space="preserve"> </v>
          </cell>
          <cell r="CR636" t="str">
            <v>每</v>
          </cell>
          <cell r="CS636" t="str">
            <v></v>
          </cell>
          <cell r="CT636" t="str">
            <v>單 價 計</v>
          </cell>
          <cell r="CV636" t="str">
            <v xml:space="preserve"> </v>
          </cell>
          <cell r="CW636">
            <v>149.79999999999998</v>
          </cell>
        </row>
        <row r="639">
          <cell r="CQ639" t="str">
            <v>號數:</v>
          </cell>
          <cell r="CR639" t="str">
            <v xml:space="preserve"> </v>
          </cell>
          <cell r="CS639" t="str">
            <v>工 程 項 目</v>
          </cell>
          <cell r="CU639" t="str">
            <v>機拌210kg/cm2混凝土</v>
          </cell>
          <cell r="CW639" t="str">
            <v xml:space="preserve">  單    位</v>
          </cell>
          <cell r="CX639" t="str">
            <v>m3</v>
          </cell>
        </row>
        <row r="640">
          <cell r="CQ640" t="str">
            <v xml:space="preserve"> 工   程   項   目</v>
          </cell>
          <cell r="CS640" t="str">
            <v xml:space="preserve"> 說 明</v>
          </cell>
          <cell r="CT640" t="str">
            <v xml:space="preserve"> 單 位</v>
          </cell>
          <cell r="CU640" t="str">
            <v xml:space="preserve"> 數  量</v>
          </cell>
          <cell r="CV640" t="str">
            <v xml:space="preserve">  單  價</v>
          </cell>
          <cell r="CW640" t="str">
            <v xml:space="preserve">  總    價 </v>
          </cell>
        </row>
        <row r="641">
          <cell r="CQ641" t="str">
            <v>淨砂</v>
          </cell>
          <cell r="CS641" t="str">
            <v xml:space="preserve"> </v>
          </cell>
          <cell r="CT641" t="str">
            <v>m3</v>
          </cell>
          <cell r="CU641">
            <v>0.43</v>
          </cell>
          <cell r="CV641">
            <v>489</v>
          </cell>
          <cell r="CW641">
            <v>210.27</v>
          </cell>
        </row>
        <row r="643">
          <cell r="CQ643" t="str">
            <v>洗石子</v>
          </cell>
          <cell r="CS643" t="str">
            <v xml:space="preserve"> </v>
          </cell>
          <cell r="CT643" t="str">
            <v>m3</v>
          </cell>
          <cell r="CU643">
            <v>0.86</v>
          </cell>
          <cell r="CV643">
            <v>346</v>
          </cell>
          <cell r="CW643">
            <v>297.56</v>
          </cell>
        </row>
        <row r="645">
          <cell r="CQ645" t="str">
            <v>柴油</v>
          </cell>
          <cell r="CT645" t="str">
            <v>公升</v>
          </cell>
          <cell r="CU645">
            <v>0.6</v>
          </cell>
          <cell r="CV645">
            <v>14.25</v>
          </cell>
          <cell r="CW645">
            <v>8.5500000000000007</v>
          </cell>
        </row>
        <row r="647">
          <cell r="CQ647" t="str">
            <v>一般技工</v>
          </cell>
          <cell r="CS647" t="str">
            <v xml:space="preserve"> </v>
          </cell>
          <cell r="CT647" t="str">
            <v>工</v>
          </cell>
          <cell r="CU647">
            <v>0.1</v>
          </cell>
          <cell r="CV647">
            <v>720</v>
          </cell>
          <cell r="CW647">
            <v>72</v>
          </cell>
        </row>
        <row r="649">
          <cell r="CQ649" t="str">
            <v>普通工</v>
          </cell>
          <cell r="CS649" t="str">
            <v xml:space="preserve"> </v>
          </cell>
          <cell r="CT649" t="str">
            <v>工</v>
          </cell>
          <cell r="CU649">
            <v>0.7</v>
          </cell>
          <cell r="CV649">
            <v>530</v>
          </cell>
          <cell r="CW649">
            <v>371</v>
          </cell>
          <cell r="CX649" t="str">
            <v xml:space="preserve"> </v>
          </cell>
        </row>
        <row r="651">
          <cell r="CQ651" t="str">
            <v>水泥</v>
          </cell>
          <cell r="CR651" t="str">
            <v xml:space="preserve"> </v>
          </cell>
          <cell r="CS651" t="str">
            <v xml:space="preserve"> </v>
          </cell>
          <cell r="CT651" t="str">
            <v>包</v>
          </cell>
          <cell r="CU651">
            <v>6.4</v>
          </cell>
          <cell r="CV651" t="str">
            <v xml:space="preserve"> </v>
          </cell>
          <cell r="CW651" t="str">
            <v xml:space="preserve"> </v>
          </cell>
          <cell r="CX651" t="str">
            <v>材料費另計</v>
          </cell>
        </row>
        <row r="652">
          <cell r="CQ652" t="str">
            <v xml:space="preserve"> </v>
          </cell>
          <cell r="CR652" t="str">
            <v xml:space="preserve"> </v>
          </cell>
          <cell r="CS652" t="str">
            <v xml:space="preserve"> </v>
          </cell>
          <cell r="CT652" t="str">
            <v xml:space="preserve"> </v>
          </cell>
          <cell r="CU652" t="str">
            <v xml:space="preserve"> </v>
          </cell>
          <cell r="CV652" t="str">
            <v xml:space="preserve"> </v>
          </cell>
        </row>
        <row r="653">
          <cell r="CQ653" t="str">
            <v>機具費</v>
          </cell>
          <cell r="CT653" t="str">
            <v>式</v>
          </cell>
          <cell r="CU653">
            <v>1</v>
          </cell>
          <cell r="CV653" t="str">
            <v xml:space="preserve"> </v>
          </cell>
          <cell r="CW653">
            <v>85.5</v>
          </cell>
          <cell r="CX653" t="str">
            <v>約燃料費10倍</v>
          </cell>
        </row>
        <row r="655">
          <cell r="CU655" t="str">
            <v>小計</v>
          </cell>
          <cell r="CV655" t="str">
            <v xml:space="preserve"> </v>
          </cell>
          <cell r="CW655">
            <v>1044.8800000000001</v>
          </cell>
        </row>
        <row r="657">
          <cell r="CQ657" t="str">
            <v xml:space="preserve"> </v>
          </cell>
          <cell r="CR657" t="str">
            <v>每</v>
          </cell>
          <cell r="CS657" t="str">
            <v>m3</v>
          </cell>
          <cell r="CT657" t="str">
            <v>單 價 計</v>
          </cell>
          <cell r="CV657" t="str">
            <v xml:space="preserve"> </v>
          </cell>
          <cell r="CW657">
            <v>1044.8800000000001</v>
          </cell>
          <cell r="CX657" t="str">
            <v xml:space="preserve"> </v>
          </cell>
        </row>
        <row r="660">
          <cell r="CQ660" t="str">
            <v>編號:</v>
          </cell>
          <cell r="CR660" t="str">
            <v xml:space="preserve"> </v>
          </cell>
          <cell r="CS660" t="str">
            <v>工 程 項 目</v>
          </cell>
          <cell r="CU660" t="str">
            <v>軀體模板製作及裝拆(裸露)</v>
          </cell>
          <cell r="CW660" t="str">
            <v>單    位</v>
          </cell>
          <cell r="CX660" t="str">
            <v>m2</v>
          </cell>
        </row>
        <row r="661">
          <cell r="CQ661" t="str">
            <v>工   程   項   目</v>
          </cell>
          <cell r="CS661" t="str">
            <v>說 明</v>
          </cell>
          <cell r="CT661" t="str">
            <v>單 位</v>
          </cell>
          <cell r="CU661" t="str">
            <v>數  量</v>
          </cell>
          <cell r="CV661" t="str">
            <v>單   價</v>
          </cell>
          <cell r="CW661" t="str">
            <v>總    價</v>
          </cell>
          <cell r="CX661" t="str">
            <v>備    註</v>
          </cell>
        </row>
        <row r="662">
          <cell r="CQ662" t="str">
            <v>板材</v>
          </cell>
          <cell r="CS662" t="str">
            <v xml:space="preserve"> </v>
          </cell>
          <cell r="CT662" t="str">
            <v>m3</v>
          </cell>
          <cell r="CU662">
            <v>0.02</v>
          </cell>
          <cell r="CV662">
            <v>2200</v>
          </cell>
          <cell r="CW662">
            <v>44</v>
          </cell>
          <cell r="CX662" t="str">
            <v>使用6-8次</v>
          </cell>
        </row>
        <row r="664">
          <cell r="CQ664" t="str">
            <v>木料(角材)</v>
          </cell>
          <cell r="CS664" t="str">
            <v xml:space="preserve"> </v>
          </cell>
          <cell r="CT664" t="str">
            <v>m3</v>
          </cell>
          <cell r="CU664">
            <v>0.03</v>
          </cell>
          <cell r="CV664">
            <v>35</v>
          </cell>
          <cell r="CW664">
            <v>1.05</v>
          </cell>
          <cell r="CX664" t="str">
            <v>使用8-10次</v>
          </cell>
        </row>
        <row r="666">
          <cell r="CQ666" t="str">
            <v>圓木</v>
          </cell>
          <cell r="CS666" t="str">
            <v>支撐</v>
          </cell>
          <cell r="CT666" t="str">
            <v>m3</v>
          </cell>
          <cell r="CU666">
            <v>2.5000000000000001E-2</v>
          </cell>
          <cell r="CV666">
            <v>1500</v>
          </cell>
          <cell r="CW666">
            <v>37.5</v>
          </cell>
          <cell r="CX666" t="str">
            <v>使用8-10次</v>
          </cell>
        </row>
        <row r="668">
          <cell r="CQ668" t="str">
            <v>鐵件</v>
          </cell>
          <cell r="CT668" t="str">
            <v>kg</v>
          </cell>
          <cell r="CU668">
            <v>0.6</v>
          </cell>
          <cell r="CV668">
            <v>20</v>
          </cell>
          <cell r="CW668">
            <v>12</v>
          </cell>
          <cell r="CX668" t="str">
            <v xml:space="preserve"> </v>
          </cell>
        </row>
        <row r="670">
          <cell r="CQ670" t="str">
            <v>一般技工</v>
          </cell>
          <cell r="CS670" t="str">
            <v>製造</v>
          </cell>
          <cell r="CT670" t="str">
            <v>工</v>
          </cell>
          <cell r="CU670">
            <v>0.215</v>
          </cell>
          <cell r="CV670">
            <v>720</v>
          </cell>
          <cell r="CW670">
            <v>154.80000000000001</v>
          </cell>
        </row>
        <row r="671">
          <cell r="CS671" t="str">
            <v>裝卸</v>
          </cell>
        </row>
        <row r="672">
          <cell r="CQ672" t="str">
            <v>普通工</v>
          </cell>
          <cell r="CT672" t="str">
            <v>工</v>
          </cell>
          <cell r="CU672">
            <v>4.4999999999999998E-2</v>
          </cell>
          <cell r="CV672">
            <v>530</v>
          </cell>
          <cell r="CW672">
            <v>23.85</v>
          </cell>
        </row>
        <row r="674">
          <cell r="CQ674" t="str">
            <v>防水夾板</v>
          </cell>
          <cell r="CS674" t="str">
            <v>3mm</v>
          </cell>
          <cell r="CT674" t="str">
            <v>m2</v>
          </cell>
          <cell r="CU674">
            <v>1</v>
          </cell>
          <cell r="CV674">
            <v>30</v>
          </cell>
          <cell r="CW674">
            <v>30</v>
          </cell>
          <cell r="CX674" t="str">
            <v>使用3次</v>
          </cell>
        </row>
        <row r="675">
          <cell r="CW675" t="str">
            <v xml:space="preserve"> </v>
          </cell>
        </row>
        <row r="676">
          <cell r="CQ676" t="str">
            <v>工具損耗及其他</v>
          </cell>
          <cell r="CS676" t="str">
            <v>塗油整理</v>
          </cell>
          <cell r="CT676" t="str">
            <v>式</v>
          </cell>
          <cell r="CU676">
            <v>1</v>
          </cell>
          <cell r="CV676" t="str">
            <v xml:space="preserve"> </v>
          </cell>
          <cell r="CW676">
            <v>2.8</v>
          </cell>
          <cell r="CX676" t="str">
            <v>約工資部份2%</v>
          </cell>
        </row>
        <row r="677">
          <cell r="CQ677" t="str">
            <v xml:space="preserve"> </v>
          </cell>
          <cell r="CR677" t="str">
            <v xml:space="preserve"> </v>
          </cell>
          <cell r="CT677" t="str">
            <v xml:space="preserve"> </v>
          </cell>
          <cell r="CU677" t="str">
            <v>小計</v>
          </cell>
          <cell r="CV677" t="str">
            <v xml:space="preserve"> </v>
          </cell>
          <cell r="CW677">
            <v>306</v>
          </cell>
        </row>
        <row r="678">
          <cell r="CQ678" t="str">
            <v xml:space="preserve"> </v>
          </cell>
          <cell r="CR678" t="str">
            <v>每</v>
          </cell>
          <cell r="CS678" t="str">
            <v>m2</v>
          </cell>
          <cell r="CT678" t="str">
            <v>單 價 計</v>
          </cell>
          <cell r="CV678" t="str">
            <v xml:space="preserve"> </v>
          </cell>
          <cell r="CW678">
            <v>306</v>
          </cell>
        </row>
        <row r="681">
          <cell r="CQ681" t="str">
            <v>編號:</v>
          </cell>
          <cell r="CR681" t="str">
            <v xml:space="preserve"> </v>
          </cell>
          <cell r="CS681" t="str">
            <v>工 程 項 目</v>
          </cell>
          <cell r="CU681" t="str">
            <v>軀體模板製作及裝拆(隱蔽)</v>
          </cell>
          <cell r="CW681" t="str">
            <v>單    位</v>
          </cell>
          <cell r="CX681" t="str">
            <v>m2</v>
          </cell>
        </row>
        <row r="682">
          <cell r="CQ682" t="str">
            <v>工   程   項   目</v>
          </cell>
          <cell r="CS682" t="str">
            <v>說 明</v>
          </cell>
          <cell r="CT682" t="str">
            <v>單 位</v>
          </cell>
          <cell r="CU682" t="str">
            <v>數  量</v>
          </cell>
          <cell r="CV682" t="str">
            <v>單   價</v>
          </cell>
          <cell r="CW682" t="str">
            <v>總    價</v>
          </cell>
          <cell r="CX682" t="str">
            <v>備    註</v>
          </cell>
        </row>
        <row r="683">
          <cell r="CQ683" t="str">
            <v>板材</v>
          </cell>
          <cell r="CS683" t="str">
            <v xml:space="preserve"> </v>
          </cell>
          <cell r="CT683" t="str">
            <v>m3</v>
          </cell>
          <cell r="CU683">
            <v>0.02</v>
          </cell>
          <cell r="CV683">
            <v>2200</v>
          </cell>
          <cell r="CW683">
            <v>44</v>
          </cell>
          <cell r="CX683" t="str">
            <v>使用6-8次</v>
          </cell>
        </row>
        <row r="685">
          <cell r="CQ685" t="str">
            <v>木料(角材)</v>
          </cell>
          <cell r="CS685" t="str">
            <v xml:space="preserve"> </v>
          </cell>
          <cell r="CT685" t="str">
            <v>m3</v>
          </cell>
          <cell r="CU685">
            <v>1.4999999999999999E-2</v>
          </cell>
          <cell r="CV685">
            <v>35</v>
          </cell>
          <cell r="CW685">
            <v>0.53</v>
          </cell>
          <cell r="CX685" t="str">
            <v>使用8-10次</v>
          </cell>
        </row>
        <row r="687">
          <cell r="CQ687" t="str">
            <v>圓木</v>
          </cell>
          <cell r="CS687" t="str">
            <v>支撐</v>
          </cell>
          <cell r="CT687" t="str">
            <v>m3</v>
          </cell>
          <cell r="CU687">
            <v>2.5000000000000001E-2</v>
          </cell>
          <cell r="CV687">
            <v>1500</v>
          </cell>
          <cell r="CW687">
            <v>37.5</v>
          </cell>
          <cell r="CX687" t="str">
            <v>使用8-10次</v>
          </cell>
        </row>
        <row r="689">
          <cell r="CQ689" t="str">
            <v>鐵件</v>
          </cell>
          <cell r="CT689" t="str">
            <v>kg</v>
          </cell>
          <cell r="CU689">
            <v>0.6</v>
          </cell>
          <cell r="CV689">
            <v>20</v>
          </cell>
          <cell r="CW689">
            <v>12</v>
          </cell>
          <cell r="CX689" t="str">
            <v>含支撐鋼筋</v>
          </cell>
        </row>
        <row r="691">
          <cell r="CQ691" t="str">
            <v>一般技工</v>
          </cell>
          <cell r="CS691" t="str">
            <v>製造</v>
          </cell>
          <cell r="CT691" t="str">
            <v>工</v>
          </cell>
          <cell r="CU691">
            <v>0.16</v>
          </cell>
          <cell r="CV691">
            <v>720</v>
          </cell>
          <cell r="CW691">
            <v>115.2</v>
          </cell>
        </row>
        <row r="692">
          <cell r="CS692" t="str">
            <v>裝卸</v>
          </cell>
        </row>
        <row r="693">
          <cell r="CQ693" t="str">
            <v>普通工</v>
          </cell>
          <cell r="CT693" t="str">
            <v>工</v>
          </cell>
          <cell r="CU693">
            <v>0.04</v>
          </cell>
          <cell r="CV693">
            <v>530</v>
          </cell>
          <cell r="CW693">
            <v>21.2</v>
          </cell>
        </row>
        <row r="695">
          <cell r="CQ695" t="str">
            <v>工具損耗及其他</v>
          </cell>
          <cell r="CS695" t="str">
            <v>塗油整理</v>
          </cell>
          <cell r="CT695" t="str">
            <v>式</v>
          </cell>
          <cell r="CU695">
            <v>1</v>
          </cell>
          <cell r="CV695" t="str">
            <v xml:space="preserve"> </v>
          </cell>
          <cell r="CW695">
            <v>2.57</v>
          </cell>
          <cell r="CX695" t="str">
            <v>約工資部份2%</v>
          </cell>
        </row>
        <row r="696">
          <cell r="CW696" t="str">
            <v xml:space="preserve"> </v>
          </cell>
        </row>
        <row r="697">
          <cell r="CU697" t="str">
            <v>小計</v>
          </cell>
          <cell r="CV697" t="str">
            <v xml:space="preserve"> </v>
          </cell>
          <cell r="CW697">
            <v>233</v>
          </cell>
        </row>
        <row r="699">
          <cell r="CQ699" t="str">
            <v xml:space="preserve"> </v>
          </cell>
          <cell r="CR699" t="str">
            <v>每</v>
          </cell>
          <cell r="CS699" t="str">
            <v>m2</v>
          </cell>
          <cell r="CT699" t="str">
            <v>單 價 計</v>
          </cell>
          <cell r="CV699" t="str">
            <v xml:space="preserve"> </v>
          </cell>
          <cell r="CW699">
            <v>233</v>
          </cell>
        </row>
        <row r="702">
          <cell r="CQ702" t="str">
            <v>號數:</v>
          </cell>
          <cell r="CR702" t="str">
            <v xml:space="preserve"> </v>
          </cell>
          <cell r="CS702" t="str">
            <v xml:space="preserve">   工  程  項  目</v>
          </cell>
          <cell r="CU702" t="str">
            <v>結構模板製作及裝拆</v>
          </cell>
          <cell r="CW702" t="str">
            <v xml:space="preserve">  單    位</v>
          </cell>
          <cell r="CX702" t="str">
            <v>m2</v>
          </cell>
        </row>
        <row r="703">
          <cell r="CQ703" t="str">
            <v>工   程   項   目</v>
          </cell>
          <cell r="CS703" t="str">
            <v xml:space="preserve"> 說 明</v>
          </cell>
          <cell r="CT703" t="str">
            <v xml:space="preserve"> 單 位</v>
          </cell>
          <cell r="CU703" t="str">
            <v xml:space="preserve"> 數  量</v>
          </cell>
          <cell r="CV703" t="str">
            <v xml:space="preserve">  單  價</v>
          </cell>
          <cell r="CW703" t="str">
            <v xml:space="preserve">  總    價 </v>
          </cell>
          <cell r="CX703" t="str">
            <v>備    註</v>
          </cell>
        </row>
        <row r="704">
          <cell r="CQ704" t="str">
            <v>板料</v>
          </cell>
          <cell r="CS704" t="str">
            <v xml:space="preserve"> </v>
          </cell>
          <cell r="CT704" t="str">
            <v>m3</v>
          </cell>
          <cell r="CU704">
            <v>2.4E-2</v>
          </cell>
          <cell r="CV704">
            <v>2200</v>
          </cell>
          <cell r="CW704">
            <v>52.8</v>
          </cell>
          <cell r="CX704" t="str">
            <v>使用6-8次</v>
          </cell>
        </row>
        <row r="706">
          <cell r="CQ706" t="str">
            <v>木料(角材)</v>
          </cell>
          <cell r="CS706" t="str">
            <v xml:space="preserve"> </v>
          </cell>
          <cell r="CT706" t="str">
            <v>m3</v>
          </cell>
          <cell r="CU706">
            <v>4.4999999999999998E-2</v>
          </cell>
          <cell r="CV706">
            <v>35</v>
          </cell>
          <cell r="CW706">
            <v>1.58</v>
          </cell>
          <cell r="CX706" t="str">
            <v>使用8-10次</v>
          </cell>
        </row>
        <row r="708">
          <cell r="CQ708" t="str">
            <v>圓木</v>
          </cell>
          <cell r="CS708" t="str">
            <v>支撐</v>
          </cell>
          <cell r="CT708" t="str">
            <v>m3</v>
          </cell>
          <cell r="CU708">
            <v>1.4999999999999999E-2</v>
          </cell>
          <cell r="CV708">
            <v>1500</v>
          </cell>
          <cell r="CW708">
            <v>22.5</v>
          </cell>
          <cell r="CX708" t="str">
            <v>使用8-10次</v>
          </cell>
        </row>
        <row r="710">
          <cell r="CQ710" t="str">
            <v>鐵件</v>
          </cell>
          <cell r="CT710" t="str">
            <v>kg</v>
          </cell>
          <cell r="CU710">
            <v>0.6</v>
          </cell>
          <cell r="CV710">
            <v>20</v>
          </cell>
          <cell r="CW710">
            <v>12</v>
          </cell>
          <cell r="CX710" t="str">
            <v>含支撐鋼筋</v>
          </cell>
        </row>
        <row r="712">
          <cell r="CQ712" t="str">
            <v>一般技工</v>
          </cell>
          <cell r="CT712" t="str">
            <v>工</v>
          </cell>
          <cell r="CU712">
            <v>0.28000000000000003</v>
          </cell>
          <cell r="CV712">
            <v>720</v>
          </cell>
          <cell r="CW712">
            <v>201.6</v>
          </cell>
        </row>
        <row r="714">
          <cell r="CQ714" t="str">
            <v>普通工</v>
          </cell>
          <cell r="CT714" t="str">
            <v>工</v>
          </cell>
          <cell r="CU714">
            <v>0.06</v>
          </cell>
          <cell r="CV714">
            <v>530</v>
          </cell>
          <cell r="CW714">
            <v>31.8</v>
          </cell>
        </row>
        <row r="716">
          <cell r="CQ716" t="str">
            <v>防水三夾板</v>
          </cell>
          <cell r="CS716" t="str">
            <v>3mm</v>
          </cell>
          <cell r="CT716" t="str">
            <v>m2</v>
          </cell>
          <cell r="CU716">
            <v>1</v>
          </cell>
          <cell r="CV716">
            <v>30</v>
          </cell>
          <cell r="CW716">
            <v>30</v>
          </cell>
          <cell r="CX716" t="str">
            <v>使用3次</v>
          </cell>
        </row>
        <row r="718">
          <cell r="CQ718" t="str">
            <v>工具損耗及其他</v>
          </cell>
          <cell r="CT718" t="str">
            <v>式</v>
          </cell>
          <cell r="CU718">
            <v>1</v>
          </cell>
          <cell r="CV718" t="str">
            <v xml:space="preserve"> </v>
          </cell>
          <cell r="CW718">
            <v>4.72</v>
          </cell>
          <cell r="CX718" t="str">
            <v>約勞力部份2%</v>
          </cell>
        </row>
        <row r="720">
          <cell r="CQ720" t="str">
            <v xml:space="preserve"> </v>
          </cell>
          <cell r="CR720" t="str">
            <v>每</v>
          </cell>
          <cell r="CS720" t="str">
            <v>m2</v>
          </cell>
          <cell r="CT720" t="str">
            <v>單 價 計</v>
          </cell>
          <cell r="CV720" t="str">
            <v xml:space="preserve"> </v>
          </cell>
          <cell r="CW720">
            <v>357</v>
          </cell>
        </row>
        <row r="723">
          <cell r="CQ723" t="str">
            <v>號數:</v>
          </cell>
          <cell r="CR723" t="str">
            <v xml:space="preserve"> </v>
          </cell>
          <cell r="CS723" t="str">
            <v>工 程 項 目</v>
          </cell>
          <cell r="CU723" t="str">
            <v>鋼筋加工及組立</v>
          </cell>
          <cell r="CW723" t="str">
            <v>單    位</v>
          </cell>
          <cell r="CX723" t="str">
            <v xml:space="preserve">T </v>
          </cell>
        </row>
        <row r="724">
          <cell r="CQ724" t="str">
            <v>工   程   項   目</v>
          </cell>
          <cell r="CS724" t="str">
            <v>說 明</v>
          </cell>
          <cell r="CT724" t="str">
            <v>單 位</v>
          </cell>
          <cell r="CU724" t="str">
            <v>數  量</v>
          </cell>
          <cell r="CV724" t="str">
            <v>單   價</v>
          </cell>
          <cell r="CW724" t="str">
            <v>總    價</v>
          </cell>
          <cell r="CX724" t="str">
            <v>備    註</v>
          </cell>
        </row>
        <row r="725">
          <cell r="CQ725" t="str">
            <v>一般技工</v>
          </cell>
          <cell r="CS725" t="str">
            <v xml:space="preserve"> </v>
          </cell>
          <cell r="CT725" t="str">
            <v>工</v>
          </cell>
          <cell r="CU725">
            <v>3.6</v>
          </cell>
          <cell r="CV725">
            <v>720</v>
          </cell>
          <cell r="CW725">
            <v>2592</v>
          </cell>
          <cell r="CX725" t="str">
            <v xml:space="preserve"> </v>
          </cell>
        </row>
        <row r="727">
          <cell r="CQ727" t="str">
            <v>普通工</v>
          </cell>
          <cell r="CS727" t="str">
            <v xml:space="preserve"> </v>
          </cell>
          <cell r="CT727" t="str">
            <v>工</v>
          </cell>
          <cell r="CU727">
            <v>4</v>
          </cell>
          <cell r="CV727">
            <v>530</v>
          </cell>
          <cell r="CW727">
            <v>2120</v>
          </cell>
        </row>
        <row r="729">
          <cell r="CQ729" t="str">
            <v>鉛絲</v>
          </cell>
          <cell r="CT729" t="str">
            <v>kg</v>
          </cell>
          <cell r="CU729">
            <v>4</v>
          </cell>
          <cell r="CV729">
            <v>25</v>
          </cell>
          <cell r="CW729">
            <v>100</v>
          </cell>
          <cell r="CX729" t="str">
            <v xml:space="preserve"> </v>
          </cell>
        </row>
        <row r="731">
          <cell r="CQ731" t="str">
            <v>工具搬運及損耗</v>
          </cell>
          <cell r="CS731" t="str">
            <v xml:space="preserve"> </v>
          </cell>
          <cell r="CT731" t="str">
            <v>式</v>
          </cell>
          <cell r="CU731">
            <v>1</v>
          </cell>
          <cell r="CV731" t="str">
            <v xml:space="preserve"> </v>
          </cell>
          <cell r="CW731">
            <v>141</v>
          </cell>
          <cell r="CX731" t="str">
            <v>約工資部份3%</v>
          </cell>
        </row>
        <row r="733">
          <cell r="CQ733" t="str">
            <v xml:space="preserve"> </v>
          </cell>
          <cell r="CR733" t="str">
            <v xml:space="preserve"> </v>
          </cell>
          <cell r="CS733" t="str">
            <v xml:space="preserve"> </v>
          </cell>
          <cell r="CT733" t="str">
            <v xml:space="preserve"> </v>
          </cell>
          <cell r="CU733" t="str">
            <v>小計</v>
          </cell>
          <cell r="CV733" t="str">
            <v xml:space="preserve"> </v>
          </cell>
          <cell r="CW733">
            <v>4953</v>
          </cell>
          <cell r="CX733" t="str">
            <v xml:space="preserve"> /1000</v>
          </cell>
        </row>
        <row r="734">
          <cell r="CQ734" t="str">
            <v xml:space="preserve"> </v>
          </cell>
          <cell r="CR734" t="str">
            <v xml:space="preserve"> </v>
          </cell>
          <cell r="CS734" t="str">
            <v xml:space="preserve"> </v>
          </cell>
          <cell r="CT734" t="str">
            <v xml:space="preserve"> </v>
          </cell>
          <cell r="CU734" t="str">
            <v xml:space="preserve"> </v>
          </cell>
          <cell r="CV734" t="str">
            <v xml:space="preserve"> </v>
          </cell>
          <cell r="CW734" t="str">
            <v xml:space="preserve"> </v>
          </cell>
          <cell r="CX734" t="str">
            <v xml:space="preserve"> </v>
          </cell>
        </row>
        <row r="735">
          <cell r="CQ735" t="str">
            <v xml:space="preserve"> </v>
          </cell>
          <cell r="CR735" t="str">
            <v xml:space="preserve"> </v>
          </cell>
          <cell r="CS735" t="str">
            <v xml:space="preserve"> </v>
          </cell>
          <cell r="CT735" t="str">
            <v xml:space="preserve"> </v>
          </cell>
          <cell r="CU735" t="str">
            <v xml:space="preserve"> </v>
          </cell>
          <cell r="CV735" t="str">
            <v xml:space="preserve"> </v>
          </cell>
        </row>
        <row r="738">
          <cell r="CV738" t="str">
            <v xml:space="preserve"> </v>
          </cell>
          <cell r="CW738" t="str">
            <v xml:space="preserve"> </v>
          </cell>
          <cell r="CX738" t="str">
            <v xml:space="preserve"> </v>
          </cell>
        </row>
        <row r="741">
          <cell r="CQ741" t="str">
            <v xml:space="preserve"> </v>
          </cell>
          <cell r="CR741" t="str">
            <v>每</v>
          </cell>
          <cell r="CS741" t="str">
            <v>kg</v>
          </cell>
          <cell r="CT741" t="str">
            <v>單 價 計</v>
          </cell>
          <cell r="CV741" t="str">
            <v xml:space="preserve"> </v>
          </cell>
          <cell r="CW741">
            <v>4.95</v>
          </cell>
        </row>
        <row r="744">
          <cell r="CQ744" t="str">
            <v>編號:</v>
          </cell>
          <cell r="CR744" t="str">
            <v xml:space="preserve"> </v>
          </cell>
          <cell r="CS744" t="str">
            <v>工 程 項 目</v>
          </cell>
          <cell r="CU744" t="str">
            <v>背填卵石</v>
          </cell>
          <cell r="CW744" t="str">
            <v xml:space="preserve">  單    位</v>
          </cell>
          <cell r="CX744" t="str">
            <v>m3</v>
          </cell>
        </row>
        <row r="745">
          <cell r="CQ745" t="str">
            <v xml:space="preserve"> 工   程   項   目</v>
          </cell>
          <cell r="CS745" t="str">
            <v xml:space="preserve"> 說 明</v>
          </cell>
          <cell r="CT745" t="str">
            <v xml:space="preserve"> 單 位</v>
          </cell>
          <cell r="CU745" t="str">
            <v xml:space="preserve"> 數  量</v>
          </cell>
          <cell r="CV745" t="str">
            <v xml:space="preserve">  單  價</v>
          </cell>
          <cell r="CW745" t="str">
            <v xml:space="preserve">  總    價 </v>
          </cell>
          <cell r="CX745" t="str">
            <v>備    註</v>
          </cell>
        </row>
        <row r="746">
          <cell r="CQ746" t="str">
            <v>卵石</v>
          </cell>
          <cell r="CT746" t="str">
            <v>m3</v>
          </cell>
          <cell r="CU746">
            <v>1</v>
          </cell>
          <cell r="CV746">
            <v>349</v>
          </cell>
          <cell r="CW746">
            <v>349</v>
          </cell>
          <cell r="CX746" t="str">
            <v xml:space="preserve"> </v>
          </cell>
        </row>
        <row r="748">
          <cell r="CQ748" t="str">
            <v>普通工</v>
          </cell>
          <cell r="CT748" t="str">
            <v>工</v>
          </cell>
          <cell r="CU748">
            <v>0.2</v>
          </cell>
          <cell r="CV748">
            <v>530</v>
          </cell>
          <cell r="CW748">
            <v>106</v>
          </cell>
        </row>
        <row r="750">
          <cell r="CQ750" t="str">
            <v>工具搬運及損耗</v>
          </cell>
          <cell r="CS750" t="str">
            <v xml:space="preserve"> </v>
          </cell>
          <cell r="CT750" t="str">
            <v>式</v>
          </cell>
          <cell r="CU750">
            <v>1</v>
          </cell>
          <cell r="CV750" t="str">
            <v xml:space="preserve"> </v>
          </cell>
          <cell r="CW750">
            <v>2</v>
          </cell>
          <cell r="CX750" t="str">
            <v>約工資部份2%</v>
          </cell>
        </row>
        <row r="752">
          <cell r="CU752" t="str">
            <v>小計</v>
          </cell>
          <cell r="CV752" t="str">
            <v xml:space="preserve"> </v>
          </cell>
          <cell r="CW752">
            <v>457</v>
          </cell>
          <cell r="CX752" t="str">
            <v xml:space="preserve"> </v>
          </cell>
        </row>
        <row r="753">
          <cell r="CW753" t="str">
            <v xml:space="preserve"> </v>
          </cell>
          <cell r="CX753" t="str">
            <v xml:space="preserve"> </v>
          </cell>
        </row>
        <row r="754">
          <cell r="CW754" t="str">
            <v xml:space="preserve"> </v>
          </cell>
          <cell r="CX754" t="str">
            <v xml:space="preserve"> </v>
          </cell>
        </row>
        <row r="755">
          <cell r="CW755" t="str">
            <v xml:space="preserve"> </v>
          </cell>
          <cell r="CX755" t="str">
            <v xml:space="preserve"> </v>
          </cell>
        </row>
        <row r="756">
          <cell r="CW756" t="str">
            <v xml:space="preserve"> </v>
          </cell>
          <cell r="CX756" t="str">
            <v xml:space="preserve"> </v>
          </cell>
        </row>
        <row r="757">
          <cell r="CW757" t="str">
            <v xml:space="preserve"> </v>
          </cell>
          <cell r="CX757" t="str">
            <v xml:space="preserve"> </v>
          </cell>
        </row>
        <row r="758">
          <cell r="CW758" t="str">
            <v xml:space="preserve"> </v>
          </cell>
          <cell r="CX758" t="str">
            <v xml:space="preserve"> </v>
          </cell>
        </row>
        <row r="762">
          <cell r="CQ762" t="str">
            <v xml:space="preserve"> </v>
          </cell>
          <cell r="CR762" t="str">
            <v>每</v>
          </cell>
          <cell r="CS762" t="str">
            <v>m3</v>
          </cell>
          <cell r="CT762" t="str">
            <v>單 價 計</v>
          </cell>
          <cell r="CV762" t="str">
            <v xml:space="preserve"> </v>
          </cell>
          <cell r="CW762">
            <v>457</v>
          </cell>
        </row>
        <row r="765">
          <cell r="CQ765" t="str">
            <v>編號:</v>
          </cell>
          <cell r="CR765" t="str">
            <v xml:space="preserve"> </v>
          </cell>
          <cell r="CS765" t="str">
            <v>工 程 項 目</v>
          </cell>
          <cell r="CU765" t="str">
            <v>φ3"PVC洩水管按裝</v>
          </cell>
          <cell r="CW765" t="str">
            <v xml:space="preserve">  單    位</v>
          </cell>
          <cell r="CX765" t="str">
            <v>m</v>
          </cell>
        </row>
        <row r="766">
          <cell r="CQ766" t="str">
            <v xml:space="preserve"> 工   程   項   目</v>
          </cell>
          <cell r="CS766" t="str">
            <v xml:space="preserve"> 說 明</v>
          </cell>
          <cell r="CT766" t="str">
            <v xml:space="preserve"> 單 位</v>
          </cell>
          <cell r="CU766" t="str">
            <v xml:space="preserve"> 數  量</v>
          </cell>
          <cell r="CV766" t="str">
            <v xml:space="preserve">  單  價</v>
          </cell>
          <cell r="CW766" t="str">
            <v xml:space="preserve">  總    價 </v>
          </cell>
          <cell r="CX766" t="str">
            <v>備    註</v>
          </cell>
        </row>
        <row r="767">
          <cell r="CQ767" t="str">
            <v>φ3"PVC洩水管</v>
          </cell>
          <cell r="CS767" t="str">
            <v xml:space="preserve"> </v>
          </cell>
          <cell r="CT767" t="str">
            <v>m</v>
          </cell>
          <cell r="CU767">
            <v>1</v>
          </cell>
          <cell r="CV767" t="str">
            <v xml:space="preserve"> </v>
          </cell>
          <cell r="CX767" t="str">
            <v>材料費另計</v>
          </cell>
        </row>
        <row r="769">
          <cell r="CQ769" t="str">
            <v>普通工</v>
          </cell>
          <cell r="CS769" t="str">
            <v xml:space="preserve"> </v>
          </cell>
          <cell r="CT769" t="str">
            <v>工</v>
          </cell>
          <cell r="CU769">
            <v>0.02</v>
          </cell>
          <cell r="CV769">
            <v>530</v>
          </cell>
          <cell r="CW769">
            <v>10.6</v>
          </cell>
        </row>
        <row r="771">
          <cell r="CQ771" t="str">
            <v>工具搬運及損耗</v>
          </cell>
          <cell r="CS771" t="str">
            <v xml:space="preserve"> </v>
          </cell>
          <cell r="CT771" t="str">
            <v>式</v>
          </cell>
          <cell r="CU771">
            <v>1</v>
          </cell>
          <cell r="CV771" t="str">
            <v xml:space="preserve"> </v>
          </cell>
          <cell r="CW771">
            <v>0.4</v>
          </cell>
          <cell r="CX771" t="str">
            <v xml:space="preserve"> </v>
          </cell>
        </row>
        <row r="773">
          <cell r="CQ773" t="str">
            <v>零星工料(含剪裁及按裝)</v>
          </cell>
          <cell r="CT773" t="str">
            <v>式</v>
          </cell>
          <cell r="CU773">
            <v>1</v>
          </cell>
          <cell r="CV773" t="str">
            <v xml:space="preserve"> </v>
          </cell>
          <cell r="CW773">
            <v>19</v>
          </cell>
        </row>
        <row r="775">
          <cell r="CU775" t="str">
            <v>小計</v>
          </cell>
          <cell r="CV775" t="str">
            <v xml:space="preserve"> </v>
          </cell>
          <cell r="CW775">
            <v>30</v>
          </cell>
        </row>
        <row r="776">
          <cell r="CQ776" t="str">
            <v xml:space="preserve"> </v>
          </cell>
          <cell r="CS776" t="str">
            <v xml:space="preserve"> </v>
          </cell>
          <cell r="CT776" t="str">
            <v xml:space="preserve"> </v>
          </cell>
          <cell r="CU776" t="str">
            <v xml:space="preserve"> </v>
          </cell>
          <cell r="CW776" t="str">
            <v xml:space="preserve"> </v>
          </cell>
        </row>
        <row r="778">
          <cell r="CQ778" t="str">
            <v xml:space="preserve"> </v>
          </cell>
          <cell r="CR778" t="str">
            <v xml:space="preserve"> </v>
          </cell>
          <cell r="CS778" t="str">
            <v xml:space="preserve"> </v>
          </cell>
          <cell r="CT778" t="str">
            <v xml:space="preserve"> </v>
          </cell>
          <cell r="CU778" t="str">
            <v xml:space="preserve"> </v>
          </cell>
          <cell r="CV778" t="str">
            <v xml:space="preserve"> </v>
          </cell>
          <cell r="CW778" t="str">
            <v xml:space="preserve"> </v>
          </cell>
          <cell r="CX778" t="str">
            <v xml:space="preserve"> </v>
          </cell>
        </row>
        <row r="779">
          <cell r="CX779" t="str">
            <v xml:space="preserve"> </v>
          </cell>
        </row>
        <row r="780">
          <cell r="CQ780" t="str">
            <v xml:space="preserve"> </v>
          </cell>
          <cell r="CR780" t="str">
            <v xml:space="preserve"> </v>
          </cell>
          <cell r="CS780" t="str">
            <v xml:space="preserve"> </v>
          </cell>
          <cell r="CT780" t="str">
            <v xml:space="preserve"> </v>
          </cell>
          <cell r="CU780" t="str">
            <v xml:space="preserve"> </v>
          </cell>
          <cell r="CV780" t="str">
            <v xml:space="preserve"> </v>
          </cell>
        </row>
        <row r="781">
          <cell r="CQ781" t="str">
            <v xml:space="preserve"> </v>
          </cell>
          <cell r="CR781" t="str">
            <v xml:space="preserve"> </v>
          </cell>
          <cell r="CS781" t="str">
            <v xml:space="preserve"> </v>
          </cell>
          <cell r="CT781" t="str">
            <v xml:space="preserve"> </v>
          </cell>
          <cell r="CU781" t="str">
            <v xml:space="preserve"> </v>
          </cell>
          <cell r="CV781" t="str">
            <v xml:space="preserve"> </v>
          </cell>
        </row>
        <row r="783">
          <cell r="CQ783" t="str">
            <v xml:space="preserve"> </v>
          </cell>
          <cell r="CR783" t="str">
            <v>每</v>
          </cell>
          <cell r="CS783" t="str">
            <v>m</v>
          </cell>
          <cell r="CT783" t="str">
            <v>單 價 計</v>
          </cell>
          <cell r="CV783" t="str">
            <v xml:space="preserve"> </v>
          </cell>
          <cell r="CW783">
            <v>30</v>
          </cell>
        </row>
        <row r="786">
          <cell r="CQ786" t="str">
            <v>號數:</v>
          </cell>
          <cell r="CR786" t="str">
            <v xml:space="preserve"> </v>
          </cell>
          <cell r="CS786" t="str">
            <v>工 程 項 目</v>
          </cell>
          <cell r="CU786" t="str">
            <v>漆白水泥漆(二度)</v>
          </cell>
          <cell r="CW786" t="str">
            <v>單    位</v>
          </cell>
          <cell r="CX786" t="str">
            <v>100m2</v>
          </cell>
        </row>
        <row r="787">
          <cell r="CQ787" t="str">
            <v>工   程   項   目</v>
          </cell>
          <cell r="CS787" t="str">
            <v>說 明</v>
          </cell>
          <cell r="CT787" t="str">
            <v>單 位</v>
          </cell>
          <cell r="CU787" t="str">
            <v>數  量</v>
          </cell>
          <cell r="CV787" t="str">
            <v>單   價</v>
          </cell>
          <cell r="CW787" t="str">
            <v>總    價</v>
          </cell>
          <cell r="CX787" t="str">
            <v>備    註</v>
          </cell>
        </row>
        <row r="788">
          <cell r="CQ788" t="str">
            <v>一般技工</v>
          </cell>
          <cell r="CS788" t="str">
            <v xml:space="preserve"> </v>
          </cell>
          <cell r="CT788" t="str">
            <v>工</v>
          </cell>
          <cell r="CU788">
            <v>6</v>
          </cell>
          <cell r="CV788">
            <v>720</v>
          </cell>
          <cell r="CW788">
            <v>4320</v>
          </cell>
        </row>
        <row r="790">
          <cell r="CQ790" t="str">
            <v>工具搬運及損耗</v>
          </cell>
          <cell r="CS790" t="str">
            <v xml:space="preserve"> </v>
          </cell>
          <cell r="CT790" t="str">
            <v>式</v>
          </cell>
          <cell r="CU790">
            <v>1</v>
          </cell>
          <cell r="CV790" t="str">
            <v xml:space="preserve"> </v>
          </cell>
          <cell r="CW790">
            <v>80</v>
          </cell>
          <cell r="CX790" t="str">
            <v>約勞力部份2%</v>
          </cell>
        </row>
        <row r="792">
          <cell r="CQ792" t="str">
            <v>白水泥漆</v>
          </cell>
          <cell r="CS792" t="str">
            <v xml:space="preserve"> </v>
          </cell>
          <cell r="CT792" t="str">
            <v>m2</v>
          </cell>
          <cell r="CU792">
            <v>100</v>
          </cell>
          <cell r="CV792">
            <v>80</v>
          </cell>
          <cell r="CW792">
            <v>8000</v>
          </cell>
          <cell r="CX792" t="str">
            <v xml:space="preserve"> </v>
          </cell>
        </row>
        <row r="794">
          <cell r="CU794" t="str">
            <v>小計</v>
          </cell>
          <cell r="CV794" t="str">
            <v xml:space="preserve"> </v>
          </cell>
          <cell r="CW794">
            <v>12400</v>
          </cell>
          <cell r="CX794" t="str">
            <v xml:space="preserve"> </v>
          </cell>
        </row>
        <row r="797">
          <cell r="CQ797" t="str">
            <v xml:space="preserve"> </v>
          </cell>
          <cell r="CS797" t="str">
            <v xml:space="preserve"> </v>
          </cell>
          <cell r="CT797" t="str">
            <v xml:space="preserve"> </v>
          </cell>
          <cell r="CU797" t="str">
            <v xml:space="preserve"> </v>
          </cell>
        </row>
        <row r="799">
          <cell r="CQ799" t="str">
            <v xml:space="preserve"> </v>
          </cell>
          <cell r="CR799" t="str">
            <v xml:space="preserve"> </v>
          </cell>
          <cell r="CS799" t="str">
            <v xml:space="preserve"> </v>
          </cell>
          <cell r="CT799" t="str">
            <v xml:space="preserve"> </v>
          </cell>
          <cell r="CU799" t="str">
            <v xml:space="preserve"> </v>
          </cell>
          <cell r="CV799" t="str">
            <v xml:space="preserve"> </v>
          </cell>
          <cell r="CW799" t="str">
            <v xml:space="preserve"> </v>
          </cell>
          <cell r="CX799" t="str">
            <v xml:space="preserve"> </v>
          </cell>
        </row>
        <row r="800">
          <cell r="CV800" t="str">
            <v xml:space="preserve"> </v>
          </cell>
          <cell r="CW800" t="str">
            <v xml:space="preserve"> </v>
          </cell>
          <cell r="CX800" t="str">
            <v xml:space="preserve"> </v>
          </cell>
        </row>
        <row r="801">
          <cell r="CQ801" t="str">
            <v xml:space="preserve"> </v>
          </cell>
          <cell r="CR801" t="str">
            <v xml:space="preserve"> </v>
          </cell>
          <cell r="CS801" t="str">
            <v xml:space="preserve"> </v>
          </cell>
          <cell r="CT801" t="str">
            <v xml:space="preserve"> </v>
          </cell>
          <cell r="CU801" t="str">
            <v xml:space="preserve"> </v>
          </cell>
          <cell r="CV801" t="str">
            <v xml:space="preserve"> </v>
          </cell>
        </row>
        <row r="802">
          <cell r="CQ802" t="str">
            <v xml:space="preserve"> </v>
          </cell>
          <cell r="CR802" t="str">
            <v xml:space="preserve"> </v>
          </cell>
          <cell r="CS802" t="str">
            <v xml:space="preserve"> </v>
          </cell>
          <cell r="CT802" t="str">
            <v xml:space="preserve"> </v>
          </cell>
          <cell r="CU802" t="str">
            <v xml:space="preserve"> </v>
          </cell>
          <cell r="CV802" t="str">
            <v xml:space="preserve"> </v>
          </cell>
        </row>
        <row r="804">
          <cell r="CQ804" t="str">
            <v xml:space="preserve"> </v>
          </cell>
          <cell r="CR804" t="str">
            <v>每</v>
          </cell>
          <cell r="CS804" t="str">
            <v>m2</v>
          </cell>
          <cell r="CT804" t="str">
            <v>單 價 計</v>
          </cell>
          <cell r="CV804" t="str">
            <v xml:space="preserve"> </v>
          </cell>
          <cell r="CW804">
            <v>124</v>
          </cell>
        </row>
        <row r="807">
          <cell r="CQ807" t="str">
            <v xml:space="preserve"> 號數 :   </v>
          </cell>
          <cell r="CR807">
            <v>0</v>
          </cell>
          <cell r="CS807" t="str">
            <v>工 程 項 目</v>
          </cell>
          <cell r="CU807" t="str">
            <v>塊石混凝土</v>
          </cell>
          <cell r="CW807" t="str">
            <v>單    位</v>
          </cell>
          <cell r="CX807" t="str">
            <v></v>
          </cell>
        </row>
        <row r="808">
          <cell r="CQ808" t="str">
            <v>工   程   項   目</v>
          </cell>
          <cell r="CS808" t="str">
            <v>說 明</v>
          </cell>
          <cell r="CT808" t="str">
            <v>單 位</v>
          </cell>
          <cell r="CU808" t="str">
            <v>數  量</v>
          </cell>
          <cell r="CV808" t="str">
            <v>單   價</v>
          </cell>
          <cell r="CW808" t="str">
            <v>總    價</v>
          </cell>
          <cell r="CX808" t="str">
            <v>備    註</v>
          </cell>
        </row>
        <row r="809">
          <cell r="CQ809" t="str">
            <v>塊石</v>
          </cell>
          <cell r="CS809" t="str">
            <v>φ10~30cm以下</v>
          </cell>
          <cell r="CT809" t="str">
            <v></v>
          </cell>
          <cell r="CU809">
            <v>0.83</v>
          </cell>
          <cell r="CV809">
            <v>349</v>
          </cell>
          <cell r="CW809">
            <v>289.67</v>
          </cell>
          <cell r="CX809" t="str">
            <v xml:space="preserve"> </v>
          </cell>
        </row>
        <row r="810">
          <cell r="CQ810" t="str">
            <v>140kg/cm2混凝土</v>
          </cell>
          <cell r="CT810" t="str">
            <v></v>
          </cell>
          <cell r="CU810">
            <v>0.5</v>
          </cell>
          <cell r="CX810" t="str">
            <v>另計</v>
          </cell>
        </row>
        <row r="811">
          <cell r="CQ811" t="str">
            <v>普通工</v>
          </cell>
          <cell r="CT811" t="str">
            <v>工</v>
          </cell>
          <cell r="CU811">
            <v>0.3</v>
          </cell>
          <cell r="CV811">
            <v>530</v>
          </cell>
          <cell r="CW811">
            <v>159</v>
          </cell>
        </row>
        <row r="812">
          <cell r="CQ812" t="str">
            <v>工具搬運及損耗</v>
          </cell>
          <cell r="CS812" t="str">
            <v>約工資之3%</v>
          </cell>
          <cell r="CT812" t="str">
            <v>式</v>
          </cell>
          <cell r="CU812">
            <v>1</v>
          </cell>
          <cell r="CV812">
            <v>5.09</v>
          </cell>
          <cell r="CW812">
            <v>5.09</v>
          </cell>
          <cell r="CX812" t="str">
            <v xml:space="preserve"> </v>
          </cell>
        </row>
        <row r="813">
          <cell r="CU813" t="str">
            <v>小計</v>
          </cell>
          <cell r="CV813" t="str">
            <v xml:space="preserve"> </v>
          </cell>
          <cell r="CW813">
            <v>453.76</v>
          </cell>
        </row>
        <row r="817">
          <cell r="CQ817" t="str">
            <v xml:space="preserve"> </v>
          </cell>
          <cell r="CR817" t="str">
            <v xml:space="preserve"> </v>
          </cell>
        </row>
        <row r="821">
          <cell r="CQ821" t="str">
            <v xml:space="preserve"> </v>
          </cell>
          <cell r="CR821" t="str">
            <v xml:space="preserve"> </v>
          </cell>
          <cell r="CS821" t="str">
            <v xml:space="preserve"> </v>
          </cell>
          <cell r="CT821" t="str">
            <v xml:space="preserve"> </v>
          </cell>
          <cell r="CU821" t="str">
            <v xml:space="preserve"> </v>
          </cell>
          <cell r="CV821" t="str">
            <v xml:space="preserve"> </v>
          </cell>
        </row>
        <row r="823">
          <cell r="CQ823" t="str">
            <v xml:space="preserve"> </v>
          </cell>
          <cell r="CR823" t="str">
            <v xml:space="preserve"> </v>
          </cell>
          <cell r="CS823" t="str">
            <v xml:space="preserve"> </v>
          </cell>
          <cell r="CT823" t="str">
            <v xml:space="preserve"> </v>
          </cell>
          <cell r="CU823" t="str">
            <v xml:space="preserve"> </v>
          </cell>
          <cell r="CV823" t="str">
            <v xml:space="preserve"> </v>
          </cell>
        </row>
        <row r="825">
          <cell r="CQ825" t="str">
            <v xml:space="preserve"> </v>
          </cell>
          <cell r="CR825" t="str">
            <v>每</v>
          </cell>
          <cell r="CS825" t="str">
            <v></v>
          </cell>
          <cell r="CT825" t="str">
            <v>單 價 計</v>
          </cell>
          <cell r="CV825" t="str">
            <v xml:space="preserve"> </v>
          </cell>
          <cell r="CW825">
            <v>453.76</v>
          </cell>
        </row>
        <row r="828">
          <cell r="CQ828" t="str">
            <v xml:space="preserve"> 號數 :   </v>
          </cell>
          <cell r="CR828">
            <v>0</v>
          </cell>
          <cell r="CS828" t="str">
            <v>工 程 項 目</v>
          </cell>
          <cell r="CU828" t="str">
            <v>混凝土砌塊石φ30cm</v>
          </cell>
          <cell r="CW828" t="str">
            <v>單    位</v>
          </cell>
          <cell r="CX828" t="str">
            <v></v>
          </cell>
        </row>
        <row r="829">
          <cell r="CQ829" t="str">
            <v>工   程   項   目</v>
          </cell>
          <cell r="CS829" t="str">
            <v>說 明</v>
          </cell>
          <cell r="CT829" t="str">
            <v>單 位</v>
          </cell>
          <cell r="CU829" t="str">
            <v>數  量</v>
          </cell>
          <cell r="CV829" t="str">
            <v>單   價</v>
          </cell>
          <cell r="CW829" t="str">
            <v>總    價</v>
          </cell>
          <cell r="CX829" t="str">
            <v>備    註</v>
          </cell>
        </row>
        <row r="830">
          <cell r="CQ830" t="str">
            <v>塊石</v>
          </cell>
          <cell r="CT830" t="str">
            <v></v>
          </cell>
          <cell r="CU830">
            <v>0.3</v>
          </cell>
          <cell r="CV830">
            <v>349</v>
          </cell>
          <cell r="CW830">
            <v>104.7</v>
          </cell>
        </row>
        <row r="831">
          <cell r="CQ831" t="str">
            <v>1:3水泥砂漿</v>
          </cell>
          <cell r="CT831" t="str">
            <v></v>
          </cell>
          <cell r="CU831">
            <v>0.03</v>
          </cell>
          <cell r="CV831">
            <v>2323</v>
          </cell>
          <cell r="CW831">
            <v>69.69</v>
          </cell>
        </row>
        <row r="832">
          <cell r="CQ832" t="str">
            <v>175kg/cm2混凝土</v>
          </cell>
          <cell r="CT832" t="str">
            <v></v>
          </cell>
          <cell r="CU832">
            <v>7.0000000000000007E-2</v>
          </cell>
          <cell r="CV832">
            <v>1600</v>
          </cell>
          <cell r="CW832">
            <v>112</v>
          </cell>
        </row>
        <row r="833">
          <cell r="CQ833" t="str">
            <v>一般技工</v>
          </cell>
          <cell r="CS833" t="str">
            <v xml:space="preserve"> </v>
          </cell>
          <cell r="CT833" t="str">
            <v>工</v>
          </cell>
          <cell r="CU833">
            <v>0.06</v>
          </cell>
          <cell r="CV833">
            <v>720</v>
          </cell>
          <cell r="CW833">
            <v>43.2</v>
          </cell>
          <cell r="CX833" t="str">
            <v xml:space="preserve"> </v>
          </cell>
        </row>
        <row r="834">
          <cell r="CQ834" t="str">
            <v>普通工</v>
          </cell>
          <cell r="CT834" t="str">
            <v>工</v>
          </cell>
          <cell r="CU834">
            <v>0.14000000000000001</v>
          </cell>
          <cell r="CV834">
            <v>530</v>
          </cell>
          <cell r="CW834">
            <v>74.2</v>
          </cell>
        </row>
        <row r="835">
          <cell r="CQ835" t="str">
            <v>工具搬運及損耗</v>
          </cell>
          <cell r="CS835" t="str">
            <v>約工資之2%</v>
          </cell>
          <cell r="CT835" t="str">
            <v>式</v>
          </cell>
          <cell r="CU835">
            <v>1</v>
          </cell>
          <cell r="CV835">
            <v>2.81</v>
          </cell>
          <cell r="CW835">
            <v>2.81</v>
          </cell>
        </row>
        <row r="836">
          <cell r="CU836" t="str">
            <v>小計</v>
          </cell>
          <cell r="CV836" t="str">
            <v xml:space="preserve"> </v>
          </cell>
          <cell r="CW836">
            <v>406.59999999999997</v>
          </cell>
        </row>
        <row r="838">
          <cell r="CQ838" t="str">
            <v xml:space="preserve"> </v>
          </cell>
          <cell r="CR838" t="str">
            <v xml:space="preserve"> </v>
          </cell>
        </row>
        <row r="842">
          <cell r="CQ842" t="str">
            <v xml:space="preserve"> </v>
          </cell>
          <cell r="CR842" t="str">
            <v xml:space="preserve"> </v>
          </cell>
          <cell r="CS842" t="str">
            <v xml:space="preserve"> </v>
          </cell>
          <cell r="CT842" t="str">
            <v xml:space="preserve"> </v>
          </cell>
          <cell r="CU842" t="str">
            <v xml:space="preserve"> </v>
          </cell>
          <cell r="CV842" t="str">
            <v xml:space="preserve"> </v>
          </cell>
        </row>
        <row r="844">
          <cell r="CQ844" t="str">
            <v xml:space="preserve"> </v>
          </cell>
          <cell r="CR844" t="str">
            <v xml:space="preserve"> </v>
          </cell>
          <cell r="CS844" t="str">
            <v xml:space="preserve"> </v>
          </cell>
          <cell r="CT844" t="str">
            <v xml:space="preserve"> </v>
          </cell>
          <cell r="CU844" t="str">
            <v xml:space="preserve"> </v>
          </cell>
          <cell r="CV844" t="str">
            <v xml:space="preserve"> </v>
          </cell>
        </row>
        <row r="846">
          <cell r="CQ846" t="str">
            <v xml:space="preserve"> </v>
          </cell>
          <cell r="CR846" t="str">
            <v>每</v>
          </cell>
          <cell r="CS846" t="str">
            <v></v>
          </cell>
          <cell r="CT846" t="str">
            <v>單 價 計</v>
          </cell>
          <cell r="CV846" t="str">
            <v xml:space="preserve"> </v>
          </cell>
          <cell r="CW846">
            <v>406.59999999999997</v>
          </cell>
        </row>
        <row r="849">
          <cell r="CQ849" t="str">
            <v xml:space="preserve"> 號數 :  </v>
          </cell>
          <cell r="CR849">
            <v>0</v>
          </cell>
          <cell r="CS849" t="str">
            <v>工 程 項 目</v>
          </cell>
          <cell r="CU849" t="str">
            <v>人工拌合1:3水泥砂漿</v>
          </cell>
          <cell r="CW849" t="str">
            <v>單    位</v>
          </cell>
          <cell r="CX849" t="str">
            <v></v>
          </cell>
        </row>
        <row r="850">
          <cell r="CQ850" t="str">
            <v>工   程   項   目</v>
          </cell>
          <cell r="CS850" t="str">
            <v>說 明</v>
          </cell>
          <cell r="CT850" t="str">
            <v>單 位</v>
          </cell>
          <cell r="CU850" t="str">
            <v>數  量</v>
          </cell>
          <cell r="CV850" t="str">
            <v>單   價</v>
          </cell>
          <cell r="CW850" t="str">
            <v>總    價</v>
          </cell>
          <cell r="CX850" t="str">
            <v>備    註</v>
          </cell>
        </row>
        <row r="851">
          <cell r="CQ851" t="str">
            <v>淨砂</v>
          </cell>
          <cell r="CT851" t="str">
            <v></v>
          </cell>
          <cell r="CU851">
            <v>1</v>
          </cell>
          <cell r="CV851">
            <v>489</v>
          </cell>
          <cell r="CW851">
            <v>489</v>
          </cell>
          <cell r="CX851" t="str">
            <v>基本單價3</v>
          </cell>
        </row>
        <row r="852">
          <cell r="CQ852" t="str">
            <v>普通工</v>
          </cell>
          <cell r="CT852" t="str">
            <v>工</v>
          </cell>
          <cell r="CU852">
            <v>0.64</v>
          </cell>
          <cell r="CV852">
            <v>530</v>
          </cell>
          <cell r="CW852">
            <v>339.2</v>
          </cell>
        </row>
        <row r="853">
          <cell r="CQ853" t="str">
            <v>工具搬運及損耗</v>
          </cell>
          <cell r="CS853" t="str">
            <v>約工資之2%</v>
          </cell>
          <cell r="CT853" t="str">
            <v>式</v>
          </cell>
          <cell r="CU853">
            <v>1</v>
          </cell>
          <cell r="CV853">
            <v>5.8000000000000007</v>
          </cell>
          <cell r="CW853">
            <v>5.8</v>
          </cell>
          <cell r="CX853" t="str">
            <v xml:space="preserve"> </v>
          </cell>
        </row>
        <row r="854">
          <cell r="CQ854" t="str">
            <v>水泥</v>
          </cell>
          <cell r="CT854" t="str">
            <v>包</v>
          </cell>
          <cell r="CU854">
            <v>10</v>
          </cell>
          <cell r="CV854">
            <v>135</v>
          </cell>
          <cell r="CW854">
            <v>1350</v>
          </cell>
        </row>
        <row r="855">
          <cell r="CU855" t="str">
            <v>小計</v>
          </cell>
          <cell r="CV855" t="str">
            <v xml:space="preserve"> </v>
          </cell>
          <cell r="CW855">
            <v>2184</v>
          </cell>
          <cell r="CX855" t="str">
            <v xml:space="preserve"> </v>
          </cell>
        </row>
        <row r="857">
          <cell r="CX857" t="str">
            <v xml:space="preserve"> </v>
          </cell>
        </row>
        <row r="860">
          <cell r="CQ860" t="str">
            <v xml:space="preserve"> </v>
          </cell>
          <cell r="CS860" t="str">
            <v xml:space="preserve"> </v>
          </cell>
          <cell r="CT860" t="str">
            <v xml:space="preserve"> </v>
          </cell>
          <cell r="CU860" t="str">
            <v xml:space="preserve"> </v>
          </cell>
        </row>
        <row r="862">
          <cell r="CQ862" t="str">
            <v xml:space="preserve"> </v>
          </cell>
          <cell r="CR862" t="str">
            <v xml:space="preserve"> </v>
          </cell>
          <cell r="CS862" t="str">
            <v xml:space="preserve"> </v>
          </cell>
          <cell r="CT862" t="str">
            <v xml:space="preserve"> </v>
          </cell>
          <cell r="CU862" t="str">
            <v xml:space="preserve"> </v>
          </cell>
          <cell r="CV862" t="str">
            <v xml:space="preserve"> </v>
          </cell>
          <cell r="CW862" t="str">
            <v xml:space="preserve"> </v>
          </cell>
          <cell r="CX862" t="str">
            <v xml:space="preserve"> </v>
          </cell>
        </row>
        <row r="864">
          <cell r="CQ864" t="str">
            <v xml:space="preserve"> </v>
          </cell>
          <cell r="CR864" t="str">
            <v xml:space="preserve"> </v>
          </cell>
          <cell r="CS864" t="str">
            <v xml:space="preserve"> </v>
          </cell>
          <cell r="CT864" t="str">
            <v xml:space="preserve"> </v>
          </cell>
          <cell r="CU864" t="str">
            <v xml:space="preserve"> </v>
          </cell>
          <cell r="CV864" t="str">
            <v xml:space="preserve"> </v>
          </cell>
        </row>
        <row r="865">
          <cell r="CQ865" t="str">
            <v xml:space="preserve"> </v>
          </cell>
          <cell r="CS865" t="str">
            <v xml:space="preserve"> </v>
          </cell>
          <cell r="CT865" t="str">
            <v xml:space="preserve"> </v>
          </cell>
          <cell r="CU865" t="str">
            <v xml:space="preserve"> </v>
          </cell>
        </row>
        <row r="866">
          <cell r="CV866" t="str">
            <v xml:space="preserve"> </v>
          </cell>
          <cell r="CW866" t="str">
            <v xml:space="preserve"> </v>
          </cell>
        </row>
        <row r="867">
          <cell r="CQ867" t="str">
            <v xml:space="preserve"> </v>
          </cell>
          <cell r="CR867" t="str">
            <v>每</v>
          </cell>
          <cell r="CS867" t="str">
            <v></v>
          </cell>
          <cell r="CT867" t="str">
            <v>單 價 計</v>
          </cell>
          <cell r="CV867" t="str">
            <v xml:space="preserve"> </v>
          </cell>
          <cell r="CW867">
            <v>2184</v>
          </cell>
        </row>
        <row r="891">
          <cell r="CQ891" t="str">
            <v>編號:</v>
          </cell>
          <cell r="CR891" t="str">
            <v xml:space="preserve"> </v>
          </cell>
          <cell r="CS891" t="str">
            <v>工 程 項 目</v>
          </cell>
          <cell r="CU891" t="str">
            <v>1:2水泥砂漿</v>
          </cell>
          <cell r="CW891" t="str">
            <v xml:space="preserve">單   位 </v>
          </cell>
          <cell r="CX891" t="str">
            <v>m3</v>
          </cell>
        </row>
        <row r="892">
          <cell r="CQ892" t="str">
            <v xml:space="preserve"> 工   程   項   目</v>
          </cell>
          <cell r="CS892" t="str">
            <v xml:space="preserve"> 說 明</v>
          </cell>
          <cell r="CT892" t="str">
            <v xml:space="preserve"> 單 位</v>
          </cell>
          <cell r="CU892" t="str">
            <v>數  量</v>
          </cell>
          <cell r="CV892" t="str">
            <v>單  價</v>
          </cell>
          <cell r="CW892" t="str">
            <v xml:space="preserve">總   價 </v>
          </cell>
          <cell r="CX892" t="str">
            <v>備    註</v>
          </cell>
        </row>
        <row r="893">
          <cell r="CQ893" t="str">
            <v>普通工</v>
          </cell>
          <cell r="CS893" t="str">
            <v xml:space="preserve"> </v>
          </cell>
          <cell r="CT893" t="str">
            <v>工</v>
          </cell>
          <cell r="CU893">
            <v>0.5</v>
          </cell>
          <cell r="CV893">
            <v>530</v>
          </cell>
          <cell r="CW893">
            <v>265</v>
          </cell>
          <cell r="CX893" t="str">
            <v xml:space="preserve"> </v>
          </cell>
        </row>
        <row r="895">
          <cell r="CQ895" t="str">
            <v>工具損耗</v>
          </cell>
          <cell r="CT895" t="str">
            <v>式</v>
          </cell>
          <cell r="CU895">
            <v>1</v>
          </cell>
          <cell r="CW895">
            <v>5.3</v>
          </cell>
          <cell r="CX895" t="str">
            <v>約工資部份2%</v>
          </cell>
        </row>
        <row r="897">
          <cell r="CQ897" t="str">
            <v>淨砂</v>
          </cell>
          <cell r="CS897" t="str">
            <v xml:space="preserve"> </v>
          </cell>
          <cell r="CT897" t="str">
            <v>M3</v>
          </cell>
          <cell r="CU897">
            <v>0.8</v>
          </cell>
          <cell r="CV897">
            <v>489</v>
          </cell>
          <cell r="CW897">
            <v>391.2</v>
          </cell>
        </row>
        <row r="899">
          <cell r="CQ899" t="str">
            <v>水泥</v>
          </cell>
          <cell r="CT899" t="str">
            <v>包</v>
          </cell>
          <cell r="CU899">
            <v>13</v>
          </cell>
          <cell r="CV899">
            <v>145</v>
          </cell>
          <cell r="CW899">
            <v>1885</v>
          </cell>
        </row>
        <row r="901">
          <cell r="CQ901" t="str">
            <v xml:space="preserve"> </v>
          </cell>
          <cell r="CR901" t="str">
            <v xml:space="preserve"> </v>
          </cell>
          <cell r="CS901" t="str">
            <v xml:space="preserve"> </v>
          </cell>
          <cell r="CT901" t="str">
            <v xml:space="preserve"> </v>
          </cell>
          <cell r="CU901" t="str">
            <v>小計</v>
          </cell>
          <cell r="CV901" t="str">
            <v xml:space="preserve"> </v>
          </cell>
          <cell r="CW901">
            <v>2546.5</v>
          </cell>
        </row>
        <row r="902">
          <cell r="CQ902" t="str">
            <v xml:space="preserve"> </v>
          </cell>
          <cell r="CR902" t="str">
            <v xml:space="preserve"> </v>
          </cell>
          <cell r="CS902" t="str">
            <v xml:space="preserve"> </v>
          </cell>
          <cell r="CT902" t="str">
            <v xml:space="preserve"> </v>
          </cell>
          <cell r="CU902" t="str">
            <v xml:space="preserve"> </v>
          </cell>
          <cell r="CV902" t="str">
            <v xml:space="preserve"> </v>
          </cell>
          <cell r="CW902" t="str">
            <v xml:space="preserve"> </v>
          </cell>
        </row>
        <row r="903">
          <cell r="CQ903" t="str">
            <v xml:space="preserve"> </v>
          </cell>
          <cell r="CR903" t="str">
            <v xml:space="preserve"> </v>
          </cell>
          <cell r="CT903" t="str">
            <v xml:space="preserve"> </v>
          </cell>
          <cell r="CU903" t="str">
            <v xml:space="preserve"> </v>
          </cell>
          <cell r="CV903" t="str">
            <v xml:space="preserve"> </v>
          </cell>
          <cell r="CW903" t="str">
            <v xml:space="preserve"> </v>
          </cell>
        </row>
        <row r="904">
          <cell r="CQ904" t="str">
            <v xml:space="preserve"> </v>
          </cell>
          <cell r="CR904" t="str">
            <v xml:space="preserve"> </v>
          </cell>
          <cell r="CS904" t="str">
            <v xml:space="preserve"> </v>
          </cell>
          <cell r="CT904" t="str">
            <v xml:space="preserve"> </v>
          </cell>
          <cell r="CU904" t="str">
            <v xml:space="preserve"> </v>
          </cell>
          <cell r="CV904" t="str">
            <v xml:space="preserve"> </v>
          </cell>
          <cell r="CX904" t="str">
            <v xml:space="preserve"> </v>
          </cell>
        </row>
        <row r="909">
          <cell r="CQ909" t="str">
            <v xml:space="preserve"> </v>
          </cell>
          <cell r="CR909" t="str">
            <v>每</v>
          </cell>
          <cell r="CS909" t="str">
            <v>m3</v>
          </cell>
          <cell r="CT909" t="str">
            <v>單 價 計</v>
          </cell>
          <cell r="CV909" t="str">
            <v xml:space="preserve"> </v>
          </cell>
          <cell r="CW909">
            <v>2546.5</v>
          </cell>
        </row>
        <row r="912">
          <cell r="CQ912" t="str">
            <v>編號:</v>
          </cell>
          <cell r="CR912" t="str">
            <v xml:space="preserve"> </v>
          </cell>
          <cell r="CS912" t="str">
            <v>工 程 項 目</v>
          </cell>
          <cell r="CU912" t="str">
            <v>1:2 防水粉刷</v>
          </cell>
          <cell r="CW912" t="str">
            <v>單    位</v>
          </cell>
          <cell r="CX912" t="str">
            <v>m2</v>
          </cell>
        </row>
        <row r="913">
          <cell r="CQ913" t="str">
            <v>工   程   項   目</v>
          </cell>
          <cell r="CS913" t="str">
            <v>說 明</v>
          </cell>
          <cell r="CT913" t="str">
            <v>單 位</v>
          </cell>
          <cell r="CU913" t="str">
            <v>數  量</v>
          </cell>
          <cell r="CV913" t="str">
            <v>單   價</v>
          </cell>
          <cell r="CW913" t="str">
            <v>總    價</v>
          </cell>
          <cell r="CX913" t="str">
            <v>備    註</v>
          </cell>
        </row>
        <row r="914">
          <cell r="CQ914" t="str">
            <v>1:2水泥砂漿</v>
          </cell>
          <cell r="CS914" t="str">
            <v xml:space="preserve"> </v>
          </cell>
          <cell r="CT914" t="str">
            <v>M3</v>
          </cell>
          <cell r="CU914">
            <v>0.03</v>
          </cell>
          <cell r="CV914">
            <v>2546.5</v>
          </cell>
          <cell r="CW914">
            <v>76.400000000000006</v>
          </cell>
        </row>
        <row r="916">
          <cell r="CQ916" t="str">
            <v>一般技工</v>
          </cell>
          <cell r="CT916" t="str">
            <v>工</v>
          </cell>
          <cell r="CU916">
            <v>0.18</v>
          </cell>
          <cell r="CV916">
            <v>720</v>
          </cell>
          <cell r="CW916">
            <v>129.6</v>
          </cell>
        </row>
        <row r="918">
          <cell r="CQ918" t="str">
            <v>普通工</v>
          </cell>
          <cell r="CS918" t="str">
            <v xml:space="preserve"> </v>
          </cell>
          <cell r="CT918" t="str">
            <v>工</v>
          </cell>
          <cell r="CU918">
            <v>0.14000000000000001</v>
          </cell>
          <cell r="CV918">
            <v>530</v>
          </cell>
          <cell r="CW918">
            <v>74.2</v>
          </cell>
        </row>
        <row r="920">
          <cell r="CQ920" t="str">
            <v>防水劑</v>
          </cell>
          <cell r="CT920" t="str">
            <v>加侖</v>
          </cell>
          <cell r="CU920">
            <v>0.25</v>
          </cell>
          <cell r="CV920">
            <v>100</v>
          </cell>
          <cell r="CW920">
            <v>25</v>
          </cell>
        </row>
        <row r="922">
          <cell r="CQ922" t="str">
            <v>工具損耗</v>
          </cell>
          <cell r="CS922" t="str">
            <v xml:space="preserve"> </v>
          </cell>
          <cell r="CT922" t="str">
            <v>式</v>
          </cell>
          <cell r="CU922">
            <v>1</v>
          </cell>
          <cell r="CW922">
            <v>6.1</v>
          </cell>
          <cell r="CX922" t="str">
            <v>約工資部份2%</v>
          </cell>
        </row>
        <row r="924">
          <cell r="CU924" t="str">
            <v>小計</v>
          </cell>
          <cell r="CV924" t="str">
            <v xml:space="preserve"> </v>
          </cell>
          <cell r="CW924">
            <v>311.3</v>
          </cell>
        </row>
        <row r="927">
          <cell r="CQ927" t="str">
            <v xml:space="preserve"> </v>
          </cell>
          <cell r="CR927" t="str">
            <v xml:space="preserve"> </v>
          </cell>
          <cell r="CS927" t="str">
            <v xml:space="preserve"> </v>
          </cell>
          <cell r="CT927" t="str">
            <v xml:space="preserve"> </v>
          </cell>
          <cell r="CU927" t="str">
            <v xml:space="preserve"> </v>
          </cell>
        </row>
        <row r="928">
          <cell r="CQ928" t="str">
            <v xml:space="preserve"> </v>
          </cell>
          <cell r="CS928" t="str">
            <v xml:space="preserve"> </v>
          </cell>
          <cell r="CT928" t="str">
            <v xml:space="preserve"> </v>
          </cell>
          <cell r="CU928" t="str">
            <v xml:space="preserve"> </v>
          </cell>
          <cell r="CV928" t="str">
            <v xml:space="preserve"> </v>
          </cell>
        </row>
        <row r="930">
          <cell r="CQ930" t="str">
            <v xml:space="preserve"> </v>
          </cell>
          <cell r="CR930" t="str">
            <v>每</v>
          </cell>
          <cell r="CS930" t="str">
            <v>m2</v>
          </cell>
          <cell r="CT930" t="str">
            <v>單 價 計</v>
          </cell>
          <cell r="CV930" t="str">
            <v xml:space="preserve"> </v>
          </cell>
          <cell r="CW930">
            <v>311.3</v>
          </cell>
          <cell r="CX930" t="str">
            <v xml:space="preserve"> </v>
          </cell>
        </row>
        <row r="933">
          <cell r="CQ933" t="str">
            <v>編號:</v>
          </cell>
          <cell r="CR933" t="str">
            <v xml:space="preserve"> </v>
          </cell>
          <cell r="CS933" t="str">
            <v>工 程 項 目</v>
          </cell>
          <cell r="CU933" t="str">
            <v>甲種鐵絲蛇籠</v>
          </cell>
          <cell r="CW933" t="str">
            <v>單    位</v>
          </cell>
          <cell r="CX933" t="str">
            <v>m</v>
          </cell>
        </row>
        <row r="934">
          <cell r="CQ934" t="str">
            <v>工   程   項   目</v>
          </cell>
          <cell r="CS934" t="str">
            <v>說 明</v>
          </cell>
          <cell r="CT934" t="str">
            <v>單 位</v>
          </cell>
          <cell r="CU934" t="str">
            <v>數  量</v>
          </cell>
          <cell r="CV934" t="str">
            <v>單   價</v>
          </cell>
          <cell r="CW934" t="str">
            <v>總    價</v>
          </cell>
          <cell r="CX934" t="str">
            <v>備    註</v>
          </cell>
        </row>
        <row r="935">
          <cell r="CQ935" t="str">
            <v>特種技工</v>
          </cell>
          <cell r="CS935" t="str">
            <v xml:space="preserve"> </v>
          </cell>
          <cell r="CT935" t="str">
            <v>工</v>
          </cell>
          <cell r="CU935">
            <v>0.15</v>
          </cell>
          <cell r="CV935">
            <v>800</v>
          </cell>
          <cell r="CW935">
            <v>120</v>
          </cell>
          <cell r="CX935" t="str">
            <v xml:space="preserve"> </v>
          </cell>
        </row>
        <row r="937">
          <cell r="CQ937" t="str">
            <v>半技工</v>
          </cell>
          <cell r="CS937" t="str">
            <v xml:space="preserve"> </v>
          </cell>
          <cell r="CT937" t="str">
            <v>工</v>
          </cell>
          <cell r="CU937">
            <v>0.06</v>
          </cell>
          <cell r="CV937">
            <v>560</v>
          </cell>
          <cell r="CW937">
            <v>33.6</v>
          </cell>
        </row>
        <row r="939">
          <cell r="CQ939" t="str">
            <v>普通工</v>
          </cell>
          <cell r="CS939" t="str">
            <v xml:space="preserve"> </v>
          </cell>
          <cell r="CT939" t="str">
            <v>工</v>
          </cell>
          <cell r="CU939">
            <v>0.12</v>
          </cell>
          <cell r="CV939">
            <v>530</v>
          </cell>
          <cell r="CW939">
            <v>63.6</v>
          </cell>
        </row>
        <row r="941">
          <cell r="CQ941" t="str">
            <v>塊石</v>
          </cell>
          <cell r="CT941" t="str">
            <v>m3</v>
          </cell>
          <cell r="CU941">
            <v>0.52</v>
          </cell>
          <cell r="CV941">
            <v>349</v>
          </cell>
          <cell r="CW941">
            <v>181.48</v>
          </cell>
          <cell r="CX941" t="str">
            <v>φ25~30cm</v>
          </cell>
        </row>
        <row r="943">
          <cell r="CQ943" t="str">
            <v>4.191mmφ鍍鋅鐵線</v>
          </cell>
          <cell r="CT943" t="str">
            <v>kg</v>
          </cell>
          <cell r="CU943">
            <v>7.5</v>
          </cell>
          <cell r="CV943">
            <v>80</v>
          </cell>
          <cell r="CW943">
            <v>600</v>
          </cell>
        </row>
        <row r="944">
          <cell r="CQ944" t="str">
            <v>(包括間隔網及綁紮鐵線)</v>
          </cell>
          <cell r="CS944" t="str">
            <v xml:space="preserve"> </v>
          </cell>
          <cell r="CT944" t="str">
            <v xml:space="preserve"> </v>
          </cell>
        </row>
        <row r="945">
          <cell r="CQ945" t="str">
            <v>工具搬運及損耗</v>
          </cell>
          <cell r="CS945" t="str">
            <v xml:space="preserve"> </v>
          </cell>
          <cell r="CT945" t="str">
            <v>式</v>
          </cell>
          <cell r="CU945">
            <v>1</v>
          </cell>
          <cell r="CV945" t="str">
            <v xml:space="preserve"> </v>
          </cell>
          <cell r="CW945">
            <v>5.68</v>
          </cell>
          <cell r="CX945" t="str">
            <v>約工資部份3%</v>
          </cell>
        </row>
        <row r="946">
          <cell r="CQ946" t="str">
            <v xml:space="preserve"> </v>
          </cell>
          <cell r="CT946" t="str">
            <v xml:space="preserve"> </v>
          </cell>
          <cell r="CU946" t="str">
            <v xml:space="preserve"> </v>
          </cell>
          <cell r="CW946" t="str">
            <v xml:space="preserve"> </v>
          </cell>
        </row>
        <row r="947">
          <cell r="CQ947" t="str">
            <v xml:space="preserve"> </v>
          </cell>
          <cell r="CR947" t="str">
            <v xml:space="preserve"> </v>
          </cell>
          <cell r="CT947" t="str">
            <v xml:space="preserve"> </v>
          </cell>
          <cell r="CU947" t="str">
            <v>小計</v>
          </cell>
          <cell r="CV947" t="str">
            <v xml:space="preserve"> </v>
          </cell>
          <cell r="CW947">
            <v>1004.36</v>
          </cell>
        </row>
        <row r="948">
          <cell r="CQ948" t="str">
            <v xml:space="preserve"> </v>
          </cell>
          <cell r="CR948" t="str">
            <v xml:space="preserve"> </v>
          </cell>
          <cell r="CS948" t="str">
            <v xml:space="preserve"> </v>
          </cell>
          <cell r="CT948" t="str">
            <v xml:space="preserve"> </v>
          </cell>
          <cell r="CU948" t="str">
            <v xml:space="preserve"> </v>
          </cell>
          <cell r="CV948" t="str">
            <v xml:space="preserve"> </v>
          </cell>
          <cell r="CW948" t="str">
            <v xml:space="preserve"> </v>
          </cell>
          <cell r="CX948" t="str">
            <v xml:space="preserve"> </v>
          </cell>
        </row>
        <row r="949">
          <cell r="CV949" t="str">
            <v xml:space="preserve"> </v>
          </cell>
          <cell r="CW949" t="str">
            <v xml:space="preserve"> </v>
          </cell>
          <cell r="CX949" t="str">
            <v xml:space="preserve"> </v>
          </cell>
        </row>
        <row r="950">
          <cell r="CQ950" t="str">
            <v xml:space="preserve"> </v>
          </cell>
          <cell r="CS950" t="str">
            <v xml:space="preserve"> </v>
          </cell>
          <cell r="CT950" t="str">
            <v xml:space="preserve"> </v>
          </cell>
          <cell r="CU950" t="str">
            <v xml:space="preserve"> </v>
          </cell>
        </row>
        <row r="951">
          <cell r="CQ951" t="str">
            <v xml:space="preserve"> </v>
          </cell>
          <cell r="CR951" t="str">
            <v>每</v>
          </cell>
          <cell r="CS951" t="str">
            <v>m</v>
          </cell>
          <cell r="CT951" t="str">
            <v>單 價 計</v>
          </cell>
          <cell r="CV951" t="str">
            <v xml:space="preserve"> </v>
          </cell>
          <cell r="CW951">
            <v>1004.36</v>
          </cell>
          <cell r="CX951" t="str">
            <v xml:space="preserve"> </v>
          </cell>
        </row>
        <row r="954">
          <cell r="CQ954" t="str">
            <v xml:space="preserve">號數:  </v>
          </cell>
          <cell r="CS954" t="str">
            <v>工 程 項 目</v>
          </cell>
          <cell r="CU954" t="str">
            <v>路面標線標誌標示</v>
          </cell>
          <cell r="CW954" t="str">
            <v>單    位</v>
          </cell>
          <cell r="CX954" t="str">
            <v>m2</v>
          </cell>
        </row>
        <row r="955">
          <cell r="CQ955" t="str">
            <v>工   程   項   目</v>
          </cell>
          <cell r="CS955" t="str">
            <v>說 明</v>
          </cell>
          <cell r="CT955" t="str">
            <v>單 位</v>
          </cell>
          <cell r="CU955" t="str">
            <v>數  量</v>
          </cell>
          <cell r="CV955" t="str">
            <v>單   價</v>
          </cell>
          <cell r="CW955" t="str">
            <v>總    價</v>
          </cell>
          <cell r="CX955" t="str">
            <v>備    註</v>
          </cell>
        </row>
        <row r="956">
          <cell r="CQ956" t="str">
            <v>一般技工</v>
          </cell>
          <cell r="CS956" t="str">
            <v xml:space="preserve"> </v>
          </cell>
          <cell r="CT956" t="str">
            <v>工</v>
          </cell>
          <cell r="CU956">
            <v>0.01</v>
          </cell>
          <cell r="CV956">
            <v>720</v>
          </cell>
          <cell r="CW956">
            <v>7.2</v>
          </cell>
          <cell r="CX956" t="str">
            <v xml:space="preserve"> </v>
          </cell>
        </row>
        <row r="958">
          <cell r="CQ958" t="str">
            <v>普通工</v>
          </cell>
          <cell r="CS958" t="str">
            <v xml:space="preserve"> </v>
          </cell>
          <cell r="CT958" t="str">
            <v>工</v>
          </cell>
          <cell r="CU958">
            <v>0.02</v>
          </cell>
          <cell r="CV958">
            <v>530</v>
          </cell>
          <cell r="CW958">
            <v>10.6</v>
          </cell>
        </row>
        <row r="960">
          <cell r="CQ960" t="str">
            <v>工具損耗</v>
          </cell>
          <cell r="CT960" t="str">
            <v>式</v>
          </cell>
          <cell r="CU960">
            <v>1</v>
          </cell>
          <cell r="CW960">
            <v>0.95</v>
          </cell>
        </row>
        <row r="962">
          <cell r="CQ962" t="str">
            <v>塑膠標線(原料)</v>
          </cell>
          <cell r="CS962" t="str">
            <v xml:space="preserve"> </v>
          </cell>
          <cell r="CT962" t="str">
            <v>KG</v>
          </cell>
          <cell r="CU962">
            <v>4.29</v>
          </cell>
          <cell r="CV962">
            <v>45</v>
          </cell>
          <cell r="CW962">
            <v>193.05</v>
          </cell>
        </row>
        <row r="964">
          <cell r="CQ964" t="str">
            <v>反光玻璃珠</v>
          </cell>
          <cell r="CS964" t="str">
            <v xml:space="preserve"> </v>
          </cell>
          <cell r="CT964" t="str">
            <v>KG</v>
          </cell>
          <cell r="CU964">
            <v>1.29</v>
          </cell>
          <cell r="CV964">
            <v>40</v>
          </cell>
          <cell r="CW964">
            <v>51.6</v>
          </cell>
        </row>
        <row r="965">
          <cell r="CQ965" t="str">
            <v xml:space="preserve"> </v>
          </cell>
          <cell r="CS965" t="str">
            <v xml:space="preserve"> </v>
          </cell>
          <cell r="CT965" t="str">
            <v xml:space="preserve"> </v>
          </cell>
          <cell r="CU965" t="str">
            <v xml:space="preserve"> </v>
          </cell>
          <cell r="CW965" t="str">
            <v xml:space="preserve"> </v>
          </cell>
        </row>
        <row r="966">
          <cell r="CQ966" t="str">
            <v>粘著劑</v>
          </cell>
          <cell r="CS966" t="str">
            <v xml:space="preserve"> </v>
          </cell>
          <cell r="CT966" t="str">
            <v>KG</v>
          </cell>
          <cell r="CU966">
            <v>0.14000000000000001</v>
          </cell>
          <cell r="CV966">
            <v>80</v>
          </cell>
          <cell r="CW966">
            <v>11.2</v>
          </cell>
        </row>
        <row r="967">
          <cell r="CQ967" t="str">
            <v xml:space="preserve"> </v>
          </cell>
          <cell r="CR967" t="str">
            <v xml:space="preserve"> </v>
          </cell>
          <cell r="CS967" t="str">
            <v xml:space="preserve"> </v>
          </cell>
          <cell r="CT967" t="str">
            <v xml:space="preserve"> </v>
          </cell>
          <cell r="CU967" t="str">
            <v xml:space="preserve"> </v>
          </cell>
          <cell r="CV967" t="str">
            <v xml:space="preserve"> </v>
          </cell>
          <cell r="CW967" t="str">
            <v xml:space="preserve"> </v>
          </cell>
          <cell r="CX967" t="str">
            <v xml:space="preserve"> </v>
          </cell>
        </row>
        <row r="968">
          <cell r="CQ968" t="str">
            <v>機具費</v>
          </cell>
          <cell r="CS968" t="str">
            <v xml:space="preserve"> </v>
          </cell>
          <cell r="CT968" t="str">
            <v>式</v>
          </cell>
          <cell r="CU968">
            <v>1</v>
          </cell>
          <cell r="CV968">
            <v>19.399999999999999</v>
          </cell>
          <cell r="CW968">
            <v>19.399999999999999</v>
          </cell>
          <cell r="CX968" t="str">
            <v xml:space="preserve"> </v>
          </cell>
        </row>
        <row r="969">
          <cell r="CQ969" t="str">
            <v xml:space="preserve"> </v>
          </cell>
          <cell r="CR969" t="str">
            <v xml:space="preserve"> </v>
          </cell>
          <cell r="CS969" t="str">
            <v xml:space="preserve"> </v>
          </cell>
          <cell r="CT969" t="str">
            <v xml:space="preserve"> </v>
          </cell>
          <cell r="CU969" t="str">
            <v xml:space="preserve"> </v>
          </cell>
          <cell r="CV969" t="str">
            <v xml:space="preserve"> </v>
          </cell>
        </row>
        <row r="970">
          <cell r="CQ970" t="str">
            <v xml:space="preserve"> </v>
          </cell>
          <cell r="CS970" t="str">
            <v xml:space="preserve"> </v>
          </cell>
          <cell r="CT970" t="str">
            <v xml:space="preserve"> </v>
          </cell>
          <cell r="CU970" t="str">
            <v>小計</v>
          </cell>
          <cell r="CV970" t="str">
            <v xml:space="preserve"> </v>
          </cell>
          <cell r="CW970">
            <v>294</v>
          </cell>
        </row>
        <row r="971">
          <cell r="CQ971" t="str">
            <v xml:space="preserve"> </v>
          </cell>
          <cell r="CR971" t="str">
            <v xml:space="preserve"> </v>
          </cell>
          <cell r="CS971" t="str">
            <v xml:space="preserve"> </v>
          </cell>
          <cell r="CT971" t="str">
            <v xml:space="preserve"> </v>
          </cell>
          <cell r="CU971" t="str">
            <v xml:space="preserve"> </v>
          </cell>
          <cell r="CV971" t="str">
            <v xml:space="preserve"> </v>
          </cell>
        </row>
        <row r="972">
          <cell r="CQ972" t="str">
            <v xml:space="preserve"> </v>
          </cell>
          <cell r="CR972" t="str">
            <v>每</v>
          </cell>
          <cell r="CS972" t="str">
            <v>m2</v>
          </cell>
          <cell r="CT972" t="str">
            <v>單 價 計</v>
          </cell>
          <cell r="CV972" t="str">
            <v xml:space="preserve"> </v>
          </cell>
          <cell r="CW972">
            <v>294</v>
          </cell>
        </row>
        <row r="1017">
          <cell r="CQ1017" t="str">
            <v>編號:</v>
          </cell>
          <cell r="CR1017" t="str">
            <v xml:space="preserve"> </v>
          </cell>
          <cell r="CS1017" t="str">
            <v>工 程 項 目</v>
          </cell>
          <cell r="CU1017" t="str">
            <v>排水孔</v>
          </cell>
          <cell r="CW1017" t="str">
            <v xml:space="preserve">  單    位</v>
          </cell>
          <cell r="CX1017" t="str">
            <v>個</v>
          </cell>
        </row>
        <row r="1018">
          <cell r="CQ1018" t="str">
            <v xml:space="preserve"> 工   程   項   目</v>
          </cell>
          <cell r="CS1018" t="str">
            <v xml:space="preserve"> 說 明</v>
          </cell>
          <cell r="CT1018" t="str">
            <v xml:space="preserve"> 單 位</v>
          </cell>
          <cell r="CU1018" t="str">
            <v xml:space="preserve"> 數  量</v>
          </cell>
          <cell r="CV1018" t="str">
            <v xml:space="preserve">  單  價</v>
          </cell>
          <cell r="CW1018" t="str">
            <v xml:space="preserve">  總    價 </v>
          </cell>
          <cell r="CX1018" t="str">
            <v>備    註</v>
          </cell>
        </row>
        <row r="1019">
          <cell r="CQ1019" t="str">
            <v>排水孔</v>
          </cell>
          <cell r="CS1019" t="str">
            <v xml:space="preserve"> </v>
          </cell>
          <cell r="CT1019" t="str">
            <v>個</v>
          </cell>
          <cell r="CU1019">
            <v>1</v>
          </cell>
          <cell r="CV1019">
            <v>120</v>
          </cell>
          <cell r="CW1019">
            <v>120</v>
          </cell>
          <cell r="CX1019" t="str">
            <v xml:space="preserve"> </v>
          </cell>
        </row>
        <row r="1021">
          <cell r="CQ1021" t="str">
            <v>剪裁及按裝</v>
          </cell>
          <cell r="CS1021" t="str">
            <v xml:space="preserve"> </v>
          </cell>
          <cell r="CT1021" t="str">
            <v>式</v>
          </cell>
          <cell r="CU1021">
            <v>1</v>
          </cell>
          <cell r="CW1021">
            <v>30</v>
          </cell>
        </row>
        <row r="1023">
          <cell r="CU1023" t="str">
            <v>小計</v>
          </cell>
          <cell r="CV1023" t="str">
            <v xml:space="preserve"> </v>
          </cell>
          <cell r="CW1023">
            <v>150</v>
          </cell>
        </row>
        <row r="1025">
          <cell r="CX1025" t="str">
            <v xml:space="preserve"> </v>
          </cell>
        </row>
        <row r="1029">
          <cell r="CQ1029" t="str">
            <v xml:space="preserve"> </v>
          </cell>
          <cell r="CS1029" t="str">
            <v xml:space="preserve"> </v>
          </cell>
          <cell r="CT1029" t="str">
            <v xml:space="preserve"> </v>
          </cell>
          <cell r="CU1029" t="str">
            <v xml:space="preserve"> </v>
          </cell>
          <cell r="CW1029" t="str">
            <v xml:space="preserve"> </v>
          </cell>
        </row>
        <row r="1032">
          <cell r="CX1032" t="str">
            <v xml:space="preserve"> </v>
          </cell>
        </row>
        <row r="1033">
          <cell r="CQ1033" t="str">
            <v xml:space="preserve"> </v>
          </cell>
          <cell r="CR1033" t="str">
            <v xml:space="preserve"> </v>
          </cell>
          <cell r="CS1033" t="str">
            <v xml:space="preserve"> </v>
          </cell>
          <cell r="CT1033" t="str">
            <v xml:space="preserve"> </v>
          </cell>
          <cell r="CU1033" t="str">
            <v xml:space="preserve"> </v>
          </cell>
          <cell r="CV1033" t="str">
            <v xml:space="preserve"> </v>
          </cell>
        </row>
        <row r="1034">
          <cell r="CQ1034" t="str">
            <v xml:space="preserve"> </v>
          </cell>
          <cell r="CS1034" t="str">
            <v xml:space="preserve"> </v>
          </cell>
          <cell r="CT1034" t="str">
            <v xml:space="preserve"> </v>
          </cell>
          <cell r="CU1034" t="str">
            <v xml:space="preserve"> </v>
          </cell>
          <cell r="CV1034" t="str">
            <v xml:space="preserve"> </v>
          </cell>
        </row>
        <row r="1035">
          <cell r="CQ1035" t="str">
            <v xml:space="preserve"> </v>
          </cell>
          <cell r="CR1035" t="str">
            <v>每</v>
          </cell>
          <cell r="CS1035" t="str">
            <v>個</v>
          </cell>
          <cell r="CT1035" t="str">
            <v>單 價 計</v>
          </cell>
          <cell r="CV1035" t="str">
            <v xml:space="preserve"> </v>
          </cell>
          <cell r="CW1035">
            <v>150</v>
          </cell>
        </row>
        <row r="1038">
          <cell r="CQ1038" t="str">
            <v xml:space="preserve"> 號數 : </v>
          </cell>
          <cell r="CR1038">
            <v>0</v>
          </cell>
          <cell r="CS1038" t="str">
            <v>工 程 項 目</v>
          </cell>
          <cell r="CU1038" t="str">
            <v>護欄</v>
          </cell>
          <cell r="CW1038" t="str">
            <v>單    位</v>
          </cell>
          <cell r="CX1038" t="str">
            <v>M</v>
          </cell>
        </row>
        <row r="1039">
          <cell r="CQ1039" t="str">
            <v>工   程   項   目</v>
          </cell>
          <cell r="CS1039" t="str">
            <v>說 明</v>
          </cell>
          <cell r="CT1039" t="str">
            <v>單 位</v>
          </cell>
          <cell r="CU1039" t="str">
            <v>數  量</v>
          </cell>
          <cell r="CV1039" t="str">
            <v>單   價</v>
          </cell>
          <cell r="CW1039" t="str">
            <v>總    價</v>
          </cell>
          <cell r="CX1039" t="str">
            <v>備    註</v>
          </cell>
        </row>
        <row r="1040">
          <cell r="CQ1040" t="str">
            <v>預拌210kg/cm2混凝土</v>
          </cell>
          <cell r="CS1040" t="str">
            <v xml:space="preserve"> </v>
          </cell>
          <cell r="CT1040" t="str">
            <v>M3</v>
          </cell>
          <cell r="CU1040">
            <v>0.08</v>
          </cell>
          <cell r="CV1040">
            <v>1600</v>
          </cell>
          <cell r="CW1040">
            <v>128</v>
          </cell>
        </row>
        <row r="1042">
          <cell r="CQ1042" t="str">
            <v>軀體模板製作及裝拆(裸露)</v>
          </cell>
          <cell r="CS1042" t="str">
            <v xml:space="preserve"> </v>
          </cell>
          <cell r="CT1042" t="str">
            <v>M2</v>
          </cell>
          <cell r="CU1042">
            <v>0.71</v>
          </cell>
          <cell r="CV1042">
            <v>306</v>
          </cell>
          <cell r="CW1042">
            <v>217.26</v>
          </cell>
          <cell r="CX1042" t="str">
            <v xml:space="preserve"> </v>
          </cell>
        </row>
        <row r="1044">
          <cell r="CQ1044" t="str">
            <v>鋼筋</v>
          </cell>
          <cell r="CS1044" t="str">
            <v xml:space="preserve"> </v>
          </cell>
          <cell r="CT1044" t="str">
            <v>KG</v>
          </cell>
          <cell r="CU1044">
            <v>10.039999999999999</v>
          </cell>
          <cell r="CV1044">
            <v>10.5</v>
          </cell>
          <cell r="CW1044">
            <v>105.42</v>
          </cell>
          <cell r="CX1044" t="str">
            <v xml:space="preserve"> </v>
          </cell>
        </row>
        <row r="1046">
          <cell r="CQ1046" t="str">
            <v>抿石子(二分石)</v>
          </cell>
          <cell r="CS1046" t="str">
            <v xml:space="preserve"> </v>
          </cell>
          <cell r="CT1046" t="str">
            <v>M2</v>
          </cell>
          <cell r="CU1046">
            <v>0.75</v>
          </cell>
          <cell r="CV1046">
            <v>950</v>
          </cell>
          <cell r="CW1046">
            <v>712.5</v>
          </cell>
          <cell r="CX1046" t="str">
            <v xml:space="preserve"> </v>
          </cell>
        </row>
        <row r="1048">
          <cell r="CQ1048" t="str">
            <v>φ4"鍍鋅鋼管GIP</v>
          </cell>
          <cell r="CT1048" t="str">
            <v>M</v>
          </cell>
          <cell r="CU1048">
            <v>3</v>
          </cell>
          <cell r="CV1048">
            <v>210</v>
          </cell>
          <cell r="CW1048">
            <v>630</v>
          </cell>
        </row>
        <row r="1050">
          <cell r="CQ1050" t="str">
            <v>鋼管烤漆</v>
          </cell>
          <cell r="CT1050" t="str">
            <v>式</v>
          </cell>
          <cell r="CU1050">
            <v>1</v>
          </cell>
          <cell r="CV1050">
            <v>280</v>
          </cell>
          <cell r="CW1050">
            <v>280</v>
          </cell>
        </row>
        <row r="1051">
          <cell r="CQ1051" t="str">
            <v xml:space="preserve"> </v>
          </cell>
          <cell r="CS1051" t="str">
            <v xml:space="preserve"> </v>
          </cell>
          <cell r="CT1051" t="str">
            <v xml:space="preserve"> </v>
          </cell>
          <cell r="CU1051" t="str">
            <v xml:space="preserve"> </v>
          </cell>
        </row>
        <row r="1052">
          <cell r="CQ1052" t="str">
            <v>五金另料</v>
          </cell>
          <cell r="CT1052" t="str">
            <v>式</v>
          </cell>
          <cell r="CU1052">
            <v>1</v>
          </cell>
          <cell r="CV1052">
            <v>26.82</v>
          </cell>
          <cell r="CW1052">
            <v>26.82</v>
          </cell>
        </row>
        <row r="1053">
          <cell r="CQ1053" t="str">
            <v xml:space="preserve"> </v>
          </cell>
          <cell r="CR1053" t="str">
            <v xml:space="preserve"> </v>
          </cell>
          <cell r="CS1053" t="str">
            <v xml:space="preserve"> </v>
          </cell>
          <cell r="CT1053" t="str">
            <v xml:space="preserve"> </v>
          </cell>
          <cell r="CU1053" t="str">
            <v xml:space="preserve"> </v>
          </cell>
          <cell r="CV1053" t="str">
            <v xml:space="preserve"> </v>
          </cell>
        </row>
        <row r="1055">
          <cell r="CQ1055" t="str">
            <v xml:space="preserve"> </v>
          </cell>
          <cell r="CS1055" t="str">
            <v xml:space="preserve"> </v>
          </cell>
          <cell r="CT1055" t="str">
            <v xml:space="preserve"> </v>
          </cell>
          <cell r="CU1055" t="str">
            <v xml:space="preserve"> </v>
          </cell>
        </row>
        <row r="1056">
          <cell r="CQ1056" t="str">
            <v xml:space="preserve"> </v>
          </cell>
          <cell r="CR1056" t="str">
            <v>每</v>
          </cell>
          <cell r="CS1056" t="str">
            <v>M</v>
          </cell>
          <cell r="CT1056" t="str">
            <v>單 價 計</v>
          </cell>
          <cell r="CV1056" t="str">
            <v xml:space="preserve"> </v>
          </cell>
          <cell r="CW1056">
            <v>2100.0000000000005</v>
          </cell>
        </row>
        <row r="1059">
          <cell r="CQ1059" t="str">
            <v xml:space="preserve"> 編號 :</v>
          </cell>
          <cell r="CR1059">
            <v>0</v>
          </cell>
          <cell r="CS1059" t="str">
            <v>工 程 項 目</v>
          </cell>
          <cell r="CU1059" t="str">
            <v>預置式排水器</v>
          </cell>
          <cell r="CW1059" t="str">
            <v>單    位</v>
          </cell>
          <cell r="CX1059" t="str">
            <v>處</v>
          </cell>
        </row>
        <row r="1060">
          <cell r="CQ1060" t="str">
            <v>工   程   項   目</v>
          </cell>
          <cell r="CS1060" t="str">
            <v>說 明</v>
          </cell>
          <cell r="CT1060" t="str">
            <v>單 位</v>
          </cell>
          <cell r="CU1060" t="str">
            <v>數  量</v>
          </cell>
          <cell r="CV1060" t="str">
            <v>單  價</v>
          </cell>
          <cell r="CW1060" t="str">
            <v>總    價</v>
          </cell>
          <cell r="CX1060" t="str">
            <v>備    註</v>
          </cell>
        </row>
        <row r="1061">
          <cell r="CQ1061" t="str">
            <v>過濾框</v>
          </cell>
          <cell r="CS1061" t="str">
            <v xml:space="preserve"> </v>
          </cell>
          <cell r="CT1061" t="str">
            <v>個</v>
          </cell>
          <cell r="CU1061">
            <v>1</v>
          </cell>
          <cell r="CV1061">
            <v>40</v>
          </cell>
          <cell r="CW1061">
            <v>40</v>
          </cell>
          <cell r="CX1061" t="str">
            <v xml:space="preserve"> </v>
          </cell>
        </row>
        <row r="1063">
          <cell r="CQ1063" t="str">
            <v>固定框</v>
          </cell>
          <cell r="CS1063" t="str">
            <v xml:space="preserve"> </v>
          </cell>
          <cell r="CT1063" t="str">
            <v>個</v>
          </cell>
          <cell r="CU1063">
            <v>1</v>
          </cell>
          <cell r="CV1063">
            <v>25</v>
          </cell>
          <cell r="CW1063">
            <v>25</v>
          </cell>
        </row>
        <row r="1065">
          <cell r="CQ1065" t="str">
            <v>φ3"PVC管</v>
          </cell>
          <cell r="CS1065" t="str">
            <v xml:space="preserve"> </v>
          </cell>
          <cell r="CT1065" t="str">
            <v>M</v>
          </cell>
          <cell r="CU1065">
            <v>0.8</v>
          </cell>
          <cell r="CV1065">
            <v>60</v>
          </cell>
          <cell r="CW1065">
            <v>48</v>
          </cell>
        </row>
        <row r="1067">
          <cell r="CQ1067" t="str">
            <v>小工</v>
          </cell>
          <cell r="CS1067" t="str">
            <v xml:space="preserve"> </v>
          </cell>
          <cell r="CT1067" t="str">
            <v>工</v>
          </cell>
          <cell r="CU1067">
            <v>0.01</v>
          </cell>
          <cell r="CV1067">
            <v>520</v>
          </cell>
          <cell r="CW1067">
            <v>5.2</v>
          </cell>
          <cell r="CX1067" t="str">
            <v xml:space="preserve"> </v>
          </cell>
        </row>
        <row r="1069">
          <cell r="CQ1069" t="str">
            <v>工具損耗</v>
          </cell>
          <cell r="CS1069" t="str">
            <v>約3%</v>
          </cell>
          <cell r="CT1069" t="str">
            <v>式</v>
          </cell>
          <cell r="CU1069">
            <v>1</v>
          </cell>
          <cell r="CV1069" t="str">
            <v xml:space="preserve"> </v>
          </cell>
          <cell r="CW1069">
            <v>1.8</v>
          </cell>
        </row>
        <row r="1071">
          <cell r="CU1071" t="str">
            <v>小計</v>
          </cell>
          <cell r="CV1071" t="str">
            <v xml:space="preserve"> </v>
          </cell>
          <cell r="CW1071">
            <v>120</v>
          </cell>
        </row>
        <row r="1072">
          <cell r="CQ1072" t="str">
            <v xml:space="preserve"> </v>
          </cell>
          <cell r="CR1072" t="str">
            <v xml:space="preserve"> </v>
          </cell>
          <cell r="CS1072" t="str">
            <v xml:space="preserve"> </v>
          </cell>
          <cell r="CT1072" t="str">
            <v xml:space="preserve"> </v>
          </cell>
          <cell r="CU1072" t="str">
            <v xml:space="preserve"> </v>
          </cell>
          <cell r="CV1072" t="str">
            <v xml:space="preserve"> </v>
          </cell>
          <cell r="CW1072" t="str">
            <v xml:space="preserve"> </v>
          </cell>
          <cell r="CX1072" t="str">
            <v xml:space="preserve"> </v>
          </cell>
        </row>
        <row r="1073">
          <cell r="CQ1073" t="str">
            <v xml:space="preserve"> </v>
          </cell>
          <cell r="CR1073" t="str">
            <v xml:space="preserve"> </v>
          </cell>
          <cell r="CS1073" t="str">
            <v xml:space="preserve"> </v>
          </cell>
          <cell r="CT1073" t="str">
            <v xml:space="preserve"> </v>
          </cell>
          <cell r="CU1073" t="str">
            <v xml:space="preserve"> </v>
          </cell>
          <cell r="CV1073" t="str">
            <v xml:space="preserve"> </v>
          </cell>
        </row>
        <row r="1074">
          <cell r="CQ1074" t="str">
            <v xml:space="preserve"> </v>
          </cell>
          <cell r="CS1074" t="str">
            <v xml:space="preserve"> </v>
          </cell>
          <cell r="CT1074" t="str">
            <v xml:space="preserve"> </v>
          </cell>
          <cell r="CU1074" t="str">
            <v xml:space="preserve"> </v>
          </cell>
          <cell r="CV1074" t="str">
            <v xml:space="preserve"> </v>
          </cell>
        </row>
        <row r="1075">
          <cell r="CQ1075" t="str">
            <v xml:space="preserve"> </v>
          </cell>
          <cell r="CR1075" t="str">
            <v xml:space="preserve"> </v>
          </cell>
          <cell r="CS1075" t="str">
            <v xml:space="preserve"> </v>
          </cell>
          <cell r="CT1075" t="str">
            <v xml:space="preserve"> </v>
          </cell>
          <cell r="CU1075" t="str">
            <v xml:space="preserve"> </v>
          </cell>
          <cell r="CV1075" t="str">
            <v xml:space="preserve"> </v>
          </cell>
        </row>
        <row r="1077">
          <cell r="CQ1077" t="str">
            <v xml:space="preserve"> </v>
          </cell>
          <cell r="CR1077" t="str">
            <v>每</v>
          </cell>
          <cell r="CS1077" t="str">
            <v>處</v>
          </cell>
          <cell r="CT1077" t="str">
            <v>單 價 計</v>
          </cell>
          <cell r="CV1077" t="str">
            <v xml:space="preserve"> </v>
          </cell>
          <cell r="CW1077">
            <v>120</v>
          </cell>
        </row>
        <row r="1164">
          <cell r="CQ1164" t="str">
            <v>編號:</v>
          </cell>
          <cell r="CR1164" t="str">
            <v xml:space="preserve"> </v>
          </cell>
          <cell r="CS1164" t="str">
            <v>工 程 項 目</v>
          </cell>
          <cell r="CU1164" t="str">
            <v>機械埋設涵管φ30cm</v>
          </cell>
          <cell r="CW1164" t="str">
            <v>單    位</v>
          </cell>
          <cell r="CX1164" t="str">
            <v>支</v>
          </cell>
        </row>
        <row r="1165">
          <cell r="CQ1165" t="str">
            <v>工   程   項   目</v>
          </cell>
          <cell r="CS1165" t="str">
            <v>說 明</v>
          </cell>
          <cell r="CT1165" t="str">
            <v>單 位</v>
          </cell>
          <cell r="CU1165" t="str">
            <v>數  量</v>
          </cell>
          <cell r="CV1165" t="str">
            <v>單   價</v>
          </cell>
          <cell r="CW1165" t="str">
            <v>總    價</v>
          </cell>
          <cell r="CX1165" t="str">
            <v>備    註</v>
          </cell>
        </row>
        <row r="1166">
          <cell r="CQ1166" t="str">
            <v>特種技工</v>
          </cell>
          <cell r="CS1166" t="str">
            <v xml:space="preserve"> </v>
          </cell>
          <cell r="CT1166" t="str">
            <v>工</v>
          </cell>
          <cell r="CU1166">
            <v>0.02</v>
          </cell>
          <cell r="CV1166">
            <v>800</v>
          </cell>
          <cell r="CW1166">
            <v>16</v>
          </cell>
          <cell r="CX1166" t="str">
            <v>涵管長度L=2.5m</v>
          </cell>
        </row>
        <row r="1168">
          <cell r="CQ1168" t="str">
            <v>普通工</v>
          </cell>
          <cell r="CS1168" t="str">
            <v xml:space="preserve"> </v>
          </cell>
          <cell r="CT1168" t="str">
            <v>工</v>
          </cell>
          <cell r="CU1168">
            <v>0.1</v>
          </cell>
          <cell r="CV1168">
            <v>530</v>
          </cell>
          <cell r="CW1168">
            <v>53</v>
          </cell>
          <cell r="CX1168" t="str">
            <v>含接頭.灌漿</v>
          </cell>
        </row>
        <row r="1170">
          <cell r="CQ1170" t="str">
            <v>機具費</v>
          </cell>
          <cell r="CT1170" t="str">
            <v>小時</v>
          </cell>
          <cell r="CU1170">
            <v>0.15</v>
          </cell>
          <cell r="CV1170">
            <v>750</v>
          </cell>
          <cell r="CW1170">
            <v>112.5</v>
          </cell>
          <cell r="CX1170" t="str">
            <v xml:space="preserve"> 0.4m3挖土機</v>
          </cell>
        </row>
        <row r="1172">
          <cell r="CQ1172" t="str">
            <v>工具搬運及損耗</v>
          </cell>
          <cell r="CS1172" t="str">
            <v>約3%</v>
          </cell>
          <cell r="CT1172" t="str">
            <v>式</v>
          </cell>
          <cell r="CU1172">
            <v>1</v>
          </cell>
          <cell r="CV1172" t="str">
            <v xml:space="preserve"> </v>
          </cell>
          <cell r="CW1172">
            <v>1.5</v>
          </cell>
          <cell r="CX1172" t="str">
            <v>含水泥砂漿</v>
          </cell>
        </row>
        <row r="1174">
          <cell r="CQ1174" t="str">
            <v xml:space="preserve"> </v>
          </cell>
          <cell r="CR1174" t="str">
            <v xml:space="preserve"> </v>
          </cell>
          <cell r="CS1174" t="str">
            <v xml:space="preserve"> </v>
          </cell>
          <cell r="CT1174" t="str">
            <v xml:space="preserve"> </v>
          </cell>
          <cell r="CU1174" t="str">
            <v>小計</v>
          </cell>
          <cell r="CV1174" t="str">
            <v xml:space="preserve"> </v>
          </cell>
          <cell r="CW1174">
            <v>183</v>
          </cell>
          <cell r="CX1174" t="str">
            <v xml:space="preserve"> </v>
          </cell>
        </row>
        <row r="1181">
          <cell r="CQ1181" t="str">
            <v xml:space="preserve"> </v>
          </cell>
          <cell r="CR1181" t="str">
            <v xml:space="preserve"> </v>
          </cell>
          <cell r="CS1181" t="str">
            <v xml:space="preserve"> </v>
          </cell>
          <cell r="CT1181" t="str">
            <v xml:space="preserve"> </v>
          </cell>
          <cell r="CU1181" t="str">
            <v xml:space="preserve"> </v>
          </cell>
          <cell r="CV1181" t="str">
            <v xml:space="preserve"> </v>
          </cell>
        </row>
        <row r="1182">
          <cell r="CQ1182" t="str">
            <v xml:space="preserve"> </v>
          </cell>
          <cell r="CR1182" t="str">
            <v>每</v>
          </cell>
          <cell r="CS1182" t="str">
            <v>支</v>
          </cell>
          <cell r="CT1182" t="str">
            <v>單 價 計</v>
          </cell>
          <cell r="CV1182" t="str">
            <v xml:space="preserve"> </v>
          </cell>
          <cell r="CW1182">
            <v>183</v>
          </cell>
        </row>
        <row r="1185">
          <cell r="CQ1185" t="str">
            <v>編號:</v>
          </cell>
          <cell r="CR1185" t="str">
            <v xml:space="preserve"> </v>
          </cell>
          <cell r="CS1185" t="str">
            <v>工 程 項 目</v>
          </cell>
          <cell r="CU1185" t="str">
            <v>機械埋設涵管φ45cm</v>
          </cell>
          <cell r="CW1185" t="str">
            <v>單    位</v>
          </cell>
          <cell r="CX1185" t="str">
            <v>支</v>
          </cell>
        </row>
        <row r="1186">
          <cell r="CQ1186" t="str">
            <v>工   程   項   目</v>
          </cell>
          <cell r="CS1186" t="str">
            <v>說 明</v>
          </cell>
          <cell r="CT1186" t="str">
            <v>單 位</v>
          </cell>
          <cell r="CU1186" t="str">
            <v>數  量</v>
          </cell>
          <cell r="CV1186" t="str">
            <v>單   價</v>
          </cell>
          <cell r="CW1186" t="str">
            <v>總    價</v>
          </cell>
          <cell r="CX1186" t="str">
            <v>備    註</v>
          </cell>
        </row>
        <row r="1187">
          <cell r="CQ1187" t="str">
            <v>特種技工</v>
          </cell>
          <cell r="CS1187" t="str">
            <v xml:space="preserve"> </v>
          </cell>
          <cell r="CT1187" t="str">
            <v>工</v>
          </cell>
          <cell r="CU1187">
            <v>7.0000000000000007E-2</v>
          </cell>
          <cell r="CV1187">
            <v>800</v>
          </cell>
          <cell r="CW1187">
            <v>56</v>
          </cell>
          <cell r="CX1187" t="str">
            <v>涵管長度L=2.5m</v>
          </cell>
        </row>
        <row r="1189">
          <cell r="CQ1189" t="str">
            <v>普通工</v>
          </cell>
          <cell r="CS1189" t="str">
            <v xml:space="preserve"> </v>
          </cell>
          <cell r="CT1189" t="str">
            <v>工</v>
          </cell>
          <cell r="CU1189">
            <v>0.15</v>
          </cell>
          <cell r="CV1189">
            <v>530</v>
          </cell>
          <cell r="CW1189">
            <v>79.5</v>
          </cell>
          <cell r="CX1189" t="str">
            <v>含接頭.灌漿</v>
          </cell>
        </row>
        <row r="1191">
          <cell r="CQ1191" t="str">
            <v>機具費</v>
          </cell>
          <cell r="CT1191" t="str">
            <v>小時</v>
          </cell>
          <cell r="CU1191">
            <v>0.4</v>
          </cell>
          <cell r="CV1191">
            <v>750</v>
          </cell>
          <cell r="CW1191">
            <v>300</v>
          </cell>
          <cell r="CX1191" t="str">
            <v xml:space="preserve"> 0.4m3挖土機</v>
          </cell>
        </row>
        <row r="1193">
          <cell r="CQ1193" t="str">
            <v>工具搬運及損耗</v>
          </cell>
          <cell r="CS1193" t="str">
            <v>約3%</v>
          </cell>
          <cell r="CT1193" t="str">
            <v>式</v>
          </cell>
          <cell r="CU1193">
            <v>1</v>
          </cell>
          <cell r="CV1193" t="str">
            <v xml:space="preserve"> </v>
          </cell>
          <cell r="CW1193">
            <v>3.5</v>
          </cell>
          <cell r="CX1193" t="str">
            <v>含水泥砂漿</v>
          </cell>
        </row>
        <row r="1195">
          <cell r="CQ1195" t="str">
            <v xml:space="preserve"> </v>
          </cell>
          <cell r="CR1195" t="str">
            <v xml:space="preserve"> </v>
          </cell>
          <cell r="CS1195" t="str">
            <v xml:space="preserve"> </v>
          </cell>
          <cell r="CT1195" t="str">
            <v xml:space="preserve"> </v>
          </cell>
          <cell r="CU1195" t="str">
            <v>小計</v>
          </cell>
          <cell r="CV1195" t="str">
            <v xml:space="preserve"> </v>
          </cell>
          <cell r="CW1195">
            <v>439</v>
          </cell>
        </row>
        <row r="1202">
          <cell r="CQ1202" t="str">
            <v xml:space="preserve"> </v>
          </cell>
          <cell r="CR1202" t="str">
            <v xml:space="preserve"> </v>
          </cell>
          <cell r="CS1202" t="str">
            <v xml:space="preserve"> </v>
          </cell>
          <cell r="CT1202" t="str">
            <v xml:space="preserve"> </v>
          </cell>
          <cell r="CU1202" t="str">
            <v xml:space="preserve"> </v>
          </cell>
          <cell r="CV1202" t="str">
            <v xml:space="preserve"> </v>
          </cell>
        </row>
        <row r="1203">
          <cell r="CQ1203" t="str">
            <v xml:space="preserve"> </v>
          </cell>
          <cell r="CR1203" t="str">
            <v>每</v>
          </cell>
          <cell r="CS1203" t="str">
            <v>支</v>
          </cell>
          <cell r="CT1203" t="str">
            <v>單 價 計</v>
          </cell>
          <cell r="CV1203" t="str">
            <v xml:space="preserve"> </v>
          </cell>
          <cell r="CW1203">
            <v>439</v>
          </cell>
        </row>
        <row r="1206">
          <cell r="CQ1206" t="str">
            <v>編號:</v>
          </cell>
          <cell r="CR1206" t="str">
            <v xml:space="preserve"> </v>
          </cell>
          <cell r="CS1206" t="str">
            <v>工 程 項 目</v>
          </cell>
          <cell r="CU1206" t="str">
            <v>機械埋設涵管φ60cm</v>
          </cell>
          <cell r="CW1206" t="str">
            <v>單    位</v>
          </cell>
          <cell r="CX1206" t="str">
            <v>支</v>
          </cell>
        </row>
        <row r="1207">
          <cell r="CQ1207" t="str">
            <v>工   程   項   目</v>
          </cell>
          <cell r="CS1207" t="str">
            <v>說 明</v>
          </cell>
          <cell r="CT1207" t="str">
            <v>單 位</v>
          </cell>
          <cell r="CU1207" t="str">
            <v>數  量</v>
          </cell>
          <cell r="CV1207" t="str">
            <v>單   價</v>
          </cell>
          <cell r="CW1207" t="str">
            <v>總    價</v>
          </cell>
          <cell r="CX1207" t="str">
            <v>備    註</v>
          </cell>
        </row>
        <row r="1208">
          <cell r="CQ1208" t="str">
            <v>特種技工</v>
          </cell>
          <cell r="CS1208" t="str">
            <v xml:space="preserve"> </v>
          </cell>
          <cell r="CT1208" t="str">
            <v>工</v>
          </cell>
          <cell r="CU1208">
            <v>0.08</v>
          </cell>
          <cell r="CV1208">
            <v>800</v>
          </cell>
          <cell r="CW1208">
            <v>64</v>
          </cell>
          <cell r="CX1208" t="str">
            <v>涵管長度L=2.5m</v>
          </cell>
        </row>
        <row r="1210">
          <cell r="CQ1210" t="str">
            <v>普通工</v>
          </cell>
          <cell r="CS1210" t="str">
            <v xml:space="preserve"> </v>
          </cell>
          <cell r="CT1210" t="str">
            <v>工</v>
          </cell>
          <cell r="CU1210">
            <v>0.2</v>
          </cell>
          <cell r="CV1210">
            <v>530</v>
          </cell>
          <cell r="CW1210">
            <v>106</v>
          </cell>
          <cell r="CX1210" t="str">
            <v>含接頭.灌漿</v>
          </cell>
        </row>
        <row r="1212">
          <cell r="CQ1212" t="str">
            <v>機具費</v>
          </cell>
          <cell r="CT1212" t="str">
            <v>小時</v>
          </cell>
          <cell r="CU1212">
            <v>0.56999999999999995</v>
          </cell>
          <cell r="CV1212">
            <v>750</v>
          </cell>
          <cell r="CW1212">
            <v>427.5</v>
          </cell>
          <cell r="CX1212" t="str">
            <v xml:space="preserve"> 0.4m3挖土機</v>
          </cell>
        </row>
        <row r="1214">
          <cell r="CQ1214" t="str">
            <v>工具搬運及損耗</v>
          </cell>
          <cell r="CS1214" t="str">
            <v>約3%</v>
          </cell>
          <cell r="CT1214" t="str">
            <v>式</v>
          </cell>
          <cell r="CU1214">
            <v>1</v>
          </cell>
          <cell r="CV1214" t="str">
            <v xml:space="preserve"> </v>
          </cell>
          <cell r="CW1214">
            <v>4.5</v>
          </cell>
          <cell r="CX1214" t="str">
            <v>含水泥砂漿</v>
          </cell>
        </row>
        <row r="1216">
          <cell r="CQ1216" t="str">
            <v xml:space="preserve"> </v>
          </cell>
          <cell r="CR1216" t="str">
            <v xml:space="preserve"> </v>
          </cell>
          <cell r="CS1216" t="str">
            <v xml:space="preserve"> </v>
          </cell>
          <cell r="CT1216" t="str">
            <v xml:space="preserve"> </v>
          </cell>
          <cell r="CU1216" t="str">
            <v>小計</v>
          </cell>
          <cell r="CV1216" t="str">
            <v xml:space="preserve"> </v>
          </cell>
          <cell r="CW1216">
            <v>602</v>
          </cell>
        </row>
        <row r="1223">
          <cell r="CQ1223" t="str">
            <v xml:space="preserve"> </v>
          </cell>
          <cell r="CR1223" t="str">
            <v xml:space="preserve"> </v>
          </cell>
          <cell r="CS1223" t="str">
            <v xml:space="preserve"> </v>
          </cell>
          <cell r="CT1223" t="str">
            <v xml:space="preserve"> </v>
          </cell>
          <cell r="CU1223" t="str">
            <v xml:space="preserve"> </v>
          </cell>
          <cell r="CV1223" t="str">
            <v xml:space="preserve"> </v>
          </cell>
        </row>
        <row r="1224">
          <cell r="CQ1224" t="str">
            <v xml:space="preserve"> </v>
          </cell>
          <cell r="CR1224" t="str">
            <v>每</v>
          </cell>
          <cell r="CS1224" t="str">
            <v>支</v>
          </cell>
          <cell r="CT1224" t="str">
            <v>單 價 計</v>
          </cell>
          <cell r="CV1224" t="str">
            <v xml:space="preserve"> </v>
          </cell>
          <cell r="CW1224">
            <v>602</v>
          </cell>
        </row>
        <row r="1227">
          <cell r="CQ1227" t="str">
            <v>編號:</v>
          </cell>
          <cell r="CR1227" t="str">
            <v xml:space="preserve"> </v>
          </cell>
          <cell r="CS1227" t="str">
            <v>工 程 項 目</v>
          </cell>
          <cell r="CU1227" t="str">
            <v>機械埋設涵管φ90cm</v>
          </cell>
          <cell r="CW1227" t="str">
            <v>單    位</v>
          </cell>
          <cell r="CX1227" t="str">
            <v>支</v>
          </cell>
        </row>
        <row r="1228">
          <cell r="CQ1228" t="str">
            <v>工   程   項   目</v>
          </cell>
          <cell r="CS1228" t="str">
            <v>說 明</v>
          </cell>
          <cell r="CT1228" t="str">
            <v>單 位</v>
          </cell>
          <cell r="CU1228" t="str">
            <v>數  量</v>
          </cell>
          <cell r="CV1228" t="str">
            <v>單   價</v>
          </cell>
          <cell r="CW1228" t="str">
            <v>總    價</v>
          </cell>
          <cell r="CX1228" t="str">
            <v>備    註</v>
          </cell>
        </row>
        <row r="1229">
          <cell r="CQ1229" t="str">
            <v>特種技工</v>
          </cell>
          <cell r="CS1229" t="str">
            <v xml:space="preserve"> </v>
          </cell>
          <cell r="CT1229" t="str">
            <v>工</v>
          </cell>
          <cell r="CU1229">
            <v>0.09</v>
          </cell>
          <cell r="CV1229">
            <v>800</v>
          </cell>
          <cell r="CW1229">
            <v>72</v>
          </cell>
          <cell r="CX1229" t="str">
            <v>涵管長度L=2.5m</v>
          </cell>
        </row>
        <row r="1231">
          <cell r="CQ1231" t="str">
            <v>普通工</v>
          </cell>
          <cell r="CS1231" t="str">
            <v xml:space="preserve"> </v>
          </cell>
          <cell r="CT1231" t="str">
            <v>工</v>
          </cell>
          <cell r="CU1231">
            <v>0.35</v>
          </cell>
          <cell r="CV1231">
            <v>530</v>
          </cell>
          <cell r="CW1231">
            <v>185.5</v>
          </cell>
          <cell r="CX1231" t="str">
            <v>含接頭.灌漿</v>
          </cell>
        </row>
        <row r="1233">
          <cell r="CQ1233" t="str">
            <v>機具費</v>
          </cell>
          <cell r="CT1233" t="str">
            <v>小時</v>
          </cell>
          <cell r="CU1233">
            <v>0.67</v>
          </cell>
          <cell r="CV1233">
            <v>750</v>
          </cell>
          <cell r="CW1233">
            <v>502.5</v>
          </cell>
          <cell r="CX1233" t="str">
            <v xml:space="preserve"> 0.4m3挖土機</v>
          </cell>
        </row>
        <row r="1235">
          <cell r="CQ1235" t="str">
            <v>工具搬運及損耗</v>
          </cell>
          <cell r="CS1235" t="str">
            <v>約3%</v>
          </cell>
          <cell r="CT1235" t="str">
            <v>式</v>
          </cell>
          <cell r="CU1235">
            <v>1</v>
          </cell>
          <cell r="CV1235" t="str">
            <v xml:space="preserve"> </v>
          </cell>
          <cell r="CW1235">
            <v>7</v>
          </cell>
          <cell r="CX1235" t="str">
            <v>含水泥砂漿</v>
          </cell>
        </row>
        <row r="1237">
          <cell r="CQ1237" t="str">
            <v xml:space="preserve"> </v>
          </cell>
          <cell r="CR1237" t="str">
            <v xml:space="preserve"> </v>
          </cell>
          <cell r="CS1237" t="str">
            <v xml:space="preserve"> </v>
          </cell>
          <cell r="CT1237" t="str">
            <v xml:space="preserve"> </v>
          </cell>
          <cell r="CU1237" t="str">
            <v>小計</v>
          </cell>
          <cell r="CV1237" t="str">
            <v xml:space="preserve"> </v>
          </cell>
          <cell r="CW1237">
            <v>767</v>
          </cell>
        </row>
        <row r="1244">
          <cell r="CQ1244" t="str">
            <v xml:space="preserve"> </v>
          </cell>
          <cell r="CR1244" t="str">
            <v xml:space="preserve"> </v>
          </cell>
          <cell r="CS1244" t="str">
            <v xml:space="preserve"> </v>
          </cell>
          <cell r="CT1244" t="str">
            <v xml:space="preserve"> </v>
          </cell>
          <cell r="CU1244" t="str">
            <v xml:space="preserve"> </v>
          </cell>
          <cell r="CV1244" t="str">
            <v xml:space="preserve"> </v>
          </cell>
        </row>
        <row r="1245">
          <cell r="CQ1245" t="str">
            <v xml:space="preserve"> </v>
          </cell>
          <cell r="CR1245" t="str">
            <v>每</v>
          </cell>
          <cell r="CS1245" t="str">
            <v>支</v>
          </cell>
          <cell r="CT1245" t="str">
            <v>單 價 計</v>
          </cell>
          <cell r="CV1245" t="str">
            <v xml:space="preserve"> </v>
          </cell>
          <cell r="CW1245">
            <v>767</v>
          </cell>
        </row>
        <row r="1248">
          <cell r="CQ1248" t="str">
            <v>編號:</v>
          </cell>
          <cell r="CR1248" t="str">
            <v xml:space="preserve"> </v>
          </cell>
          <cell r="CS1248" t="str">
            <v>工 程 項 目</v>
          </cell>
          <cell r="CU1248" t="str">
            <v>機械埋設涵管φ120cm</v>
          </cell>
          <cell r="CW1248" t="str">
            <v>單    位</v>
          </cell>
          <cell r="CX1248" t="str">
            <v>支</v>
          </cell>
        </row>
        <row r="1249">
          <cell r="CQ1249" t="str">
            <v>工   程   項   目</v>
          </cell>
          <cell r="CS1249" t="str">
            <v>說 明</v>
          </cell>
          <cell r="CT1249" t="str">
            <v>單 位</v>
          </cell>
          <cell r="CU1249" t="str">
            <v>數  量</v>
          </cell>
          <cell r="CV1249" t="str">
            <v>單   價</v>
          </cell>
          <cell r="CW1249" t="str">
            <v>總    價</v>
          </cell>
          <cell r="CX1249" t="str">
            <v>備    註</v>
          </cell>
        </row>
        <row r="1250">
          <cell r="CQ1250" t="str">
            <v>特種技工</v>
          </cell>
          <cell r="CS1250" t="str">
            <v xml:space="preserve"> </v>
          </cell>
          <cell r="CT1250" t="str">
            <v>工</v>
          </cell>
          <cell r="CU1250">
            <v>0.15</v>
          </cell>
          <cell r="CV1250">
            <v>800</v>
          </cell>
          <cell r="CW1250">
            <v>120</v>
          </cell>
          <cell r="CX1250" t="str">
            <v>涵管長度L=2.5m</v>
          </cell>
        </row>
        <row r="1252">
          <cell r="CQ1252" t="str">
            <v>普通工</v>
          </cell>
          <cell r="CS1252" t="str">
            <v xml:space="preserve"> </v>
          </cell>
          <cell r="CT1252" t="str">
            <v>工</v>
          </cell>
          <cell r="CU1252">
            <v>0.6</v>
          </cell>
          <cell r="CV1252">
            <v>530</v>
          </cell>
          <cell r="CW1252">
            <v>318</v>
          </cell>
          <cell r="CX1252" t="str">
            <v>含接頭.灌漿</v>
          </cell>
        </row>
        <row r="1254">
          <cell r="CQ1254" t="str">
            <v>機具費</v>
          </cell>
          <cell r="CT1254" t="str">
            <v>小時</v>
          </cell>
          <cell r="CU1254">
            <v>1</v>
          </cell>
          <cell r="CV1254">
            <v>750</v>
          </cell>
          <cell r="CW1254">
            <v>750</v>
          </cell>
          <cell r="CX1254" t="str">
            <v xml:space="preserve"> 0.4m3挖土機</v>
          </cell>
        </row>
        <row r="1256">
          <cell r="CQ1256" t="str">
            <v>工具搬運及損耗</v>
          </cell>
          <cell r="CS1256" t="str">
            <v>約3%</v>
          </cell>
          <cell r="CT1256" t="str">
            <v>式</v>
          </cell>
          <cell r="CU1256">
            <v>1</v>
          </cell>
          <cell r="CV1256" t="str">
            <v xml:space="preserve"> </v>
          </cell>
          <cell r="CW1256">
            <v>12</v>
          </cell>
          <cell r="CX1256" t="str">
            <v>含水泥砂漿</v>
          </cell>
        </row>
        <row r="1258">
          <cell r="CQ1258" t="str">
            <v xml:space="preserve"> </v>
          </cell>
          <cell r="CR1258" t="str">
            <v xml:space="preserve"> </v>
          </cell>
          <cell r="CS1258" t="str">
            <v xml:space="preserve"> </v>
          </cell>
          <cell r="CT1258" t="str">
            <v xml:space="preserve"> </v>
          </cell>
          <cell r="CU1258" t="str">
            <v>小計</v>
          </cell>
          <cell r="CV1258" t="str">
            <v xml:space="preserve"> </v>
          </cell>
          <cell r="CW1258">
            <v>1200</v>
          </cell>
        </row>
        <row r="1265">
          <cell r="CQ1265" t="str">
            <v xml:space="preserve"> </v>
          </cell>
          <cell r="CR1265" t="str">
            <v xml:space="preserve"> </v>
          </cell>
          <cell r="CS1265" t="str">
            <v xml:space="preserve"> </v>
          </cell>
          <cell r="CT1265" t="str">
            <v xml:space="preserve"> </v>
          </cell>
          <cell r="CU1265" t="str">
            <v xml:space="preserve"> </v>
          </cell>
          <cell r="CV1265" t="str">
            <v xml:space="preserve"> </v>
          </cell>
        </row>
        <row r="1266">
          <cell r="CQ1266" t="str">
            <v xml:space="preserve"> </v>
          </cell>
          <cell r="CR1266" t="str">
            <v>每</v>
          </cell>
          <cell r="CS1266" t="str">
            <v>支</v>
          </cell>
          <cell r="CT1266" t="str">
            <v>單 價 計</v>
          </cell>
          <cell r="CV1266" t="str">
            <v xml:space="preserve"> </v>
          </cell>
          <cell r="CW1266">
            <v>1200</v>
          </cell>
        </row>
        <row r="1458">
          <cell r="CQ1458" t="str">
            <v xml:space="preserve"> 號數 : </v>
          </cell>
          <cell r="CR1458">
            <v>0</v>
          </cell>
          <cell r="CS1458" t="str">
            <v>工 程 項 目</v>
          </cell>
          <cell r="CU1458" t="str">
            <v>清潔孔熱浸鍍鋅格柵板及安裝(30cm)</v>
          </cell>
          <cell r="CW1458" t="str">
            <v>單    位</v>
          </cell>
          <cell r="CX1458" t="str">
            <v>組</v>
          </cell>
        </row>
        <row r="1459">
          <cell r="CQ1459" t="str">
            <v>工   程   項   目</v>
          </cell>
          <cell r="CS1459" t="str">
            <v>說 明</v>
          </cell>
          <cell r="CT1459" t="str">
            <v>單 位</v>
          </cell>
          <cell r="CU1459" t="str">
            <v>數  量</v>
          </cell>
          <cell r="CV1459" t="str">
            <v>單   價</v>
          </cell>
          <cell r="CW1459" t="str">
            <v>總    價</v>
          </cell>
          <cell r="CX1459" t="str">
            <v>備    註</v>
          </cell>
        </row>
        <row r="1460">
          <cell r="CQ1460" t="str">
            <v>熱浸鍍鋅格柵板</v>
          </cell>
          <cell r="CS1460" t="str">
            <v xml:space="preserve"> </v>
          </cell>
          <cell r="CT1460" t="str">
            <v>KG</v>
          </cell>
          <cell r="CU1460">
            <v>22.7</v>
          </cell>
          <cell r="CV1460">
            <v>75</v>
          </cell>
          <cell r="CW1460">
            <v>1702.5</v>
          </cell>
          <cell r="CX1460" t="str">
            <v xml:space="preserve"> </v>
          </cell>
        </row>
        <row r="1462">
          <cell r="CQ1462" t="str">
            <v>裝置及搬運</v>
          </cell>
          <cell r="CS1462" t="str">
            <v xml:space="preserve"> </v>
          </cell>
          <cell r="CT1462" t="str">
            <v>式</v>
          </cell>
          <cell r="CU1462">
            <v>1</v>
          </cell>
          <cell r="CV1462">
            <v>250.5</v>
          </cell>
          <cell r="CW1462">
            <v>250.5</v>
          </cell>
        </row>
        <row r="1464">
          <cell r="CU1464" t="str">
            <v>小計</v>
          </cell>
          <cell r="CV1464" t="str">
            <v xml:space="preserve"> </v>
          </cell>
          <cell r="CW1464">
            <v>1953</v>
          </cell>
        </row>
        <row r="1472">
          <cell r="CQ1472" t="str">
            <v xml:space="preserve"> </v>
          </cell>
          <cell r="CR1472" t="str">
            <v xml:space="preserve"> </v>
          </cell>
          <cell r="CS1472" t="str">
            <v xml:space="preserve"> </v>
          </cell>
          <cell r="CT1472" t="str">
            <v xml:space="preserve"> </v>
          </cell>
          <cell r="CU1472" t="str">
            <v xml:space="preserve"> </v>
          </cell>
          <cell r="CV1472" t="str">
            <v xml:space="preserve"> </v>
          </cell>
        </row>
        <row r="1473">
          <cell r="CQ1473" t="str">
            <v xml:space="preserve"> </v>
          </cell>
          <cell r="CS1473" t="str">
            <v xml:space="preserve"> </v>
          </cell>
          <cell r="CT1473" t="str">
            <v xml:space="preserve"> </v>
          </cell>
          <cell r="CU1473" t="str">
            <v xml:space="preserve"> </v>
          </cell>
        </row>
        <row r="1474">
          <cell r="CQ1474" t="str">
            <v xml:space="preserve"> </v>
          </cell>
          <cell r="CR1474" t="str">
            <v xml:space="preserve"> </v>
          </cell>
          <cell r="CS1474" t="str">
            <v xml:space="preserve"> </v>
          </cell>
          <cell r="CT1474" t="str">
            <v xml:space="preserve"> </v>
          </cell>
          <cell r="CU1474" t="str">
            <v xml:space="preserve"> </v>
          </cell>
          <cell r="CV1474" t="str">
            <v xml:space="preserve"> </v>
          </cell>
        </row>
        <row r="1476">
          <cell r="CQ1476" t="str">
            <v xml:space="preserve"> </v>
          </cell>
          <cell r="CR1476" t="str">
            <v>每</v>
          </cell>
          <cell r="CS1476" t="str">
            <v>組</v>
          </cell>
          <cell r="CT1476" t="str">
            <v>單 價 計</v>
          </cell>
          <cell r="CV1476" t="str">
            <v xml:space="preserve"> </v>
          </cell>
          <cell r="CW1476">
            <v>1953</v>
          </cell>
        </row>
        <row r="1479">
          <cell r="CQ1479" t="str">
            <v>編號:</v>
          </cell>
          <cell r="CR1479" t="str">
            <v xml:space="preserve"> </v>
          </cell>
          <cell r="CS1479" t="str">
            <v>工 程 項 目</v>
          </cell>
          <cell r="CU1479" t="str">
            <v>清潔孔熱浸鍍鋅格柵板及安裝(40cm)</v>
          </cell>
          <cell r="CW1479" t="str">
            <v xml:space="preserve">  單    位</v>
          </cell>
          <cell r="CX1479" t="str">
            <v>組</v>
          </cell>
        </row>
        <row r="1480">
          <cell r="CQ1480" t="str">
            <v xml:space="preserve"> 工   程   項   目</v>
          </cell>
          <cell r="CS1480" t="str">
            <v xml:space="preserve"> 說 明</v>
          </cell>
          <cell r="CT1480" t="str">
            <v xml:space="preserve"> 單 位</v>
          </cell>
          <cell r="CU1480" t="str">
            <v xml:space="preserve"> 數  量</v>
          </cell>
          <cell r="CV1480" t="str">
            <v xml:space="preserve">  單  價</v>
          </cell>
          <cell r="CW1480" t="str">
            <v xml:space="preserve">  總    價 </v>
          </cell>
          <cell r="CX1480" t="str">
            <v>備    註</v>
          </cell>
        </row>
        <row r="1481">
          <cell r="CQ1481" t="str">
            <v>熱浸鍍鋅格柵板</v>
          </cell>
          <cell r="CS1481" t="str">
            <v xml:space="preserve"> </v>
          </cell>
          <cell r="CT1481" t="str">
            <v>KG</v>
          </cell>
          <cell r="CU1481">
            <v>28.9</v>
          </cell>
          <cell r="CV1481">
            <v>75</v>
          </cell>
          <cell r="CW1481">
            <v>2167.5</v>
          </cell>
          <cell r="CX1481" t="str">
            <v xml:space="preserve"> </v>
          </cell>
        </row>
        <row r="1483">
          <cell r="CQ1483" t="str">
            <v>裝置及搬運</v>
          </cell>
          <cell r="CS1483" t="str">
            <v xml:space="preserve"> </v>
          </cell>
          <cell r="CT1483" t="str">
            <v>式</v>
          </cell>
          <cell r="CU1483">
            <v>1</v>
          </cell>
          <cell r="CV1483" t="str">
            <v xml:space="preserve"> </v>
          </cell>
          <cell r="CW1483">
            <v>250.5</v>
          </cell>
        </row>
        <row r="1485">
          <cell r="CU1485" t="str">
            <v>小計</v>
          </cell>
          <cell r="CV1485" t="str">
            <v xml:space="preserve"> </v>
          </cell>
          <cell r="CW1485">
            <v>2418</v>
          </cell>
        </row>
        <row r="1493">
          <cell r="CQ1493" t="str">
            <v xml:space="preserve"> </v>
          </cell>
          <cell r="CR1493" t="str">
            <v xml:space="preserve"> </v>
          </cell>
          <cell r="CS1493" t="str">
            <v xml:space="preserve"> </v>
          </cell>
          <cell r="CT1493" t="str">
            <v xml:space="preserve"> </v>
          </cell>
          <cell r="CU1493" t="str">
            <v xml:space="preserve"> </v>
          </cell>
          <cell r="CV1493" t="str">
            <v xml:space="preserve"> </v>
          </cell>
        </row>
        <row r="1494">
          <cell r="CQ1494" t="str">
            <v xml:space="preserve"> </v>
          </cell>
          <cell r="CS1494" t="str">
            <v xml:space="preserve"> </v>
          </cell>
          <cell r="CT1494" t="str">
            <v xml:space="preserve"> </v>
          </cell>
          <cell r="CU1494" t="str">
            <v xml:space="preserve"> </v>
          </cell>
        </row>
        <row r="1495">
          <cell r="CQ1495" t="str">
            <v xml:space="preserve"> </v>
          </cell>
          <cell r="CR1495" t="str">
            <v xml:space="preserve"> </v>
          </cell>
          <cell r="CS1495" t="str">
            <v xml:space="preserve"> </v>
          </cell>
          <cell r="CT1495" t="str">
            <v xml:space="preserve"> </v>
          </cell>
          <cell r="CU1495" t="str">
            <v xml:space="preserve"> </v>
          </cell>
          <cell r="CV1495" t="str">
            <v xml:space="preserve"> </v>
          </cell>
        </row>
        <row r="1497">
          <cell r="CQ1497" t="str">
            <v xml:space="preserve"> </v>
          </cell>
          <cell r="CR1497" t="str">
            <v>每</v>
          </cell>
          <cell r="CS1497" t="str">
            <v>組</v>
          </cell>
          <cell r="CT1497" t="str">
            <v>單 價 計</v>
          </cell>
          <cell r="CV1497" t="str">
            <v xml:space="preserve"> </v>
          </cell>
          <cell r="CW1497">
            <v>2418</v>
          </cell>
        </row>
        <row r="1500">
          <cell r="CQ1500" t="str">
            <v xml:space="preserve"> 號數 : </v>
          </cell>
          <cell r="CR1500">
            <v>0</v>
          </cell>
          <cell r="CS1500" t="str">
            <v>工 程 項 目</v>
          </cell>
          <cell r="CU1500" t="str">
            <v>清潔孔熱浸鍍鋅格柵板及安裝(50cm)</v>
          </cell>
          <cell r="CW1500" t="str">
            <v>單    位</v>
          </cell>
          <cell r="CX1500" t="str">
            <v>組</v>
          </cell>
        </row>
        <row r="1501">
          <cell r="CQ1501" t="str">
            <v>工   程   項   目</v>
          </cell>
          <cell r="CS1501" t="str">
            <v>說 明</v>
          </cell>
          <cell r="CT1501" t="str">
            <v>單 位</v>
          </cell>
          <cell r="CU1501" t="str">
            <v>數  量</v>
          </cell>
          <cell r="CV1501" t="str">
            <v>單   價</v>
          </cell>
          <cell r="CW1501" t="str">
            <v>總    價</v>
          </cell>
          <cell r="CX1501" t="str">
            <v>備    註</v>
          </cell>
        </row>
        <row r="1502">
          <cell r="CQ1502" t="str">
            <v>熱浸鍍鋅格柵板</v>
          </cell>
          <cell r="CS1502" t="str">
            <v xml:space="preserve"> </v>
          </cell>
          <cell r="CT1502" t="str">
            <v>KG</v>
          </cell>
          <cell r="CU1502">
            <v>35</v>
          </cell>
          <cell r="CV1502">
            <v>75</v>
          </cell>
          <cell r="CW1502">
            <v>2625</v>
          </cell>
          <cell r="CX1502" t="str">
            <v xml:space="preserve"> </v>
          </cell>
        </row>
        <row r="1504">
          <cell r="CQ1504" t="str">
            <v>裝置及搬運</v>
          </cell>
          <cell r="CS1504" t="str">
            <v xml:space="preserve"> </v>
          </cell>
          <cell r="CT1504" t="str">
            <v>式</v>
          </cell>
          <cell r="CU1504">
            <v>1</v>
          </cell>
          <cell r="CV1504">
            <v>250</v>
          </cell>
          <cell r="CW1504">
            <v>250</v>
          </cell>
        </row>
        <row r="1506">
          <cell r="CU1506" t="str">
            <v>小計</v>
          </cell>
          <cell r="CV1506" t="str">
            <v xml:space="preserve"> </v>
          </cell>
          <cell r="CW1506">
            <v>2875</v>
          </cell>
        </row>
        <row r="1514">
          <cell r="CQ1514" t="str">
            <v xml:space="preserve"> </v>
          </cell>
          <cell r="CR1514" t="str">
            <v xml:space="preserve"> </v>
          </cell>
          <cell r="CS1514" t="str">
            <v xml:space="preserve"> </v>
          </cell>
          <cell r="CT1514" t="str">
            <v xml:space="preserve"> </v>
          </cell>
          <cell r="CU1514" t="str">
            <v xml:space="preserve"> </v>
          </cell>
          <cell r="CV1514" t="str">
            <v xml:space="preserve"> </v>
          </cell>
        </row>
        <row r="1515">
          <cell r="CQ1515" t="str">
            <v xml:space="preserve"> </v>
          </cell>
          <cell r="CS1515" t="str">
            <v xml:space="preserve"> </v>
          </cell>
          <cell r="CT1515" t="str">
            <v xml:space="preserve"> </v>
          </cell>
          <cell r="CU1515" t="str">
            <v xml:space="preserve"> </v>
          </cell>
        </row>
        <row r="1516">
          <cell r="CQ1516" t="str">
            <v xml:space="preserve"> </v>
          </cell>
          <cell r="CR1516" t="str">
            <v xml:space="preserve"> </v>
          </cell>
          <cell r="CS1516" t="str">
            <v xml:space="preserve"> </v>
          </cell>
          <cell r="CT1516" t="str">
            <v xml:space="preserve"> </v>
          </cell>
          <cell r="CU1516" t="str">
            <v xml:space="preserve"> </v>
          </cell>
          <cell r="CV1516" t="str">
            <v xml:space="preserve"> </v>
          </cell>
        </row>
        <row r="1518">
          <cell r="CQ1518" t="str">
            <v xml:space="preserve"> </v>
          </cell>
          <cell r="CR1518" t="str">
            <v>每</v>
          </cell>
          <cell r="CS1518" t="str">
            <v>組</v>
          </cell>
          <cell r="CT1518" t="str">
            <v>單 價 計</v>
          </cell>
          <cell r="CV1518" t="str">
            <v xml:space="preserve"> </v>
          </cell>
          <cell r="CW1518">
            <v>2875</v>
          </cell>
        </row>
        <row r="1521">
          <cell r="CQ1521" t="str">
            <v xml:space="preserve"> 號數 : </v>
          </cell>
          <cell r="CR1521">
            <v>0</v>
          </cell>
          <cell r="CS1521" t="str">
            <v>工 程 項 目</v>
          </cell>
          <cell r="CU1521" t="str">
            <v>清潔孔熱浸鍍鋅格柵板及安裝(60cm)</v>
          </cell>
          <cell r="CW1521" t="str">
            <v>單    位</v>
          </cell>
          <cell r="CX1521" t="str">
            <v>組</v>
          </cell>
        </row>
        <row r="1522">
          <cell r="CQ1522" t="str">
            <v>工   程   項   目</v>
          </cell>
          <cell r="CS1522" t="str">
            <v>說 明</v>
          </cell>
          <cell r="CT1522" t="str">
            <v>單 位</v>
          </cell>
          <cell r="CU1522" t="str">
            <v>數  量</v>
          </cell>
          <cell r="CV1522" t="str">
            <v>單   價</v>
          </cell>
          <cell r="CW1522" t="str">
            <v>總    價</v>
          </cell>
          <cell r="CX1522" t="str">
            <v>備    註</v>
          </cell>
        </row>
        <row r="1523">
          <cell r="CQ1523" t="str">
            <v>熱浸鍍鋅格柵板</v>
          </cell>
          <cell r="CS1523" t="str">
            <v xml:space="preserve"> </v>
          </cell>
          <cell r="CT1523" t="str">
            <v>KG</v>
          </cell>
          <cell r="CU1523">
            <v>41.2</v>
          </cell>
          <cell r="CV1523">
            <v>75</v>
          </cell>
          <cell r="CW1523">
            <v>3090</v>
          </cell>
          <cell r="CX1523" t="str">
            <v xml:space="preserve"> </v>
          </cell>
        </row>
        <row r="1525">
          <cell r="CQ1525" t="str">
            <v>裝置及搬運</v>
          </cell>
          <cell r="CS1525" t="str">
            <v xml:space="preserve"> </v>
          </cell>
          <cell r="CT1525" t="str">
            <v>式</v>
          </cell>
          <cell r="CU1525">
            <v>1</v>
          </cell>
          <cell r="CV1525">
            <v>250</v>
          </cell>
          <cell r="CW1525">
            <v>250</v>
          </cell>
        </row>
        <row r="1527">
          <cell r="CU1527" t="str">
            <v>小計</v>
          </cell>
          <cell r="CV1527" t="str">
            <v xml:space="preserve"> </v>
          </cell>
          <cell r="CW1527">
            <v>3340</v>
          </cell>
        </row>
        <row r="1535">
          <cell r="CQ1535" t="str">
            <v xml:space="preserve"> </v>
          </cell>
          <cell r="CR1535" t="str">
            <v xml:space="preserve"> </v>
          </cell>
          <cell r="CS1535" t="str">
            <v xml:space="preserve"> </v>
          </cell>
          <cell r="CT1535" t="str">
            <v xml:space="preserve"> </v>
          </cell>
          <cell r="CU1535" t="str">
            <v xml:space="preserve"> </v>
          </cell>
          <cell r="CV1535" t="str">
            <v xml:space="preserve"> </v>
          </cell>
        </row>
        <row r="1536">
          <cell r="CQ1536" t="str">
            <v xml:space="preserve"> </v>
          </cell>
          <cell r="CS1536" t="str">
            <v xml:space="preserve"> </v>
          </cell>
          <cell r="CT1536" t="str">
            <v xml:space="preserve"> </v>
          </cell>
          <cell r="CU1536" t="str">
            <v xml:space="preserve"> </v>
          </cell>
        </row>
        <row r="1537">
          <cell r="CQ1537" t="str">
            <v xml:space="preserve"> </v>
          </cell>
          <cell r="CR1537" t="str">
            <v xml:space="preserve"> </v>
          </cell>
          <cell r="CS1537" t="str">
            <v xml:space="preserve"> </v>
          </cell>
          <cell r="CT1537" t="str">
            <v xml:space="preserve"> </v>
          </cell>
          <cell r="CU1537" t="str">
            <v xml:space="preserve"> </v>
          </cell>
          <cell r="CV1537" t="str">
            <v xml:space="preserve"> </v>
          </cell>
        </row>
        <row r="1539">
          <cell r="CQ1539" t="str">
            <v xml:space="preserve"> </v>
          </cell>
          <cell r="CR1539" t="str">
            <v>每</v>
          </cell>
          <cell r="CS1539" t="str">
            <v>組</v>
          </cell>
          <cell r="CT1539" t="str">
            <v>單 價 計</v>
          </cell>
          <cell r="CV1539" t="str">
            <v xml:space="preserve"> </v>
          </cell>
          <cell r="CW1539">
            <v>3340</v>
          </cell>
        </row>
        <row r="1542">
          <cell r="CQ1542" t="str">
            <v xml:space="preserve"> 號數 : </v>
          </cell>
          <cell r="CR1542">
            <v>0</v>
          </cell>
          <cell r="CS1542" t="str">
            <v>工 程 項 目</v>
          </cell>
          <cell r="CU1542" t="str">
            <v>集水井熱浸鍍鋅格柵板及安裝</v>
          </cell>
          <cell r="CW1542" t="str">
            <v>單    位</v>
          </cell>
          <cell r="CX1542" t="str">
            <v>組</v>
          </cell>
        </row>
        <row r="1543">
          <cell r="CQ1543" t="str">
            <v>工   程   項   目</v>
          </cell>
          <cell r="CS1543" t="str">
            <v>說 明</v>
          </cell>
          <cell r="CT1543" t="str">
            <v>單 位</v>
          </cell>
          <cell r="CU1543" t="str">
            <v>數  量</v>
          </cell>
          <cell r="CV1543" t="str">
            <v>單   價</v>
          </cell>
          <cell r="CW1543" t="str">
            <v>總    價</v>
          </cell>
          <cell r="CX1543" t="str">
            <v>備    註</v>
          </cell>
        </row>
        <row r="1544">
          <cell r="CQ1544" t="str">
            <v>熱浸鍍鋅格柵板</v>
          </cell>
          <cell r="CS1544" t="str">
            <v xml:space="preserve"> </v>
          </cell>
          <cell r="CT1544" t="str">
            <v>KG</v>
          </cell>
          <cell r="CU1544">
            <v>77</v>
          </cell>
          <cell r="CV1544">
            <v>75</v>
          </cell>
          <cell r="CW1544">
            <v>5775</v>
          </cell>
          <cell r="CX1544" t="str">
            <v xml:space="preserve"> I65*700*700M</v>
          </cell>
        </row>
        <row r="1546">
          <cell r="CQ1546" t="str">
            <v>裝置及搬運</v>
          </cell>
          <cell r="CS1546" t="str">
            <v xml:space="preserve"> </v>
          </cell>
          <cell r="CT1546" t="str">
            <v>式</v>
          </cell>
          <cell r="CU1546">
            <v>1</v>
          </cell>
          <cell r="CV1546">
            <v>250</v>
          </cell>
          <cell r="CW1546">
            <v>250</v>
          </cell>
        </row>
        <row r="1548">
          <cell r="CU1548" t="str">
            <v>小計</v>
          </cell>
          <cell r="CV1548" t="str">
            <v xml:space="preserve"> </v>
          </cell>
          <cell r="CW1548">
            <v>6025</v>
          </cell>
        </row>
        <row r="1558">
          <cell r="CQ1558" t="str">
            <v xml:space="preserve"> </v>
          </cell>
          <cell r="CR1558" t="str">
            <v xml:space="preserve"> </v>
          </cell>
          <cell r="CS1558" t="str">
            <v xml:space="preserve"> </v>
          </cell>
          <cell r="CT1558" t="str">
            <v xml:space="preserve"> </v>
          </cell>
          <cell r="CU1558" t="str">
            <v xml:space="preserve"> </v>
          </cell>
          <cell r="CV1558" t="str">
            <v xml:space="preserve"> </v>
          </cell>
        </row>
        <row r="1560">
          <cell r="CQ1560" t="str">
            <v xml:space="preserve"> </v>
          </cell>
          <cell r="CR1560" t="str">
            <v>每</v>
          </cell>
          <cell r="CS1560" t="str">
            <v>組</v>
          </cell>
          <cell r="CT1560" t="str">
            <v>單 價 計</v>
          </cell>
          <cell r="CV1560" t="str">
            <v xml:space="preserve"> </v>
          </cell>
          <cell r="CW1560">
            <v>6025</v>
          </cell>
        </row>
        <row r="1563">
          <cell r="CQ1563" t="str">
            <v xml:space="preserve"> 號數 : </v>
          </cell>
          <cell r="CR1563">
            <v>0</v>
          </cell>
          <cell r="CS1563" t="str">
            <v>工 程 項 目</v>
          </cell>
          <cell r="CU1563" t="str">
            <v>熱浸鍍鋅格柵板(w=40cm)</v>
          </cell>
          <cell r="CW1563" t="str">
            <v>單    位</v>
          </cell>
          <cell r="CX1563" t="str">
            <v>m</v>
          </cell>
        </row>
        <row r="1564">
          <cell r="CQ1564" t="str">
            <v>工   程   項   目</v>
          </cell>
          <cell r="CS1564" t="str">
            <v>說 明</v>
          </cell>
          <cell r="CT1564" t="str">
            <v>單 位</v>
          </cell>
          <cell r="CU1564" t="str">
            <v>數  量</v>
          </cell>
          <cell r="CV1564" t="str">
            <v>單   價</v>
          </cell>
          <cell r="CW1564" t="str">
            <v>總    價</v>
          </cell>
          <cell r="CX1564" t="str">
            <v>備    註</v>
          </cell>
        </row>
        <row r="1565">
          <cell r="CQ1565" t="str">
            <v>熱浸鍍鋅格柵板</v>
          </cell>
          <cell r="CS1565" t="str">
            <v xml:space="preserve"> </v>
          </cell>
          <cell r="CT1565" t="str">
            <v>KG</v>
          </cell>
          <cell r="CU1565">
            <v>55.8</v>
          </cell>
          <cell r="CV1565">
            <v>75</v>
          </cell>
          <cell r="CW1565">
            <v>4185</v>
          </cell>
          <cell r="CX1565" t="str">
            <v>含插梢及另料</v>
          </cell>
        </row>
        <row r="1567">
          <cell r="CQ1567" t="str">
            <v>裝置及搬運</v>
          </cell>
          <cell r="CS1567" t="str">
            <v xml:space="preserve"> </v>
          </cell>
          <cell r="CT1567" t="str">
            <v>式</v>
          </cell>
          <cell r="CU1567">
            <v>1</v>
          </cell>
          <cell r="CV1567">
            <v>250</v>
          </cell>
          <cell r="CW1567">
            <v>250</v>
          </cell>
        </row>
        <row r="1568">
          <cell r="CX1568" t="str">
            <v xml:space="preserve"> </v>
          </cell>
        </row>
        <row r="1569">
          <cell r="CU1569" t="str">
            <v>小計</v>
          </cell>
          <cell r="CV1569" t="str">
            <v xml:space="preserve"> </v>
          </cell>
          <cell r="CW1569">
            <v>4435</v>
          </cell>
          <cell r="CX1569" t="str">
            <v xml:space="preserve"> </v>
          </cell>
        </row>
        <row r="1574">
          <cell r="CQ1574" t="str">
            <v xml:space="preserve"> </v>
          </cell>
          <cell r="CS1574" t="str">
            <v xml:space="preserve"> </v>
          </cell>
          <cell r="CT1574" t="str">
            <v xml:space="preserve"> </v>
          </cell>
          <cell r="CU1574" t="str">
            <v xml:space="preserve"> </v>
          </cell>
        </row>
        <row r="1575">
          <cell r="CX1575" t="str">
            <v xml:space="preserve"> </v>
          </cell>
        </row>
        <row r="1576">
          <cell r="CQ1576" t="str">
            <v xml:space="preserve"> </v>
          </cell>
          <cell r="CR1576" t="str">
            <v xml:space="preserve"> </v>
          </cell>
          <cell r="CS1576" t="str">
            <v xml:space="preserve"> </v>
          </cell>
          <cell r="CT1576" t="str">
            <v xml:space="preserve"> </v>
          </cell>
          <cell r="CU1576" t="str">
            <v xml:space="preserve"> </v>
          </cell>
          <cell r="CV1576" t="str">
            <v xml:space="preserve"> </v>
          </cell>
          <cell r="CW1576" t="str">
            <v xml:space="preserve"> </v>
          </cell>
          <cell r="CX1576" t="str">
            <v xml:space="preserve"> </v>
          </cell>
        </row>
        <row r="1578">
          <cell r="CQ1578" t="str">
            <v xml:space="preserve"> </v>
          </cell>
          <cell r="CS1578" t="str">
            <v xml:space="preserve"> </v>
          </cell>
          <cell r="CT1578" t="str">
            <v xml:space="preserve"> </v>
          </cell>
          <cell r="CU1578" t="str">
            <v xml:space="preserve"> </v>
          </cell>
        </row>
        <row r="1579">
          <cell r="CQ1579" t="str">
            <v xml:space="preserve"> </v>
          </cell>
          <cell r="CR1579" t="str">
            <v xml:space="preserve"> </v>
          </cell>
          <cell r="CS1579" t="str">
            <v xml:space="preserve"> </v>
          </cell>
          <cell r="CT1579" t="str">
            <v xml:space="preserve"> </v>
          </cell>
          <cell r="CU1579" t="str">
            <v xml:space="preserve"> </v>
          </cell>
          <cell r="CV1579" t="str">
            <v xml:space="preserve"> </v>
          </cell>
        </row>
        <row r="1580">
          <cell r="CV1580" t="str">
            <v xml:space="preserve"> </v>
          </cell>
          <cell r="CW1580" t="str">
            <v xml:space="preserve"> </v>
          </cell>
        </row>
        <row r="1581">
          <cell r="CQ1581" t="str">
            <v xml:space="preserve"> </v>
          </cell>
          <cell r="CR1581" t="str">
            <v>每</v>
          </cell>
          <cell r="CS1581" t="str">
            <v>m</v>
          </cell>
          <cell r="CT1581" t="str">
            <v>單 價 計</v>
          </cell>
          <cell r="CV1581" t="str">
            <v xml:space="preserve"> </v>
          </cell>
          <cell r="CW1581">
            <v>4435</v>
          </cell>
        </row>
        <row r="1584">
          <cell r="CQ1584" t="str">
            <v xml:space="preserve"> 號數 :  </v>
          </cell>
          <cell r="CR1584">
            <v>0</v>
          </cell>
          <cell r="CS1584" t="str">
            <v>工 程 項 目</v>
          </cell>
          <cell r="CU1584" t="str">
            <v>熱浸鍍鋅格柵板(w=60)</v>
          </cell>
          <cell r="CW1584" t="str">
            <v>單    位</v>
          </cell>
          <cell r="CX1584" t="str">
            <v>m</v>
          </cell>
        </row>
        <row r="1585">
          <cell r="CQ1585" t="str">
            <v>工   程   項   目</v>
          </cell>
          <cell r="CS1585" t="str">
            <v>說 明</v>
          </cell>
          <cell r="CT1585" t="str">
            <v>單 位</v>
          </cell>
          <cell r="CU1585" t="str">
            <v>數  量</v>
          </cell>
          <cell r="CV1585" t="str">
            <v>單   價</v>
          </cell>
          <cell r="CW1585" t="str">
            <v>總    價</v>
          </cell>
          <cell r="CX1585" t="str">
            <v>備    註</v>
          </cell>
        </row>
        <row r="1586">
          <cell r="CQ1586" t="str">
            <v>熱浸鍍鋅格柵板</v>
          </cell>
          <cell r="CS1586" t="str">
            <v xml:space="preserve"> </v>
          </cell>
          <cell r="CT1586" t="str">
            <v>KG</v>
          </cell>
          <cell r="CU1586">
            <v>84</v>
          </cell>
          <cell r="CV1586">
            <v>75</v>
          </cell>
          <cell r="CW1586">
            <v>6300</v>
          </cell>
          <cell r="CX1586" t="str">
            <v>含插梢及另料</v>
          </cell>
        </row>
        <row r="1588">
          <cell r="CQ1588" t="str">
            <v>裝置及搬運</v>
          </cell>
          <cell r="CS1588" t="str">
            <v xml:space="preserve"> </v>
          </cell>
          <cell r="CT1588" t="str">
            <v>式</v>
          </cell>
          <cell r="CU1588">
            <v>1</v>
          </cell>
          <cell r="CV1588">
            <v>250</v>
          </cell>
          <cell r="CW1588">
            <v>250</v>
          </cell>
        </row>
        <row r="1590">
          <cell r="CU1590" t="str">
            <v>小計</v>
          </cell>
          <cell r="CV1590" t="str">
            <v xml:space="preserve"> </v>
          </cell>
          <cell r="CW1590">
            <v>6550</v>
          </cell>
          <cell r="CX1590" t="str">
            <v xml:space="preserve"> </v>
          </cell>
        </row>
        <row r="1595">
          <cell r="CQ1595" t="str">
            <v xml:space="preserve"> </v>
          </cell>
          <cell r="CS1595" t="str">
            <v xml:space="preserve"> </v>
          </cell>
          <cell r="CT1595" t="str">
            <v xml:space="preserve"> </v>
          </cell>
          <cell r="CU1595" t="str">
            <v xml:space="preserve"> </v>
          </cell>
        </row>
        <row r="1596">
          <cell r="CX1596" t="str">
            <v xml:space="preserve"> </v>
          </cell>
        </row>
        <row r="1597">
          <cell r="CQ1597" t="str">
            <v xml:space="preserve"> </v>
          </cell>
          <cell r="CR1597" t="str">
            <v xml:space="preserve"> </v>
          </cell>
          <cell r="CS1597" t="str">
            <v xml:space="preserve"> </v>
          </cell>
          <cell r="CT1597" t="str">
            <v xml:space="preserve"> </v>
          </cell>
          <cell r="CU1597" t="str">
            <v xml:space="preserve"> </v>
          </cell>
          <cell r="CV1597" t="str">
            <v xml:space="preserve"> </v>
          </cell>
          <cell r="CW1597" t="str">
            <v xml:space="preserve"> </v>
          </cell>
          <cell r="CX1597" t="str">
            <v xml:space="preserve"> </v>
          </cell>
        </row>
        <row r="1599">
          <cell r="CQ1599" t="str">
            <v xml:space="preserve"> </v>
          </cell>
          <cell r="CS1599" t="str">
            <v xml:space="preserve"> </v>
          </cell>
          <cell r="CT1599" t="str">
            <v xml:space="preserve"> </v>
          </cell>
          <cell r="CU1599" t="str">
            <v xml:space="preserve"> </v>
          </cell>
        </row>
        <row r="1600">
          <cell r="CQ1600" t="str">
            <v xml:space="preserve"> </v>
          </cell>
          <cell r="CR1600" t="str">
            <v xml:space="preserve"> </v>
          </cell>
          <cell r="CS1600" t="str">
            <v xml:space="preserve"> </v>
          </cell>
          <cell r="CT1600" t="str">
            <v xml:space="preserve"> </v>
          </cell>
          <cell r="CU1600" t="str">
            <v xml:space="preserve"> </v>
          </cell>
          <cell r="CV1600" t="str">
            <v xml:space="preserve"> </v>
          </cell>
        </row>
        <row r="1601">
          <cell r="CV1601" t="str">
            <v xml:space="preserve"> </v>
          </cell>
          <cell r="CW1601" t="str">
            <v xml:space="preserve"> </v>
          </cell>
        </row>
        <row r="1602">
          <cell r="CQ1602" t="str">
            <v xml:space="preserve"> </v>
          </cell>
          <cell r="CR1602" t="str">
            <v>每</v>
          </cell>
          <cell r="CS1602" t="str">
            <v>m</v>
          </cell>
          <cell r="CT1602" t="str">
            <v>單 價 計</v>
          </cell>
          <cell r="CV1602" t="str">
            <v xml:space="preserve"> </v>
          </cell>
          <cell r="CW1602">
            <v>6550</v>
          </cell>
        </row>
        <row r="2067">
          <cell r="CQ2067" t="str">
            <v>編號:</v>
          </cell>
          <cell r="CR2067" t="str">
            <v xml:space="preserve"> </v>
          </cell>
          <cell r="CS2067" t="str">
            <v>工 程 項 目</v>
          </cell>
          <cell r="CU2067" t="str">
            <v>工程材料試驗費</v>
          </cell>
          <cell r="CV2067">
            <v>0</v>
          </cell>
          <cell r="CW2067" t="str">
            <v>單    位</v>
          </cell>
          <cell r="CX2067" t="str">
            <v>式</v>
          </cell>
        </row>
        <row r="2068">
          <cell r="CQ2068" t="str">
            <v>工   程   項   目</v>
          </cell>
          <cell r="CS2068" t="str">
            <v>說 明</v>
          </cell>
          <cell r="CT2068" t="str">
            <v>單 位</v>
          </cell>
          <cell r="CU2068" t="str">
            <v>數  量</v>
          </cell>
          <cell r="CV2068" t="str">
            <v>單   價</v>
          </cell>
          <cell r="CW2068" t="str">
            <v>總    價</v>
          </cell>
          <cell r="CX2068" t="str">
            <v>備    註</v>
          </cell>
        </row>
        <row r="2069">
          <cell r="CQ2069" t="str">
            <v>混凝土抗壓強度(含坍度試驗)</v>
          </cell>
          <cell r="CR2069">
            <v>0</v>
          </cell>
          <cell r="CS2069" t="str">
            <v xml:space="preserve"> </v>
          </cell>
          <cell r="CT2069" t="str">
            <v>組</v>
          </cell>
          <cell r="CU2069">
            <v>6</v>
          </cell>
          <cell r="CV2069">
            <v>480</v>
          </cell>
          <cell r="CW2069">
            <v>2880</v>
          </cell>
          <cell r="CX2069">
            <v>0</v>
          </cell>
        </row>
        <row r="2070">
          <cell r="CQ2070">
            <v>0</v>
          </cell>
          <cell r="CR2070">
            <v>0</v>
          </cell>
          <cell r="CS2070">
            <v>0</v>
          </cell>
          <cell r="CT2070">
            <v>0</v>
          </cell>
          <cell r="CU2070">
            <v>0</v>
          </cell>
          <cell r="CV2070">
            <v>0</v>
          </cell>
          <cell r="CW2070">
            <v>0</v>
          </cell>
          <cell r="CX2070">
            <v>0</v>
          </cell>
        </row>
        <row r="2071">
          <cell r="CQ2071" t="str">
            <v>混凝土鑽心取樣試驗</v>
          </cell>
          <cell r="CR2071">
            <v>0</v>
          </cell>
          <cell r="CS2071">
            <v>0</v>
          </cell>
          <cell r="CT2071" t="str">
            <v>組</v>
          </cell>
          <cell r="CU2071">
            <v>1</v>
          </cell>
          <cell r="CV2071">
            <v>6000</v>
          </cell>
          <cell r="CW2071">
            <v>6000</v>
          </cell>
          <cell r="CX2071">
            <v>0</v>
          </cell>
        </row>
        <row r="2072">
          <cell r="CQ2072">
            <v>0</v>
          </cell>
          <cell r="CR2072">
            <v>0</v>
          </cell>
          <cell r="CS2072">
            <v>0</v>
          </cell>
          <cell r="CT2072">
            <v>0</v>
          </cell>
          <cell r="CU2072">
            <v>0</v>
          </cell>
          <cell r="CV2072">
            <v>0</v>
          </cell>
          <cell r="CW2072">
            <v>0</v>
          </cell>
          <cell r="CX2072">
            <v>0</v>
          </cell>
        </row>
        <row r="2073">
          <cell r="CQ2073" t="str">
            <v>鋼筋抗拉試驗(含無輻射)</v>
          </cell>
          <cell r="CR2073">
            <v>0</v>
          </cell>
          <cell r="CS2073">
            <v>0</v>
          </cell>
          <cell r="CT2073" t="str">
            <v>組</v>
          </cell>
          <cell r="CU2073">
            <v>7</v>
          </cell>
          <cell r="CV2073">
            <v>1500</v>
          </cell>
          <cell r="CW2073">
            <v>10500</v>
          </cell>
          <cell r="CX2073" t="str">
            <v>(1組3支)</v>
          </cell>
        </row>
        <row r="2074">
          <cell r="CQ2074" t="str">
            <v xml:space="preserve"> </v>
          </cell>
          <cell r="CR2074">
            <v>0</v>
          </cell>
          <cell r="CS2074" t="str">
            <v xml:space="preserve"> </v>
          </cell>
          <cell r="CT2074" t="str">
            <v xml:space="preserve"> </v>
          </cell>
          <cell r="CU2074" t="str">
            <v xml:space="preserve"> </v>
          </cell>
          <cell r="CV2074">
            <v>0</v>
          </cell>
          <cell r="CW2074">
            <v>0</v>
          </cell>
          <cell r="CX2074">
            <v>0</v>
          </cell>
        </row>
        <row r="2075">
          <cell r="CQ2075" t="str">
            <v>混凝土穿透試驗</v>
          </cell>
          <cell r="CR2075">
            <v>0</v>
          </cell>
          <cell r="CS2075">
            <v>0</v>
          </cell>
          <cell r="CT2075" t="str">
            <v>組</v>
          </cell>
          <cell r="CU2075">
            <v>1</v>
          </cell>
          <cell r="CV2075">
            <v>2000</v>
          </cell>
          <cell r="CW2075">
            <v>2000</v>
          </cell>
          <cell r="CX2075">
            <v>0</v>
          </cell>
        </row>
        <row r="2076">
          <cell r="CQ2076">
            <v>0</v>
          </cell>
          <cell r="CR2076">
            <v>0</v>
          </cell>
          <cell r="CS2076">
            <v>0</v>
          </cell>
          <cell r="CT2076">
            <v>0</v>
          </cell>
          <cell r="CU2076">
            <v>0</v>
          </cell>
          <cell r="CV2076">
            <v>0</v>
          </cell>
          <cell r="CW2076">
            <v>0</v>
          </cell>
          <cell r="CX2076">
            <v>0</v>
          </cell>
        </row>
        <row r="2077">
          <cell r="CQ2077">
            <v>0</v>
          </cell>
          <cell r="CR2077">
            <v>0</v>
          </cell>
          <cell r="CS2077">
            <v>0</v>
          </cell>
          <cell r="CT2077">
            <v>0</v>
          </cell>
          <cell r="CU2077" t="str">
            <v>小計</v>
          </cell>
          <cell r="CV2077" t="str">
            <v xml:space="preserve"> </v>
          </cell>
          <cell r="CW2077">
            <v>21380</v>
          </cell>
          <cell r="CX2077">
            <v>0</v>
          </cell>
        </row>
        <row r="2078">
          <cell r="CQ2078">
            <v>0</v>
          </cell>
          <cell r="CR2078">
            <v>0</v>
          </cell>
          <cell r="CS2078">
            <v>0</v>
          </cell>
          <cell r="CT2078">
            <v>0</v>
          </cell>
          <cell r="CU2078">
            <v>0</v>
          </cell>
          <cell r="CV2078">
            <v>0</v>
          </cell>
          <cell r="CW2078">
            <v>0</v>
          </cell>
          <cell r="CX2078">
            <v>0</v>
          </cell>
        </row>
        <row r="2079">
          <cell r="CQ2079">
            <v>0</v>
          </cell>
          <cell r="CR2079">
            <v>0</v>
          </cell>
          <cell r="CS2079">
            <v>0</v>
          </cell>
          <cell r="CT2079">
            <v>0</v>
          </cell>
          <cell r="CU2079">
            <v>0</v>
          </cell>
          <cell r="CV2079">
            <v>0</v>
          </cell>
          <cell r="CW2079">
            <v>0</v>
          </cell>
          <cell r="CX2079">
            <v>0</v>
          </cell>
        </row>
        <row r="2080">
          <cell r="CQ2080" t="str">
            <v xml:space="preserve"> </v>
          </cell>
          <cell r="CR2080" t="str">
            <v xml:space="preserve"> </v>
          </cell>
          <cell r="CS2080" t="str">
            <v xml:space="preserve"> </v>
          </cell>
          <cell r="CT2080" t="str">
            <v xml:space="preserve"> </v>
          </cell>
          <cell r="CU2080" t="str">
            <v xml:space="preserve"> </v>
          </cell>
          <cell r="CV2080" t="str">
            <v xml:space="preserve"> </v>
          </cell>
          <cell r="CW2080" t="str">
            <v xml:space="preserve"> </v>
          </cell>
          <cell r="CX2080" t="str">
            <v xml:space="preserve"> </v>
          </cell>
        </row>
        <row r="2081">
          <cell r="CQ2081">
            <v>0</v>
          </cell>
          <cell r="CR2081">
            <v>0</v>
          </cell>
          <cell r="CS2081">
            <v>0</v>
          </cell>
          <cell r="CT2081">
            <v>0</v>
          </cell>
          <cell r="CU2081">
            <v>0</v>
          </cell>
          <cell r="CV2081">
            <v>0</v>
          </cell>
          <cell r="CW2081">
            <v>0</v>
          </cell>
          <cell r="CX2081" t="str">
            <v xml:space="preserve"> </v>
          </cell>
        </row>
        <row r="2082">
          <cell r="CQ2082" t="str">
            <v xml:space="preserve"> </v>
          </cell>
          <cell r="CR2082" t="str">
            <v xml:space="preserve"> </v>
          </cell>
          <cell r="CS2082" t="str">
            <v xml:space="preserve"> </v>
          </cell>
          <cell r="CT2082" t="str">
            <v xml:space="preserve"> </v>
          </cell>
          <cell r="CU2082" t="str">
            <v xml:space="preserve"> </v>
          </cell>
          <cell r="CV2082" t="str">
            <v xml:space="preserve"> </v>
          </cell>
          <cell r="CW2082">
            <v>0</v>
          </cell>
          <cell r="CX2082">
            <v>0</v>
          </cell>
        </row>
        <row r="2083">
          <cell r="CQ2083" t="str">
            <v xml:space="preserve"> </v>
          </cell>
          <cell r="CR2083" t="str">
            <v xml:space="preserve"> </v>
          </cell>
          <cell r="CS2083" t="str">
            <v xml:space="preserve"> </v>
          </cell>
          <cell r="CT2083" t="str">
            <v xml:space="preserve"> </v>
          </cell>
          <cell r="CU2083" t="str">
            <v xml:space="preserve"> </v>
          </cell>
          <cell r="CV2083" t="str">
            <v xml:space="preserve"> </v>
          </cell>
          <cell r="CW2083">
            <v>0</v>
          </cell>
          <cell r="CX2083">
            <v>0</v>
          </cell>
        </row>
        <row r="2084">
          <cell r="CQ2084">
            <v>0</v>
          </cell>
          <cell r="CR2084">
            <v>0</v>
          </cell>
          <cell r="CS2084">
            <v>0</v>
          </cell>
          <cell r="CT2084">
            <v>0</v>
          </cell>
          <cell r="CU2084">
            <v>0</v>
          </cell>
          <cell r="CV2084">
            <v>0</v>
          </cell>
          <cell r="CW2084">
            <v>0</v>
          </cell>
          <cell r="CX2084">
            <v>0</v>
          </cell>
        </row>
        <row r="2085">
          <cell r="CQ2085" t="str">
            <v xml:space="preserve"> </v>
          </cell>
          <cell r="CR2085" t="str">
            <v>每</v>
          </cell>
          <cell r="CS2085" t="str">
            <v>式</v>
          </cell>
          <cell r="CT2085" t="str">
            <v>單 價 計</v>
          </cell>
          <cell r="CU2085">
            <v>0</v>
          </cell>
          <cell r="CV2085" t="str">
            <v xml:space="preserve"> </v>
          </cell>
          <cell r="CW2085">
            <v>21380</v>
          </cell>
          <cell r="CX2085">
            <v>0</v>
          </cell>
        </row>
        <row r="2088">
          <cell r="CQ2088" t="str">
            <v xml:space="preserve"> 號數 :  </v>
          </cell>
          <cell r="CR2088">
            <v>0</v>
          </cell>
          <cell r="CS2088" t="str">
            <v>工 程 項 目</v>
          </cell>
          <cell r="CU2088" t="str">
            <v>營造綜合保險費</v>
          </cell>
          <cell r="CW2088" t="str">
            <v>單    位</v>
          </cell>
          <cell r="CX2088" t="str">
            <v>式</v>
          </cell>
        </row>
        <row r="2089">
          <cell r="CQ2089" t="str">
            <v>工   程   項   目</v>
          </cell>
          <cell r="CS2089" t="str">
            <v>說 明</v>
          </cell>
          <cell r="CT2089" t="str">
            <v>單 位</v>
          </cell>
          <cell r="CU2089" t="str">
            <v>數  量</v>
          </cell>
          <cell r="CV2089" t="str">
            <v>單   價</v>
          </cell>
          <cell r="CW2089" t="str">
            <v>總    價</v>
          </cell>
          <cell r="CX2089" t="str">
            <v>備    註</v>
          </cell>
        </row>
        <row r="2090">
          <cell r="CQ2090" t="str">
            <v>營造工程第三人意外險</v>
          </cell>
          <cell r="CS2090" t="str">
            <v xml:space="preserve"> </v>
          </cell>
          <cell r="CT2090" t="str">
            <v>式</v>
          </cell>
          <cell r="CU2090">
            <v>1</v>
          </cell>
          <cell r="CV2090">
            <v>28000</v>
          </cell>
          <cell r="CW2090">
            <v>28000</v>
          </cell>
        </row>
        <row r="2092">
          <cell r="CQ2092" t="str">
            <v>雇主意外責任保險</v>
          </cell>
          <cell r="CS2092" t="str">
            <v xml:space="preserve"> </v>
          </cell>
          <cell r="CT2092" t="str">
            <v>式</v>
          </cell>
          <cell r="CU2092">
            <v>1</v>
          </cell>
          <cell r="CV2092">
            <v>41719</v>
          </cell>
          <cell r="CW2092">
            <v>41719</v>
          </cell>
        </row>
        <row r="2094">
          <cell r="CU2094" t="str">
            <v>小計</v>
          </cell>
          <cell r="CV2094" t="str">
            <v xml:space="preserve"> </v>
          </cell>
          <cell r="CW2094">
            <v>69719</v>
          </cell>
          <cell r="CX2094" t="str">
            <v xml:space="preserve"> </v>
          </cell>
        </row>
        <row r="2096">
          <cell r="CX2096" t="str">
            <v xml:space="preserve"> </v>
          </cell>
        </row>
        <row r="2099">
          <cell r="CQ2099" t="str">
            <v xml:space="preserve"> </v>
          </cell>
          <cell r="CS2099" t="str">
            <v xml:space="preserve"> </v>
          </cell>
          <cell r="CT2099" t="str">
            <v xml:space="preserve"> </v>
          </cell>
          <cell r="CU2099" t="str">
            <v xml:space="preserve"> </v>
          </cell>
        </row>
        <row r="2101">
          <cell r="CQ2101" t="str">
            <v xml:space="preserve"> </v>
          </cell>
          <cell r="CR2101" t="str">
            <v xml:space="preserve"> </v>
          </cell>
          <cell r="CS2101" t="str">
            <v xml:space="preserve"> </v>
          </cell>
          <cell r="CT2101" t="str">
            <v xml:space="preserve"> </v>
          </cell>
          <cell r="CU2101" t="str">
            <v xml:space="preserve"> </v>
          </cell>
          <cell r="CV2101" t="str">
            <v xml:space="preserve"> </v>
          </cell>
          <cell r="CW2101" t="str">
            <v xml:space="preserve"> </v>
          </cell>
          <cell r="CX2101" t="str">
            <v xml:space="preserve"> </v>
          </cell>
        </row>
        <row r="2103">
          <cell r="CQ2103" t="str">
            <v xml:space="preserve"> </v>
          </cell>
          <cell r="CR2103" t="str">
            <v xml:space="preserve"> </v>
          </cell>
          <cell r="CS2103" t="str">
            <v xml:space="preserve"> </v>
          </cell>
          <cell r="CT2103" t="str">
            <v xml:space="preserve"> </v>
          </cell>
          <cell r="CU2103" t="str">
            <v xml:space="preserve"> </v>
          </cell>
          <cell r="CV2103" t="str">
            <v xml:space="preserve"> </v>
          </cell>
        </row>
        <row r="2104">
          <cell r="CQ2104" t="str">
            <v xml:space="preserve"> </v>
          </cell>
          <cell r="CS2104" t="str">
            <v xml:space="preserve"> </v>
          </cell>
          <cell r="CT2104" t="str">
            <v xml:space="preserve"> </v>
          </cell>
          <cell r="CU2104" t="str">
            <v xml:space="preserve"> </v>
          </cell>
        </row>
        <row r="2105">
          <cell r="CQ2105" t="str">
            <v xml:space="preserve"> </v>
          </cell>
          <cell r="CR2105" t="str">
            <v xml:space="preserve"> </v>
          </cell>
          <cell r="CS2105" t="str">
            <v xml:space="preserve"> </v>
          </cell>
          <cell r="CT2105" t="str">
            <v xml:space="preserve"> </v>
          </cell>
          <cell r="CU2105" t="str">
            <v xml:space="preserve"> </v>
          </cell>
          <cell r="CV2105" t="str">
            <v xml:space="preserve"> </v>
          </cell>
        </row>
        <row r="2106">
          <cell r="CQ2106" t="str">
            <v xml:space="preserve"> </v>
          </cell>
          <cell r="CR2106" t="str">
            <v>每</v>
          </cell>
          <cell r="CS2106" t="str">
            <v>式</v>
          </cell>
          <cell r="CT2106" t="str">
            <v>單 價 計</v>
          </cell>
          <cell r="CV2106" t="str">
            <v xml:space="preserve"> </v>
          </cell>
          <cell r="CW2106">
            <v>69719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總表"/>
      <sheetName val="封面"/>
      <sheetName val="預1"/>
      <sheetName val="預2"/>
      <sheetName val="單1"/>
      <sheetName val="統1"/>
      <sheetName val="計1"/>
      <sheetName val="計2"/>
      <sheetName val="計3"/>
      <sheetName val="計4"/>
      <sheetName val="東勢估"/>
      <sheetName val="估價單"/>
      <sheetName val="標單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(台中縣府1) "/>
      <sheetName val="擋土牆"/>
      <sheetName val="農用引道數量"/>
      <sheetName val="Sheet1"/>
      <sheetName val="Sheet2"/>
      <sheetName val="變更設計明細表"/>
      <sheetName val="中科排水"/>
      <sheetName val="計算書"/>
      <sheetName val="數量計算"/>
      <sheetName val="數量計算 (2)"/>
      <sheetName val="數量計算 (3)"/>
      <sheetName val="鋼筋表1"/>
      <sheetName val="鋼筋表2"/>
      <sheetName val="鋼筋表3"/>
      <sheetName val="鋼筋表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 t="str">
            <v>138-12</v>
          </cell>
          <cell r="F4" t="str">
            <v>126*3</v>
          </cell>
          <cell r="I4" t="str">
            <v>126/7+1+4</v>
          </cell>
          <cell r="L4" t="str">
            <v>1.2*1.8*23</v>
          </cell>
          <cell r="O4" t="str">
            <v>(1.2*2+0.6*2)*23</v>
          </cell>
          <cell r="R4" t="str">
            <v>23*6</v>
          </cell>
          <cell r="U4" t="str">
            <v>4*23</v>
          </cell>
        </row>
        <row r="5">
          <cell r="C5" t="str">
            <v>261-142</v>
          </cell>
          <cell r="F5" t="str">
            <v>119*3</v>
          </cell>
          <cell r="I5" t="str">
            <v>119/7-1+1</v>
          </cell>
          <cell r="L5" t="str">
            <v>1.2*1.8*16</v>
          </cell>
          <cell r="O5" t="str">
            <v>(1.2*2+0.6*2)*16</v>
          </cell>
          <cell r="R5" t="str">
            <v>16*6</v>
          </cell>
          <cell r="U5" t="str">
            <v>4*16</v>
          </cell>
        </row>
        <row r="7">
          <cell r="C7" t="str">
            <v>722-264</v>
          </cell>
          <cell r="F7" t="str">
            <v>458*3</v>
          </cell>
          <cell r="I7" t="str">
            <v>458/7+1</v>
          </cell>
          <cell r="L7" t="str">
            <v>1.2*1.8*66</v>
          </cell>
          <cell r="O7" t="str">
            <v>(1.2*2+0.6*2)*66</v>
          </cell>
          <cell r="R7" t="str">
            <v>66*6</v>
          </cell>
          <cell r="U7" t="str">
            <v>4*66</v>
          </cell>
        </row>
        <row r="8">
          <cell r="C8" t="str">
            <v>909-731</v>
          </cell>
          <cell r="F8" t="str">
            <v>178*3</v>
          </cell>
          <cell r="I8" t="str">
            <v>178/7+1-1</v>
          </cell>
          <cell r="L8" t="str">
            <v>1.2*1.8*25</v>
          </cell>
          <cell r="O8" t="str">
            <v>(1.2*2+0.6*2)*25</v>
          </cell>
          <cell r="R8" t="str">
            <v>25*6</v>
          </cell>
          <cell r="U8" t="str">
            <v>4*25</v>
          </cell>
        </row>
        <row r="9">
          <cell r="C9" t="str">
            <v>1133-916</v>
          </cell>
          <cell r="F9" t="str">
            <v>217*3</v>
          </cell>
          <cell r="I9" t="str">
            <v>217/7+1-2</v>
          </cell>
          <cell r="L9" t="str">
            <v>1.2*1.8*30</v>
          </cell>
          <cell r="O9" t="str">
            <v>(1.2*2+0.6*2)*30</v>
          </cell>
          <cell r="R9" t="str">
            <v>30*6</v>
          </cell>
          <cell r="U9" t="str">
            <v>4*30</v>
          </cell>
        </row>
        <row r="10">
          <cell r="C10" t="str">
            <v>1235-1140</v>
          </cell>
          <cell r="F10" t="str">
            <v>95*3</v>
          </cell>
          <cell r="I10" t="str">
            <v>95/7+1-1</v>
          </cell>
          <cell r="L10" t="str">
            <v>1.2*1.8*14</v>
          </cell>
          <cell r="O10" t="str">
            <v>(1.2*2+0.6*2)*14</v>
          </cell>
          <cell r="R10" t="str">
            <v>14*6</v>
          </cell>
          <cell r="U10" t="str">
            <v>4*14</v>
          </cell>
        </row>
        <row r="11">
          <cell r="C11" t="str">
            <v>126+119+458+178+217+95</v>
          </cell>
          <cell r="F11" t="str">
            <v>378+357+1374+534+651+285</v>
          </cell>
          <cell r="I11" t="str">
            <v>23+17+66+25+30+14</v>
          </cell>
          <cell r="L11" t="str">
            <v>49.68+34.56+142.56+54+64.8+30.24</v>
          </cell>
          <cell r="O11" t="str">
            <v>82.8+57.6+237.6+90+108+50.4</v>
          </cell>
          <cell r="R11" t="str">
            <v>138+96+396+150+180+84</v>
          </cell>
          <cell r="U11" t="str">
            <v>92+64+264+100+120+56</v>
          </cell>
        </row>
        <row r="12">
          <cell r="C12" t="str">
            <v>122-12</v>
          </cell>
          <cell r="F12" t="str">
            <v>110*3</v>
          </cell>
          <cell r="I12" t="str">
            <v>110/7+1+3</v>
          </cell>
          <cell r="L12" t="str">
            <v>1.2*1.8*20</v>
          </cell>
          <cell r="O12" t="str">
            <v>(1.2*2+0.6*2)*20</v>
          </cell>
          <cell r="R12" t="str">
            <v>20*6</v>
          </cell>
          <cell r="U12" t="str">
            <v>4*20</v>
          </cell>
        </row>
        <row r="13">
          <cell r="C13" t="str">
            <v>248-125</v>
          </cell>
          <cell r="F13" t="str">
            <v>123*3</v>
          </cell>
          <cell r="I13" t="str">
            <v>123/7+1-4</v>
          </cell>
          <cell r="L13" t="str">
            <v>1.2*1.8*15</v>
          </cell>
          <cell r="O13" t="str">
            <v>(1.2*2+0.6*2)*15</v>
          </cell>
          <cell r="R13" t="str">
            <v>15*6</v>
          </cell>
          <cell r="U13" t="str">
            <v>4*15</v>
          </cell>
        </row>
        <row r="15">
          <cell r="C15" t="str">
            <v>741-253</v>
          </cell>
          <cell r="F15" t="str">
            <v>488*3</v>
          </cell>
          <cell r="I15" t="str">
            <v>488/7+1-7</v>
          </cell>
          <cell r="L15" t="str">
            <v>1.2*1.8*64</v>
          </cell>
          <cell r="O15" t="str">
            <v>(1.2*2+0.6*2)*64</v>
          </cell>
          <cell r="R15" t="str">
            <v>64*6</v>
          </cell>
          <cell r="U15" t="str">
            <v>4*64</v>
          </cell>
        </row>
        <row r="16">
          <cell r="C16" t="str">
            <v>902-748</v>
          </cell>
          <cell r="F16" t="str">
            <v>154*3</v>
          </cell>
          <cell r="I16" t="str">
            <v>154/7+1-3</v>
          </cell>
          <cell r="L16" t="str">
            <v>1.2*1.8*20</v>
          </cell>
          <cell r="O16" t="str">
            <v>(1.2*2+0.6*2)*20</v>
          </cell>
          <cell r="R16" t="str">
            <v>20*6</v>
          </cell>
          <cell r="U16" t="str">
            <v>4*20</v>
          </cell>
        </row>
        <row r="17">
          <cell r="C17" t="str">
            <v>1134-908</v>
          </cell>
          <cell r="F17" t="str">
            <v>226*3</v>
          </cell>
          <cell r="I17" t="str">
            <v>226/7+1-4</v>
          </cell>
          <cell r="L17" t="str">
            <v>1.2*1.8*29</v>
          </cell>
          <cell r="O17" t="str">
            <v>(1.2*2+0.6*2)*29</v>
          </cell>
          <cell r="R17" t="str">
            <v>29*6</v>
          </cell>
          <cell r="U17" t="str">
            <v>4*29</v>
          </cell>
        </row>
        <row r="18">
          <cell r="C18" t="str">
            <v>1235-1140</v>
          </cell>
          <cell r="F18" t="str">
            <v>95*3</v>
          </cell>
          <cell r="I18" t="str">
            <v>95/7+1-2</v>
          </cell>
          <cell r="L18" t="str">
            <v>1.2*1.8*13</v>
          </cell>
          <cell r="O18" t="str">
            <v>(1.2*2+0.6*2)*13</v>
          </cell>
          <cell r="R18" t="str">
            <v>13*6</v>
          </cell>
          <cell r="U18" t="str">
            <v>4*13</v>
          </cell>
        </row>
        <row r="19">
          <cell r="C19" t="str">
            <v>110+123+488+154+226+95</v>
          </cell>
          <cell r="F19" t="str">
            <v>330+369+1464+462+678+285</v>
          </cell>
          <cell r="I19" t="str">
            <v>20+15+64+20+29+13</v>
          </cell>
          <cell r="L19" t="str">
            <v>43.2+32.4+138.24+43.2+62.64+28.08</v>
          </cell>
          <cell r="O19" t="str">
            <v>72+54+230.4+72+104.4+46.8</v>
          </cell>
          <cell r="R19" t="str">
            <v>120+90+384+120+174+78</v>
          </cell>
          <cell r="U19" t="str">
            <v>80+60+256+80+116+52</v>
          </cell>
        </row>
        <row r="20">
          <cell r="C20" t="str">
            <v>1193+1196</v>
          </cell>
          <cell r="F20" t="str">
            <v>3579+3588</v>
          </cell>
          <cell r="I20" t="str">
            <v>175+161</v>
          </cell>
          <cell r="L20" t="str">
            <v>375.84+347.76</v>
          </cell>
          <cell r="O20" t="str">
            <v>626.4+579.6</v>
          </cell>
          <cell r="R20" t="str">
            <v>1044+966</v>
          </cell>
          <cell r="U20" t="str">
            <v>696+644</v>
          </cell>
        </row>
        <row r="33">
          <cell r="C33" t="str">
            <v>378-49.68-37.8</v>
          </cell>
          <cell r="F33" t="str">
            <v>66.05+38.89+8.31</v>
          </cell>
          <cell r="I33">
            <v>126</v>
          </cell>
          <cell r="L33" t="str">
            <v>0.15*252</v>
          </cell>
        </row>
        <row r="34">
          <cell r="C34" t="str">
            <v>357-34.56-11.78-35.7</v>
          </cell>
          <cell r="F34" t="str">
            <v>5.89+5.89</v>
          </cell>
          <cell r="I34">
            <v>119</v>
          </cell>
          <cell r="L34" t="str">
            <v>0.15*238</v>
          </cell>
        </row>
        <row r="36">
          <cell r="C36" t="str">
            <v>1374-142.56-11.78-137.4</v>
          </cell>
          <cell r="F36" t="str">
            <v>5.89+5.89</v>
          </cell>
          <cell r="I36">
            <v>458</v>
          </cell>
          <cell r="L36" t="str">
            <v>0.15*916</v>
          </cell>
        </row>
        <row r="37">
          <cell r="C37" t="str">
            <v>534-54-16.62-53.4</v>
          </cell>
          <cell r="F37" t="str">
            <v>8.31+8.31</v>
          </cell>
          <cell r="I37">
            <v>178</v>
          </cell>
          <cell r="L37" t="str">
            <v>0.15*356</v>
          </cell>
        </row>
        <row r="38">
          <cell r="C38" t="str">
            <v>651-64.8-11.78-65.1</v>
          </cell>
          <cell r="F38" t="str">
            <v>5.89+5.89</v>
          </cell>
          <cell r="I38">
            <v>217</v>
          </cell>
          <cell r="L38" t="str">
            <v>0.15*434</v>
          </cell>
        </row>
        <row r="39">
          <cell r="C39" t="str">
            <v>285-30.24-5.89-28.5</v>
          </cell>
          <cell r="F39">
            <v>5.89</v>
          </cell>
          <cell r="I39">
            <v>95</v>
          </cell>
          <cell r="L39" t="str">
            <v>0.15*190</v>
          </cell>
        </row>
        <row r="40">
          <cell r="C40" t="str">
            <v>290.52+274.96+1082.26+409.98+509.32+220.37</v>
          </cell>
          <cell r="F40" t="str">
            <v>113.25+11.78+11.78+16.62+11.78+5.89</v>
          </cell>
          <cell r="I40" t="str">
            <v>126+119+458+178+217+95</v>
          </cell>
          <cell r="L40" t="str">
            <v>37.8+35.7+137.4+53.4+65.1+28.5</v>
          </cell>
        </row>
        <row r="41">
          <cell r="C41" t="str">
            <v>330-43.2-33</v>
          </cell>
          <cell r="F41" t="str">
            <v>66.05+38.89+6</v>
          </cell>
          <cell r="I41">
            <v>110</v>
          </cell>
          <cell r="L41" t="str">
            <v>0.15*220</v>
          </cell>
        </row>
        <row r="42">
          <cell r="C42" t="str">
            <v>369-32.4-16.62-36.9</v>
          </cell>
          <cell r="F42" t="str">
            <v>8.31+8.31</v>
          </cell>
          <cell r="I42">
            <v>123</v>
          </cell>
          <cell r="L42" t="str">
            <v>0.15*246</v>
          </cell>
        </row>
        <row r="44">
          <cell r="C44" t="str">
            <v>1464-138.24-16.62-146.4</v>
          </cell>
          <cell r="F44" t="str">
            <v>8.31+8.31</v>
          </cell>
          <cell r="I44">
            <v>488</v>
          </cell>
          <cell r="L44" t="str">
            <v>0.15*976</v>
          </cell>
        </row>
        <row r="45">
          <cell r="C45" t="str">
            <v>462-43.2-11.78-46.2</v>
          </cell>
          <cell r="F45" t="str">
            <v>5.89+5.89</v>
          </cell>
          <cell r="I45">
            <v>154</v>
          </cell>
          <cell r="L45" t="str">
            <v>0.15*308</v>
          </cell>
        </row>
        <row r="46">
          <cell r="C46" t="str">
            <v>678-62.64-14.2-67.8</v>
          </cell>
          <cell r="F46" t="str">
            <v>5.89+8.31</v>
          </cell>
          <cell r="I46">
            <v>226</v>
          </cell>
          <cell r="L46" t="str">
            <v>0.15*452</v>
          </cell>
        </row>
        <row r="47">
          <cell r="C47" t="str">
            <v>285-28.08-5.89-28.5</v>
          </cell>
          <cell r="F47">
            <v>5.89</v>
          </cell>
          <cell r="I47">
            <v>95</v>
          </cell>
          <cell r="L47" t="str">
            <v>0.15*190</v>
          </cell>
        </row>
        <row r="48">
          <cell r="C48" t="str">
            <v>253.8+283.08+1162.74+360.82+533.36+222.53</v>
          </cell>
          <cell r="F48" t="str">
            <v>110.94+16.62+16.62+11.78+14.2+5.89</v>
          </cell>
          <cell r="I48" t="str">
            <v>110+123+488+154+226+95</v>
          </cell>
          <cell r="L48" t="str">
            <v>33+36.9+146.4+46.2+67.8+28.5</v>
          </cell>
        </row>
        <row r="49">
          <cell r="C49" t="str">
            <v>2787.41+2816.33</v>
          </cell>
          <cell r="F49" t="str">
            <v>171.1+176.05</v>
          </cell>
          <cell r="I49" t="str">
            <v>1193+1196</v>
          </cell>
          <cell r="L49" t="str">
            <v>357.9+358.8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預算書總表"/>
      <sheetName val="印鑑單"/>
      <sheetName val="預算明細表"/>
      <sheetName val="單價分析表"/>
      <sheetName val="施工補充說明"/>
      <sheetName val="數量統計表"/>
      <sheetName val="數量計算表"/>
      <sheetName val="土石方"/>
      <sheetName val="路寬計算表"/>
      <sheetName val="數量計算表(1)"/>
      <sheetName val="基本工料分析"/>
      <sheetName val="單價分析表 "/>
      <sheetName val="單價分析 "/>
      <sheetName val="單價分析"/>
      <sheetName val="Sheet2"/>
      <sheetName val="預算書10"/>
      <sheetName val="內容"/>
      <sheetName val="計2"/>
      <sheetName val="單價分析表_"/>
      <sheetName val="單價分析_"/>
      <sheetName val="單價分析表_1"/>
      <sheetName val="單價分析_1"/>
      <sheetName val="單價分析表_2"/>
      <sheetName val="單價分析_2"/>
      <sheetName val="工程預算書 "/>
      <sheetName val="131-42K"/>
      <sheetName val="營繕工程變更設計預算表"/>
      <sheetName val="單價分析表_4"/>
      <sheetName val="單價分析_3"/>
      <sheetName val="單價分析表_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/>
      <sheetData sheetId="29"/>
      <sheetData sheetId="30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封面 (2)"/>
      <sheetName val="預1"/>
      <sheetName val="預2"/>
      <sheetName val="單1"/>
      <sheetName val="單2"/>
      <sheetName val="單3"/>
      <sheetName val="單4"/>
      <sheetName val="單5"/>
      <sheetName val="單6"/>
      <sheetName val="單7"/>
      <sheetName val="統1"/>
      <sheetName val="計1"/>
      <sheetName val="工程預算書 "/>
      <sheetName val="單價總表"/>
      <sheetName val="Sheet2"/>
      <sheetName val="預算明細表"/>
      <sheetName val="單價"/>
      <sheetName val="單析表"/>
      <sheetName val="工程預算"/>
      <sheetName val="工程預算書"/>
      <sheetName val="單價分析表(1-11)"/>
      <sheetName val="預算明細"/>
      <sheetName val="修改"/>
      <sheetName val="封面_(2)"/>
      <sheetName val="工程預算書_"/>
      <sheetName val="G1水土保持"/>
      <sheetName val="基本單價"/>
      <sheetName val="input"/>
      <sheetName val="富軥產品基本資料"/>
      <sheetName val="封面_(2)1"/>
      <sheetName val="工程預算書_1"/>
      <sheetName val="參數設定"/>
      <sheetName val="預算書10"/>
      <sheetName val="單價表"/>
      <sheetName val="06數量計算表"/>
      <sheetName val="表頭"/>
      <sheetName val="封面_(2)2"/>
      <sheetName val="工程預算書_2"/>
      <sheetName val="單價分析"/>
      <sheetName val="附表"/>
      <sheetName val="封面_(2)3"/>
      <sheetName val="工程預算書_3"/>
      <sheetName val="E050-5"/>
      <sheetName val="計2"/>
      <sheetName val="封面_(2)4"/>
      <sheetName val="工程預算書_4"/>
      <sheetName val="封面_(2)5"/>
      <sheetName val="工程預算書_5"/>
      <sheetName val="建築工程"/>
      <sheetName val="代數"/>
      <sheetName val="合約價"/>
      <sheetName val="封面_(2)6"/>
      <sheetName val="工程預算書_6"/>
      <sheetName val="單價分析表"/>
      <sheetName val="土方計算表"/>
      <sheetName val="預算詳細表"/>
      <sheetName val="工料表"/>
      <sheetName val="封面_(2)7"/>
      <sheetName val="工程預算書_7"/>
      <sheetName val="鋼筋計算(環村擋牆3.0-079)"/>
      <sheetName val="鋼筋計算(環村擋牆3.5-212)"/>
      <sheetName val="數量計算表(乙)"/>
      <sheetName val="總表"/>
    </sheetNames>
    <sheetDataSet>
      <sheetData sheetId="0"/>
      <sheetData sheetId="1"/>
      <sheetData sheetId="2"/>
      <sheetData sheetId="3" refreshError="1"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>
            <v>24</v>
          </cell>
        </row>
        <row r="32">
          <cell r="A32">
            <v>25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/>
      <sheetData sheetId="43" refreshError="1"/>
      <sheetData sheetId="44" refreshError="1"/>
      <sheetData sheetId="45"/>
      <sheetData sheetId="46"/>
      <sheetData sheetId="47"/>
      <sheetData sheetId="48" refreshError="1"/>
      <sheetData sheetId="49" refreshError="1"/>
      <sheetData sheetId="50" refreshError="1"/>
      <sheetData sheetId="51" refreshError="1"/>
      <sheetData sheetId="52"/>
      <sheetData sheetId="53"/>
      <sheetData sheetId="54" refreshError="1"/>
      <sheetData sheetId="55" refreshError="1"/>
      <sheetData sheetId="56" refreshError="1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預算書審查表"/>
      <sheetName val="設計竣工報告"/>
      <sheetName val="說明"/>
      <sheetName val="基本資料"/>
      <sheetName val="工期預定進度表"/>
      <sheetName val="封面(台中縣府1) "/>
      <sheetName val="包商估價單"/>
      <sheetName val="預算 (總表)"/>
      <sheetName val="預算明細表"/>
      <sheetName val="預算分析"/>
      <sheetName val="運費分析"/>
      <sheetName val="數量計算"/>
      <sheetName val="計算分表"/>
      <sheetName val="計算總表"/>
      <sheetName val="土木工程 "/>
      <sheetName val="建築工程"/>
      <sheetName val="預覽單價"/>
      <sheetName val="統一單價"/>
      <sheetName val="選用工料"/>
      <sheetName val="常用單價分析"/>
      <sheetName val="單價分析表 (台中縣府)"/>
      <sheetName val="印單價分析表"/>
      <sheetName val="AC舖設"/>
      <sheetName val="擋土牆30"/>
      <sheetName val="擋土牆50"/>
      <sheetName val="懸臂式"/>
      <sheetName val="半重力"/>
      <sheetName val="打除"/>
      <sheetName val="路面數量"/>
      <sheetName val="水溝(住)"/>
      <sheetName val="塊石"/>
      <sheetName val="土方數量"/>
      <sheetName val="方溝"/>
      <sheetName val="圓溝"/>
      <sheetName val="半重力50"/>
      <sheetName val="估價單總表"/>
      <sheetName val="估價單(單析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N19"/>
  <sheetViews>
    <sheetView view="pageBreakPreview" zoomScale="60" zoomScaleNormal="63" workbookViewId="0">
      <selection activeCell="V10" sqref="V10"/>
    </sheetView>
  </sheetViews>
  <sheetFormatPr defaultRowHeight="16.5"/>
  <cols>
    <col min="10" max="10" width="8.5" customWidth="1"/>
    <col min="11" max="11" width="8.875" hidden="1" customWidth="1"/>
  </cols>
  <sheetData>
    <row r="1" spans="2:14" ht="17.100000000000001" customHeight="1">
      <c r="M1">
        <v>17</v>
      </c>
      <c r="N1" s="58"/>
    </row>
    <row r="2" spans="2:14" ht="17.100000000000001" customHeight="1">
      <c r="M2">
        <v>17</v>
      </c>
      <c r="N2" s="58"/>
    </row>
    <row r="3" spans="2:14" ht="17.100000000000001" customHeight="1">
      <c r="M3">
        <v>17</v>
      </c>
      <c r="N3" s="58"/>
    </row>
    <row r="4" spans="2:14" ht="54" customHeight="1">
      <c r="C4" s="417" t="str">
        <f>內容!C13</f>
        <v>臺中市龍井區龍井國民小學</v>
      </c>
      <c r="D4" s="417"/>
      <c r="E4" s="417"/>
      <c r="F4" s="417"/>
      <c r="G4" s="417"/>
      <c r="H4" s="417"/>
      <c r="I4" s="417"/>
      <c r="J4" s="417"/>
      <c r="M4">
        <v>54</v>
      </c>
      <c r="N4" s="58"/>
    </row>
    <row r="5" spans="2:14">
      <c r="M5">
        <v>17</v>
      </c>
      <c r="N5" s="58"/>
    </row>
    <row r="6" spans="2:14">
      <c r="M6">
        <v>17</v>
      </c>
      <c r="N6" s="58"/>
    </row>
    <row r="7" spans="2:14" ht="45" customHeight="1">
      <c r="B7" s="418" t="str">
        <f>內容!D6</f>
        <v>龍井國小114-116年公立國民中小學老舊廁所整修工程</v>
      </c>
      <c r="C7" s="418"/>
      <c r="D7" s="418"/>
      <c r="E7" s="418"/>
      <c r="F7" s="418"/>
      <c r="G7" s="418"/>
      <c r="H7" s="418"/>
      <c r="I7" s="418"/>
      <c r="J7" s="418"/>
      <c r="M7">
        <v>45</v>
      </c>
      <c r="N7" s="58"/>
    </row>
    <row r="8" spans="2:14" ht="45" customHeight="1">
      <c r="B8" s="418"/>
      <c r="C8" s="418"/>
      <c r="D8" s="418"/>
      <c r="E8" s="418"/>
      <c r="F8" s="418"/>
      <c r="G8" s="418"/>
      <c r="H8" s="418"/>
      <c r="I8" s="418"/>
      <c r="J8" s="418"/>
      <c r="M8">
        <v>45</v>
      </c>
      <c r="N8" s="58"/>
    </row>
    <row r="9" spans="2:14" ht="45" customHeight="1">
      <c r="M9">
        <v>45</v>
      </c>
      <c r="N9" s="58"/>
    </row>
    <row r="10" spans="2:14" ht="45" customHeight="1" thickBot="1">
      <c r="B10" s="69"/>
      <c r="C10" s="69"/>
      <c r="D10" s="69"/>
      <c r="E10" s="69"/>
      <c r="F10" s="69"/>
      <c r="G10" s="69"/>
      <c r="H10" s="69"/>
      <c r="I10" s="69"/>
      <c r="J10" s="69"/>
      <c r="M10">
        <v>45</v>
      </c>
      <c r="N10" s="58"/>
    </row>
    <row r="11" spans="2:14" ht="135" customHeight="1" thickTop="1" thickBot="1">
      <c r="B11" s="419" t="s">
        <v>98</v>
      </c>
      <c r="C11" s="420"/>
      <c r="D11" s="420"/>
      <c r="E11" s="420"/>
      <c r="F11" s="420"/>
      <c r="G11" s="420"/>
      <c r="H11" s="420"/>
      <c r="I11" s="420"/>
      <c r="J11" s="421"/>
      <c r="M11">
        <v>135</v>
      </c>
      <c r="N11" s="58"/>
    </row>
    <row r="12" spans="2:14" ht="135" customHeight="1" thickTop="1">
      <c r="M12">
        <v>135</v>
      </c>
      <c r="N12" s="58"/>
    </row>
    <row r="13" spans="2:14" ht="30.2" customHeight="1">
      <c r="B13" s="422" t="s">
        <v>96</v>
      </c>
      <c r="C13" s="422"/>
      <c r="D13" s="423" t="str">
        <f>內容!C13</f>
        <v>臺中市龍井區龍井國民小學</v>
      </c>
      <c r="E13" s="423"/>
      <c r="F13" s="423"/>
      <c r="G13" s="423"/>
      <c r="H13" s="423"/>
      <c r="I13" s="423"/>
      <c r="J13" s="423"/>
      <c r="M13">
        <v>30</v>
      </c>
      <c r="N13" s="58"/>
    </row>
    <row r="14" spans="2:14" ht="30.2" customHeight="1">
      <c r="B14" s="422" t="s">
        <v>95</v>
      </c>
      <c r="C14" s="422"/>
      <c r="D14" s="423" t="s">
        <v>159</v>
      </c>
      <c r="E14" s="423"/>
      <c r="F14" s="423"/>
      <c r="G14" s="423"/>
      <c r="H14" s="423"/>
      <c r="I14" s="423"/>
      <c r="J14" s="423"/>
      <c r="M14">
        <v>30</v>
      </c>
      <c r="N14" s="58"/>
    </row>
    <row r="15" spans="2:14" ht="30.2" customHeight="1">
      <c r="B15" s="422" t="s">
        <v>94</v>
      </c>
      <c r="C15" s="422"/>
      <c r="D15" s="424" t="str">
        <f>內容!C14</f>
        <v>銘佑營造有限公司</v>
      </c>
      <c r="E15" s="423"/>
      <c r="F15" s="423"/>
      <c r="G15" s="423"/>
      <c r="H15" s="423"/>
      <c r="I15" s="423"/>
      <c r="J15" s="423"/>
      <c r="M15">
        <v>30</v>
      </c>
      <c r="N15" s="58"/>
    </row>
    <row r="16" spans="2:14" ht="30.2" customHeight="1">
      <c r="B16" s="423" t="s">
        <v>93</v>
      </c>
      <c r="C16" s="423"/>
      <c r="D16" s="422" t="s">
        <v>157</v>
      </c>
      <c r="E16" s="422"/>
      <c r="F16" s="68">
        <v>7</v>
      </c>
      <c r="G16" s="67" t="s">
        <v>92</v>
      </c>
      <c r="H16" s="18"/>
      <c r="I16" s="18"/>
      <c r="J16" s="18"/>
      <c r="M16">
        <v>30</v>
      </c>
      <c r="N16" s="58"/>
    </row>
    <row r="17" spans="13:14" ht="17.100000000000001" customHeight="1">
      <c r="M17">
        <v>17</v>
      </c>
      <c r="N17" s="58"/>
    </row>
    <row r="18" spans="13:14" ht="17.100000000000001" customHeight="1">
      <c r="M18">
        <v>17</v>
      </c>
      <c r="N18" s="58"/>
    </row>
    <row r="19" spans="13:14" ht="17.100000000000001" customHeight="1">
      <c r="M19">
        <v>17</v>
      </c>
      <c r="N19" s="58"/>
    </row>
  </sheetData>
  <mergeCells count="11">
    <mergeCell ref="D14:J14"/>
    <mergeCell ref="B15:C15"/>
    <mergeCell ref="D15:J15"/>
    <mergeCell ref="B16:C16"/>
    <mergeCell ref="D16:E16"/>
    <mergeCell ref="B14:C14"/>
    <mergeCell ref="C4:J4"/>
    <mergeCell ref="B7:J8"/>
    <mergeCell ref="B11:J11"/>
    <mergeCell ref="B13:C13"/>
    <mergeCell ref="D13:J13"/>
  </mergeCells>
  <phoneticPr fontId="4" type="noConversion"/>
  <pageMargins left="0.31496062992125984" right="0.31496062992125984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B1:N19"/>
  <sheetViews>
    <sheetView view="pageBreakPreview" zoomScale="60" zoomScaleNormal="63" workbookViewId="0">
      <selection activeCell="U12" sqref="U12"/>
    </sheetView>
  </sheetViews>
  <sheetFormatPr defaultRowHeight="16.5"/>
  <cols>
    <col min="11" max="11" width="0.375" customWidth="1"/>
  </cols>
  <sheetData>
    <row r="1" spans="2:14" ht="17.100000000000001" customHeight="1">
      <c r="M1">
        <v>17</v>
      </c>
      <c r="N1" s="58"/>
    </row>
    <row r="2" spans="2:14" ht="17.100000000000001" customHeight="1">
      <c r="M2">
        <v>17</v>
      </c>
      <c r="N2" s="58"/>
    </row>
    <row r="3" spans="2:14" ht="17.100000000000001" customHeight="1">
      <c r="M3">
        <v>17</v>
      </c>
      <c r="N3" s="58"/>
    </row>
    <row r="4" spans="2:14" ht="54" customHeight="1">
      <c r="C4" s="417" t="str">
        <f>內容!C13</f>
        <v>臺中市龍井區龍井國民小學</v>
      </c>
      <c r="D4" s="417"/>
      <c r="E4" s="417"/>
      <c r="F4" s="417"/>
      <c r="G4" s="417"/>
      <c r="H4" s="417"/>
      <c r="I4" s="417"/>
      <c r="J4" s="417"/>
      <c r="M4">
        <v>54</v>
      </c>
      <c r="N4" s="58"/>
    </row>
    <row r="5" spans="2:14">
      <c r="M5">
        <v>17</v>
      </c>
      <c r="N5" s="58"/>
    </row>
    <row r="6" spans="2:14">
      <c r="M6">
        <v>17</v>
      </c>
      <c r="N6" s="58"/>
    </row>
    <row r="7" spans="2:14" ht="45" customHeight="1">
      <c r="B7" s="418" t="str">
        <f>內容!D6</f>
        <v>龍井國小114-116年公立國民中小學老舊廁所整修工程</v>
      </c>
      <c r="C7" s="418"/>
      <c r="D7" s="418"/>
      <c r="E7" s="418"/>
      <c r="F7" s="418"/>
      <c r="G7" s="418"/>
      <c r="H7" s="418"/>
      <c r="I7" s="418"/>
      <c r="J7" s="418"/>
      <c r="M7">
        <v>45</v>
      </c>
      <c r="N7" s="58"/>
    </row>
    <row r="8" spans="2:14" ht="45" customHeight="1">
      <c r="B8" s="418"/>
      <c r="C8" s="418"/>
      <c r="D8" s="418"/>
      <c r="E8" s="418"/>
      <c r="F8" s="418"/>
      <c r="G8" s="418"/>
      <c r="H8" s="418"/>
      <c r="I8" s="418"/>
      <c r="J8" s="418"/>
      <c r="M8">
        <v>45</v>
      </c>
      <c r="N8" s="58"/>
    </row>
    <row r="9" spans="2:14" ht="45" customHeight="1">
      <c r="M9">
        <v>45</v>
      </c>
      <c r="N9" s="58"/>
    </row>
    <row r="10" spans="2:14" ht="45" customHeight="1" thickBot="1">
      <c r="B10" s="69"/>
      <c r="C10" s="69"/>
      <c r="D10" s="69"/>
      <c r="E10" s="69"/>
      <c r="F10" s="69"/>
      <c r="G10" s="69"/>
      <c r="H10" s="69"/>
      <c r="I10" s="69"/>
      <c r="J10" s="69"/>
      <c r="M10">
        <v>45</v>
      </c>
      <c r="N10" s="58"/>
    </row>
    <row r="11" spans="2:14" ht="135" customHeight="1" thickTop="1" thickBot="1">
      <c r="B11" s="419" t="s">
        <v>97</v>
      </c>
      <c r="C11" s="420"/>
      <c r="D11" s="420"/>
      <c r="E11" s="420"/>
      <c r="F11" s="420"/>
      <c r="G11" s="420"/>
      <c r="H11" s="420"/>
      <c r="I11" s="420"/>
      <c r="J11" s="421"/>
      <c r="M11">
        <v>135</v>
      </c>
      <c r="N11" s="58"/>
    </row>
    <row r="12" spans="2:14" ht="135" customHeight="1" thickTop="1">
      <c r="M12">
        <v>135</v>
      </c>
      <c r="N12" s="58"/>
    </row>
    <row r="13" spans="2:14" ht="30.2" customHeight="1">
      <c r="B13" s="422" t="s">
        <v>96</v>
      </c>
      <c r="C13" s="422"/>
      <c r="D13" s="423" t="str">
        <f>內容!C13</f>
        <v>臺中市龍井區龍井國民小學</v>
      </c>
      <c r="E13" s="423"/>
      <c r="F13" s="423"/>
      <c r="G13" s="423"/>
      <c r="H13" s="423"/>
      <c r="I13" s="423"/>
      <c r="J13" s="423"/>
      <c r="M13">
        <v>30</v>
      </c>
      <c r="N13" s="58"/>
    </row>
    <row r="14" spans="2:14" ht="30.2" customHeight="1">
      <c r="B14" s="422" t="s">
        <v>95</v>
      </c>
      <c r="C14" s="422"/>
      <c r="D14" s="423" t="s">
        <v>159</v>
      </c>
      <c r="E14" s="423"/>
      <c r="F14" s="423"/>
      <c r="G14" s="423"/>
      <c r="H14" s="423"/>
      <c r="I14" s="423"/>
      <c r="J14" s="423"/>
      <c r="M14">
        <v>30</v>
      </c>
      <c r="N14" s="58"/>
    </row>
    <row r="15" spans="2:14" ht="30.2" customHeight="1">
      <c r="B15" s="422" t="s">
        <v>94</v>
      </c>
      <c r="C15" s="422"/>
      <c r="D15" s="424" t="str">
        <f>內容!C14</f>
        <v>銘佑營造有限公司</v>
      </c>
      <c r="E15" s="423"/>
      <c r="F15" s="423"/>
      <c r="G15" s="423"/>
      <c r="H15" s="423"/>
      <c r="I15" s="423"/>
      <c r="J15" s="423"/>
      <c r="M15">
        <v>30</v>
      </c>
      <c r="N15" s="58"/>
    </row>
    <row r="16" spans="2:14" ht="30.2" customHeight="1">
      <c r="B16" s="423" t="s">
        <v>93</v>
      </c>
      <c r="C16" s="423"/>
      <c r="D16" s="422" t="s">
        <v>157</v>
      </c>
      <c r="E16" s="422"/>
      <c r="F16" s="68">
        <v>7</v>
      </c>
      <c r="G16" s="67" t="s">
        <v>92</v>
      </c>
      <c r="H16" s="18"/>
      <c r="I16" s="18"/>
      <c r="J16" s="18"/>
      <c r="M16">
        <v>30</v>
      </c>
      <c r="N16" s="58"/>
    </row>
    <row r="17" spans="13:14" ht="17.100000000000001" customHeight="1">
      <c r="M17">
        <v>17</v>
      </c>
      <c r="N17" s="58"/>
    </row>
    <row r="18" spans="13:14" ht="17.100000000000001" customHeight="1">
      <c r="M18">
        <v>17</v>
      </c>
      <c r="N18" s="58"/>
    </row>
    <row r="19" spans="13:14" ht="17.100000000000001" customHeight="1">
      <c r="M19">
        <v>17</v>
      </c>
      <c r="N19" s="58"/>
    </row>
  </sheetData>
  <mergeCells count="11">
    <mergeCell ref="C4:J4"/>
    <mergeCell ref="B11:J11"/>
    <mergeCell ref="B13:C13"/>
    <mergeCell ref="D13:J13"/>
    <mergeCell ref="B7:J8"/>
    <mergeCell ref="B16:C16"/>
    <mergeCell ref="D16:E16"/>
    <mergeCell ref="B14:C14"/>
    <mergeCell ref="D14:J14"/>
    <mergeCell ref="B15:C15"/>
    <mergeCell ref="D15:J15"/>
  </mergeCells>
  <phoneticPr fontId="4" type="noConversion"/>
  <pageMargins left="0.31496062992125984" right="0.31496062992125984" top="0.74803149606299213" bottom="0.74803149606299213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Sheet5">
    <pageSetUpPr fitToPage="1"/>
  </sheetPr>
  <dimension ref="A1:O22"/>
  <sheetViews>
    <sheetView showGridLines="0" zoomScale="55" zoomScaleNormal="55" workbookViewId="0">
      <selection activeCell="K19" sqref="K19"/>
    </sheetView>
  </sheetViews>
  <sheetFormatPr defaultColWidth="10.625" defaultRowHeight="22.7" customHeight="1"/>
  <cols>
    <col min="1" max="1" width="5" style="29" customWidth="1"/>
    <col min="2" max="2" width="7.125" style="29" customWidth="1"/>
    <col min="3" max="4" width="9.875" style="29" customWidth="1"/>
    <col min="5" max="5" width="4.875" style="29" customWidth="1"/>
    <col min="6" max="10" width="8.875" style="29" customWidth="1"/>
    <col min="11" max="14" width="9.875" style="29" customWidth="1"/>
    <col min="15" max="15" width="2.625" style="29" customWidth="1"/>
    <col min="16" max="16384" width="10.625" style="29"/>
  </cols>
  <sheetData>
    <row r="1" spans="1:15" ht="68.849999999999994" customHeight="1">
      <c r="A1" s="26"/>
      <c r="B1" s="27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7"/>
      <c r="O1" s="26"/>
    </row>
    <row r="2" spans="1:15" ht="62.1" customHeight="1">
      <c r="A2" s="26"/>
      <c r="B2" s="27"/>
      <c r="C2" s="30" t="s">
        <v>87</v>
      </c>
      <c r="D2" s="30"/>
      <c r="E2" s="30"/>
      <c r="F2" s="30"/>
      <c r="G2" s="30"/>
      <c r="H2" s="30"/>
      <c r="I2" s="30"/>
      <c r="J2" s="30"/>
      <c r="K2" s="30"/>
      <c r="L2" s="30"/>
      <c r="M2" s="30"/>
      <c r="N2" s="31"/>
      <c r="O2" s="26"/>
    </row>
    <row r="3" spans="1:15" ht="40.700000000000003" customHeight="1">
      <c r="A3" s="26"/>
      <c r="B3" s="27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1"/>
      <c r="O3" s="26"/>
    </row>
    <row r="4" spans="1:15" ht="40.700000000000003" customHeight="1">
      <c r="A4" s="26"/>
      <c r="B4" s="27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1"/>
      <c r="O4" s="26"/>
    </row>
    <row r="5" spans="1:15" ht="40.700000000000003" customHeight="1">
      <c r="A5" s="26"/>
      <c r="B5" s="27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1"/>
      <c r="O5" s="26"/>
    </row>
    <row r="6" spans="1:15" ht="40.700000000000003" customHeight="1">
      <c r="A6" s="26"/>
      <c r="B6" s="27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1"/>
      <c r="O6" s="26"/>
    </row>
    <row r="7" spans="1:15" ht="22.7" customHeight="1">
      <c r="A7" s="26"/>
      <c r="B7" s="27"/>
      <c r="C7" s="27"/>
      <c r="D7" s="27"/>
      <c r="E7" s="27"/>
      <c r="F7" s="27"/>
      <c r="G7" s="27"/>
      <c r="H7" s="33"/>
      <c r="I7" s="27"/>
      <c r="J7" s="27"/>
      <c r="K7" s="27"/>
      <c r="L7" s="34"/>
      <c r="M7" s="31"/>
      <c r="N7" s="31"/>
      <c r="O7" s="26"/>
    </row>
    <row r="8" spans="1:15" ht="66.75" customHeight="1">
      <c r="A8" s="26"/>
      <c r="B8" s="427" t="s">
        <v>67</v>
      </c>
      <c r="C8" s="427"/>
      <c r="D8" s="427"/>
      <c r="E8" s="35"/>
      <c r="F8" s="426" t="str">
        <f>內容!D6</f>
        <v>龍井國小114-116年公立國民中小學老舊廁所整修工程</v>
      </c>
      <c r="G8" s="426"/>
      <c r="H8" s="426"/>
      <c r="I8" s="426"/>
      <c r="J8" s="426"/>
      <c r="K8" s="426"/>
      <c r="L8" s="426"/>
      <c r="M8" s="426"/>
      <c r="N8" s="426"/>
      <c r="O8" s="26"/>
    </row>
    <row r="9" spans="1:15" ht="40.700000000000003" customHeight="1">
      <c r="A9" s="26"/>
      <c r="B9" s="425" t="s">
        <v>158</v>
      </c>
      <c r="C9" s="425"/>
      <c r="D9" s="425"/>
      <c r="E9" s="35"/>
      <c r="F9" s="121" t="s">
        <v>140</v>
      </c>
      <c r="G9" s="36"/>
      <c r="H9" s="37"/>
      <c r="I9" s="36"/>
      <c r="J9" s="36"/>
      <c r="K9" s="36"/>
      <c r="L9" s="38"/>
      <c r="M9" s="38"/>
      <c r="N9" s="39"/>
      <c r="O9" s="26"/>
    </row>
    <row r="10" spans="1:15" ht="40.700000000000003" customHeight="1">
      <c r="A10" s="26"/>
      <c r="B10" s="27"/>
      <c r="C10" s="36"/>
      <c r="D10" s="35"/>
      <c r="E10" s="35"/>
      <c r="F10" s="36"/>
      <c r="G10" s="36"/>
      <c r="H10" s="37"/>
      <c r="I10" s="36"/>
      <c r="J10" s="36"/>
      <c r="K10" s="36"/>
      <c r="L10" s="38"/>
      <c r="M10" s="38"/>
      <c r="N10" s="39"/>
      <c r="O10" s="26"/>
    </row>
    <row r="11" spans="1:15" ht="40.700000000000003" customHeight="1">
      <c r="A11" s="26"/>
      <c r="B11" s="27"/>
      <c r="C11" s="36"/>
      <c r="D11" s="35"/>
      <c r="E11" s="35"/>
      <c r="F11" s="36"/>
      <c r="G11" s="36"/>
      <c r="H11" s="37"/>
      <c r="I11" s="36"/>
      <c r="J11" s="36"/>
      <c r="K11" s="36"/>
      <c r="L11" s="38"/>
      <c r="M11" s="38"/>
      <c r="N11" s="39"/>
      <c r="O11" s="26"/>
    </row>
    <row r="12" spans="1:15" ht="40.700000000000003" customHeight="1">
      <c r="A12" s="26"/>
      <c r="B12" s="27"/>
      <c r="C12" s="36"/>
      <c r="D12" s="35"/>
      <c r="E12" s="35"/>
      <c r="F12" s="36"/>
      <c r="G12" s="36"/>
      <c r="H12" s="37"/>
      <c r="I12" s="36"/>
      <c r="J12" s="36"/>
      <c r="K12" s="36"/>
      <c r="L12" s="38"/>
      <c r="M12" s="38"/>
      <c r="N12" s="39"/>
      <c r="O12" s="26"/>
    </row>
    <row r="13" spans="1:15" ht="40.700000000000003" customHeight="1">
      <c r="A13" s="26"/>
      <c r="B13" s="27"/>
      <c r="C13" s="36"/>
      <c r="D13" s="35"/>
      <c r="E13" s="35"/>
      <c r="F13" s="36"/>
      <c r="G13" s="36"/>
      <c r="H13" s="37"/>
      <c r="I13" s="36"/>
      <c r="J13" s="36"/>
      <c r="K13" s="36"/>
      <c r="L13" s="38"/>
      <c r="M13" s="38"/>
      <c r="N13" s="39"/>
      <c r="O13" s="26"/>
    </row>
    <row r="14" spans="1:15" ht="40.700000000000003" customHeight="1">
      <c r="A14" s="26"/>
      <c r="B14" s="27"/>
      <c r="C14" s="36"/>
      <c r="D14" s="35"/>
      <c r="E14" s="35"/>
      <c r="F14" s="36"/>
      <c r="G14" s="36"/>
      <c r="H14" s="37"/>
      <c r="I14" s="36"/>
      <c r="J14" s="36"/>
      <c r="K14" s="36"/>
      <c r="L14" s="38"/>
      <c r="M14" s="38"/>
      <c r="N14" s="39"/>
      <c r="O14" s="26"/>
    </row>
    <row r="15" spans="1:15" ht="40.700000000000003" customHeight="1">
      <c r="A15" s="26"/>
      <c r="B15" s="27"/>
      <c r="C15" s="36"/>
      <c r="D15" s="35"/>
      <c r="E15" s="35"/>
      <c r="F15" s="36"/>
      <c r="G15" s="36"/>
      <c r="H15" s="37"/>
      <c r="I15" s="36"/>
      <c r="J15" s="36"/>
      <c r="K15" s="36"/>
      <c r="L15" s="38"/>
      <c r="M15" s="38"/>
      <c r="N15" s="39"/>
      <c r="O15" s="26"/>
    </row>
    <row r="16" spans="1:15" ht="40.700000000000003" customHeight="1">
      <c r="A16" s="26"/>
      <c r="B16" s="27"/>
      <c r="C16" s="36"/>
      <c r="D16" s="35"/>
      <c r="E16" s="35"/>
      <c r="F16" s="36"/>
      <c r="G16" s="36"/>
      <c r="H16" s="37"/>
      <c r="I16" s="36"/>
      <c r="J16" s="36"/>
      <c r="K16" s="36"/>
      <c r="L16" s="38"/>
      <c r="M16" s="38"/>
      <c r="N16" s="39"/>
      <c r="O16" s="26"/>
    </row>
    <row r="17" spans="1:15" ht="40.700000000000003" customHeight="1">
      <c r="A17" s="26"/>
      <c r="B17" s="40"/>
      <c r="C17" s="40"/>
      <c r="D17" s="40"/>
      <c r="E17" s="40"/>
      <c r="F17" s="41"/>
      <c r="G17" s="41"/>
      <c r="H17" s="41"/>
      <c r="I17" s="41"/>
      <c r="J17" s="41"/>
      <c r="K17" s="41"/>
      <c r="L17" s="41"/>
      <c r="M17" s="41"/>
      <c r="N17" s="39"/>
      <c r="O17" s="26"/>
    </row>
    <row r="18" spans="1:15" ht="40.700000000000003" customHeight="1">
      <c r="A18" s="26"/>
      <c r="B18" s="42"/>
      <c r="C18" s="42"/>
      <c r="D18" s="42"/>
      <c r="E18" s="42"/>
      <c r="F18" s="43"/>
      <c r="G18" s="43"/>
      <c r="H18" s="43"/>
      <c r="I18" s="43"/>
      <c r="J18" s="43"/>
      <c r="K18" s="43"/>
      <c r="L18" s="43"/>
      <c r="M18" s="43"/>
      <c r="N18" s="39"/>
      <c r="O18" s="26"/>
    </row>
    <row r="19" spans="1:15" ht="40.700000000000003" customHeight="1">
      <c r="A19" s="26"/>
      <c r="B19" s="42"/>
      <c r="C19" s="42"/>
      <c r="D19" s="42"/>
      <c r="E19" s="42"/>
      <c r="F19" s="43"/>
      <c r="G19" s="43"/>
      <c r="H19" s="43"/>
      <c r="I19" s="43"/>
      <c r="J19" s="43"/>
      <c r="K19" s="43"/>
      <c r="L19" s="43"/>
      <c r="M19" s="43"/>
      <c r="N19" s="39"/>
      <c r="O19" s="26"/>
    </row>
    <row r="20" spans="1:15" ht="40.700000000000003" customHeight="1">
      <c r="A20" s="26"/>
      <c r="B20" s="42"/>
      <c r="C20" s="42"/>
      <c r="D20" s="42"/>
      <c r="E20" s="42"/>
      <c r="F20" s="43"/>
      <c r="G20" s="43"/>
      <c r="H20" s="43"/>
      <c r="I20" s="43"/>
      <c r="J20" s="43"/>
      <c r="K20" s="43"/>
      <c r="L20" s="43"/>
      <c r="M20" s="43"/>
      <c r="N20" s="39"/>
      <c r="O20" s="26"/>
    </row>
    <row r="21" spans="1:15" ht="30.2" customHeight="1">
      <c r="A21" s="26"/>
      <c r="B21" s="122" t="s">
        <v>160</v>
      </c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26"/>
    </row>
    <row r="22" spans="1:15" ht="22.7" customHeight="1">
      <c r="B22" s="27"/>
      <c r="C22" s="36"/>
      <c r="D22" s="35"/>
      <c r="E22" s="36"/>
      <c r="F22" s="45"/>
      <c r="G22" s="45"/>
      <c r="H22" s="45"/>
      <c r="I22" s="45"/>
      <c r="J22" s="45"/>
      <c r="K22" s="45"/>
      <c r="L22" s="45"/>
      <c r="M22" s="45"/>
    </row>
  </sheetData>
  <mergeCells count="3">
    <mergeCell ref="B9:D9"/>
    <mergeCell ref="F8:N8"/>
    <mergeCell ref="B8:D8"/>
  </mergeCells>
  <phoneticPr fontId="2" type="noConversion"/>
  <printOptions horizontalCentered="1" verticalCentered="1"/>
  <pageMargins left="0.59055118110236227" right="0.59055118110236227" top="0.39370078740157483" bottom="0.39370078740157483" header="0.51181102362204722" footer="0.51181102362204722"/>
  <pageSetup paperSize="9" scale="78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35"/>
  <sheetViews>
    <sheetView topLeftCell="A19" workbookViewId="0">
      <selection activeCell="B30" sqref="B30"/>
    </sheetView>
  </sheetViews>
  <sheetFormatPr defaultRowHeight="16.5"/>
  <cols>
    <col min="1" max="1" width="9.5" bestFit="1" customWidth="1"/>
  </cols>
  <sheetData>
    <row r="1" spans="1:7" ht="19.5">
      <c r="A1" s="4" t="s">
        <v>40</v>
      </c>
      <c r="B1" t="s">
        <v>41</v>
      </c>
    </row>
    <row r="2" spans="1:7" s="3" customFormat="1">
      <c r="A2" s="24"/>
      <c r="B2" s="24"/>
      <c r="C2" s="25"/>
      <c r="D2" s="25"/>
      <c r="E2" s="25"/>
      <c r="F2" s="25"/>
      <c r="G2" s="25"/>
    </row>
    <row r="3" spans="1:7" s="3" customFormat="1">
      <c r="A3" s="24"/>
      <c r="B3" s="24"/>
      <c r="C3" s="25"/>
      <c r="D3" s="25"/>
      <c r="E3" s="25"/>
      <c r="F3" s="25"/>
      <c r="G3" s="25"/>
    </row>
    <row r="4" spans="1:7" s="3" customFormat="1">
      <c r="A4" s="24"/>
      <c r="B4" s="24"/>
      <c r="C4" s="25"/>
      <c r="D4" s="25"/>
      <c r="E4" s="25"/>
      <c r="F4" s="25"/>
      <c r="G4" s="25"/>
    </row>
    <row r="5" spans="1:7" s="3" customFormat="1">
      <c r="A5" s="24"/>
      <c r="B5" s="24"/>
      <c r="C5" s="25"/>
      <c r="D5" s="25"/>
      <c r="E5" s="25"/>
      <c r="F5" s="25"/>
      <c r="G5" s="25"/>
    </row>
    <row r="6" spans="1:7" s="3" customFormat="1">
      <c r="A6" s="24"/>
      <c r="B6" s="24"/>
      <c r="C6" s="25"/>
      <c r="D6" s="25"/>
      <c r="E6" s="25"/>
      <c r="F6" s="25"/>
      <c r="G6" s="25"/>
    </row>
    <row r="7" spans="1:7" s="3" customFormat="1">
      <c r="A7" s="24"/>
      <c r="B7" s="24"/>
      <c r="C7" s="25"/>
      <c r="D7" s="25"/>
      <c r="E7" s="25"/>
      <c r="F7" s="25"/>
      <c r="G7" s="25"/>
    </row>
    <row r="8" spans="1:7" s="3" customFormat="1">
      <c r="A8" s="24"/>
      <c r="B8" s="24"/>
      <c r="C8" s="25"/>
      <c r="D8" s="25"/>
      <c r="E8" s="25"/>
      <c r="F8" s="25"/>
      <c r="G8" s="25"/>
    </row>
    <row r="9" spans="1:7" s="3" customFormat="1">
      <c r="A9" s="24"/>
      <c r="B9" s="24"/>
      <c r="C9" s="25"/>
      <c r="D9" s="25"/>
      <c r="E9" s="25"/>
      <c r="F9" s="25"/>
      <c r="G9" s="25"/>
    </row>
    <row r="10" spans="1:7" s="3" customFormat="1">
      <c r="A10" s="24"/>
      <c r="B10" s="24"/>
      <c r="C10" s="25"/>
      <c r="D10" s="25"/>
      <c r="E10" s="25"/>
      <c r="F10" s="25"/>
      <c r="G10" s="25"/>
    </row>
    <row r="11" spans="1:7" s="3" customFormat="1">
      <c r="A11" s="24"/>
      <c r="B11" s="24"/>
      <c r="C11" s="25"/>
      <c r="D11" s="25"/>
      <c r="E11" s="25"/>
      <c r="F11" s="25"/>
      <c r="G11" s="25"/>
    </row>
    <row r="12" spans="1:7" s="3" customFormat="1">
      <c r="A12" s="24"/>
      <c r="B12" s="24"/>
      <c r="C12" s="25"/>
      <c r="D12" s="25"/>
      <c r="E12" s="25"/>
      <c r="F12" s="25"/>
      <c r="G12" s="25"/>
    </row>
    <row r="13" spans="1:7" s="3" customFormat="1">
      <c r="A13" s="24"/>
      <c r="B13" s="24"/>
      <c r="C13" s="25"/>
      <c r="D13" s="25"/>
      <c r="E13" s="25"/>
      <c r="F13" s="25"/>
      <c r="G13" s="25"/>
    </row>
    <row r="14" spans="1:7" s="3" customFormat="1">
      <c r="A14" s="24"/>
      <c r="B14" s="24"/>
      <c r="C14" s="25"/>
      <c r="D14" s="25"/>
      <c r="E14" s="25"/>
      <c r="F14" s="25"/>
      <c r="G14" s="25"/>
    </row>
    <row r="15" spans="1:7" s="3" customFormat="1">
      <c r="A15" s="24"/>
      <c r="B15" s="24"/>
      <c r="C15" s="25"/>
      <c r="D15" s="25"/>
      <c r="E15" s="25"/>
      <c r="F15" s="25"/>
      <c r="G15" s="25"/>
    </row>
    <row r="21" spans="1:6" ht="19.5">
      <c r="A21" s="5" t="s">
        <v>42</v>
      </c>
      <c r="B21" t="s">
        <v>43</v>
      </c>
    </row>
    <row r="22" spans="1:6" s="7" customFormat="1">
      <c r="A22" s="51"/>
      <c r="B22" s="51"/>
      <c r="C22" s="8"/>
      <c r="D22" s="8"/>
      <c r="E22" s="8"/>
      <c r="F22" s="8"/>
    </row>
    <row r="23" spans="1:6" s="7" customFormat="1">
      <c r="A23" s="85"/>
      <c r="B23" s="6"/>
    </row>
    <row r="24" spans="1:6" s="7" customFormat="1">
      <c r="A24" s="85"/>
      <c r="B24" s="6"/>
    </row>
    <row r="25" spans="1:6" s="7" customFormat="1">
      <c r="A25" s="95"/>
    </row>
    <row r="26" spans="1:6" s="7" customFormat="1">
      <c r="A26" s="85"/>
    </row>
    <row r="27" spans="1:6" s="7" customFormat="1">
      <c r="A27" s="8"/>
    </row>
    <row r="28" spans="1:6" s="7" customFormat="1">
      <c r="A28" s="95"/>
      <c r="B28" s="9"/>
    </row>
    <row r="29" spans="1:6" s="7" customFormat="1">
      <c r="A29" s="95"/>
    </row>
    <row r="30" spans="1:6" s="7" customFormat="1">
      <c r="A30" s="95"/>
    </row>
    <row r="31" spans="1:6" s="7" customFormat="1">
      <c r="A31" s="95"/>
    </row>
    <row r="32" spans="1:6" s="7" customFormat="1"/>
    <row r="33" s="7" customFormat="1"/>
    <row r="34" s="7" customFormat="1"/>
    <row r="35" s="7" customFormat="1"/>
  </sheetData>
  <phoneticPr fontId="4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10"/>
  </sheetPr>
  <dimension ref="A1:IV143"/>
  <sheetViews>
    <sheetView topLeftCell="A6" zoomScale="80" zoomScaleNormal="80" workbookViewId="0">
      <pane xSplit="9" ySplit="13" topLeftCell="J52" activePane="bottomRight" state="frozen"/>
      <selection activeCell="A6" sqref="A6"/>
      <selection pane="topRight" activeCell="J6" sqref="J6"/>
      <selection pane="bottomLeft" activeCell="A23" sqref="A23"/>
      <selection pane="bottomRight" activeCell="I7" sqref="I7"/>
    </sheetView>
  </sheetViews>
  <sheetFormatPr defaultColWidth="9" defaultRowHeight="16.5"/>
  <cols>
    <col min="1" max="1" width="3.875" style="123" customWidth="1"/>
    <col min="2" max="2" width="6" style="123" bestFit="1" customWidth="1"/>
    <col min="3" max="3" width="36.875" style="123" customWidth="1"/>
    <col min="4" max="4" width="16.625" style="123" customWidth="1"/>
    <col min="5" max="5" width="12.625" style="123" customWidth="1"/>
    <col min="6" max="6" width="12.375" style="123" customWidth="1"/>
    <col min="7" max="7" width="12.125" style="123" customWidth="1"/>
    <col min="8" max="8" width="9.625" style="132" customWidth="1"/>
    <col min="9" max="9" width="10.125" style="127" bestFit="1" customWidth="1"/>
    <col min="10" max="58" width="12.625" style="123" customWidth="1"/>
    <col min="59" max="59" width="12.625" style="194" customWidth="1"/>
    <col min="60" max="188" width="12.625" style="123" customWidth="1"/>
    <col min="189" max="201" width="9.5" style="123" bestFit="1" customWidth="1"/>
    <col min="202" max="210" width="9.125" style="123" bestFit="1" customWidth="1"/>
    <col min="211" max="232" width="9.5" style="123" bestFit="1" customWidth="1"/>
    <col min="233" max="256" width="9.125" style="123" bestFit="1" customWidth="1"/>
    <col min="257" max="16384" width="9" style="123"/>
  </cols>
  <sheetData>
    <row r="1" spans="3:256" ht="17.45" hidden="1" customHeight="1">
      <c r="G1" s="431" t="s">
        <v>141</v>
      </c>
      <c r="H1" s="431"/>
      <c r="I1" s="431"/>
      <c r="J1" s="123">
        <v>20</v>
      </c>
      <c r="K1" s="123">
        <f>J1+20</f>
        <v>40</v>
      </c>
      <c r="L1" s="123">
        <f t="shared" ref="L1:AD1" si="0">K1+20</f>
        <v>60</v>
      </c>
      <c r="M1" s="123">
        <f t="shared" si="0"/>
        <v>80</v>
      </c>
      <c r="N1" s="123">
        <f t="shared" si="0"/>
        <v>100</v>
      </c>
      <c r="O1" s="123">
        <f t="shared" si="0"/>
        <v>120</v>
      </c>
      <c r="P1" s="123">
        <f t="shared" si="0"/>
        <v>140</v>
      </c>
      <c r="Q1" s="123">
        <f t="shared" si="0"/>
        <v>160</v>
      </c>
      <c r="R1" s="123">
        <f t="shared" si="0"/>
        <v>180</v>
      </c>
      <c r="S1" s="123">
        <f t="shared" si="0"/>
        <v>200</v>
      </c>
      <c r="T1" s="123">
        <f t="shared" si="0"/>
        <v>220</v>
      </c>
      <c r="U1" s="123">
        <f t="shared" si="0"/>
        <v>240</v>
      </c>
      <c r="V1" s="123">
        <f t="shared" si="0"/>
        <v>260</v>
      </c>
      <c r="W1" s="123">
        <f t="shared" si="0"/>
        <v>280</v>
      </c>
      <c r="X1" s="123">
        <f t="shared" si="0"/>
        <v>300</v>
      </c>
      <c r="Y1" s="123">
        <f t="shared" si="0"/>
        <v>320</v>
      </c>
      <c r="Z1" s="123">
        <f t="shared" si="0"/>
        <v>340</v>
      </c>
      <c r="AA1" s="123">
        <f t="shared" si="0"/>
        <v>360</v>
      </c>
      <c r="AB1" s="123">
        <f t="shared" si="0"/>
        <v>380</v>
      </c>
      <c r="AC1" s="123">
        <f t="shared" si="0"/>
        <v>400</v>
      </c>
      <c r="AD1" s="123">
        <f t="shared" si="0"/>
        <v>420</v>
      </c>
    </row>
    <row r="2" spans="3:256" ht="17.45" hidden="1" customHeight="1">
      <c r="G2" s="431" t="s">
        <v>142</v>
      </c>
      <c r="H2" s="431"/>
      <c r="I2" s="431"/>
      <c r="J2" s="123" t="e">
        <f>#REF!</f>
        <v>#REF!</v>
      </c>
      <c r="K2" s="123" t="e">
        <f>#REF!</f>
        <v>#REF!</v>
      </c>
      <c r="L2" s="123" t="e">
        <f>#REF!</f>
        <v>#REF!</v>
      </c>
      <c r="M2" s="123" t="e">
        <f>#REF!</f>
        <v>#REF!</v>
      </c>
      <c r="N2" s="123" t="e">
        <f>#REF!</f>
        <v>#REF!</v>
      </c>
      <c r="O2" s="123" t="e">
        <f>#REF!</f>
        <v>#REF!</v>
      </c>
      <c r="P2" s="123" t="e">
        <f>#REF!</f>
        <v>#REF!</v>
      </c>
      <c r="Q2" s="123" t="e">
        <f>#REF!</f>
        <v>#REF!</v>
      </c>
      <c r="R2" s="123" t="e">
        <f>#REF!</f>
        <v>#REF!</v>
      </c>
      <c r="S2" s="123" t="e">
        <f>#REF!</f>
        <v>#REF!</v>
      </c>
      <c r="T2" s="123" t="e">
        <f>#REF!</f>
        <v>#REF!</v>
      </c>
      <c r="U2" s="123" t="e">
        <f>#REF!</f>
        <v>#REF!</v>
      </c>
      <c r="V2" s="123" t="e">
        <f>#REF!</f>
        <v>#REF!</v>
      </c>
      <c r="W2" s="123" t="e">
        <f>#REF!</f>
        <v>#REF!</v>
      </c>
      <c r="X2" s="123">
        <v>2.1</v>
      </c>
    </row>
    <row r="3" spans="3:256" ht="17.45" hidden="1" customHeight="1">
      <c r="G3" s="431" t="s">
        <v>143</v>
      </c>
      <c r="H3" s="431"/>
      <c r="I3" s="431"/>
      <c r="J3" s="124" t="e">
        <f>J2</f>
        <v>#REF!</v>
      </c>
      <c r="K3" s="124" t="e">
        <f>J3+K2</f>
        <v>#REF!</v>
      </c>
      <c r="L3" s="123" t="e">
        <f t="shared" ref="L3:R3" si="1">K3+L2</f>
        <v>#REF!</v>
      </c>
      <c r="M3" s="123" t="e">
        <f t="shared" si="1"/>
        <v>#REF!</v>
      </c>
      <c r="N3" s="123" t="e">
        <f t="shared" si="1"/>
        <v>#REF!</v>
      </c>
      <c r="O3" s="123" t="e">
        <f t="shared" si="1"/>
        <v>#REF!</v>
      </c>
      <c r="P3" s="123" t="e">
        <f t="shared" si="1"/>
        <v>#REF!</v>
      </c>
      <c r="Q3" s="123" t="e">
        <f t="shared" si="1"/>
        <v>#REF!</v>
      </c>
      <c r="R3" s="123" t="e">
        <f t="shared" si="1"/>
        <v>#REF!</v>
      </c>
      <c r="S3" s="123" t="e">
        <f t="shared" ref="S3:AI3" si="2">R3+S2</f>
        <v>#REF!</v>
      </c>
      <c r="T3" s="123" t="e">
        <f t="shared" si="2"/>
        <v>#REF!</v>
      </c>
      <c r="U3" s="123" t="e">
        <f t="shared" si="2"/>
        <v>#REF!</v>
      </c>
      <c r="V3" s="123" t="e">
        <f t="shared" si="2"/>
        <v>#REF!</v>
      </c>
      <c r="W3" s="123" t="e">
        <f t="shared" si="2"/>
        <v>#REF!</v>
      </c>
      <c r="X3" s="123" t="e">
        <f t="shared" si="2"/>
        <v>#REF!</v>
      </c>
      <c r="Y3" s="123" t="e">
        <f t="shared" si="2"/>
        <v>#REF!</v>
      </c>
      <c r="Z3" s="123" t="e">
        <f t="shared" si="2"/>
        <v>#REF!</v>
      </c>
      <c r="AA3" s="123" t="e">
        <f t="shared" si="2"/>
        <v>#REF!</v>
      </c>
      <c r="AB3" s="123" t="e">
        <f t="shared" si="2"/>
        <v>#REF!</v>
      </c>
      <c r="AC3" s="123" t="e">
        <f t="shared" si="2"/>
        <v>#REF!</v>
      </c>
      <c r="AD3" s="123" t="e">
        <f t="shared" si="2"/>
        <v>#REF!</v>
      </c>
      <c r="AE3" s="123" t="e">
        <f t="shared" si="2"/>
        <v>#REF!</v>
      </c>
      <c r="AF3" s="123" t="e">
        <f t="shared" si="2"/>
        <v>#REF!</v>
      </c>
      <c r="AG3" s="123" t="e">
        <f t="shared" si="2"/>
        <v>#REF!</v>
      </c>
      <c r="AH3" s="123" t="e">
        <f t="shared" si="2"/>
        <v>#REF!</v>
      </c>
      <c r="AI3" s="123" t="e">
        <f t="shared" si="2"/>
        <v>#REF!</v>
      </c>
    </row>
    <row r="4" spans="3:256" hidden="1">
      <c r="G4" s="431" t="s">
        <v>144</v>
      </c>
      <c r="H4" s="431"/>
      <c r="I4" s="431"/>
      <c r="J4" s="124">
        <f t="shared" ref="J4:AF4" ca="1" si="3">INDIRECT(ADDRESS(10,MATCH(J$1,$J$7:$IV$7,0)+9))</f>
        <v>10.3</v>
      </c>
      <c r="K4" s="124">
        <f t="shared" ca="1" si="3"/>
        <v>12.97</v>
      </c>
      <c r="L4" s="124">
        <f t="shared" ca="1" si="3"/>
        <v>12.98</v>
      </c>
      <c r="M4" s="124">
        <f t="shared" ca="1" si="3"/>
        <v>12.98</v>
      </c>
      <c r="N4" s="124">
        <f t="shared" ca="1" si="3"/>
        <v>12.98</v>
      </c>
      <c r="O4" s="124">
        <f t="shared" ca="1" si="3"/>
        <v>12.98</v>
      </c>
      <c r="P4" s="124">
        <f t="shared" ca="1" si="3"/>
        <v>12.98</v>
      </c>
      <c r="Q4" s="124">
        <f t="shared" ca="1" si="3"/>
        <v>12.98</v>
      </c>
      <c r="R4" s="124">
        <f t="shared" ca="1" si="3"/>
        <v>12.84</v>
      </c>
      <c r="S4" s="124">
        <f t="shared" ca="1" si="3"/>
        <v>12.84</v>
      </c>
      <c r="T4" s="124">
        <f t="shared" ca="1" si="3"/>
        <v>12.84</v>
      </c>
      <c r="U4" s="124">
        <f t="shared" ca="1" si="3"/>
        <v>12.84</v>
      </c>
      <c r="V4" s="124" t="e">
        <f t="shared" ca="1" si="3"/>
        <v>#N/A</v>
      </c>
      <c r="W4" s="124" t="e">
        <f t="shared" ca="1" si="3"/>
        <v>#N/A</v>
      </c>
      <c r="X4" s="124" t="e">
        <f t="shared" ca="1" si="3"/>
        <v>#N/A</v>
      </c>
      <c r="Y4" s="124" t="e">
        <f t="shared" ca="1" si="3"/>
        <v>#N/A</v>
      </c>
      <c r="Z4" s="124" t="e">
        <f t="shared" ca="1" si="3"/>
        <v>#N/A</v>
      </c>
      <c r="AA4" s="124" t="e">
        <f t="shared" ca="1" si="3"/>
        <v>#N/A</v>
      </c>
      <c r="AB4" s="124" t="e">
        <f t="shared" ca="1" si="3"/>
        <v>#N/A</v>
      </c>
      <c r="AC4" s="124" t="e">
        <f t="shared" ca="1" si="3"/>
        <v>#N/A</v>
      </c>
      <c r="AD4" s="124" t="e">
        <f t="shared" ca="1" si="3"/>
        <v>#N/A</v>
      </c>
      <c r="AE4" s="124" t="e">
        <f t="shared" ca="1" si="3"/>
        <v>#N/A</v>
      </c>
      <c r="AF4" s="124" t="e">
        <f t="shared" ca="1" si="3"/>
        <v>#N/A</v>
      </c>
      <c r="AG4" s="123" t="e">
        <f ca="1">INDIRECT(ADDRESS(2,MATCH(AG$1,$J$7:$IV$7,0)+1))</f>
        <v>#N/A</v>
      </c>
      <c r="AH4" s="123" t="e">
        <f ca="1">INDIRECT(ADDRESS(2,MATCH(AH$1,$J$7:$IV$7,0)+1))</f>
        <v>#N/A</v>
      </c>
      <c r="AI4" s="123" t="e">
        <f ca="1">INDIRECT(ADDRESS(2,MATCH(AI$1,$J$7:$IV$7,0)+1))</f>
        <v>#N/A</v>
      </c>
    </row>
    <row r="5" spans="3:256" s="125" customFormat="1" ht="16.5" hidden="1" customHeight="1">
      <c r="H5" s="126"/>
      <c r="I5" s="127"/>
      <c r="BG5" s="195"/>
    </row>
    <row r="6" spans="3:256" s="128" customFormat="1">
      <c r="C6" s="123" t="s">
        <v>112</v>
      </c>
      <c r="D6" s="123" t="s">
        <v>162</v>
      </c>
      <c r="H6" s="129"/>
      <c r="I6" s="130">
        <v>32</v>
      </c>
      <c r="J6" s="128">
        <v>1</v>
      </c>
      <c r="K6" s="128">
        <f t="shared" ref="K6:R7" si="4">J6+1</f>
        <v>2</v>
      </c>
      <c r="L6" s="128">
        <f t="shared" si="4"/>
        <v>3</v>
      </c>
      <c r="M6" s="128">
        <f t="shared" si="4"/>
        <v>4</v>
      </c>
      <c r="N6" s="128">
        <f t="shared" si="4"/>
        <v>5</v>
      </c>
      <c r="O6" s="128">
        <f t="shared" si="4"/>
        <v>6</v>
      </c>
      <c r="P6" s="128">
        <f t="shared" si="4"/>
        <v>7</v>
      </c>
      <c r="Q6" s="128">
        <f t="shared" si="4"/>
        <v>8</v>
      </c>
      <c r="R6" s="128">
        <f t="shared" si="4"/>
        <v>9</v>
      </c>
      <c r="S6" s="128">
        <f t="shared" ref="S6:AI7" si="5">R6+1</f>
        <v>10</v>
      </c>
      <c r="T6" s="128">
        <f t="shared" si="5"/>
        <v>11</v>
      </c>
      <c r="U6" s="128">
        <f t="shared" si="5"/>
        <v>12</v>
      </c>
      <c r="V6" s="128">
        <f t="shared" si="5"/>
        <v>13</v>
      </c>
      <c r="W6" s="128">
        <f t="shared" si="5"/>
        <v>14</v>
      </c>
      <c r="X6" s="128">
        <f t="shared" si="5"/>
        <v>15</v>
      </c>
      <c r="Y6" s="128">
        <f t="shared" si="5"/>
        <v>16</v>
      </c>
      <c r="Z6" s="128">
        <f t="shared" si="5"/>
        <v>17</v>
      </c>
      <c r="AA6" s="128">
        <f t="shared" si="5"/>
        <v>18</v>
      </c>
      <c r="AB6" s="128">
        <f t="shared" si="5"/>
        <v>19</v>
      </c>
      <c r="AC6" s="128">
        <f t="shared" si="5"/>
        <v>20</v>
      </c>
      <c r="AD6" s="128">
        <f t="shared" si="5"/>
        <v>21</v>
      </c>
      <c r="AE6" s="128">
        <f t="shared" si="5"/>
        <v>22</v>
      </c>
      <c r="AF6" s="128">
        <f t="shared" si="5"/>
        <v>23</v>
      </c>
      <c r="AG6" s="128">
        <f t="shared" si="5"/>
        <v>24</v>
      </c>
      <c r="AH6" s="128">
        <f t="shared" si="5"/>
        <v>25</v>
      </c>
      <c r="AI6" s="128">
        <f t="shared" si="5"/>
        <v>26</v>
      </c>
      <c r="AJ6" s="128">
        <f t="shared" ref="AJ6:CU7" si="6">AI6+1</f>
        <v>27</v>
      </c>
      <c r="AK6" s="128">
        <f t="shared" si="6"/>
        <v>28</v>
      </c>
      <c r="AL6" s="128">
        <f t="shared" si="6"/>
        <v>29</v>
      </c>
      <c r="AM6" s="128">
        <f t="shared" si="6"/>
        <v>30</v>
      </c>
      <c r="AN6" s="128">
        <f t="shared" si="6"/>
        <v>31</v>
      </c>
      <c r="AO6" s="128">
        <f t="shared" si="6"/>
        <v>32</v>
      </c>
      <c r="AP6" s="128">
        <f t="shared" si="6"/>
        <v>33</v>
      </c>
      <c r="AQ6" s="128">
        <f t="shared" si="6"/>
        <v>34</v>
      </c>
      <c r="AR6" s="128">
        <f t="shared" si="6"/>
        <v>35</v>
      </c>
      <c r="AS6" s="128">
        <f t="shared" si="6"/>
        <v>36</v>
      </c>
      <c r="AT6" s="128">
        <f t="shared" si="6"/>
        <v>37</v>
      </c>
      <c r="AU6" s="128">
        <f t="shared" si="6"/>
        <v>38</v>
      </c>
      <c r="AV6" s="128">
        <f t="shared" si="6"/>
        <v>39</v>
      </c>
      <c r="AW6" s="128">
        <f t="shared" si="6"/>
        <v>40</v>
      </c>
      <c r="AX6" s="128">
        <f t="shared" si="6"/>
        <v>41</v>
      </c>
      <c r="AY6" s="128">
        <f t="shared" si="6"/>
        <v>42</v>
      </c>
      <c r="AZ6" s="128">
        <f t="shared" si="6"/>
        <v>43</v>
      </c>
      <c r="BA6" s="128">
        <f t="shared" si="6"/>
        <v>44</v>
      </c>
      <c r="BB6" s="128">
        <f t="shared" si="6"/>
        <v>45</v>
      </c>
      <c r="BC6" s="128">
        <f t="shared" si="6"/>
        <v>46</v>
      </c>
      <c r="BD6" s="128">
        <f t="shared" si="6"/>
        <v>47</v>
      </c>
      <c r="BE6" s="128">
        <f t="shared" si="6"/>
        <v>48</v>
      </c>
      <c r="BF6" s="128">
        <f t="shared" si="6"/>
        <v>49</v>
      </c>
      <c r="BG6" s="128">
        <f t="shared" si="6"/>
        <v>50</v>
      </c>
      <c r="BH6" s="128">
        <f t="shared" si="6"/>
        <v>51</v>
      </c>
      <c r="BI6" s="128">
        <f t="shared" si="6"/>
        <v>52</v>
      </c>
      <c r="BJ6" s="128">
        <f t="shared" si="6"/>
        <v>53</v>
      </c>
      <c r="BK6" s="128">
        <f t="shared" si="6"/>
        <v>54</v>
      </c>
      <c r="BL6" s="128">
        <f t="shared" si="6"/>
        <v>55</v>
      </c>
      <c r="BM6" s="128">
        <f t="shared" si="6"/>
        <v>56</v>
      </c>
      <c r="BN6" s="128">
        <f t="shared" si="6"/>
        <v>57</v>
      </c>
      <c r="BO6" s="128">
        <f t="shared" si="6"/>
        <v>58</v>
      </c>
      <c r="BP6" s="128">
        <f t="shared" si="6"/>
        <v>59</v>
      </c>
      <c r="BQ6" s="128">
        <f>BP6+1</f>
        <v>60</v>
      </c>
      <c r="BR6" s="128">
        <f>BQ6+1</f>
        <v>61</v>
      </c>
      <c r="BS6" s="128">
        <f t="shared" si="6"/>
        <v>62</v>
      </c>
      <c r="BT6" s="128">
        <f t="shared" si="6"/>
        <v>63</v>
      </c>
      <c r="BU6" s="128">
        <f t="shared" si="6"/>
        <v>64</v>
      </c>
      <c r="BV6" s="128">
        <f t="shared" si="6"/>
        <v>65</v>
      </c>
      <c r="BW6" s="128">
        <f t="shared" si="6"/>
        <v>66</v>
      </c>
      <c r="BX6" s="128">
        <f t="shared" si="6"/>
        <v>67</v>
      </c>
      <c r="BY6" s="128">
        <f t="shared" si="6"/>
        <v>68</v>
      </c>
      <c r="BZ6" s="128">
        <f t="shared" si="6"/>
        <v>69</v>
      </c>
      <c r="CA6" s="128">
        <f t="shared" si="6"/>
        <v>70</v>
      </c>
      <c r="CB6" s="128">
        <f t="shared" si="6"/>
        <v>71</v>
      </c>
      <c r="CC6" s="128">
        <f t="shared" si="6"/>
        <v>72</v>
      </c>
      <c r="CD6" s="128">
        <f t="shared" si="6"/>
        <v>73</v>
      </c>
      <c r="CE6" s="128">
        <f t="shared" si="6"/>
        <v>74</v>
      </c>
      <c r="CF6" s="128">
        <f t="shared" si="6"/>
        <v>75</v>
      </c>
      <c r="CG6" s="128">
        <f t="shared" si="6"/>
        <v>76</v>
      </c>
      <c r="CH6" s="128">
        <f t="shared" si="6"/>
        <v>77</v>
      </c>
      <c r="CI6" s="128">
        <f t="shared" si="6"/>
        <v>78</v>
      </c>
      <c r="CJ6" s="128">
        <f t="shared" si="6"/>
        <v>79</v>
      </c>
      <c r="CK6" s="128">
        <f t="shared" si="6"/>
        <v>80</v>
      </c>
      <c r="CL6" s="128">
        <f t="shared" si="6"/>
        <v>81</v>
      </c>
      <c r="CM6" s="128">
        <f t="shared" si="6"/>
        <v>82</v>
      </c>
      <c r="CN6" s="128">
        <f t="shared" si="6"/>
        <v>83</v>
      </c>
      <c r="CO6" s="128">
        <f t="shared" si="6"/>
        <v>84</v>
      </c>
      <c r="CP6" s="128">
        <f t="shared" si="6"/>
        <v>85</v>
      </c>
      <c r="CQ6" s="128">
        <f t="shared" si="6"/>
        <v>86</v>
      </c>
      <c r="CR6" s="128">
        <f t="shared" si="6"/>
        <v>87</v>
      </c>
      <c r="CS6" s="128">
        <f t="shared" si="6"/>
        <v>88</v>
      </c>
      <c r="CT6" s="128">
        <f t="shared" si="6"/>
        <v>89</v>
      </c>
      <c r="CU6" s="128">
        <f t="shared" si="6"/>
        <v>90</v>
      </c>
      <c r="CV6" s="128">
        <f t="shared" ref="CV6:FG7" si="7">CU6+1</f>
        <v>91</v>
      </c>
      <c r="CW6" s="128">
        <f t="shared" si="7"/>
        <v>92</v>
      </c>
      <c r="CX6" s="128">
        <f t="shared" si="7"/>
        <v>93</v>
      </c>
      <c r="CY6" s="128">
        <f t="shared" si="7"/>
        <v>94</v>
      </c>
      <c r="CZ6" s="128">
        <f t="shared" si="7"/>
        <v>95</v>
      </c>
      <c r="DA6" s="128">
        <f t="shared" si="7"/>
        <v>96</v>
      </c>
      <c r="DB6" s="128">
        <f t="shared" si="7"/>
        <v>97</v>
      </c>
      <c r="DC6" s="128">
        <f t="shared" si="7"/>
        <v>98</v>
      </c>
      <c r="DD6" s="128">
        <f t="shared" si="7"/>
        <v>99</v>
      </c>
      <c r="DE6" s="128">
        <f t="shared" si="7"/>
        <v>100</v>
      </c>
      <c r="DF6" s="128">
        <f t="shared" si="7"/>
        <v>101</v>
      </c>
      <c r="DG6" s="128">
        <f t="shared" si="7"/>
        <v>102</v>
      </c>
      <c r="DH6" s="128">
        <f t="shared" si="7"/>
        <v>103</v>
      </c>
      <c r="DI6" s="128">
        <f t="shared" si="7"/>
        <v>104</v>
      </c>
      <c r="DJ6" s="128">
        <f t="shared" si="7"/>
        <v>105</v>
      </c>
      <c r="DK6" s="128">
        <f>DJ6+1</f>
        <v>106</v>
      </c>
      <c r="DL6" s="128">
        <f>DK6+1</f>
        <v>107</v>
      </c>
      <c r="DM6" s="128">
        <f t="shared" si="7"/>
        <v>108</v>
      </c>
      <c r="DN6" s="128">
        <f t="shared" si="7"/>
        <v>109</v>
      </c>
      <c r="DO6" s="128">
        <f t="shared" si="7"/>
        <v>110</v>
      </c>
      <c r="DP6" s="128">
        <f t="shared" si="7"/>
        <v>111</v>
      </c>
      <c r="DQ6" s="128">
        <f t="shared" si="7"/>
        <v>112</v>
      </c>
      <c r="DR6" s="128">
        <f t="shared" si="7"/>
        <v>113</v>
      </c>
      <c r="DS6" s="128">
        <f t="shared" si="7"/>
        <v>114</v>
      </c>
      <c r="DT6" s="128">
        <f t="shared" si="7"/>
        <v>115</v>
      </c>
      <c r="DU6" s="128">
        <f t="shared" si="7"/>
        <v>116</v>
      </c>
      <c r="DV6" s="128">
        <f t="shared" si="7"/>
        <v>117</v>
      </c>
      <c r="DW6" s="128">
        <f t="shared" si="7"/>
        <v>118</v>
      </c>
      <c r="DX6" s="128">
        <f t="shared" si="7"/>
        <v>119</v>
      </c>
      <c r="DY6" s="128">
        <f t="shared" si="7"/>
        <v>120</v>
      </c>
      <c r="DZ6" s="128">
        <f t="shared" si="7"/>
        <v>121</v>
      </c>
      <c r="EA6" s="128">
        <f t="shared" si="7"/>
        <v>122</v>
      </c>
      <c r="EB6" s="128">
        <f t="shared" si="7"/>
        <v>123</v>
      </c>
      <c r="EC6" s="128">
        <f t="shared" si="7"/>
        <v>124</v>
      </c>
      <c r="ED6" s="128">
        <f t="shared" si="7"/>
        <v>125</v>
      </c>
      <c r="EE6" s="128">
        <f t="shared" si="7"/>
        <v>126</v>
      </c>
      <c r="EF6" s="128">
        <f t="shared" si="7"/>
        <v>127</v>
      </c>
      <c r="EG6" s="128">
        <f t="shared" si="7"/>
        <v>128</v>
      </c>
      <c r="EH6" s="128">
        <f t="shared" si="7"/>
        <v>129</v>
      </c>
      <c r="EI6" s="128">
        <f t="shared" si="7"/>
        <v>130</v>
      </c>
      <c r="EJ6" s="128">
        <f t="shared" si="7"/>
        <v>131</v>
      </c>
      <c r="EK6" s="128">
        <f t="shared" si="7"/>
        <v>132</v>
      </c>
      <c r="EL6" s="128">
        <f t="shared" si="7"/>
        <v>133</v>
      </c>
      <c r="EM6" s="128">
        <f t="shared" si="7"/>
        <v>134</v>
      </c>
      <c r="EN6" s="128">
        <f t="shared" si="7"/>
        <v>135</v>
      </c>
      <c r="EO6" s="128">
        <f t="shared" si="7"/>
        <v>136</v>
      </c>
      <c r="EP6" s="128">
        <f t="shared" si="7"/>
        <v>137</v>
      </c>
      <c r="EQ6" s="128">
        <f t="shared" si="7"/>
        <v>138</v>
      </c>
      <c r="ER6" s="128">
        <f t="shared" si="7"/>
        <v>139</v>
      </c>
      <c r="ES6" s="128">
        <f t="shared" si="7"/>
        <v>140</v>
      </c>
      <c r="ET6" s="128">
        <f t="shared" si="7"/>
        <v>141</v>
      </c>
      <c r="EU6" s="128">
        <f t="shared" si="7"/>
        <v>142</v>
      </c>
      <c r="EV6" s="128">
        <f t="shared" si="7"/>
        <v>143</v>
      </c>
      <c r="EW6" s="128">
        <f t="shared" si="7"/>
        <v>144</v>
      </c>
      <c r="EX6" s="128">
        <f t="shared" si="7"/>
        <v>145</v>
      </c>
      <c r="EY6" s="128">
        <f t="shared" si="7"/>
        <v>146</v>
      </c>
      <c r="EZ6" s="128">
        <f t="shared" si="7"/>
        <v>147</v>
      </c>
      <c r="FA6" s="128">
        <f t="shared" si="7"/>
        <v>148</v>
      </c>
      <c r="FB6" s="128">
        <f t="shared" si="7"/>
        <v>149</v>
      </c>
      <c r="FC6" s="128">
        <f t="shared" si="7"/>
        <v>150</v>
      </c>
      <c r="FD6" s="128">
        <f t="shared" si="7"/>
        <v>151</v>
      </c>
      <c r="FE6" s="128">
        <f t="shared" si="7"/>
        <v>152</v>
      </c>
      <c r="FF6" s="128">
        <f t="shared" si="7"/>
        <v>153</v>
      </c>
      <c r="FG6" s="128">
        <f t="shared" si="7"/>
        <v>154</v>
      </c>
      <c r="FH6" s="128">
        <f t="shared" ref="FH6:HS7" si="8">FG6+1</f>
        <v>155</v>
      </c>
      <c r="FI6" s="128">
        <f t="shared" ref="FI6:FR6" si="9">FH6+1</f>
        <v>156</v>
      </c>
      <c r="FJ6" s="128">
        <f t="shared" si="9"/>
        <v>157</v>
      </c>
      <c r="FK6" s="128">
        <f t="shared" si="9"/>
        <v>158</v>
      </c>
      <c r="FL6" s="128">
        <f t="shared" si="9"/>
        <v>159</v>
      </c>
      <c r="FM6" s="128">
        <f t="shared" si="9"/>
        <v>160</v>
      </c>
      <c r="FN6" s="128">
        <f t="shared" si="9"/>
        <v>161</v>
      </c>
      <c r="FO6" s="128">
        <f t="shared" si="9"/>
        <v>162</v>
      </c>
      <c r="FP6" s="128">
        <f t="shared" si="9"/>
        <v>163</v>
      </c>
      <c r="FQ6" s="128">
        <f t="shared" si="9"/>
        <v>164</v>
      </c>
      <c r="FR6" s="128">
        <f t="shared" si="9"/>
        <v>165</v>
      </c>
      <c r="FS6" s="128">
        <f t="shared" si="8"/>
        <v>166</v>
      </c>
      <c r="FT6" s="128">
        <f t="shared" si="8"/>
        <v>167</v>
      </c>
      <c r="FU6" s="128">
        <f t="shared" si="8"/>
        <v>168</v>
      </c>
      <c r="FV6" s="128">
        <f t="shared" si="8"/>
        <v>169</v>
      </c>
      <c r="FW6" s="128">
        <f t="shared" si="8"/>
        <v>170</v>
      </c>
      <c r="FX6" s="128">
        <f t="shared" si="8"/>
        <v>171</v>
      </c>
      <c r="FY6" s="128">
        <f t="shared" si="8"/>
        <v>172</v>
      </c>
      <c r="FZ6" s="128">
        <f t="shared" si="8"/>
        <v>173</v>
      </c>
      <c r="GA6" s="128">
        <f t="shared" si="8"/>
        <v>174</v>
      </c>
      <c r="GB6" s="128">
        <f t="shared" si="8"/>
        <v>175</v>
      </c>
      <c r="GC6" s="128">
        <f t="shared" si="8"/>
        <v>176</v>
      </c>
      <c r="GD6" s="128">
        <f t="shared" si="8"/>
        <v>177</v>
      </c>
      <c r="GE6" s="128">
        <f t="shared" si="8"/>
        <v>178</v>
      </c>
      <c r="GF6" s="128">
        <f t="shared" si="8"/>
        <v>179</v>
      </c>
      <c r="GG6" s="280">
        <f t="shared" si="8"/>
        <v>180</v>
      </c>
      <c r="GH6" s="128">
        <f t="shared" si="8"/>
        <v>181</v>
      </c>
      <c r="GI6" s="128">
        <f t="shared" si="8"/>
        <v>182</v>
      </c>
      <c r="GJ6" s="128">
        <f t="shared" si="8"/>
        <v>183</v>
      </c>
      <c r="GK6" s="128">
        <f t="shared" si="8"/>
        <v>184</v>
      </c>
      <c r="GL6" s="128">
        <f t="shared" si="8"/>
        <v>185</v>
      </c>
      <c r="GM6" s="128">
        <f t="shared" si="8"/>
        <v>186</v>
      </c>
      <c r="GN6" s="128">
        <f t="shared" si="8"/>
        <v>187</v>
      </c>
      <c r="GO6" s="128">
        <f t="shared" si="8"/>
        <v>188</v>
      </c>
      <c r="GP6" s="128">
        <f t="shared" si="8"/>
        <v>189</v>
      </c>
      <c r="GQ6" s="128">
        <f t="shared" si="8"/>
        <v>190</v>
      </c>
      <c r="GR6" s="128">
        <f t="shared" si="8"/>
        <v>191</v>
      </c>
      <c r="GS6" s="128">
        <f t="shared" si="8"/>
        <v>192</v>
      </c>
      <c r="GT6" s="128">
        <f t="shared" si="8"/>
        <v>193</v>
      </c>
      <c r="GU6" s="128">
        <f t="shared" si="8"/>
        <v>194</v>
      </c>
      <c r="GV6" s="128">
        <f t="shared" si="8"/>
        <v>195</v>
      </c>
      <c r="GW6" s="128">
        <f t="shared" si="8"/>
        <v>196</v>
      </c>
      <c r="GX6" s="128">
        <f t="shared" si="8"/>
        <v>197</v>
      </c>
      <c r="GY6" s="128">
        <f t="shared" si="8"/>
        <v>198</v>
      </c>
      <c r="GZ6" s="128">
        <f t="shared" si="8"/>
        <v>199</v>
      </c>
      <c r="HA6" s="128">
        <f t="shared" si="8"/>
        <v>200</v>
      </c>
      <c r="HB6" s="128">
        <f t="shared" si="8"/>
        <v>201</v>
      </c>
      <c r="HC6" s="128">
        <f t="shared" si="8"/>
        <v>202</v>
      </c>
      <c r="HD6" s="128">
        <f t="shared" si="8"/>
        <v>203</v>
      </c>
      <c r="HE6" s="128">
        <f t="shared" si="8"/>
        <v>204</v>
      </c>
      <c r="HF6" s="128">
        <f t="shared" si="8"/>
        <v>205</v>
      </c>
      <c r="HG6" s="128">
        <f t="shared" si="8"/>
        <v>206</v>
      </c>
      <c r="HH6" s="128">
        <f t="shared" si="8"/>
        <v>207</v>
      </c>
      <c r="HI6" s="128">
        <f t="shared" si="8"/>
        <v>208</v>
      </c>
      <c r="HJ6" s="128">
        <f t="shared" si="8"/>
        <v>209</v>
      </c>
      <c r="HK6" s="128">
        <f t="shared" si="8"/>
        <v>210</v>
      </c>
      <c r="HL6" s="128">
        <f t="shared" si="8"/>
        <v>211</v>
      </c>
      <c r="HM6" s="128">
        <f t="shared" si="8"/>
        <v>212</v>
      </c>
      <c r="HN6" s="128">
        <f t="shared" si="8"/>
        <v>213</v>
      </c>
      <c r="HO6" s="128">
        <f t="shared" si="8"/>
        <v>214</v>
      </c>
      <c r="HP6" s="128">
        <f t="shared" si="8"/>
        <v>215</v>
      </c>
      <c r="HQ6" s="128">
        <f t="shared" si="8"/>
        <v>216</v>
      </c>
      <c r="HR6" s="128">
        <f t="shared" si="8"/>
        <v>217</v>
      </c>
      <c r="HS6" s="128">
        <f t="shared" si="8"/>
        <v>218</v>
      </c>
      <c r="HT6" s="128">
        <f t="shared" ref="HT6:IU7" si="10">HS6+1</f>
        <v>219</v>
      </c>
      <c r="HU6" s="128">
        <f t="shared" si="10"/>
        <v>220</v>
      </c>
      <c r="HV6" s="128">
        <f t="shared" si="10"/>
        <v>221</v>
      </c>
      <c r="HW6" s="128">
        <f t="shared" si="10"/>
        <v>222</v>
      </c>
      <c r="HX6" s="128">
        <f t="shared" si="10"/>
        <v>223</v>
      </c>
      <c r="HY6" s="128">
        <f t="shared" si="10"/>
        <v>224</v>
      </c>
      <c r="HZ6" s="128">
        <f t="shared" si="10"/>
        <v>225</v>
      </c>
      <c r="IA6" s="128">
        <f t="shared" si="10"/>
        <v>226</v>
      </c>
      <c r="IB6" s="128">
        <f t="shared" si="10"/>
        <v>227</v>
      </c>
      <c r="IC6" s="128">
        <f t="shared" si="10"/>
        <v>228</v>
      </c>
      <c r="ID6" s="128">
        <f t="shared" si="10"/>
        <v>229</v>
      </c>
      <c r="IE6" s="128">
        <f t="shared" si="10"/>
        <v>230</v>
      </c>
      <c r="IF6" s="128">
        <f t="shared" si="10"/>
        <v>231</v>
      </c>
      <c r="IG6" s="128">
        <f t="shared" si="10"/>
        <v>232</v>
      </c>
      <c r="IH6" s="128">
        <f t="shared" si="10"/>
        <v>233</v>
      </c>
      <c r="II6" s="128">
        <f t="shared" si="10"/>
        <v>234</v>
      </c>
      <c r="IJ6" s="128">
        <f t="shared" si="10"/>
        <v>235</v>
      </c>
      <c r="IK6" s="128">
        <f t="shared" si="10"/>
        <v>236</v>
      </c>
      <c r="IL6" s="128">
        <f t="shared" si="10"/>
        <v>237</v>
      </c>
      <c r="IM6" s="128">
        <f t="shared" si="10"/>
        <v>238</v>
      </c>
      <c r="IN6" s="128">
        <f t="shared" si="10"/>
        <v>239</v>
      </c>
      <c r="IO6" s="128">
        <f t="shared" si="10"/>
        <v>240</v>
      </c>
      <c r="IP6" s="128">
        <f t="shared" si="10"/>
        <v>241</v>
      </c>
      <c r="IQ6" s="128">
        <f t="shared" si="10"/>
        <v>242</v>
      </c>
      <c r="IR6" s="128">
        <f t="shared" si="10"/>
        <v>243</v>
      </c>
      <c r="IS6" s="128">
        <f t="shared" si="10"/>
        <v>244</v>
      </c>
      <c r="IT6" s="128">
        <f t="shared" si="10"/>
        <v>245</v>
      </c>
      <c r="IU6" s="128">
        <f t="shared" si="10"/>
        <v>246</v>
      </c>
    </row>
    <row r="7" spans="3:256">
      <c r="C7" s="123" t="s">
        <v>30</v>
      </c>
      <c r="D7" s="223">
        <v>180</v>
      </c>
      <c r="E7" s="131">
        <v>1</v>
      </c>
      <c r="F7" s="123" t="s">
        <v>29</v>
      </c>
      <c r="I7" s="130">
        <f>LOOKUP(I$6,J$6:IV$6,累計工期)</f>
        <v>32</v>
      </c>
      <c r="J7" s="123">
        <f>IF($E$7=$E$16,(J16+J17)*0.5+G7)</f>
        <v>1</v>
      </c>
      <c r="K7" s="123">
        <f>J7+1</f>
        <v>2</v>
      </c>
      <c r="L7" s="123">
        <f t="shared" si="4"/>
        <v>3</v>
      </c>
      <c r="M7" s="123">
        <f t="shared" si="4"/>
        <v>4</v>
      </c>
      <c r="N7" s="123">
        <f t="shared" si="4"/>
        <v>5</v>
      </c>
      <c r="O7" s="123">
        <f t="shared" si="4"/>
        <v>6</v>
      </c>
      <c r="P7" s="123">
        <f t="shared" si="4"/>
        <v>7</v>
      </c>
      <c r="Q7" s="123">
        <f t="shared" si="4"/>
        <v>8</v>
      </c>
      <c r="R7" s="123">
        <f t="shared" si="4"/>
        <v>9</v>
      </c>
      <c r="S7" s="123">
        <f t="shared" si="5"/>
        <v>10</v>
      </c>
      <c r="T7" s="123">
        <f t="shared" si="5"/>
        <v>11</v>
      </c>
      <c r="U7" s="123">
        <f t="shared" si="5"/>
        <v>12</v>
      </c>
      <c r="V7" s="123">
        <f t="shared" si="5"/>
        <v>13</v>
      </c>
      <c r="W7" s="123">
        <f t="shared" si="5"/>
        <v>14</v>
      </c>
      <c r="X7" s="123">
        <f t="shared" si="5"/>
        <v>15</v>
      </c>
      <c r="Y7" s="123">
        <f t="shared" si="5"/>
        <v>16</v>
      </c>
      <c r="Z7" s="123">
        <f t="shared" si="5"/>
        <v>17</v>
      </c>
      <c r="AA7" s="123">
        <f t="shared" si="5"/>
        <v>18</v>
      </c>
      <c r="AB7" s="123">
        <f t="shared" si="5"/>
        <v>19</v>
      </c>
      <c r="AC7" s="123">
        <f t="shared" si="5"/>
        <v>20</v>
      </c>
      <c r="AD7" s="123">
        <f t="shared" si="5"/>
        <v>21</v>
      </c>
      <c r="AE7" s="123">
        <f t="shared" si="5"/>
        <v>22</v>
      </c>
      <c r="AF7" s="123">
        <f t="shared" si="5"/>
        <v>23</v>
      </c>
      <c r="AG7" s="123">
        <f t="shared" si="5"/>
        <v>24</v>
      </c>
      <c r="AH7" s="123">
        <f t="shared" si="5"/>
        <v>25</v>
      </c>
      <c r="AI7" s="123">
        <f t="shared" si="5"/>
        <v>26</v>
      </c>
      <c r="AJ7" s="123">
        <f t="shared" si="6"/>
        <v>27</v>
      </c>
      <c r="AK7" s="123">
        <f t="shared" si="6"/>
        <v>28</v>
      </c>
      <c r="AL7" s="123">
        <f t="shared" si="6"/>
        <v>29</v>
      </c>
      <c r="AM7" s="123">
        <f t="shared" si="6"/>
        <v>30</v>
      </c>
      <c r="AN7" s="123">
        <f t="shared" si="6"/>
        <v>31</v>
      </c>
      <c r="AO7" s="123">
        <f t="shared" si="6"/>
        <v>32</v>
      </c>
      <c r="AP7" s="123">
        <f t="shared" si="6"/>
        <v>33</v>
      </c>
      <c r="AQ7" s="123">
        <f t="shared" si="6"/>
        <v>34</v>
      </c>
      <c r="AR7" s="123">
        <f t="shared" si="6"/>
        <v>35</v>
      </c>
      <c r="AS7" s="123">
        <f t="shared" si="6"/>
        <v>36</v>
      </c>
      <c r="AT7" s="123">
        <f t="shared" si="6"/>
        <v>37</v>
      </c>
      <c r="AU7" s="123">
        <f t="shared" si="6"/>
        <v>38</v>
      </c>
      <c r="AV7" s="123">
        <f t="shared" si="6"/>
        <v>39</v>
      </c>
      <c r="AW7" s="123">
        <f t="shared" si="6"/>
        <v>40</v>
      </c>
      <c r="AX7" s="123">
        <f t="shared" si="6"/>
        <v>41</v>
      </c>
      <c r="AY7" s="123">
        <f t="shared" si="6"/>
        <v>42</v>
      </c>
      <c r="AZ7" s="123">
        <f t="shared" si="6"/>
        <v>43</v>
      </c>
      <c r="BA7" s="123">
        <f t="shared" si="6"/>
        <v>44</v>
      </c>
      <c r="BB7" s="123">
        <f t="shared" si="6"/>
        <v>45</v>
      </c>
      <c r="BC7" s="123">
        <f t="shared" si="6"/>
        <v>46</v>
      </c>
      <c r="BD7" s="123">
        <f t="shared" si="6"/>
        <v>47</v>
      </c>
      <c r="BE7" s="123">
        <f t="shared" si="6"/>
        <v>48</v>
      </c>
      <c r="BF7" s="123">
        <f t="shared" si="6"/>
        <v>49</v>
      </c>
      <c r="BG7" s="123">
        <f t="shared" si="6"/>
        <v>50</v>
      </c>
      <c r="BH7" s="123">
        <f t="shared" si="6"/>
        <v>51</v>
      </c>
      <c r="BI7" s="123">
        <f t="shared" si="6"/>
        <v>52</v>
      </c>
      <c r="BJ7" s="123">
        <f t="shared" si="6"/>
        <v>53</v>
      </c>
      <c r="BK7" s="123">
        <f t="shared" si="6"/>
        <v>54</v>
      </c>
      <c r="BL7" s="123">
        <f t="shared" si="6"/>
        <v>55</v>
      </c>
      <c r="BM7" s="123">
        <f t="shared" si="6"/>
        <v>56</v>
      </c>
      <c r="BN7" s="123">
        <f t="shared" si="6"/>
        <v>57</v>
      </c>
      <c r="BO7" s="123">
        <f t="shared" si="6"/>
        <v>58</v>
      </c>
      <c r="BP7" s="123">
        <f t="shared" si="6"/>
        <v>59</v>
      </c>
      <c r="BQ7" s="123">
        <f>BP7+1</f>
        <v>60</v>
      </c>
      <c r="BR7" s="123">
        <f>BQ7+1</f>
        <v>61</v>
      </c>
      <c r="BS7" s="123">
        <f t="shared" si="6"/>
        <v>62</v>
      </c>
      <c r="BT7" s="123">
        <f t="shared" si="6"/>
        <v>63</v>
      </c>
      <c r="BU7" s="123">
        <f t="shared" si="6"/>
        <v>64</v>
      </c>
      <c r="BV7" s="123">
        <f t="shared" si="6"/>
        <v>65</v>
      </c>
      <c r="BW7" s="123">
        <f t="shared" si="6"/>
        <v>66</v>
      </c>
      <c r="BX7" s="123">
        <f t="shared" si="6"/>
        <v>67</v>
      </c>
      <c r="BY7" s="123">
        <f t="shared" si="6"/>
        <v>68</v>
      </c>
      <c r="BZ7" s="123">
        <f t="shared" si="6"/>
        <v>69</v>
      </c>
      <c r="CA7" s="123">
        <f t="shared" si="6"/>
        <v>70</v>
      </c>
      <c r="CB7" s="123">
        <f t="shared" si="6"/>
        <v>71</v>
      </c>
      <c r="CC7" s="123">
        <f t="shared" si="6"/>
        <v>72</v>
      </c>
      <c r="CD7" s="123">
        <f t="shared" si="6"/>
        <v>73</v>
      </c>
      <c r="CE7" s="123">
        <f t="shared" si="6"/>
        <v>74</v>
      </c>
      <c r="CF7" s="123">
        <f t="shared" si="6"/>
        <v>75</v>
      </c>
      <c r="CG7" s="123">
        <f t="shared" si="6"/>
        <v>76</v>
      </c>
      <c r="CH7" s="123">
        <f t="shared" si="6"/>
        <v>77</v>
      </c>
      <c r="CI7" s="123">
        <f t="shared" si="6"/>
        <v>78</v>
      </c>
      <c r="CJ7" s="123">
        <f t="shared" si="6"/>
        <v>79</v>
      </c>
      <c r="CK7" s="123">
        <f t="shared" si="6"/>
        <v>80</v>
      </c>
      <c r="CL7" s="123">
        <f t="shared" si="6"/>
        <v>81</v>
      </c>
      <c r="CM7" s="123">
        <f t="shared" si="6"/>
        <v>82</v>
      </c>
      <c r="CN7" s="123">
        <f t="shared" si="6"/>
        <v>83</v>
      </c>
      <c r="CO7" s="123">
        <f t="shared" si="6"/>
        <v>84</v>
      </c>
      <c r="CP7" s="123">
        <f t="shared" si="6"/>
        <v>85</v>
      </c>
      <c r="CQ7" s="123">
        <f t="shared" si="6"/>
        <v>86</v>
      </c>
      <c r="CR7" s="123">
        <f t="shared" si="6"/>
        <v>87</v>
      </c>
      <c r="CS7" s="123">
        <f t="shared" si="6"/>
        <v>88</v>
      </c>
      <c r="CT7" s="123">
        <f t="shared" si="6"/>
        <v>89</v>
      </c>
      <c r="CU7" s="123">
        <f t="shared" si="6"/>
        <v>90</v>
      </c>
      <c r="CV7" s="123">
        <f t="shared" si="7"/>
        <v>91</v>
      </c>
      <c r="CW7" s="123">
        <f t="shared" si="7"/>
        <v>92</v>
      </c>
      <c r="CX7" s="123">
        <f t="shared" si="7"/>
        <v>93</v>
      </c>
      <c r="CY7" s="123">
        <f t="shared" si="7"/>
        <v>94</v>
      </c>
      <c r="CZ7" s="123">
        <f t="shared" si="7"/>
        <v>95</v>
      </c>
      <c r="DA7" s="123">
        <f t="shared" si="7"/>
        <v>96</v>
      </c>
      <c r="DB7" s="123">
        <f t="shared" si="7"/>
        <v>97</v>
      </c>
      <c r="DC7" s="123">
        <f t="shared" si="7"/>
        <v>98</v>
      </c>
      <c r="DD7" s="123">
        <f t="shared" si="7"/>
        <v>99</v>
      </c>
      <c r="DE7" s="123">
        <f t="shared" si="7"/>
        <v>100</v>
      </c>
      <c r="DF7" s="123">
        <f t="shared" si="7"/>
        <v>101</v>
      </c>
      <c r="DG7" s="123">
        <f t="shared" si="7"/>
        <v>102</v>
      </c>
      <c r="DH7" s="123">
        <f t="shared" si="7"/>
        <v>103</v>
      </c>
      <c r="DI7" s="123">
        <f t="shared" si="7"/>
        <v>104</v>
      </c>
      <c r="DJ7" s="123">
        <f t="shared" si="7"/>
        <v>105</v>
      </c>
      <c r="DK7" s="123">
        <f>DJ7+1</f>
        <v>106</v>
      </c>
      <c r="DL7" s="123">
        <f>DK7+1</f>
        <v>107</v>
      </c>
      <c r="DM7" s="123">
        <f t="shared" si="7"/>
        <v>108</v>
      </c>
      <c r="DN7" s="123">
        <f t="shared" si="7"/>
        <v>109</v>
      </c>
      <c r="DO7" s="123">
        <f t="shared" si="7"/>
        <v>110</v>
      </c>
      <c r="DP7" s="123">
        <f t="shared" si="7"/>
        <v>111</v>
      </c>
      <c r="DQ7" s="123">
        <f t="shared" si="7"/>
        <v>112</v>
      </c>
      <c r="DR7" s="123">
        <f t="shared" si="7"/>
        <v>113</v>
      </c>
      <c r="DS7" s="123">
        <f t="shared" si="7"/>
        <v>114</v>
      </c>
      <c r="DT7" s="123">
        <f t="shared" si="7"/>
        <v>115</v>
      </c>
      <c r="DU7" s="123">
        <f t="shared" si="7"/>
        <v>116</v>
      </c>
      <c r="DV7" s="123">
        <f t="shared" si="7"/>
        <v>117</v>
      </c>
      <c r="DW7" s="123">
        <f t="shared" si="7"/>
        <v>118</v>
      </c>
      <c r="DX7" s="123">
        <f t="shared" si="7"/>
        <v>119</v>
      </c>
      <c r="DY7" s="123">
        <f t="shared" si="7"/>
        <v>120</v>
      </c>
      <c r="DZ7" s="123">
        <f t="shared" si="7"/>
        <v>121</v>
      </c>
      <c r="EA7" s="123">
        <f t="shared" si="7"/>
        <v>122</v>
      </c>
      <c r="EB7" s="123">
        <f t="shared" si="7"/>
        <v>123</v>
      </c>
      <c r="EC7" s="123">
        <f t="shared" si="7"/>
        <v>124</v>
      </c>
      <c r="ED7" s="123">
        <f t="shared" si="7"/>
        <v>125</v>
      </c>
      <c r="EE7" s="123">
        <f t="shared" si="7"/>
        <v>126</v>
      </c>
      <c r="EF7" s="123">
        <f t="shared" si="7"/>
        <v>127</v>
      </c>
      <c r="EG7" s="123">
        <f t="shared" si="7"/>
        <v>128</v>
      </c>
      <c r="EH7" s="123">
        <f t="shared" si="7"/>
        <v>129</v>
      </c>
      <c r="EI7" s="123">
        <f t="shared" si="7"/>
        <v>130</v>
      </c>
      <c r="EJ7" s="123">
        <f t="shared" si="7"/>
        <v>131</v>
      </c>
      <c r="EK7" s="123">
        <f t="shared" si="7"/>
        <v>132</v>
      </c>
      <c r="EL7" s="123">
        <f t="shared" si="7"/>
        <v>133</v>
      </c>
      <c r="EM7" s="123">
        <f t="shared" si="7"/>
        <v>134</v>
      </c>
      <c r="EN7" s="123">
        <f t="shared" si="7"/>
        <v>135</v>
      </c>
      <c r="EO7" s="123">
        <f t="shared" si="7"/>
        <v>136</v>
      </c>
      <c r="EP7" s="123">
        <f t="shared" si="7"/>
        <v>137</v>
      </c>
      <c r="EQ7" s="123">
        <f t="shared" si="7"/>
        <v>138</v>
      </c>
      <c r="ER7" s="123">
        <f t="shared" si="7"/>
        <v>139</v>
      </c>
      <c r="ES7" s="123">
        <f t="shared" si="7"/>
        <v>140</v>
      </c>
      <c r="ET7" s="123">
        <f t="shared" si="7"/>
        <v>141</v>
      </c>
      <c r="EU7" s="123">
        <f t="shared" si="7"/>
        <v>142</v>
      </c>
      <c r="EV7" s="123">
        <f t="shared" si="7"/>
        <v>143</v>
      </c>
      <c r="EW7" s="123">
        <f t="shared" si="7"/>
        <v>144</v>
      </c>
      <c r="EX7" s="123">
        <f t="shared" si="7"/>
        <v>145</v>
      </c>
      <c r="EY7" s="123">
        <f t="shared" si="7"/>
        <v>146</v>
      </c>
      <c r="EZ7" s="123">
        <f t="shared" si="7"/>
        <v>147</v>
      </c>
      <c r="FA7" s="123">
        <f t="shared" si="7"/>
        <v>148</v>
      </c>
      <c r="FB7" s="123">
        <f t="shared" si="7"/>
        <v>149</v>
      </c>
      <c r="FC7" s="123">
        <f t="shared" si="7"/>
        <v>150</v>
      </c>
      <c r="FD7" s="123">
        <f t="shared" si="7"/>
        <v>151</v>
      </c>
      <c r="FE7" s="123">
        <f t="shared" si="7"/>
        <v>152</v>
      </c>
      <c r="FF7" s="123">
        <f t="shared" si="7"/>
        <v>153</v>
      </c>
      <c r="FG7" s="123">
        <f t="shared" si="7"/>
        <v>154</v>
      </c>
      <c r="FH7" s="123">
        <f t="shared" si="8"/>
        <v>155</v>
      </c>
      <c r="FI7" s="123">
        <f t="shared" si="8"/>
        <v>156</v>
      </c>
      <c r="FJ7" s="123">
        <f t="shared" si="8"/>
        <v>157</v>
      </c>
      <c r="FK7" s="123">
        <f t="shared" si="8"/>
        <v>158</v>
      </c>
      <c r="FL7" s="123">
        <f t="shared" si="8"/>
        <v>159</v>
      </c>
      <c r="FM7" s="123">
        <f t="shared" si="8"/>
        <v>160</v>
      </c>
      <c r="FN7" s="123">
        <f t="shared" si="8"/>
        <v>161</v>
      </c>
      <c r="FO7" s="123">
        <f t="shared" si="8"/>
        <v>162</v>
      </c>
      <c r="FP7" s="123">
        <f t="shared" si="8"/>
        <v>163</v>
      </c>
      <c r="FQ7" s="123">
        <f t="shared" si="8"/>
        <v>164</v>
      </c>
      <c r="FR7" s="123">
        <f t="shared" si="8"/>
        <v>165</v>
      </c>
      <c r="FS7" s="123">
        <f t="shared" si="8"/>
        <v>166</v>
      </c>
      <c r="FT7" s="123">
        <f t="shared" si="8"/>
        <v>167</v>
      </c>
      <c r="FU7" s="123">
        <f t="shared" si="8"/>
        <v>168</v>
      </c>
      <c r="FV7" s="123">
        <f t="shared" si="8"/>
        <v>169</v>
      </c>
      <c r="FW7" s="123">
        <f t="shared" si="8"/>
        <v>170</v>
      </c>
      <c r="FX7" s="123">
        <f t="shared" si="8"/>
        <v>171</v>
      </c>
      <c r="FY7" s="123">
        <f t="shared" si="8"/>
        <v>172</v>
      </c>
      <c r="FZ7" s="123">
        <f t="shared" si="8"/>
        <v>173</v>
      </c>
      <c r="GA7" s="123">
        <f t="shared" si="8"/>
        <v>174</v>
      </c>
      <c r="GB7" s="123">
        <f t="shared" si="8"/>
        <v>175</v>
      </c>
      <c r="GC7" s="123">
        <f t="shared" si="8"/>
        <v>176</v>
      </c>
      <c r="GD7" s="123">
        <f t="shared" si="8"/>
        <v>177</v>
      </c>
      <c r="GE7" s="123">
        <f t="shared" si="8"/>
        <v>178</v>
      </c>
      <c r="GF7" s="123">
        <f t="shared" si="8"/>
        <v>179</v>
      </c>
      <c r="GG7" s="281">
        <f t="shared" si="8"/>
        <v>180</v>
      </c>
      <c r="GH7" s="123">
        <f t="shared" si="8"/>
        <v>181</v>
      </c>
      <c r="GI7" s="123">
        <f t="shared" si="8"/>
        <v>182</v>
      </c>
      <c r="GJ7" s="123">
        <f t="shared" si="8"/>
        <v>183</v>
      </c>
      <c r="GK7" s="123">
        <f t="shared" si="8"/>
        <v>184</v>
      </c>
      <c r="GL7" s="123">
        <f t="shared" si="8"/>
        <v>185</v>
      </c>
      <c r="GM7" s="123">
        <f t="shared" si="8"/>
        <v>186</v>
      </c>
      <c r="GN7" s="123">
        <f t="shared" si="8"/>
        <v>187</v>
      </c>
      <c r="GO7" s="123">
        <f t="shared" si="8"/>
        <v>188</v>
      </c>
      <c r="GP7" s="123">
        <f t="shared" si="8"/>
        <v>189</v>
      </c>
      <c r="GQ7" s="123">
        <f t="shared" si="8"/>
        <v>190</v>
      </c>
      <c r="GR7" s="123">
        <f t="shared" si="8"/>
        <v>191</v>
      </c>
      <c r="GS7" s="123">
        <f t="shared" si="8"/>
        <v>192</v>
      </c>
      <c r="GT7" s="123">
        <f t="shared" si="8"/>
        <v>193</v>
      </c>
      <c r="GU7" s="123">
        <f t="shared" si="8"/>
        <v>194</v>
      </c>
      <c r="GV7" s="123">
        <f t="shared" si="8"/>
        <v>195</v>
      </c>
      <c r="GW7" s="123">
        <f t="shared" si="8"/>
        <v>196</v>
      </c>
      <c r="GX7" s="123">
        <f t="shared" si="8"/>
        <v>197</v>
      </c>
      <c r="GY7" s="123">
        <f t="shared" si="8"/>
        <v>198</v>
      </c>
      <c r="GZ7" s="123">
        <f t="shared" si="8"/>
        <v>199</v>
      </c>
      <c r="HA7" s="123">
        <f t="shared" si="8"/>
        <v>200</v>
      </c>
      <c r="HB7" s="123">
        <f t="shared" si="8"/>
        <v>201</v>
      </c>
      <c r="HC7" s="123">
        <f t="shared" si="8"/>
        <v>202</v>
      </c>
      <c r="HD7" s="123">
        <f t="shared" si="8"/>
        <v>203</v>
      </c>
      <c r="HE7" s="123">
        <f t="shared" si="8"/>
        <v>204</v>
      </c>
      <c r="HF7" s="123">
        <f t="shared" si="8"/>
        <v>205</v>
      </c>
      <c r="HG7" s="123">
        <f t="shared" si="8"/>
        <v>206</v>
      </c>
      <c r="HH7" s="123">
        <f t="shared" si="8"/>
        <v>207</v>
      </c>
      <c r="HI7" s="123">
        <f t="shared" si="8"/>
        <v>208</v>
      </c>
      <c r="HJ7" s="123">
        <f t="shared" si="8"/>
        <v>209</v>
      </c>
      <c r="HK7" s="123">
        <f t="shared" si="8"/>
        <v>210</v>
      </c>
      <c r="HL7" s="123">
        <f t="shared" si="8"/>
        <v>211</v>
      </c>
      <c r="HM7" s="123">
        <f t="shared" si="8"/>
        <v>212</v>
      </c>
      <c r="HN7" s="123">
        <f t="shared" si="8"/>
        <v>213</v>
      </c>
      <c r="HO7" s="123">
        <f t="shared" si="8"/>
        <v>214</v>
      </c>
      <c r="HP7" s="123">
        <f t="shared" si="8"/>
        <v>215</v>
      </c>
      <c r="HQ7" s="123">
        <f t="shared" si="8"/>
        <v>216</v>
      </c>
      <c r="HR7" s="123">
        <f t="shared" si="8"/>
        <v>217</v>
      </c>
      <c r="HS7" s="123">
        <f t="shared" si="8"/>
        <v>218</v>
      </c>
      <c r="HT7" s="123">
        <f t="shared" si="10"/>
        <v>219</v>
      </c>
      <c r="HU7" s="123">
        <f t="shared" si="10"/>
        <v>220</v>
      </c>
      <c r="HV7" s="123">
        <f t="shared" si="10"/>
        <v>221</v>
      </c>
      <c r="HW7" s="123">
        <f t="shared" si="10"/>
        <v>222</v>
      </c>
      <c r="HX7" s="123">
        <f t="shared" si="10"/>
        <v>223</v>
      </c>
      <c r="HY7" s="123">
        <f t="shared" si="10"/>
        <v>224</v>
      </c>
      <c r="HZ7" s="123">
        <f t="shared" si="10"/>
        <v>225</v>
      </c>
      <c r="IA7" s="123">
        <f t="shared" si="10"/>
        <v>226</v>
      </c>
      <c r="IB7" s="123">
        <f t="shared" si="10"/>
        <v>227</v>
      </c>
      <c r="IC7" s="123">
        <f t="shared" si="10"/>
        <v>228</v>
      </c>
      <c r="ID7" s="123">
        <f t="shared" si="10"/>
        <v>229</v>
      </c>
      <c r="IE7" s="123">
        <f t="shared" si="10"/>
        <v>230</v>
      </c>
      <c r="IF7" s="123">
        <f t="shared" si="10"/>
        <v>231</v>
      </c>
      <c r="IG7" s="123">
        <f t="shared" si="10"/>
        <v>232</v>
      </c>
      <c r="IH7" s="123">
        <f t="shared" si="10"/>
        <v>233</v>
      </c>
      <c r="II7" s="123">
        <f t="shared" si="10"/>
        <v>234</v>
      </c>
      <c r="IJ7" s="123">
        <f t="shared" si="10"/>
        <v>235</v>
      </c>
      <c r="IK7" s="123">
        <f t="shared" si="10"/>
        <v>236</v>
      </c>
      <c r="IL7" s="123">
        <f t="shared" si="10"/>
        <v>237</v>
      </c>
      <c r="IM7" s="123">
        <f t="shared" si="10"/>
        <v>238</v>
      </c>
      <c r="IN7" s="123">
        <f t="shared" si="10"/>
        <v>239</v>
      </c>
      <c r="IO7" s="123">
        <f t="shared" si="10"/>
        <v>240</v>
      </c>
      <c r="IP7" s="123">
        <f>IF($E$7=$E$16,(IP16+IP17)*0.5+IO7,IF($E$7=#REF!,(#REF!+#REF!)*0.5+IO7,IF($E$7=#REF!,(#REF!+#REF!)*0.5+IO7)))</f>
        <v>241</v>
      </c>
      <c r="IQ7" s="123">
        <f>IF($E$7=$E$16,(IQ16+IQ17)*0.5+IP7,IF($E$7=#REF!,(#REF!+#REF!)*0.5+IP7,IF($E$7=#REF!,(#REF!+#REF!)*0.5+IP7)))</f>
        <v>242</v>
      </c>
      <c r="IR7" s="123">
        <f>IF($E$7=$E$16,(IR16+IR17)*0.5+IQ7,IF($E$7=#REF!,(#REF!+#REF!)*0.5+IQ7,IF($E$7=#REF!,(#REF!+#REF!)*0.5+IQ7)))</f>
        <v>243</v>
      </c>
      <c r="IS7" s="123">
        <f>IF($E$7=$E$16,(IS16+IS17)*0.5+IR7,IF($E$7=#REF!,(#REF!+#REF!)*0.5+IR7,IF($E$7=#REF!,(#REF!+#REF!)*0.5+IR7)))</f>
        <v>243</v>
      </c>
      <c r="IT7" s="123">
        <f>IF($E$7=$E$16,(IT16+IT17)*0.5+IS7,IF($E$7=#REF!,(#REF!+#REF!)*0.5+IS7,IF($E$7=#REF!,(#REF!+#REF!)*0.5+IS7)))</f>
        <v>243</v>
      </c>
      <c r="IU7" s="123">
        <f>IF($E$7=$E$16,(IU16+IU17)*0.5+IT7,IF($E$7=#REF!,(#REF!+#REF!)*0.5+IT7,IF($E$7=#REF!,(#REF!+#REF!)*0.5+IT7)))</f>
        <v>244</v>
      </c>
    </row>
    <row r="8" spans="3:256" ht="16.5" customHeight="1">
      <c r="C8" s="123" t="s">
        <v>69</v>
      </c>
      <c r="D8" s="221">
        <v>3330000</v>
      </c>
      <c r="F8" s="123" t="s">
        <v>28</v>
      </c>
      <c r="I8" s="133">
        <f>LOOKUP(I$6,J$6:IV$6,剩餘工期)</f>
        <v>148</v>
      </c>
      <c r="J8" s="123">
        <f>$D$7-J7</f>
        <v>179</v>
      </c>
      <c r="K8" s="123">
        <f>IF(COUNTIF(工期不計!2:35,內容!K$14),J8,J8-1)</f>
        <v>178</v>
      </c>
      <c r="L8" s="123">
        <f>IF(COUNTIF(工期不計!2:35,內容!L$14),K8,K8-1)</f>
        <v>177</v>
      </c>
      <c r="M8" s="123">
        <f>IF(COUNTIF(工期不計!2:35,內容!M$14),L8,L8-1)</f>
        <v>176</v>
      </c>
      <c r="N8" s="123">
        <f>IF(COUNTIF(工期不計!2:35,內容!N$14),M8,M8-1)</f>
        <v>175</v>
      </c>
      <c r="O8" s="123">
        <f>IF(COUNTIF(工期不計!2:35,內容!O$14),N8,N8-1)</f>
        <v>174</v>
      </c>
      <c r="P8" s="123">
        <f>IF(COUNTIF(工期不計!2:35,內容!P$14),O8,O8-1)</f>
        <v>173</v>
      </c>
      <c r="Q8" s="123">
        <f>IF(COUNTIF(工期不計!2:35,內容!Q$14),P8,P8-1)</f>
        <v>172</v>
      </c>
      <c r="R8" s="123">
        <f>IF(COUNTIF(工期不計!2:35,內容!R$14),Q8,Q8-1)</f>
        <v>171</v>
      </c>
      <c r="S8" s="123">
        <f>IF(COUNTIF(工期不計!2:35,內容!S$14),R8,R8-1)</f>
        <v>170</v>
      </c>
      <c r="T8" s="123">
        <f>IF(COUNTIF(工期不計!2:35,內容!T$14),S8,S8-1)</f>
        <v>169</v>
      </c>
      <c r="U8" s="123">
        <f>IF(COUNTIF(工期不計!2:35,內容!U$14),T8,T8-1)</f>
        <v>168</v>
      </c>
      <c r="V8" s="123">
        <f>IF(COUNTIF(工期不計!2:35,內容!V$14),U8,U8-1)</f>
        <v>167</v>
      </c>
      <c r="W8" s="123">
        <f>IF(COUNTIF(工期不計!2:35,內容!W$14),V8,V8-1)</f>
        <v>166</v>
      </c>
      <c r="X8" s="123">
        <f>IF(COUNTIF(工期不計!2:35,內容!X$14),W8,W8-1)</f>
        <v>165</v>
      </c>
      <c r="Y8" s="123">
        <f>IF(COUNTIF(工期不計!2:35,內容!Y$14),X8,X8-1)</f>
        <v>164</v>
      </c>
      <c r="Z8" s="123">
        <f>IF(COUNTIF(工期不計!2:35,內容!Z$14),Y8,Y8-1)</f>
        <v>163</v>
      </c>
      <c r="AA8" s="123">
        <f>IF(COUNTIF(工期不計!2:35,內容!AA$14),Z8,Z8-1)</f>
        <v>162</v>
      </c>
      <c r="AB8" s="123">
        <f>IF(COUNTIF(工期不計!2:35,內容!AB$14),AA8,AA8-1)</f>
        <v>161</v>
      </c>
      <c r="AC8" s="123">
        <f>IF(COUNTIF(工期不計!2:35,內容!AC$14),AB8,AB8-1)</f>
        <v>160</v>
      </c>
      <c r="AD8" s="123">
        <f>IF(COUNTIF(工期不計!2:35,內容!AD$14),AC8,AC8-1)</f>
        <v>159</v>
      </c>
      <c r="AE8" s="123">
        <f>IF(COUNTIF(工期不計!2:35,內容!AE$14),AD8,AD8-1)</f>
        <v>158</v>
      </c>
      <c r="AF8" s="123">
        <f>IF(COUNTIF(工期不計!2:35,內容!AF$14),AE8,AE8-1)</f>
        <v>157</v>
      </c>
      <c r="AG8" s="123">
        <f>IF(COUNTIF(工期不計!2:35,內容!AG$14),AF8,AF8-1)</f>
        <v>156</v>
      </c>
      <c r="AH8" s="123">
        <f>IF(COUNTIF(工期不計!2:35,內容!AH$14),AG8,AG8-1)</f>
        <v>155</v>
      </c>
      <c r="AI8" s="123">
        <f>IF(COUNTIF(工期不計!2:35,內容!AI$14),AH8,AH8-1)</f>
        <v>154</v>
      </c>
      <c r="AJ8" s="123">
        <f>IF(COUNTIF(工期不計!2:35,內容!AJ$14),AI8,AI8-1)</f>
        <v>153</v>
      </c>
      <c r="AK8" s="123">
        <f>IF(COUNTIF(工期不計!2:35,內容!AK$14),AJ8,AJ8-1)</f>
        <v>152</v>
      </c>
      <c r="AL8" s="123">
        <f>IF(COUNTIF(工期不計!2:35,內容!AL$14),AK8,AK8-1)</f>
        <v>151</v>
      </c>
      <c r="AM8" s="123">
        <f>IF(COUNTIF(工期不計!2:35,內容!AM$14),AL8,AL8-1)</f>
        <v>150</v>
      </c>
      <c r="AN8" s="123">
        <f>IF(COUNTIF(工期不計!2:35,內容!AN$14),AM8,AM8-1)</f>
        <v>149</v>
      </c>
      <c r="AO8" s="123">
        <f>IF(COUNTIF(工期不計!2:35,內容!AO$14),AN8,AN8-1)</f>
        <v>148</v>
      </c>
      <c r="AP8" s="123">
        <f>IF(COUNTIF(工期不計!2:35,內容!AP$14),AO8,AO8-1)</f>
        <v>147</v>
      </c>
      <c r="AQ8" s="123">
        <f>IF(COUNTIF(工期不計!2:35,內容!AQ$14),AP8,AP8-1)</f>
        <v>146</v>
      </c>
      <c r="AR8" s="123">
        <f>IF(COUNTIF(工期不計!2:35,內容!AR$14),AQ8,AQ8-1)</f>
        <v>145</v>
      </c>
      <c r="AS8" s="123">
        <f>IF(COUNTIF(工期不計!2:35,內容!AS$14),AR8,AR8-1)</f>
        <v>144</v>
      </c>
      <c r="AT8" s="123">
        <f>IF(COUNTIF(工期不計!2:35,內容!AT$14),AS8,AS8-1)</f>
        <v>143</v>
      </c>
      <c r="AU8" s="123">
        <f>IF(COUNTIF(工期不計!2:35,內容!AU$14),AT8,AT8-1)</f>
        <v>142</v>
      </c>
      <c r="AV8" s="123">
        <f>IF(COUNTIF(工期不計!2:35,內容!AV$14),AU8,AU8-1)</f>
        <v>141</v>
      </c>
      <c r="AW8" s="123">
        <f>IF(COUNTIF(工期不計!2:35,內容!AW$14),AV8,AV8-1)</f>
        <v>140</v>
      </c>
      <c r="AX8" s="123">
        <f>IF(COUNTIF(工期不計!2:35,內容!AX$14),AW8,AW8-1)</f>
        <v>139</v>
      </c>
      <c r="AY8" s="123">
        <f>IF(COUNTIF(工期不計!2:35,內容!AY$14),AX8,AX8-1)</f>
        <v>138</v>
      </c>
      <c r="AZ8" s="123">
        <f>IF(COUNTIF(工期不計!2:35,內容!AZ$14),AY8,AY8-1)</f>
        <v>137</v>
      </c>
      <c r="BA8" s="123">
        <f>IF(COUNTIF(工期不計!2:35,內容!BA$14),AZ8,AZ8-1)</f>
        <v>136</v>
      </c>
      <c r="BB8" s="123">
        <f>IF(COUNTIF(工期不計!2:35,內容!BB$14),BA8,BA8-1)</f>
        <v>135</v>
      </c>
      <c r="BC8" s="123">
        <f>IF(COUNTIF(工期不計!2:35,內容!BC$14),BB8,BB8-1)</f>
        <v>134</v>
      </c>
      <c r="BD8" s="123">
        <f>IF(COUNTIF(工期不計!2:35,內容!BD$14),BC8,BC8-1)</f>
        <v>133</v>
      </c>
      <c r="BE8" s="123">
        <f>IF(COUNTIF(工期不計!2:35,內容!BE$14),BD8,BD8-1)</f>
        <v>132</v>
      </c>
      <c r="BF8" s="123">
        <f>IF(COUNTIF(工期不計!2:35,內容!BF$14),BE8,BE8-1)</f>
        <v>131</v>
      </c>
      <c r="BG8" s="123">
        <f>IF(COUNTIF(工期不計!2:35,內容!BG$14),BF8,BF8-1)</f>
        <v>130</v>
      </c>
      <c r="BH8" s="123">
        <f>IF(COUNTIF(工期不計!2:35,內容!BH$14),BG8,BG8-1)</f>
        <v>129</v>
      </c>
      <c r="BI8" s="123">
        <f>IF(COUNTIF(工期不計!2:35,內容!BI$14),BH8,BH8-1)</f>
        <v>128</v>
      </c>
      <c r="BJ8" s="123">
        <f>IF(COUNTIF(工期不計!2:35,內容!BJ$14),BI8,BI8-1)</f>
        <v>127</v>
      </c>
      <c r="BK8" s="123">
        <f>IF(COUNTIF(工期不計!2:35,內容!BK$14),BJ8,BJ8-1)</f>
        <v>126</v>
      </c>
      <c r="BL8" s="123">
        <f>IF(COUNTIF(工期不計!2:35,內容!BL$14),BK8,BK8-1)</f>
        <v>125</v>
      </c>
      <c r="BM8" s="123">
        <f>IF(COUNTIF(工期不計!2:35,內容!BM$14),BL8,BL8-1)</f>
        <v>124</v>
      </c>
      <c r="BN8" s="123">
        <f>IF(COUNTIF(工期不計!2:35,內容!BN$14),BM8,BM8-1)</f>
        <v>123</v>
      </c>
      <c r="BO8" s="123">
        <f>IF(COUNTIF(工期不計!2:35,內容!BO$14),BN8,BN8-1)</f>
        <v>122</v>
      </c>
      <c r="BP8" s="123">
        <f>IF(COUNTIF(工期不計!2:35,內容!BP$14),BO8,BO8-1)</f>
        <v>121</v>
      </c>
      <c r="BQ8" s="123">
        <f>IF(COUNTIF(工期不計!2:35,內容!BQ$14),BP8,BP8-1)</f>
        <v>120</v>
      </c>
      <c r="BR8" s="123">
        <f>IF(COUNTIF(工期不計!2:35,內容!BR$14),BQ8,BQ8-1)</f>
        <v>119</v>
      </c>
      <c r="BS8" s="123">
        <f>IF(COUNTIF(工期不計!2:35,內容!BS$14),BR8,BR8-1)</f>
        <v>118</v>
      </c>
      <c r="BT8" s="123">
        <f>IF(COUNTIF(工期不計!2:35,內容!BT$14),BS8,BS8-1)</f>
        <v>117</v>
      </c>
      <c r="BU8" s="123">
        <f>IF(COUNTIF(工期不計!2:35,內容!BU$14),BT8,BT8-1)</f>
        <v>116</v>
      </c>
      <c r="BV8" s="123">
        <f>IF(COUNTIF(工期不計!2:35,內容!BV$14),BU8,BU8-1)</f>
        <v>115</v>
      </c>
      <c r="BW8" s="123">
        <f>IF(COUNTIF(工期不計!2:35,內容!BW$14),BV8,BV8-1)</f>
        <v>114</v>
      </c>
      <c r="BX8" s="123">
        <f>IF(COUNTIF(工期不計!2:35,內容!BX$14),BW8,BW8-1)</f>
        <v>113</v>
      </c>
      <c r="BY8" s="123">
        <f>IF(COUNTIF(工期不計!2:35,內容!BY$14),BX8,BX8-1)</f>
        <v>112</v>
      </c>
      <c r="BZ8" s="123">
        <f>IF(COUNTIF(工期不計!2:35,內容!BZ$14),BY8,BY8-1)</f>
        <v>111</v>
      </c>
      <c r="CA8" s="123">
        <f>IF(COUNTIF(工期不計!2:35,內容!CA$14),BZ8,BZ8-1)</f>
        <v>110</v>
      </c>
      <c r="CB8" s="123">
        <f>IF(COUNTIF(工期不計!2:35,內容!CB$14),CA8,CA8-1)</f>
        <v>109</v>
      </c>
      <c r="CC8" s="123">
        <f>IF(COUNTIF(工期不計!2:35,內容!CC$14),CB8,CB8-1)</f>
        <v>108</v>
      </c>
      <c r="CD8" s="123">
        <f>IF(COUNTIF(工期不計!2:35,內容!CD$14),CC8,CC8-1)</f>
        <v>107</v>
      </c>
      <c r="CE8" s="123">
        <f>IF(COUNTIF(工期不計!2:35,內容!CE$14),CD8,CD8-1)</f>
        <v>106</v>
      </c>
      <c r="CF8" s="123">
        <f>IF(COUNTIF(工期不計!2:35,內容!CF$14),CE8,CE8-1)</f>
        <v>105</v>
      </c>
      <c r="CG8" s="123">
        <f>IF(COUNTIF(工期不計!2:35,內容!CG$14),CF8,CF8-1)</f>
        <v>104</v>
      </c>
      <c r="CH8" s="123">
        <f>IF(COUNTIF(工期不計!2:35,內容!CH$14),CG8,CG8-1)</f>
        <v>103</v>
      </c>
      <c r="CI8" s="123">
        <f>IF(COUNTIF(工期不計!2:35,內容!CI$14),CH8,CH8-1)</f>
        <v>102</v>
      </c>
      <c r="CJ8" s="123">
        <f>IF(COUNTIF(工期不計!2:35,內容!CJ$14),CI8,CI8-1)</f>
        <v>101</v>
      </c>
      <c r="CK8" s="123">
        <f>IF(COUNTIF(工期不計!2:35,內容!CK$14),CJ8,CJ8-1)</f>
        <v>100</v>
      </c>
      <c r="CL8" s="123">
        <f>IF(COUNTIF(工期不計!2:35,內容!CL$14),CK8,CK8-1)</f>
        <v>99</v>
      </c>
      <c r="CM8" s="123">
        <f>IF(COUNTIF(工期不計!2:35,內容!CM$14),CL8,CL8-1)</f>
        <v>98</v>
      </c>
      <c r="CN8" s="123">
        <f>IF(COUNTIF(工期不計!2:35,內容!CN$14),CM8,CM8-1)</f>
        <v>97</v>
      </c>
      <c r="CO8" s="123">
        <f>IF(COUNTIF(工期不計!2:35,內容!CO$14),CN8,CN8-1)</f>
        <v>96</v>
      </c>
      <c r="CP8" s="123">
        <f>IF(COUNTIF(工期不計!2:35,內容!CP$14),CO8,CO8-1)</f>
        <v>95</v>
      </c>
      <c r="CQ8" s="123">
        <f>IF(COUNTIF(工期不計!2:35,內容!CQ$14),CP8,CP8-1)</f>
        <v>94</v>
      </c>
      <c r="CR8" s="123">
        <f>IF(COUNTIF(工期不計!2:35,內容!CR$14),CQ8,CQ8-1)</f>
        <v>93</v>
      </c>
      <c r="CS8" s="123">
        <f>IF(COUNTIF(工期不計!2:35,內容!CS$14),CR8,CR8-1)</f>
        <v>92</v>
      </c>
      <c r="CT8" s="123">
        <f>IF(COUNTIF(工期不計!2:35,內容!CT$14),CS8,CS8-1)</f>
        <v>91</v>
      </c>
      <c r="CU8" s="123">
        <f>IF(COUNTIF(工期不計!2:35,內容!CU$14),CT8,CT8-1)</f>
        <v>90</v>
      </c>
      <c r="CV8" s="123">
        <f>IF(COUNTIF(工期不計!2:35,內容!CV$14),CU8,CU8-1)</f>
        <v>89</v>
      </c>
      <c r="CW8" s="123">
        <f>IF(COUNTIF(工期不計!2:35,內容!CW$14),CV8,CV8-1)</f>
        <v>88</v>
      </c>
      <c r="CX8" s="123">
        <f>IF(COUNTIF(工期不計!2:35,內容!CX$14),CW8,CW8-1)</f>
        <v>87</v>
      </c>
      <c r="CY8" s="123">
        <f>IF(COUNTIF(工期不計!2:35,內容!CY$14),CX8,CX8-1)</f>
        <v>86</v>
      </c>
      <c r="CZ8" s="123">
        <f>IF(COUNTIF(工期不計!2:35,內容!CZ$14),CY8,CY8-1)</f>
        <v>85</v>
      </c>
      <c r="DA8" s="123">
        <f>IF(COUNTIF(工期不計!2:35,內容!DA$14),CZ8,CZ8-1)</f>
        <v>84</v>
      </c>
      <c r="DB8" s="123">
        <f>IF(COUNTIF(工期不計!2:35,內容!DB$14),DA8,DA8-1)</f>
        <v>83</v>
      </c>
      <c r="DC8" s="123">
        <f>IF(COUNTIF(工期不計!2:35,內容!DC$14),DB8,DB8-1)</f>
        <v>82</v>
      </c>
      <c r="DD8" s="123">
        <f>IF(COUNTIF(工期不計!2:35,內容!DD$14),DC8,DC8-1)</f>
        <v>81</v>
      </c>
      <c r="DE8" s="123">
        <f>IF(COUNTIF(工期不計!2:35,內容!DE$14),DD8,DD8-1)</f>
        <v>80</v>
      </c>
      <c r="DF8" s="123">
        <f>IF(COUNTIF(工期不計!2:35,內容!DF$14),DE8,DE8-1)</f>
        <v>79</v>
      </c>
      <c r="DG8" s="123">
        <f>IF(COUNTIF(工期不計!2:35,內容!DG$14),DF8,DF8-1)</f>
        <v>78</v>
      </c>
      <c r="DH8" s="123">
        <f>IF(COUNTIF(工期不計!2:35,內容!DH$14),DG8,DG8-1)</f>
        <v>77</v>
      </c>
      <c r="DI8" s="123">
        <f>IF(COUNTIF(工期不計!2:35,內容!DI$14),DH8,DH8-1)</f>
        <v>76</v>
      </c>
      <c r="DJ8" s="123">
        <f>IF(COUNTIF(工期不計!2:35,內容!DJ$14),DI8,DI8-1)</f>
        <v>75</v>
      </c>
      <c r="DK8" s="123">
        <f>IF(COUNTIF(工期不計!2:35,內容!DK$14),DJ8,DJ8-1)</f>
        <v>74</v>
      </c>
      <c r="DL8" s="123">
        <f>IF(COUNTIF(工期不計!2:35,內容!DL$14),DK8,DK8-1)</f>
        <v>73</v>
      </c>
      <c r="DM8" s="123">
        <f>IF(COUNTIF(工期不計!2:35,內容!DM$14),DL8,DL8-1)</f>
        <v>72</v>
      </c>
      <c r="DN8" s="123">
        <f>IF(COUNTIF(工期不計!2:35,內容!DN$14),DM8,DM8-1)</f>
        <v>71</v>
      </c>
      <c r="DO8" s="123">
        <f>IF(COUNTIF(工期不計!2:35,內容!DO$14),DN8,DN8-1)</f>
        <v>70</v>
      </c>
      <c r="DP8" s="123">
        <f>IF(COUNTIF(工期不計!2:35,內容!DP$14),DO8,DO8-1)</f>
        <v>69</v>
      </c>
      <c r="DQ8" s="123">
        <f>IF(COUNTIF(工期不計!2:35,內容!DQ$14),DP8,DP8-1)</f>
        <v>68</v>
      </c>
      <c r="DR8" s="123">
        <f>IF(COUNTIF(工期不計!2:35,內容!DR$14),DQ8,DQ8-1)</f>
        <v>67</v>
      </c>
      <c r="DS8" s="123">
        <f>IF(COUNTIF(工期不計!2:35,內容!DS$14),DR8,DR8-1)</f>
        <v>66</v>
      </c>
      <c r="DT8" s="123">
        <f>IF(COUNTIF(工期不計!2:35,內容!DT$14),DS8,DS8-1)</f>
        <v>65</v>
      </c>
      <c r="DU8" s="123">
        <f>IF(COUNTIF(工期不計!2:35,內容!DU$14),DT8,DT8-1)</f>
        <v>64</v>
      </c>
      <c r="DV8" s="123">
        <f>IF(COUNTIF(工期不計!2:35,內容!DV$14),DU8,DU8-1)</f>
        <v>63</v>
      </c>
      <c r="DW8" s="123">
        <f>IF(COUNTIF(工期不計!2:35,內容!DW$14),DV8,DV8-1)</f>
        <v>62</v>
      </c>
      <c r="DX8" s="123">
        <f>IF(COUNTIF(工期不計!2:35,內容!DX$14),DW8,DW8-1)</f>
        <v>61</v>
      </c>
      <c r="DY8" s="123">
        <f>IF(COUNTIF(工期不計!2:35,內容!DY$14),DX8,DX8-1)</f>
        <v>60</v>
      </c>
      <c r="DZ8" s="123">
        <f>IF(COUNTIF(工期不計!2:35,內容!DZ$14),DY8,DY8-1)</f>
        <v>59</v>
      </c>
      <c r="EA8" s="123">
        <f>IF(COUNTIF(工期不計!2:35,內容!EA$14),DZ8,DZ8-1)</f>
        <v>58</v>
      </c>
      <c r="EB8" s="123">
        <f>IF(COUNTIF(工期不計!2:35,內容!EB$14),EA8,EA8-1)</f>
        <v>57</v>
      </c>
      <c r="EC8" s="123">
        <f>IF(COUNTIF(工期不計!2:35,內容!EC$14),EB8,EB8-1)</f>
        <v>56</v>
      </c>
      <c r="ED8" s="123">
        <f>IF(COUNTIF(工期不計!2:35,內容!ED$14),EC8,EC8-1)</f>
        <v>55</v>
      </c>
      <c r="EE8" s="123">
        <f>IF(COUNTIF(工期不計!2:35,內容!EE$14),ED8,ED8-1)</f>
        <v>54</v>
      </c>
      <c r="EF8" s="123">
        <f>IF(COUNTIF(工期不計!2:35,內容!EF$14),EE8,EE8-1)</f>
        <v>53</v>
      </c>
      <c r="EG8" s="123">
        <f>IF(COUNTIF(工期不計!2:35,內容!EG$14),EF8,EF8-1)</f>
        <v>52</v>
      </c>
      <c r="EH8" s="123">
        <f>IF(COUNTIF(工期不計!2:35,內容!EH$14),EG8,EG8-1)</f>
        <v>51</v>
      </c>
      <c r="EI8" s="123">
        <f>IF(COUNTIF(工期不計!2:35,內容!EI$14),EH8,EH8-1)</f>
        <v>50</v>
      </c>
      <c r="EJ8" s="123">
        <f>IF(COUNTIF(工期不計!2:35,內容!EJ$14),EI8,EI8-1)</f>
        <v>49</v>
      </c>
      <c r="EK8" s="123">
        <f>IF(COUNTIF(工期不計!2:35,內容!EK$14),EJ8,EJ8-1)</f>
        <v>48</v>
      </c>
      <c r="EL8" s="123">
        <f>IF(COUNTIF(工期不計!2:35,內容!EL$14),EK8,EK8-1)</f>
        <v>47</v>
      </c>
      <c r="EM8" s="123">
        <f>IF(COUNTIF(工期不計!2:35,內容!EM$14),EL8,EL8-1)</f>
        <v>46</v>
      </c>
      <c r="EN8" s="123">
        <f>IF(COUNTIF(工期不計!2:35,內容!EN$14),EM8,EM8-1)</f>
        <v>45</v>
      </c>
      <c r="EO8" s="123">
        <f>IF(COUNTIF(工期不計!2:35,內容!EO$14),EN8,EN8-1)</f>
        <v>44</v>
      </c>
      <c r="EP8" s="123">
        <f>IF(COUNTIF(工期不計!2:35,內容!EP$14),EO8,EO8-1)</f>
        <v>43</v>
      </c>
      <c r="EQ8" s="123">
        <f>IF(COUNTIF(工期不計!2:35,內容!EQ$14),EP8,EP8-1)</f>
        <v>42</v>
      </c>
      <c r="ER8" s="123">
        <f>IF(COUNTIF(工期不計!2:35,內容!ER$14),EQ8,EQ8-1)</f>
        <v>41</v>
      </c>
      <c r="ES8" s="123">
        <f>IF(COUNTIF(工期不計!2:35,內容!ES$14),ER8,ER8-1)</f>
        <v>40</v>
      </c>
      <c r="ET8" s="123">
        <f>IF(COUNTIF(工期不計!2:35,內容!ET$14),ES8,ES8-1)</f>
        <v>39</v>
      </c>
      <c r="EU8" s="123">
        <f>IF(COUNTIF(工期不計!2:35,內容!EU$14),ET8,ET8-1)</f>
        <v>38</v>
      </c>
      <c r="EV8" s="123">
        <f>IF(COUNTIF(工期不計!2:35,內容!EV$14),EU8,EU8-1)</f>
        <v>37</v>
      </c>
      <c r="EW8" s="123">
        <f>IF(COUNTIF(工期不計!2:35,內容!EW$14),EV8,EV8-1)</f>
        <v>36</v>
      </c>
      <c r="EX8" s="123">
        <f>IF(COUNTIF(工期不計!2:35,內容!EX$14),EW8,EW8-1)</f>
        <v>35</v>
      </c>
      <c r="EY8" s="123">
        <f>IF(COUNTIF(工期不計!2:35,內容!EY$14),EX8,EX8-1)</f>
        <v>34</v>
      </c>
      <c r="EZ8" s="123">
        <f>IF(COUNTIF(工期不計!2:35,內容!EZ$14),EY8,EY8-1)</f>
        <v>33</v>
      </c>
      <c r="FA8" s="123">
        <f>IF(COUNTIF(工期不計!2:35,內容!FA$14),EZ8,EZ8-1)</f>
        <v>32</v>
      </c>
      <c r="FB8" s="123">
        <f>IF(COUNTIF(工期不計!2:35,內容!FB$14),FA8,FA8-1)</f>
        <v>31</v>
      </c>
      <c r="FC8" s="123">
        <f>IF(COUNTIF(工期不計!2:35,內容!FC$14),FB8,FB8-1)</f>
        <v>30</v>
      </c>
      <c r="FD8" s="123">
        <f>IF(COUNTIF(工期不計!2:35,內容!FD$14),FC8,FC8-1)</f>
        <v>29</v>
      </c>
      <c r="FE8" s="123">
        <f>IF(COUNTIF(工期不計!2:35,內容!FE$14),FD8,FD8-1)</f>
        <v>28</v>
      </c>
      <c r="FF8" s="123">
        <f>IF(COUNTIF(工期不計!2:35,內容!FF$14),FE8,FE8-1)</f>
        <v>27</v>
      </c>
      <c r="FG8" s="123">
        <f>IF(COUNTIF(工期不計!2:35,內容!FG$14),FF8,FF8-1)</f>
        <v>26</v>
      </c>
      <c r="FH8" s="123">
        <f>IF(COUNTIF(工期不計!2:35,內容!FH$14),FG8,FG8-1)</f>
        <v>25</v>
      </c>
      <c r="FI8" s="123">
        <f>IF(COUNTIF(工期不計!2:35,內容!FI$14),FH8,FH8-1)</f>
        <v>24</v>
      </c>
      <c r="FJ8" s="123">
        <f>IF(COUNTIF(工期不計!2:35,內容!FJ$14),FI8,FI8-1)</f>
        <v>23</v>
      </c>
      <c r="FK8" s="123">
        <f>IF(COUNTIF(工期不計!2:35,內容!FK$14),FJ8,FJ8-1)</f>
        <v>22</v>
      </c>
      <c r="FL8" s="123">
        <f>IF(COUNTIF(工期不計!2:35,內容!FL$14),FK8,FK8-1)</f>
        <v>21</v>
      </c>
      <c r="FM8" s="123">
        <f>IF(COUNTIF(工期不計!2:35,內容!FM$14),FL8,FL8-1)</f>
        <v>20</v>
      </c>
      <c r="FN8" s="123">
        <f>IF(COUNTIF(工期不計!2:35,內容!FN$14),FM8,FM8-1)</f>
        <v>19</v>
      </c>
      <c r="FO8" s="123">
        <f>IF(COUNTIF(工期不計!2:35,內容!FO$14),FN8,FN8-1)</f>
        <v>18</v>
      </c>
      <c r="FP8" s="123">
        <f>IF(COUNTIF(工期不計!2:35,內容!FP$14),FO8,FO8-1)</f>
        <v>17</v>
      </c>
      <c r="FQ8" s="123">
        <f>IF(COUNTIF(工期不計!2:35,內容!FQ$14),FP8,FP8-1)</f>
        <v>16</v>
      </c>
      <c r="FR8" s="123">
        <f>IF(COUNTIF(工期不計!2:35,內容!FR$14),FQ8,FQ8-1)</f>
        <v>15</v>
      </c>
      <c r="FS8" s="123">
        <f>IF(COUNTIF(工期不計!2:35,內容!FS$14),FR8,FR8-1)</f>
        <v>14</v>
      </c>
      <c r="FT8" s="123">
        <f>IF(COUNTIF(工期不計!2:35,內容!FT$14),FS8,FS8-1)</f>
        <v>13</v>
      </c>
      <c r="FU8" s="123">
        <f>IF(COUNTIF(工期不計!2:35,內容!FU$14),FT8,FT8-1)</f>
        <v>12</v>
      </c>
      <c r="FV8" s="123">
        <f>IF(COUNTIF(工期不計!2:35,內容!FV$14),FU8,FU8-1)</f>
        <v>11</v>
      </c>
      <c r="FW8" s="123">
        <f>IF(COUNTIF(工期不計!2:35,內容!FW$14),FV8,FV8-1)</f>
        <v>10</v>
      </c>
      <c r="FX8" s="123">
        <f>IF(COUNTIF(工期不計!2:35,內容!FX$14),FW8,FW8-1)</f>
        <v>9</v>
      </c>
      <c r="FY8" s="123">
        <f>IF(COUNTIF(工期不計!2:35,內容!FY$14),FX8,FX8-1)</f>
        <v>8</v>
      </c>
      <c r="FZ8" s="123">
        <f>IF(COUNTIF(工期不計!2:35,內容!FZ$14),FY8,FY8-1)</f>
        <v>7</v>
      </c>
      <c r="GA8" s="123">
        <f>IF(COUNTIF(工期不計!2:35,內容!GA$14),FZ8,FZ8-1)</f>
        <v>6</v>
      </c>
      <c r="GB8" s="123">
        <f>IF(COUNTIF(工期不計!2:35,內容!GB$14),GA8,GA8-1)</f>
        <v>5</v>
      </c>
      <c r="GC8" s="123">
        <f>IF(COUNTIF(工期不計!2:35,內容!GC$14),GB8,GB8-1)</f>
        <v>4</v>
      </c>
      <c r="GD8" s="123">
        <f>IF(COUNTIF(工期不計!2:35,內容!GD$14),GC8,GC8-1)</f>
        <v>3</v>
      </c>
      <c r="GE8" s="123">
        <f>IF(COUNTIF(工期不計!2:35,內容!GE$14),GD8,GD8-1)</f>
        <v>2</v>
      </c>
      <c r="GF8" s="123">
        <f>IF(COUNTIF(工期不計!2:35,內容!GF$14),GE8,GE8-1)</f>
        <v>1</v>
      </c>
      <c r="GG8" s="281">
        <f>IF(COUNTIF(工期不計!2:35,內容!GG$14),GF8,GF8-1)</f>
        <v>0</v>
      </c>
      <c r="GH8" s="123">
        <f>IF(COUNTIF(工期不計!2:35,內容!GH$14),GG8,GG8-1)</f>
        <v>-1</v>
      </c>
      <c r="GI8" s="123">
        <f>IF(COUNTIF(工期不計!2:35,內容!GI$14),GH8,GH8-1)</f>
        <v>-2</v>
      </c>
      <c r="GJ8" s="123">
        <f>IF(COUNTIF(工期不計!2:35,內容!GJ$14),GI8,GI8-1)</f>
        <v>-3</v>
      </c>
      <c r="GK8" s="123">
        <f>IF(COUNTIF(工期不計!2:35,內容!GK$14),GJ8,GJ8-1)</f>
        <v>-4</v>
      </c>
      <c r="GL8" s="123">
        <f>IF(COUNTIF(工期不計!2:35,內容!GL$14),GK8,GK8-1)</f>
        <v>-5</v>
      </c>
      <c r="GM8" s="123">
        <f>IF(COUNTIF(工期不計!2:35,內容!GM$14),GL8,GL8-1)</f>
        <v>-6</v>
      </c>
      <c r="GN8" s="123">
        <f>IF(COUNTIF(工期不計!2:35,內容!GN$14),GM8,GM8-1)</f>
        <v>-7</v>
      </c>
      <c r="GO8" s="123">
        <f>IF(COUNTIF(工期不計!2:35,內容!GO$14),GN8,GN8-1)</f>
        <v>-8</v>
      </c>
      <c r="GP8" s="123">
        <f>IF(COUNTIF(工期不計!2:35,內容!GP$14),GO8,GO8-1)</f>
        <v>-9</v>
      </c>
      <c r="GQ8" s="123">
        <f>IF(COUNTIF(工期不計!2:35,內容!GQ$14),GP8,GP8-1)</f>
        <v>-10</v>
      </c>
      <c r="GR8" s="123">
        <f>IF(COUNTIF(工期不計!2:35,內容!GR$14),GQ8,GQ8-1)</f>
        <v>-11</v>
      </c>
      <c r="GS8" s="123">
        <f>IF(COUNTIF(工期不計!2:35,內容!GS$14),GR8,GR8-1)</f>
        <v>-12</v>
      </c>
      <c r="GT8" s="123">
        <f>IF(COUNTIF(工期不計!2:35,內容!GT$14),GS8,GS8-1)</f>
        <v>-13</v>
      </c>
      <c r="GU8" s="123">
        <f>IF(COUNTIF(工期不計!2:35,內容!GU$14),GT8,GT8-1)</f>
        <v>-14</v>
      </c>
      <c r="GV8" s="123">
        <f>IF(COUNTIF(工期不計!2:35,內容!GV$14),GU8,GU8-1)</f>
        <v>-15</v>
      </c>
      <c r="GW8" s="123">
        <f>IF(COUNTIF(工期不計!2:35,內容!GW$14),GV8,GV8-1)</f>
        <v>-16</v>
      </c>
      <c r="GX8" s="123">
        <f>IF(COUNTIF(工期不計!2:35,內容!GX$14),GW8,GW8-1)</f>
        <v>-17</v>
      </c>
      <c r="GY8" s="123">
        <f>IF(COUNTIF(工期不計!2:35,內容!GY$14),GX8,GX8-1)</f>
        <v>-18</v>
      </c>
      <c r="GZ8" s="123">
        <f>IF(COUNTIF(工期不計!2:35,內容!GZ$14),GY8,GY8-1)</f>
        <v>-19</v>
      </c>
      <c r="HA8" s="123">
        <f>IF(COUNTIF(工期不計!2:35,內容!HA$14),GZ8,GZ8-1)</f>
        <v>-20</v>
      </c>
      <c r="HB8" s="123">
        <f>IF(COUNTIF(工期不計!2:35,內容!HB$14),HA8,HA8-1)</f>
        <v>-21</v>
      </c>
      <c r="HC8" s="123">
        <f>IF(COUNTIF(工期不計!2:35,內容!HC$14),HB8,HB8-1)</f>
        <v>-22</v>
      </c>
      <c r="HD8" s="123">
        <f>IF(COUNTIF(工期不計!2:35,內容!HD$14),HC8,HC8-1)</f>
        <v>-23</v>
      </c>
      <c r="HE8" s="123">
        <f>IF(COUNTIF(工期不計!2:35,內容!HE$14),HD8,HD8-1)</f>
        <v>-24</v>
      </c>
      <c r="HF8" s="123">
        <f>IF(COUNTIF(工期不計!2:35,內容!HF$14),HE8,HE8-1)</f>
        <v>-25</v>
      </c>
      <c r="HG8" s="123">
        <f>IF(COUNTIF(工期不計!2:35,內容!HG$14),HF8,HF8-1)</f>
        <v>-26</v>
      </c>
      <c r="HH8" s="123">
        <f t="shared" ref="HH8:HS8" si="11">$D$7-HH7</f>
        <v>-27</v>
      </c>
      <c r="HI8" s="123">
        <f t="shared" si="11"/>
        <v>-28</v>
      </c>
      <c r="HJ8" s="123">
        <f t="shared" si="11"/>
        <v>-29</v>
      </c>
      <c r="HK8" s="123">
        <f t="shared" si="11"/>
        <v>-30</v>
      </c>
      <c r="HL8" s="123">
        <f t="shared" si="11"/>
        <v>-31</v>
      </c>
      <c r="HM8" s="123">
        <f t="shared" si="11"/>
        <v>-32</v>
      </c>
      <c r="HN8" s="123">
        <f t="shared" si="11"/>
        <v>-33</v>
      </c>
      <c r="HO8" s="123">
        <f t="shared" si="11"/>
        <v>-34</v>
      </c>
      <c r="HP8" s="123">
        <f t="shared" si="11"/>
        <v>-35</v>
      </c>
      <c r="HQ8" s="123">
        <f t="shared" si="11"/>
        <v>-36</v>
      </c>
      <c r="HR8" s="123">
        <f t="shared" si="11"/>
        <v>-37</v>
      </c>
      <c r="HS8" s="123">
        <f t="shared" si="11"/>
        <v>-38</v>
      </c>
      <c r="HT8" s="123">
        <f t="shared" ref="HT8:IU8" si="12">$D$7-HT7</f>
        <v>-39</v>
      </c>
      <c r="HU8" s="123">
        <f t="shared" si="12"/>
        <v>-40</v>
      </c>
      <c r="HV8" s="123">
        <f t="shared" si="12"/>
        <v>-41</v>
      </c>
      <c r="HW8" s="123">
        <f t="shared" si="12"/>
        <v>-42</v>
      </c>
      <c r="HX8" s="123">
        <f t="shared" si="12"/>
        <v>-43</v>
      </c>
      <c r="HY8" s="123">
        <f t="shared" si="12"/>
        <v>-44</v>
      </c>
      <c r="HZ8" s="123">
        <f t="shared" si="12"/>
        <v>-45</v>
      </c>
      <c r="IA8" s="123">
        <f t="shared" si="12"/>
        <v>-46</v>
      </c>
      <c r="IB8" s="123">
        <f t="shared" si="12"/>
        <v>-47</v>
      </c>
      <c r="IC8" s="123">
        <f t="shared" si="12"/>
        <v>-48</v>
      </c>
      <c r="ID8" s="123">
        <f t="shared" si="12"/>
        <v>-49</v>
      </c>
      <c r="IE8" s="123">
        <f t="shared" si="12"/>
        <v>-50</v>
      </c>
      <c r="IF8" s="123">
        <f t="shared" si="12"/>
        <v>-51</v>
      </c>
      <c r="IG8" s="123">
        <f t="shared" si="12"/>
        <v>-52</v>
      </c>
      <c r="IH8" s="123">
        <f t="shared" si="12"/>
        <v>-53</v>
      </c>
      <c r="II8" s="123">
        <f t="shared" si="12"/>
        <v>-54</v>
      </c>
      <c r="IJ8" s="123">
        <f t="shared" si="12"/>
        <v>-55</v>
      </c>
      <c r="IK8" s="123">
        <f t="shared" si="12"/>
        <v>-56</v>
      </c>
      <c r="IL8" s="123">
        <f t="shared" si="12"/>
        <v>-57</v>
      </c>
      <c r="IM8" s="123">
        <f t="shared" si="12"/>
        <v>-58</v>
      </c>
      <c r="IN8" s="123">
        <f t="shared" si="12"/>
        <v>-59</v>
      </c>
      <c r="IO8" s="123">
        <f t="shared" si="12"/>
        <v>-60</v>
      </c>
      <c r="IP8" s="123">
        <f t="shared" si="12"/>
        <v>-61</v>
      </c>
      <c r="IQ8" s="123">
        <f t="shared" si="12"/>
        <v>-62</v>
      </c>
      <c r="IR8" s="123">
        <f t="shared" si="12"/>
        <v>-63</v>
      </c>
      <c r="IS8" s="123">
        <f t="shared" si="12"/>
        <v>-63</v>
      </c>
      <c r="IT8" s="123">
        <f t="shared" si="12"/>
        <v>-63</v>
      </c>
      <c r="IU8" s="123">
        <f t="shared" si="12"/>
        <v>-64</v>
      </c>
    </row>
    <row r="9" spans="3:256">
      <c r="C9" s="134" t="s">
        <v>12</v>
      </c>
      <c r="D9" s="135" t="s">
        <v>165</v>
      </c>
      <c r="F9" s="123" t="s">
        <v>145</v>
      </c>
      <c r="I9" s="136">
        <f>ROUND(LOOKUP(I$6,J$6:IV$6,本日完成),2)</f>
        <v>0</v>
      </c>
      <c r="J9" s="137">
        <f>ROUND(SUMPRODUCT($F$20:$F56,J20:J56)/$D$16*100*$D$10,2)</f>
        <v>2.42</v>
      </c>
      <c r="K9" s="137">
        <f>ROUND(SUMPRODUCT($F$20:$F56,K20:K56)/$D$16*100*$D$10,2)</f>
        <v>1.97</v>
      </c>
      <c r="L9" s="137">
        <f>ROUND(SUMPRODUCT($F$20:$F56,L20:L56)/$D$16*100*$D$10,2)</f>
        <v>1.97</v>
      </c>
      <c r="M9" s="137">
        <f>ROUND(SUMPRODUCT($F$20:$F56,M20:M56)/$D$16*100*$D$10,2)</f>
        <v>0</v>
      </c>
      <c r="N9" s="137">
        <f>ROUND(SUMPRODUCT($F$20:$F56,N20:N56)/$D$16*100*$D$10,2)</f>
        <v>0</v>
      </c>
      <c r="O9" s="137">
        <f>ROUND(SUMPRODUCT($F$20:$F56,O20:O56)/$D$16*100*$D$10,2)</f>
        <v>1.97</v>
      </c>
      <c r="P9" s="137">
        <f>ROUND(SUMPRODUCT($F$20:$F56,P20:P56)/$D$16*100*$D$10,2)</f>
        <v>1.97</v>
      </c>
      <c r="Q9" s="137">
        <f>ROUND(SUMPRODUCT($F$20:$F56,Q20:Q56)/$D$16*100*$D$10,2)</f>
        <v>0</v>
      </c>
      <c r="R9" s="137">
        <f>ROUND(SUMPRODUCT($F$20:$F56,R20:R56)/$D$16*100*$D$10,2)</f>
        <v>0</v>
      </c>
      <c r="S9" s="137">
        <f>ROUND(SUMPRODUCT($F$20:$F56,S20:S56)/$D$16*100*$D$10,2)</f>
        <v>0</v>
      </c>
      <c r="T9" s="137">
        <f>ROUND(SUMPRODUCT($F$20:$F56,T20:T56)/$D$16*100*$D$10,2)</f>
        <v>0</v>
      </c>
      <c r="U9" s="137">
        <f>ROUND(SUMPRODUCT($F$20:$F56,U20:U56)/$D$16*100*$D$10,2)</f>
        <v>0</v>
      </c>
      <c r="V9" s="137">
        <f>ROUND(SUMPRODUCT($F$20:$F56,V20:V56)/$D$16*100*$D$10,2)</f>
        <v>0</v>
      </c>
      <c r="W9" s="137">
        <f>ROUND(SUMPRODUCT($F$20:$F56,W20:W56)/$D$16*100*$D$10,2)</f>
        <v>0</v>
      </c>
      <c r="X9" s="137">
        <f>ROUND(SUMPRODUCT($F$20:$F56,X20:X56)/$D$16*100*$D$10,2)</f>
        <v>0</v>
      </c>
      <c r="Y9" s="137">
        <f>ROUND(SUMPRODUCT($F$20:$F56,Y20:Y56)/$D$16*100*$D$10,2)</f>
        <v>0</v>
      </c>
      <c r="Z9" s="137">
        <f>ROUND(SUMPRODUCT($F$20:$F56,Z20:Z56)/$D$16*100*$D$10,2)</f>
        <v>0</v>
      </c>
      <c r="AA9" s="137">
        <f>ROUND(SUMPRODUCT($F$20:$F56,AA20:AA56)/$D$16*100*$D$10,2)</f>
        <v>0</v>
      </c>
      <c r="AB9" s="137">
        <f>ROUND(SUMPRODUCT($F$20:$F56,AB20:AB56)/$D$16*100*$D$10,2)</f>
        <v>0</v>
      </c>
      <c r="AC9" s="137">
        <f>ROUND(SUMPRODUCT($F$20:$F56,AC20:AC56)/$D$16*100*$D$10,2)</f>
        <v>0</v>
      </c>
      <c r="AD9" s="137">
        <f>ROUND(SUMPRODUCT($F$20:$F56,AD20:AD56)/$D$16*100*$D$10,2)</f>
        <v>0.02</v>
      </c>
      <c r="AE9" s="137">
        <f>ROUND(SUMPRODUCT($F$20:$F56,AE20:AE56)/$D$16*100*$D$10,2)</f>
        <v>0.02</v>
      </c>
      <c r="AF9" s="137">
        <f>ROUND(SUMPRODUCT($F$20:$F56,AF20:AF56)/$D$16*100*$D$10,2)</f>
        <v>0.09</v>
      </c>
      <c r="AG9" s="137">
        <f>ROUND(SUMPRODUCT($F$20:$F56,AG20:AG56)/$D$16*100*$D$10,2)</f>
        <v>0.09</v>
      </c>
      <c r="AH9" s="137">
        <f>ROUND(SUMPRODUCT($F$20:$F56,AH20:AH56)/$D$16*100*$D$10,2)</f>
        <v>0</v>
      </c>
      <c r="AI9" s="137">
        <f>ROUND(SUMPRODUCT($F$20:$F56,AI20:AI56)/$D$16*100*$D$10,2)</f>
        <v>0</v>
      </c>
      <c r="AJ9" s="137">
        <f>ROUND(SUMPRODUCT($F$20:$F56,AJ20:AJ56)/$D$16*100*$D$10,2)</f>
        <v>7.0000000000000007E-2</v>
      </c>
      <c r="AK9" s="137">
        <f>ROUND(SUMPRODUCT($F$20:$F56,AK20:AK56)/$D$16*100*$D$10,2)</f>
        <v>0</v>
      </c>
      <c r="AL9" s="137">
        <f>ROUND(SUMPRODUCT($F$20:$F56,AL20:AL56)/$D$16*100*$D$10,2)</f>
        <v>0</v>
      </c>
      <c r="AM9" s="137">
        <f>ROUND(SUMPRODUCT($F$20:$F56,AM20:AM56)/$D$16*100*$D$10,2)</f>
        <v>0.39</v>
      </c>
      <c r="AN9" s="137">
        <f>ROUND(SUMPRODUCT($F$20:$F56,AN20:AN56)/$D$16*100*$D$10,2)</f>
        <v>0.32</v>
      </c>
      <c r="AO9" s="137">
        <f>ROUND(SUMPRODUCT($F$20:$F56,AO20:AO56)/$D$16*100*$D$10,2)</f>
        <v>0</v>
      </c>
      <c r="AP9" s="137">
        <f>ROUND(SUMPRODUCT($F$20:$F56,AP20:AP56)/$D$16*100*$D$10,2)</f>
        <v>0</v>
      </c>
      <c r="AQ9" s="137">
        <f>ROUND(SUMPRODUCT($F$20:$F56,AQ20:AQ56)/$D$16*100*$D$10,2)</f>
        <v>1.67</v>
      </c>
      <c r="AR9" s="137">
        <f>ROUND(SUMPRODUCT($F$20:$F56,AR20:AR56)/$D$16*100*$D$10,2)</f>
        <v>0</v>
      </c>
      <c r="AS9" s="137">
        <f>ROUND(SUMPRODUCT($F$20:$F56,AS20:AS56)/$D$16*100*$D$10,2)</f>
        <v>0</v>
      </c>
      <c r="AT9" s="137">
        <f>ROUND(SUMPRODUCT($F$20:$F56,AT20:AT56)/$D$16*100*$D$10,2)</f>
        <v>0</v>
      </c>
      <c r="AU9" s="137">
        <f>ROUND(SUMPRODUCT($F$20:$F56,AU20:AU56)/$D$16*100*$D$10,2)</f>
        <v>0</v>
      </c>
      <c r="AV9" s="137">
        <f>ROUND(SUMPRODUCT($F$20:$F56,AV20:AV56)/$D$16*100*$D$10,2)</f>
        <v>0</v>
      </c>
      <c r="AW9" s="137">
        <f>ROUND(SUMPRODUCT($F$20:$F56,AW20:AW56)/$D$16*100*$D$10,2)</f>
        <v>0</v>
      </c>
      <c r="AX9" s="137">
        <f>ROUND(SUMPRODUCT($F$20:$F56,AX20:AX56)/$D$16*100*$D$10,2)</f>
        <v>0</v>
      </c>
      <c r="AY9" s="137">
        <f>ROUND(SUMPRODUCT($F$20:$F56,AY20:AY56)/$D$16*100*$D$10+0.01,2)</f>
        <v>0.01</v>
      </c>
      <c r="AZ9" s="137">
        <f>ROUND(SUMPRODUCT($F$20:$F56,AZ20:AZ56)/$D$16*100*$D$10,2)</f>
        <v>0</v>
      </c>
      <c r="BA9" s="137">
        <f>ROUND(SUMPRODUCT($F$20:$F56,BA20:BA56)/$D$16*100*$D$10,2)</f>
        <v>0</v>
      </c>
      <c r="BB9" s="137">
        <f>ROUND(SUMPRODUCT($F$20:$F56,BB20:BB56)/$D$16*100*$D$10,2)</f>
        <v>0</v>
      </c>
      <c r="BC9" s="137">
        <f>ROUND(SUMPRODUCT($F$20:$F56,BC20:BC56)/$D$16*100*$D$10,2)</f>
        <v>0</v>
      </c>
      <c r="BD9" s="137">
        <f>ROUND(SUMPRODUCT($F$20:$F56,BD20:BD56)/$D$16*100*$D$10,2)</f>
        <v>0</v>
      </c>
      <c r="BE9" s="137">
        <f>ROUND(SUMPRODUCT($F$20:$F56,BE20:BE56)/$D$16*100*$D$10,2)</f>
        <v>0</v>
      </c>
      <c r="BF9" s="137">
        <f>ROUND(SUMPRODUCT($F$20:$F56,BF20:BF56)/$D$16*100*$D$10,2)</f>
        <v>0</v>
      </c>
      <c r="BG9" s="137">
        <f>ROUND(SUMPRODUCT($F$20:$F56,BG20:BG56)/$D$16*100*$D$10,2)</f>
        <v>0</v>
      </c>
      <c r="BH9" s="137">
        <f>ROUND(SUMPRODUCT($F$20:$F56,BH20:BH56)/$D$16*100*$D$10,2)</f>
        <v>0</v>
      </c>
      <c r="BI9" s="137">
        <f>ROUND(SUMPRODUCT($F$20:$F56,BI20:BI56)/$D$16*100*$D$10,2)</f>
        <v>0</v>
      </c>
      <c r="BJ9" s="137">
        <f>ROUND(SUMPRODUCT($F$20:$F56,BJ20:BJ56)/$D$16*100*$D$10,2)</f>
        <v>0</v>
      </c>
      <c r="BK9" s="137">
        <f>ROUND(SUMPRODUCT($F$20:$F56,BK20:BK56)/$D$16*100*$D$10,2)</f>
        <v>0</v>
      </c>
      <c r="BL9" s="137">
        <f>ROUND(SUMPRODUCT($F$20:$F56,BL20:BL56)/$D$16*100*$D$10,2)</f>
        <v>0</v>
      </c>
      <c r="BM9" s="137">
        <f>ROUND(SUMPRODUCT($F$20:$F56,BM20:BM56)/$D$16*100*$D$10,2)</f>
        <v>0</v>
      </c>
      <c r="BN9" s="137">
        <f>ROUND(SUMPRODUCT($F$20:$F56,BN20:BN56)/$D$16*100*$D$10,2)</f>
        <v>0</v>
      </c>
      <c r="BO9" s="137">
        <f>ROUND(SUMPRODUCT($F$20:$F56,BO20:BO56)/$D$16*100*$D$10,2)</f>
        <v>0</v>
      </c>
      <c r="BP9" s="137">
        <f>ROUND(SUMPRODUCT($F$20:$F56,BP20:BP56)/$D$16*100*$D$10,2)</f>
        <v>0</v>
      </c>
      <c r="BQ9" s="137">
        <f>ROUND(SUMPRODUCT($F$20:$F56,BQ20:BQ56)/$D$16*100*$D$10,2)</f>
        <v>0</v>
      </c>
      <c r="BR9" s="137">
        <f>ROUND(SUMPRODUCT($F$20:$F56,BR20:BR56)/$D$16*100*$D$10,2)</f>
        <v>0</v>
      </c>
      <c r="BS9" s="137">
        <f>ROUND(SUMPRODUCT($F$20:$F56,BS20:BS56)/$D$16*100*$D$10,2)</f>
        <v>0</v>
      </c>
      <c r="BT9" s="137">
        <f>ROUND(SUMPRODUCT($F$20:$F56,BT20:BT56)/$D$16*100*$D$10,2)</f>
        <v>0</v>
      </c>
      <c r="BU9" s="137">
        <f>ROUND(SUMPRODUCT($F$20:$F56,BU20:BU56)/$D$16*100*$D$10,2)</f>
        <v>0</v>
      </c>
      <c r="BV9" s="137">
        <f>ROUND(SUMPRODUCT($F$20:$F56,BV20:BV56)/$D$16*100*$D$10,2)</f>
        <v>0</v>
      </c>
      <c r="BW9" s="137">
        <f>ROUND(SUMPRODUCT($F$20:$F56,BW20:BW56)/$D$16*100*$D$10,2)</f>
        <v>0</v>
      </c>
      <c r="BX9" s="137">
        <f>ROUND(SUMPRODUCT($F$20:$F56,BX20:BX56)/$D$16*100*$D$10,2)</f>
        <v>0</v>
      </c>
      <c r="BY9" s="137">
        <f>ROUND(SUMPRODUCT($F$20:$F56,BY20:BY56)/$D$16*100*$D$10,2)</f>
        <v>0</v>
      </c>
      <c r="BZ9" s="137">
        <f>ROUND(SUMPRODUCT($F$20:$F56,BZ20:BZ56)/$D$16*100*$D$10,2)</f>
        <v>0</v>
      </c>
      <c r="CA9" s="137">
        <f>ROUND(SUMPRODUCT($F$20:$F56,CA20:CA56)/$D$16*100*$D$10,2)</f>
        <v>0</v>
      </c>
      <c r="CB9" s="137">
        <f>ROUND(SUMPRODUCT($F$20:$F56,CB20:CB56)/$D$16*100*$D$10,2)</f>
        <v>0</v>
      </c>
      <c r="CC9" s="137">
        <f>ROUND(SUMPRODUCT($F$20:$F56,CC20:CC56)/$D$16*100*$D$10,2)</f>
        <v>0</v>
      </c>
      <c r="CD9" s="137">
        <f>ROUND(SUMPRODUCT($F$20:$F56,CD20:CD56)/$D$16*100*$D$10,2)</f>
        <v>0</v>
      </c>
      <c r="CE9" s="137">
        <f>ROUND(SUMPRODUCT($F$20:$F56,CE20:CE56)/$D$16*100*$D$10,2)</f>
        <v>0</v>
      </c>
      <c r="CF9" s="137">
        <f>ROUND(SUMPRODUCT($F$20:$F56,CF20:CF56)/$D$16*100*$D$10,2)</f>
        <v>0</v>
      </c>
      <c r="CG9" s="137">
        <f>ROUND(SUMPRODUCT($F$20:$F56,CG20:CG56)/$D$16*100*$D$10,2)</f>
        <v>0</v>
      </c>
      <c r="CH9" s="137">
        <f>ROUND(SUMPRODUCT($F$20:$F56,CH20:CH56)/$D$16*100*$D$10,2)</f>
        <v>0</v>
      </c>
      <c r="CI9" s="137">
        <f>ROUND(SUMPRODUCT($F$20:$F56,CI20:CI56)/$D$16*100*$D$10,2)</f>
        <v>0</v>
      </c>
      <c r="CJ9" s="137">
        <f>ROUND(SUMPRODUCT($F$20:$F56,CJ20:CJ56)/$D$16*100*$D$10,2)</f>
        <v>0</v>
      </c>
      <c r="CK9" s="137">
        <f>ROUND(SUMPRODUCT($F$20:$F56,CK20:CK56)/$D$16*100*$D$10,2)</f>
        <v>0</v>
      </c>
      <c r="CL9" s="137">
        <f>ROUND(SUMPRODUCT($F$20:$F56,CL20:CL56)/$D$16*100*$D$10,2)</f>
        <v>0</v>
      </c>
      <c r="CM9" s="137">
        <f>ROUND(SUMPRODUCT($F$20:$F56,CM20:CM56)/$D$16*100*$D$10,2)</f>
        <v>0</v>
      </c>
      <c r="CN9" s="137">
        <f>ROUND(SUMPRODUCT($F$20:$F56,CN20:CN56)/$D$16*100*$D$10,2)</f>
        <v>0</v>
      </c>
      <c r="CO9" s="137">
        <f>ROUND(SUMPRODUCT($F$20:$F56,CO20:CO56)/$D$16*100*$D$10,2)</f>
        <v>0</v>
      </c>
      <c r="CP9" s="137">
        <f>ROUND(SUMPRODUCT($F$20:$F56,CP20:CP56)/$D$16*100*$D$10,2)</f>
        <v>0</v>
      </c>
      <c r="CQ9" s="137">
        <f>ROUND(SUMPRODUCT($F$20:$F56,CQ20:CQ56)/$D$16*100*$D$10,2)</f>
        <v>0</v>
      </c>
      <c r="CR9" s="137">
        <f>ROUND(SUMPRODUCT($F$20:$F56,CR20:CR56)/$D$16*100*$D$10,2)</f>
        <v>0</v>
      </c>
      <c r="CS9" s="137">
        <f>ROUND(SUMPRODUCT($F$20:$F56,CS20:CS56)/$D$16*100*$D$10,2)</f>
        <v>0</v>
      </c>
      <c r="CT9" s="137">
        <f>ROUND(SUMPRODUCT($F$20:$F56,CT20:CT56)/$D$16*100*$D$10,2)</f>
        <v>0</v>
      </c>
      <c r="CU9" s="137">
        <f>ROUND(SUMPRODUCT($F$20:$F56,CU20:CU56)/$D$16*100*$D$10,2)</f>
        <v>0</v>
      </c>
      <c r="CV9" s="137">
        <f>ROUND(SUMPRODUCT($F$20:$F56,CV20:CV56)/$D$16*100*$D$10,2)</f>
        <v>0</v>
      </c>
      <c r="CW9" s="137">
        <f>ROUND(SUMPRODUCT($F$20:$F56,CW20:CW56)/$D$16*100*$D$10,2)</f>
        <v>0</v>
      </c>
      <c r="CX9" s="137">
        <f>ROUND(SUMPRODUCT($F$20:$F56,CX20:CX56)/$D$16*100*$D$10,2)</f>
        <v>0</v>
      </c>
      <c r="CY9" s="137">
        <f>ROUND(SUMPRODUCT($F$20:$F56,CY20:CY56)/$D$16*100*$D$10,2)</f>
        <v>0</v>
      </c>
      <c r="CZ9" s="137">
        <f>ROUND(SUMPRODUCT($F$20:$F56,CZ20:CZ56)/$D$16*100*$D$10,2)</f>
        <v>0</v>
      </c>
      <c r="DA9" s="137">
        <f>ROUND(SUMPRODUCT($F$20:$F56,DA20:DA56)/$D$16*100*$D$10,2)</f>
        <v>0</v>
      </c>
      <c r="DB9" s="137">
        <f>ROUND(SUMPRODUCT($F$20:$F56,DB20:DB56)/$D$16*100*$D$10,2)</f>
        <v>0</v>
      </c>
      <c r="DC9" s="137">
        <f>ROUND(SUMPRODUCT($F$20:$F56,DC20:DC56)/$D$16*100*$D$10,2)</f>
        <v>0</v>
      </c>
      <c r="DD9" s="137">
        <f>ROUND(SUMPRODUCT($F$20:$F56,DD20:DD56)/$D$16*100*$D$10,2)</f>
        <v>0</v>
      </c>
      <c r="DE9" s="137">
        <f>ROUND(SUMPRODUCT($F$20:$F56,DE20:DE56)/$D$16*100*$D$10,2)</f>
        <v>0</v>
      </c>
      <c r="DF9" s="137">
        <f>ROUND(SUMPRODUCT($F$20:$F56,DF20:DF56)/$D$16*100*$D$10,2)</f>
        <v>0</v>
      </c>
      <c r="DG9" s="137">
        <f>ROUND(SUMPRODUCT($F$20:$F56,DG20:DG56)/$D$16*100*$D$10,2)</f>
        <v>0</v>
      </c>
      <c r="DH9" s="137">
        <f>ROUND(SUMPRODUCT($F$20:$F56,DH20:DH56)/$D$16*100*$D$10,2)</f>
        <v>0</v>
      </c>
      <c r="DI9" s="137">
        <f>ROUND(SUMPRODUCT($F$20:$F56,DI20:DI56)/$D$16*100*$D$10,2)</f>
        <v>0</v>
      </c>
      <c r="DJ9" s="137">
        <f>ROUND(SUMPRODUCT($F$20:$F56,DJ20:DJ56)/$D$16*100*$D$10,2)</f>
        <v>0</v>
      </c>
      <c r="DK9" s="137">
        <f>ROUND(SUMPRODUCT($F$20:$F56,DK20:DK56)/$D$16*100*$D$10,2)</f>
        <v>0</v>
      </c>
      <c r="DL9" s="137">
        <f>ROUND(SUMPRODUCT($F$20:$F56,DL20:DL56)/$D$16*100*$D$10,2)</f>
        <v>0</v>
      </c>
      <c r="DM9" s="137">
        <f>ROUND(SUMPRODUCT($F$20:$F56,DM20:DM56)/$D$16*100*$D$10,2)</f>
        <v>0</v>
      </c>
      <c r="DN9" s="137">
        <f>ROUND(SUMPRODUCT($F$20:$F56,DN20:DN56)/$D$16*100*$D$10,2)</f>
        <v>0</v>
      </c>
      <c r="DO9" s="137">
        <f>ROUND(SUMPRODUCT($F$20:$F56,DO20:DO56)/$D$16*100*$D$10,2)</f>
        <v>0</v>
      </c>
      <c r="DP9" s="137">
        <f>ROUND(SUMPRODUCT($F$20:$F56,DP20:DP56)/$D$16*100*$D$10,2)</f>
        <v>0</v>
      </c>
      <c r="DQ9" s="137">
        <f>ROUND(SUMPRODUCT($F$20:$F56,DQ20:DQ56)/$D$16*100*$D$10,2)</f>
        <v>0</v>
      </c>
      <c r="DR9" s="137">
        <f>ROUND(SUMPRODUCT($F$20:$F56,DR20:DR56)/$D$16*100*$D$10,2)</f>
        <v>0</v>
      </c>
      <c r="DS9" s="137">
        <f>ROUND(SUMPRODUCT($F$20:$F56,DS20:DS56)/$D$16*100*$D$10,2)</f>
        <v>0</v>
      </c>
      <c r="DT9" s="137">
        <f>ROUND(SUMPRODUCT($F$20:$F56,DT20:DT56)/$D$16*100*$D$10,2)</f>
        <v>0</v>
      </c>
      <c r="DU9" s="137">
        <f>ROUND(SUMPRODUCT($F$20:$F56,DU20:DU56)/$D$16*100*$D$10,2)</f>
        <v>0</v>
      </c>
      <c r="DV9" s="137">
        <f>ROUND(SUMPRODUCT($F$20:$F56,DV20:DV56)/$D$16*100*$D$10,2)</f>
        <v>0</v>
      </c>
      <c r="DW9" s="137">
        <f>ROUND(SUMPRODUCT($F$20:$F56,DW20:DW56)/$D$16*100*$D$10,2)</f>
        <v>0</v>
      </c>
      <c r="DX9" s="137">
        <f>ROUND(SUMPRODUCT($F$20:$F56,DX20:DX56)/$D$16*100*$D$10,2)</f>
        <v>0</v>
      </c>
      <c r="DY9" s="137">
        <f>ROUND(SUMPRODUCT($F$20:$F56,DY20:DY56)/$D$16*100*$D$10,2)</f>
        <v>0</v>
      </c>
      <c r="DZ9" s="137">
        <f>ROUND(SUMPRODUCT($F$20:$F56,DZ20:DZ56)/$D$16*100*$D$10,2)</f>
        <v>0</v>
      </c>
      <c r="EA9" s="137">
        <f>ROUND(SUMPRODUCT($F$20:$F56,EA20:EA56)/$D$16*100*$D$10,2)</f>
        <v>0</v>
      </c>
      <c r="EB9" s="137">
        <f>ROUND(SUMPRODUCT($F$20:$F56,EB20:EB56)/$D$16*100*$D$10,2)</f>
        <v>0</v>
      </c>
      <c r="EC9" s="137">
        <f>ROUND(SUMPRODUCT($F$20:$F56,EC20:EC56)/$D$16*100*$D$10,2)</f>
        <v>0</v>
      </c>
      <c r="ED9" s="137">
        <f>ROUND(SUMPRODUCT($F$20:$F56,ED20:ED56)/$D$16*100*$D$10,2)</f>
        <v>0</v>
      </c>
      <c r="EE9" s="137">
        <f>ROUND(SUMPRODUCT($F$20:$F56,EE20:EE56)/$D$16*100*$D$10,2)</f>
        <v>0</v>
      </c>
      <c r="EF9" s="137">
        <f>ROUND(SUMPRODUCT($F$20:$F56,EF20:EF56)/$D$16*100*$D$10,2)</f>
        <v>0</v>
      </c>
      <c r="EG9" s="137">
        <f>ROUND(SUMPRODUCT($F$20:$F56,EG20:EG56)/$D$16*100*$D$10,2)</f>
        <v>0</v>
      </c>
      <c r="EH9" s="137">
        <f>ROUND(SUMPRODUCT($F$20:$F56,EH20:EH56)/$D$16*100*$D$10,2)</f>
        <v>0</v>
      </c>
      <c r="EI9" s="137">
        <f>ROUND(SUMPRODUCT($F$20:$F56,EI20:EI56)/$D$16*100*$D$10,2)</f>
        <v>0</v>
      </c>
      <c r="EJ9" s="137">
        <f>ROUND(SUMPRODUCT($F$20:$F56,EJ20:EJ56)/$D$16*100*$D$10,2)</f>
        <v>0</v>
      </c>
      <c r="EK9" s="137">
        <f>ROUND(SUMPRODUCT($F$20:$F56,EK20:EK56)/$D$16*100*$D$10,2)</f>
        <v>0</v>
      </c>
      <c r="EL9" s="137">
        <f>ROUND(SUMPRODUCT($F$20:$F56,EL20:EL56)/$D$16*100*$D$10,2)</f>
        <v>0</v>
      </c>
      <c r="EM9" s="137">
        <f>ROUND(SUMPRODUCT($F$20:$F56,EM20:EM56)/$D$16*100*$D$10,2)</f>
        <v>0</v>
      </c>
      <c r="EN9" s="137">
        <f>ROUND(SUMPRODUCT($F$20:$F56,EN20:EN56)/$D$16*100*$D$10,2)</f>
        <v>0</v>
      </c>
      <c r="EO9" s="137">
        <f>ROUND(SUMPRODUCT($F$20:$F56,EO20:EO56)/$D$16*100*$D$10,2)</f>
        <v>0</v>
      </c>
      <c r="EP9" s="137">
        <f>ROUND(SUMPRODUCT($F$20:$F56,EP20:EP56)/$D$16*100*$D$10,2)</f>
        <v>0</v>
      </c>
      <c r="EQ9" s="137">
        <f>ROUND(SUMPRODUCT($F$20:$F56,EQ20:EQ56)/$D$16*100*$D$10,2)</f>
        <v>0</v>
      </c>
      <c r="ER9" s="137">
        <f>ROUND(SUMPRODUCT($F$20:$F56,ER20:ER56)/$D$16*100*$D$10,2)</f>
        <v>0</v>
      </c>
      <c r="ES9" s="137">
        <f>ROUND(SUMPRODUCT($F$20:$F56,ES20:ES56)/$D$16*100*$D$10,2)</f>
        <v>0</v>
      </c>
      <c r="ET9" s="137">
        <f>ROUND(SUMPRODUCT($F$20:$F56,ET20:ET56)/$D$16*100*$D$10,2)</f>
        <v>0</v>
      </c>
      <c r="EU9" s="137">
        <f>ROUND(SUMPRODUCT($F$20:$F56,EU20:EU56)/$D$16*100*$D$10,2)</f>
        <v>0</v>
      </c>
      <c r="EV9" s="137">
        <f>ROUND(SUMPRODUCT($F$20:$F56,EV20:EV56)/$D$16*100*$D$10,2)</f>
        <v>0</v>
      </c>
      <c r="EW9" s="137">
        <f>ROUND(SUMPRODUCT($F$20:$F56,EW20:EW56)/$D$16*100*$D$10,2)</f>
        <v>0</v>
      </c>
      <c r="EX9" s="137">
        <f>ROUND(SUMPRODUCT($F$20:$F56,EX20:EX56)/$D$16*100*$D$10,2)</f>
        <v>0</v>
      </c>
      <c r="EY9" s="137">
        <f>ROUND(SUMPRODUCT($F$20:$F56,EY20:EY56)/$D$16*100*$D$10,2)</f>
        <v>0</v>
      </c>
      <c r="EZ9" s="137">
        <f>ROUND(SUMPRODUCT($F$20:$F56,EZ20:EZ56)/$D$16*100*$D$10,2)</f>
        <v>0</v>
      </c>
      <c r="FA9" s="137">
        <f>ROUND(SUMPRODUCT($F$20:$F56,FA20:FA56)/$D$16*100*$D$10,2)</f>
        <v>0</v>
      </c>
      <c r="FB9" s="137">
        <f>ROUND(SUMPRODUCT($F$20:$F56,FB20:FB56)/$D$16*100*$D$10,2)</f>
        <v>0</v>
      </c>
      <c r="FC9" s="137">
        <f>ROUND(SUMPRODUCT($F$20:$F56,FC20:FC56)/$D$16*100*$D$10,2)</f>
        <v>0</v>
      </c>
      <c r="FD9" s="137">
        <f>ROUND(SUMPRODUCT($F$20:$F56,FD20:FD56)/$D$16*100*$D$10,2)</f>
        <v>0</v>
      </c>
      <c r="FE9" s="137">
        <f>ROUND(SUMPRODUCT($F$20:$F56,FE20:FE56)/$D$16*100*$D$10,2)</f>
        <v>0</v>
      </c>
      <c r="FF9" s="137">
        <f>ROUND(SUMPRODUCT($F$20:$F56,FF20:FF56)/$D$16*100*$D$10,2)</f>
        <v>0</v>
      </c>
      <c r="FG9" s="137">
        <f>ROUND(SUMPRODUCT($F$20:$F56,FG20:FG56)/$D$16*100*$D$10,2)</f>
        <v>0</v>
      </c>
      <c r="FH9" s="137">
        <f>ROUND(SUMPRODUCT($F$20:$F56,FH20:FH56)/$D$16*100*$D$10,2)</f>
        <v>0</v>
      </c>
      <c r="FI9" s="137">
        <f>ROUND(SUMPRODUCT($F$20:$F56,FI20:FI56)/$D$16*100*$D$10,2)</f>
        <v>0</v>
      </c>
      <c r="FJ9" s="137">
        <f>ROUND(SUMPRODUCT($F$20:$F56,FJ20:FJ56)/$D$16*100*$D$10,2)</f>
        <v>0</v>
      </c>
      <c r="FK9" s="137">
        <f>ROUND(SUMPRODUCT($F$20:$F56,FK20:FK56)/$D$16*100*$D$10,2)</f>
        <v>0</v>
      </c>
      <c r="FL9" s="137">
        <f>ROUND(SUMPRODUCT($F$20:$F56,FL20:FL56)/$D$16*100*$D$10,2)</f>
        <v>0</v>
      </c>
      <c r="FM9" s="137">
        <f>ROUND(SUMPRODUCT($F$20:$F56,FM20:FM56)/$D$16*100*$D$10,2)</f>
        <v>0</v>
      </c>
      <c r="FN9" s="137">
        <f>ROUND(SUMPRODUCT($F$20:$F56,FN20:FN56)/$D$16*100*$D$10,2)</f>
        <v>0</v>
      </c>
      <c r="FO9" s="137">
        <f>ROUND(SUMPRODUCT($F$20:$F56,FO20:FO56)/$D$16*100*$D$10,2)</f>
        <v>0</v>
      </c>
      <c r="FP9" s="137">
        <f>ROUND(SUMPRODUCT($F$20:$F56,FP20:FP56)/$D$16*100*$D$10,2)</f>
        <v>0</v>
      </c>
      <c r="FQ9" s="137">
        <f>ROUND(SUMPRODUCT($F$20:$F56,FQ20:FQ56)/$D$16*100*$D$10,2)</f>
        <v>0</v>
      </c>
      <c r="FR9" s="137">
        <f>ROUND(SUMPRODUCT($F$20:$F56,FR20:FR56)/$D$16*100*$D$10,2)</f>
        <v>0</v>
      </c>
      <c r="FS9" s="137">
        <f>ROUND(SUMPRODUCT($F$20:$F56,FS20:FS56)/$D$16*100*$D$10,2)</f>
        <v>0</v>
      </c>
      <c r="FT9" s="137">
        <f>ROUND(SUMPRODUCT($F$20:$F56,FT20:FT56)/$D$16*100*$D$10,2)-0.14</f>
        <v>-0.14000000000000001</v>
      </c>
      <c r="FU9" s="137">
        <f>ROUND(SUMPRODUCT($F$20:$F56,FU20:FU56)/$D$16*100*$D$10,2)</f>
        <v>0</v>
      </c>
      <c r="FV9" s="137">
        <f>ROUND(SUMPRODUCT($F$20:$F56,FV20:FV56)/$D$16*100*$D$10,2)</f>
        <v>0</v>
      </c>
      <c r="FW9" s="137">
        <f>ROUND(SUMPRODUCT($F$20:$F56,FW20:FW56)/$D$16*100*$D$10,2)</f>
        <v>0</v>
      </c>
      <c r="FX9" s="137">
        <f>ROUND(SUMPRODUCT($F$20:$F56,FX20:FX56)/$D$16*100*$D$10,2)</f>
        <v>0</v>
      </c>
      <c r="FY9" s="137">
        <f>ROUND(SUMPRODUCT($F$20:$F56,FY20:FY56)/$D$16*100*$D$10,2)</f>
        <v>0</v>
      </c>
      <c r="FZ9" s="137">
        <f>ROUND(SUMPRODUCT($F$20:$F56,FZ20:FZ56)/$D$16*100*$D$10,2)</f>
        <v>0</v>
      </c>
      <c r="GA9" s="137">
        <f>ROUND(SUMPRODUCT($F$20:$F56,GA20:GA56)/$D$16*100*$D$10,2)</f>
        <v>0</v>
      </c>
      <c r="GB9" s="137">
        <f>ROUND(SUMPRODUCT($F$20:$F56,GB20:GB56)/$D$16*100*$D$10,2)</f>
        <v>0</v>
      </c>
      <c r="GC9" s="137">
        <f>ROUND(SUMPRODUCT($F$20:$F56,GC20:GC56)/$D$16*100*$D$10,2)</f>
        <v>0</v>
      </c>
      <c r="GD9" s="137">
        <f>ROUND(SUMPRODUCT($F$20:$F56,GD20:GD56)/$D$16*100*$D$10,2)</f>
        <v>0</v>
      </c>
      <c r="GE9" s="137">
        <f>ROUND(SUMPRODUCT($F$20:$F56,GE20:GE56)/$D$16*100*$D$10,2)</f>
        <v>0</v>
      </c>
      <c r="GF9" s="137">
        <f>ROUND(SUMPRODUCT($F$20:$F56,GF20:GF56)/$D$16*100*$D$10,2)</f>
        <v>0</v>
      </c>
      <c r="GG9" s="282">
        <f>ROUND(SUMPRODUCT($F$20:$F56,GG20:GG56)/$D$16*100*$D$10,2)</f>
        <v>0</v>
      </c>
      <c r="GH9" s="137">
        <f>ROUND(SUMPRODUCT($F$20:$F56,GH20:GH56)/$D$16*100*$D$10,2)</f>
        <v>0</v>
      </c>
      <c r="GI9" s="137">
        <f>ROUND(SUMPRODUCT($F$20:$F56,GI20:GI56)/$D$16*100*$D$10,2)</f>
        <v>0</v>
      </c>
      <c r="GJ9" s="137">
        <f>ROUND(SUMPRODUCT($F$20:$F56,GJ20:GJ56)/$D$16*100*$D$10,2)</f>
        <v>0</v>
      </c>
      <c r="GK9" s="137">
        <f>ROUND(SUMPRODUCT($F$20:$F56,GK20:GK56)/$D$16*100*$D$10,2)</f>
        <v>0</v>
      </c>
      <c r="GL9" s="137">
        <f>ROUND(SUMPRODUCT($F$20:$F56,GL20:GL56)/$D$16*100*$D$10,2)</f>
        <v>0</v>
      </c>
      <c r="GM9" s="137">
        <f>ROUND(SUMPRODUCT($F$20:$F56,GM20:GM56)/$D$16*100*$D$10,2)</f>
        <v>0</v>
      </c>
      <c r="GN9" s="137">
        <f>ROUND(SUMPRODUCT($F$20:$F56,GN20:GN56)/$D$16*100*$D$10,2)</f>
        <v>0</v>
      </c>
      <c r="GO9" s="137">
        <f>ROUND(SUMPRODUCT($F$20:$F56,GO20:GO56)/$D$16*100*$D$10,2)</f>
        <v>0</v>
      </c>
      <c r="GP9" s="137">
        <f>ROUND(SUMPRODUCT($F$20:$F56,GP20:GP56)/$D$16*100*$D$10,2)</f>
        <v>0</v>
      </c>
      <c r="GQ9" s="137">
        <f>ROUND(SUMPRODUCT($F$20:$F56,GQ20:GQ56)/$D$16*100*$D$10,2)</f>
        <v>0</v>
      </c>
      <c r="GR9" s="137">
        <f>ROUND(SUMPRODUCT($F$20:$F56,GR20:GR56)/$D$16*100*$D$10,2)</f>
        <v>0</v>
      </c>
      <c r="GS9" s="137">
        <f>ROUND(SUMPRODUCT($F$20:$F56,GS20:GS56)/$D$16*100*$D$10,2)</f>
        <v>0</v>
      </c>
      <c r="GT9" s="137">
        <f>ROUND(SUMPRODUCT($F$20:$F56,GT20:GT56)/$D$16*100*$D$10,2)</f>
        <v>0</v>
      </c>
      <c r="GU9" s="137">
        <f>ROUND(SUMPRODUCT($F$20:$F56,GU20:GU56)/$D$16*100*$D$10,2)</f>
        <v>0</v>
      </c>
      <c r="GV9" s="137">
        <f>ROUND(SUMPRODUCT($F$20:$F56,GV20:GV56)/$D$16*100*$D$10,2)</f>
        <v>0</v>
      </c>
      <c r="GW9" s="137">
        <f>ROUND(SUMPRODUCT($F$20:$F56,GW20:GW56)/$D$16*100*$D$10,2)</f>
        <v>0</v>
      </c>
      <c r="GX9" s="137">
        <f>ROUND(SUMPRODUCT($F$20:$F56,GX20:GX56)/$D$16*100*$D$10,2)</f>
        <v>0</v>
      </c>
      <c r="GY9" s="137">
        <f>ROUND(SUMPRODUCT($F$20:$F56,GY20:GY56)/$D$16*100*$D$10,2)</f>
        <v>0</v>
      </c>
      <c r="GZ9" s="137">
        <f>ROUND(SUMPRODUCT($F$20:$F56,GZ20:GZ56)/$D$16*100*$D$10,2)</f>
        <v>0</v>
      </c>
      <c r="HA9" s="137">
        <f>ROUND(SUMPRODUCT($F$20:$F56,HA20:HA56)/$D$16*100*$D$10,2)</f>
        <v>0</v>
      </c>
      <c r="HB9" s="137">
        <f>ROUND(SUMPRODUCT($F$20:$F56,HB20:HB56)/$D$16*100*$D$10,2)</f>
        <v>0</v>
      </c>
      <c r="HC9" s="137">
        <f>ROUND(SUMPRODUCT($F$20:$F56,HC20:HC56)/$D$16*100*$D$10,2)</f>
        <v>0</v>
      </c>
      <c r="HD9" s="137">
        <f>ROUND(SUMPRODUCT($F$20:$F56,HD20:HD56)/$D$16*100*$D$10,2)</f>
        <v>0</v>
      </c>
      <c r="HE9" s="137">
        <f>ROUND(SUMPRODUCT($F$20:$F56,HE20:HE56)/$D$16*100*$D$10,2)</f>
        <v>0</v>
      </c>
      <c r="HF9" s="137">
        <f>ROUND(SUMPRODUCT($F$20:$F56,HF20:HF56)/$D$16*100*$D$10,2)</f>
        <v>0</v>
      </c>
      <c r="HG9" s="137">
        <f>ROUND(SUMPRODUCT($F$20:$F56,HG20:HG56)/$D$16*100*$D$10,2)</f>
        <v>0</v>
      </c>
      <c r="HH9" s="137">
        <f>ROUND(SUMPRODUCT($F$20:$F56,HH20:HH56)/$D$16*100*$D$10,2)</f>
        <v>0</v>
      </c>
      <c r="HI9" s="137">
        <f>ROUND(SUMPRODUCT($F$20:$F56,HI20:HI56)/$D$16*100*$D$10,2)</f>
        <v>0</v>
      </c>
      <c r="HJ9" s="137">
        <f>ROUND(SUMPRODUCT($F$20:$F56,HJ20:HJ56)/$D$16*100*$D$10,2)</f>
        <v>0</v>
      </c>
      <c r="HK9" s="137">
        <f>ROUND(SUMPRODUCT($F$20:$F56,HK20:HK56)/$D$16*100*$D$10,2)</f>
        <v>0</v>
      </c>
      <c r="HL9" s="137">
        <f>ROUND(SUMPRODUCT($F$20:$F56,HL20:HL56)/$D$16*100*$D$10,2)</f>
        <v>0</v>
      </c>
      <c r="HM9" s="137">
        <f>ROUND(SUMPRODUCT($F$20:$F56,HM20:HM56)/$D$16*100*$D$10,2)</f>
        <v>0</v>
      </c>
      <c r="HN9" s="137">
        <f>ROUND(SUMPRODUCT($F$20:$F56,HN20:HN56)/$D$16*100*$D$10,2)</f>
        <v>0</v>
      </c>
      <c r="HO9" s="137">
        <f>ROUND(SUMPRODUCT($F$20:$F56,HO20:HO56)/$D$16*100*$D$10,2)</f>
        <v>0</v>
      </c>
      <c r="HP9" s="137">
        <f>ROUND(SUMPRODUCT($F$20:$F56,HP20:HP56)/$D$16*100*$D$10,2)</f>
        <v>0</v>
      </c>
      <c r="HQ9" s="137">
        <f>ROUND(SUMPRODUCT($F$20:$F56,HQ20:HQ56)/$D$16*100*$D$10,2)</f>
        <v>0</v>
      </c>
      <c r="HR9" s="137">
        <f>ROUND(SUMPRODUCT($F$20:$F56,HR20:HR56)/$D$16*100*$D$10,2)</f>
        <v>0</v>
      </c>
      <c r="HS9" s="137">
        <f>ROUND(SUMPRODUCT($F$20:$F56,HS20:HS56)/$D$16*100*$D$10,2)</f>
        <v>0</v>
      </c>
      <c r="HT9" s="137">
        <f>ROUND(SUMPRODUCT($F$20:$F56,HT20:HT56)/$D$16*100*$D$10,2)</f>
        <v>0</v>
      </c>
      <c r="HU9" s="137">
        <f>ROUND(SUMPRODUCT($F$20:$F56,HU20:HU56)/$D$16*100*$D$10,2)</f>
        <v>0</v>
      </c>
      <c r="HV9" s="137">
        <f>ROUND(SUMPRODUCT($F$20:$F56,HV20:HV56)/$D$16*100*$D$10,2)</f>
        <v>0</v>
      </c>
      <c r="HW9" s="137">
        <f>ROUND(SUMPRODUCT($F$20:$F56,HW20:HW56)/$D$16*100*$D$10,2)</f>
        <v>0</v>
      </c>
      <c r="HX9" s="137">
        <f>ROUND(SUMPRODUCT($F$20:$F56,HX20:HX56)/$D$16*100*$D$10,2)</f>
        <v>0</v>
      </c>
      <c r="HY9" s="137">
        <f>ROUND(SUMPRODUCT($F$20:$F56,HY20:HY56)/$D$16*100*$D$10,2)</f>
        <v>0</v>
      </c>
      <c r="HZ9" s="137">
        <f>ROUND(SUMPRODUCT($F$20:$F56,HZ20:HZ56)/$D$16*100*$D$10,2)</f>
        <v>0</v>
      </c>
      <c r="IA9" s="137">
        <f>ROUND(SUMPRODUCT($F$20:$F56,IA20:IA56)/$D$16*100*$D$10,2)</f>
        <v>0</v>
      </c>
      <c r="IB9" s="137">
        <f>ROUND(SUMPRODUCT($F$20:$F56,IB20:IB56)/$D$16*100*$D$10,2)</f>
        <v>0</v>
      </c>
      <c r="IC9" s="137">
        <f>ROUND(SUMPRODUCT($F$20:$F56,IC20:IC56)/$D$16*100*$D$10,2)</f>
        <v>0</v>
      </c>
      <c r="ID9" s="137">
        <f>ROUND(SUMPRODUCT($F$20:$F56,ID20:ID56)/$D$16*100*$D$10,2)</f>
        <v>0</v>
      </c>
      <c r="IE9" s="137">
        <f>ROUND(SUMPRODUCT($F$20:$F56,IE20:IE56)/$D$16*100*$D$10,2)</f>
        <v>0</v>
      </c>
      <c r="IF9" s="137">
        <f>ROUND(SUMPRODUCT($F$20:$F56,IF20:IF56)/$D$16*100*$D$10,2)</f>
        <v>0</v>
      </c>
      <c r="IG9" s="137">
        <f>ROUND(SUMPRODUCT($F$20:$F56,IG20:IG56)/$D$16*100*$D$10,2)</f>
        <v>0</v>
      </c>
      <c r="IH9" s="137">
        <f>ROUND(SUMPRODUCT($F$20:$F56,IH20:IH56)/$D$16*100*$D$10,2)</f>
        <v>0</v>
      </c>
      <c r="II9" s="137">
        <f>ROUND(SUMPRODUCT($F$20:$F56,II20:II56)/$D$16*100*$D$10,2)</f>
        <v>0</v>
      </c>
      <c r="IJ9" s="137">
        <f>ROUND(SUMPRODUCT($F$20:$F56,IJ20:IJ56)/$D$16*100*$D$10,2)</f>
        <v>0</v>
      </c>
      <c r="IK9" s="137">
        <f>ROUND(SUMPRODUCT($F$20:$F56,IK20:IK56)/$D$16*100*$D$10,2)</f>
        <v>0</v>
      </c>
      <c r="IL9" s="137">
        <f>ROUND(SUMPRODUCT($F$20:$F56,IL20:IL56)/$D$16*100*$D$10,2)</f>
        <v>0</v>
      </c>
      <c r="IM9" s="137">
        <f>ROUND(SUMPRODUCT($F$20:$F56,IM20:IM56)/$D$16*100*$D$10,2)</f>
        <v>0</v>
      </c>
      <c r="IN9" s="137">
        <f>ROUND(SUMPRODUCT($F$20:$F56,IN20:IN56)/$D$16*100*$D$10,2)</f>
        <v>0</v>
      </c>
      <c r="IO9" s="137">
        <f>ROUND(SUMPRODUCT($F$20:$F56,IO20:IO56)/$D$16*100*$D$10,2)</f>
        <v>0</v>
      </c>
      <c r="IP9" s="137">
        <f>ROUND(SUMPRODUCT($F$20:$F56,IP20:IP56)/$D$16*100*$D$10,2)</f>
        <v>0</v>
      </c>
      <c r="IQ9" s="137">
        <f>ROUND(SUMPRODUCT($F$20:$F56,IQ20:IQ56)/$D$16*100*$D$10,2)</f>
        <v>0</v>
      </c>
      <c r="IR9" s="137">
        <f>ROUND(SUMPRODUCT($F$20:$F56,IR20:IR56)/$D$16*100*$D$10,2)</f>
        <v>0</v>
      </c>
      <c r="IS9" s="137">
        <f>ROUND(SUMPRODUCT($F$20:$F56,IS20:IS56)/$D$16*100*$D$10,2)</f>
        <v>0</v>
      </c>
      <c r="IT9" s="137">
        <f>ROUND(SUMPRODUCT($F$20:$F56,IT20:IT56)/$D$16*100*$D$10,2)</f>
        <v>0</v>
      </c>
      <c r="IU9" s="137">
        <f>ROUND(SUMPRODUCT($F$20:$F56,IU20:IU56)/$D$16*100*$D$10,2)</f>
        <v>0</v>
      </c>
    </row>
    <row r="10" spans="3:256">
      <c r="C10" s="138" t="s">
        <v>37</v>
      </c>
      <c r="D10" s="128">
        <v>1</v>
      </c>
      <c r="F10" s="139" t="s">
        <v>144</v>
      </c>
      <c r="I10" s="136">
        <f>ROUND(LOOKUP(I$6,J$6:IV$6,累計完成),2)</f>
        <v>11.3</v>
      </c>
      <c r="J10" s="137">
        <f>J9</f>
        <v>2.42</v>
      </c>
      <c r="K10" s="137">
        <f>ROUND(J10+K9,2)</f>
        <v>4.3899999999999997</v>
      </c>
      <c r="L10" s="137">
        <f t="shared" ref="L10:AN10" si="13">ROUND(K10+L9,2)</f>
        <v>6.36</v>
      </c>
      <c r="M10" s="137">
        <f t="shared" si="13"/>
        <v>6.36</v>
      </c>
      <c r="N10" s="137">
        <f t="shared" si="13"/>
        <v>6.36</v>
      </c>
      <c r="O10" s="137">
        <f t="shared" si="13"/>
        <v>8.33</v>
      </c>
      <c r="P10" s="137">
        <f t="shared" si="13"/>
        <v>10.3</v>
      </c>
      <c r="Q10" s="137">
        <f t="shared" si="13"/>
        <v>10.3</v>
      </c>
      <c r="R10" s="137">
        <f t="shared" si="13"/>
        <v>10.3</v>
      </c>
      <c r="S10" s="137">
        <f t="shared" si="13"/>
        <v>10.3</v>
      </c>
      <c r="T10" s="137">
        <f t="shared" si="13"/>
        <v>10.3</v>
      </c>
      <c r="U10" s="137">
        <f t="shared" si="13"/>
        <v>10.3</v>
      </c>
      <c r="V10" s="137">
        <f t="shared" si="13"/>
        <v>10.3</v>
      </c>
      <c r="W10" s="137">
        <f>ROUND(V10+W9,2)</f>
        <v>10.3</v>
      </c>
      <c r="X10" s="137">
        <f>ROUND(W10+X9,2)</f>
        <v>10.3</v>
      </c>
      <c r="Y10" s="137">
        <f t="shared" si="13"/>
        <v>10.3</v>
      </c>
      <c r="Z10" s="137">
        <f t="shared" si="13"/>
        <v>10.3</v>
      </c>
      <c r="AA10" s="137">
        <f t="shared" si="13"/>
        <v>10.3</v>
      </c>
      <c r="AB10" s="137">
        <f t="shared" si="13"/>
        <v>10.3</v>
      </c>
      <c r="AC10" s="137">
        <f t="shared" si="13"/>
        <v>10.3</v>
      </c>
      <c r="AD10" s="137">
        <f t="shared" si="13"/>
        <v>10.32</v>
      </c>
      <c r="AE10" s="137">
        <f t="shared" si="13"/>
        <v>10.34</v>
      </c>
      <c r="AF10" s="137">
        <f t="shared" si="13"/>
        <v>10.43</v>
      </c>
      <c r="AG10" s="137">
        <f t="shared" si="13"/>
        <v>10.52</v>
      </c>
      <c r="AH10" s="137">
        <f t="shared" si="13"/>
        <v>10.52</v>
      </c>
      <c r="AI10" s="137">
        <f t="shared" si="13"/>
        <v>10.52</v>
      </c>
      <c r="AJ10" s="137">
        <f t="shared" si="13"/>
        <v>10.59</v>
      </c>
      <c r="AK10" s="137">
        <f t="shared" si="13"/>
        <v>10.59</v>
      </c>
      <c r="AL10" s="137">
        <f t="shared" si="13"/>
        <v>10.59</v>
      </c>
      <c r="AM10" s="137">
        <f t="shared" si="13"/>
        <v>10.98</v>
      </c>
      <c r="AN10" s="137">
        <f t="shared" si="13"/>
        <v>11.3</v>
      </c>
      <c r="AO10" s="137">
        <f t="shared" ref="AO10:BF10" si="14">ROUND(AN10+AO9,2)</f>
        <v>11.3</v>
      </c>
      <c r="AP10" s="137">
        <f t="shared" si="14"/>
        <v>11.3</v>
      </c>
      <c r="AQ10" s="137">
        <f t="shared" si="14"/>
        <v>12.97</v>
      </c>
      <c r="AR10" s="137">
        <f t="shared" si="14"/>
        <v>12.97</v>
      </c>
      <c r="AS10" s="137">
        <f t="shared" si="14"/>
        <v>12.97</v>
      </c>
      <c r="AT10" s="137">
        <f t="shared" si="14"/>
        <v>12.97</v>
      </c>
      <c r="AU10" s="137">
        <f t="shared" si="14"/>
        <v>12.97</v>
      </c>
      <c r="AV10" s="137">
        <f t="shared" si="14"/>
        <v>12.97</v>
      </c>
      <c r="AW10" s="137">
        <f t="shared" si="14"/>
        <v>12.97</v>
      </c>
      <c r="AX10" s="137">
        <f t="shared" si="14"/>
        <v>12.97</v>
      </c>
      <c r="AY10" s="137">
        <f>ROUND(AX10+AY9,2)</f>
        <v>12.98</v>
      </c>
      <c r="AZ10" s="137">
        <f t="shared" si="14"/>
        <v>12.98</v>
      </c>
      <c r="BA10" s="137">
        <f t="shared" si="14"/>
        <v>12.98</v>
      </c>
      <c r="BB10" s="137">
        <f t="shared" si="14"/>
        <v>12.98</v>
      </c>
      <c r="BC10" s="137">
        <f t="shared" si="14"/>
        <v>12.98</v>
      </c>
      <c r="BD10" s="137">
        <f t="shared" si="14"/>
        <v>12.98</v>
      </c>
      <c r="BE10" s="137">
        <f t="shared" si="14"/>
        <v>12.98</v>
      </c>
      <c r="BF10" s="137">
        <f t="shared" si="14"/>
        <v>12.98</v>
      </c>
      <c r="BG10" s="137">
        <f t="shared" ref="BG10:BO10" si="15">BF10+BG9</f>
        <v>12.98</v>
      </c>
      <c r="BH10" s="137">
        <f>BG10+BH9</f>
        <v>12.98</v>
      </c>
      <c r="BI10" s="137">
        <f t="shared" si="15"/>
        <v>12.98</v>
      </c>
      <c r="BJ10" s="137">
        <f t="shared" si="15"/>
        <v>12.98</v>
      </c>
      <c r="BK10" s="137">
        <f t="shared" si="15"/>
        <v>12.98</v>
      </c>
      <c r="BL10" s="137">
        <f t="shared" si="15"/>
        <v>12.98</v>
      </c>
      <c r="BM10" s="137">
        <f t="shared" si="15"/>
        <v>12.98</v>
      </c>
      <c r="BN10" s="137">
        <f t="shared" si="15"/>
        <v>12.98</v>
      </c>
      <c r="BO10" s="137">
        <f t="shared" si="15"/>
        <v>12.98</v>
      </c>
      <c r="BP10" s="137">
        <f t="shared" ref="BP10:CU10" si="16">BO10+BP9</f>
        <v>12.98</v>
      </c>
      <c r="BQ10" s="137">
        <f t="shared" si="16"/>
        <v>12.98</v>
      </c>
      <c r="BR10" s="137">
        <f t="shared" si="16"/>
        <v>12.98</v>
      </c>
      <c r="BS10" s="137">
        <f t="shared" si="16"/>
        <v>12.98</v>
      </c>
      <c r="BT10" s="137">
        <f t="shared" si="16"/>
        <v>12.98</v>
      </c>
      <c r="BU10" s="137">
        <f t="shared" si="16"/>
        <v>12.98</v>
      </c>
      <c r="BV10" s="137">
        <f t="shared" si="16"/>
        <v>12.98</v>
      </c>
      <c r="BW10" s="137">
        <f t="shared" si="16"/>
        <v>12.98</v>
      </c>
      <c r="BX10" s="137">
        <f t="shared" si="16"/>
        <v>12.98</v>
      </c>
      <c r="BY10" s="137">
        <f t="shared" si="16"/>
        <v>12.98</v>
      </c>
      <c r="BZ10" s="137">
        <f t="shared" si="16"/>
        <v>12.98</v>
      </c>
      <c r="CA10" s="137">
        <f>BZ10+CA9</f>
        <v>12.98</v>
      </c>
      <c r="CB10" s="137">
        <f t="shared" si="16"/>
        <v>12.98</v>
      </c>
      <c r="CC10" s="137">
        <f t="shared" si="16"/>
        <v>12.98</v>
      </c>
      <c r="CD10" s="137">
        <f t="shared" si="16"/>
        <v>12.98</v>
      </c>
      <c r="CE10" s="137">
        <f t="shared" si="16"/>
        <v>12.98</v>
      </c>
      <c r="CF10" s="137">
        <f t="shared" si="16"/>
        <v>12.98</v>
      </c>
      <c r="CG10" s="137">
        <f t="shared" si="16"/>
        <v>12.98</v>
      </c>
      <c r="CH10" s="137">
        <f t="shared" si="16"/>
        <v>12.98</v>
      </c>
      <c r="CI10" s="137">
        <f>CH10+CI9</f>
        <v>12.98</v>
      </c>
      <c r="CJ10" s="137">
        <f t="shared" si="16"/>
        <v>12.98</v>
      </c>
      <c r="CK10" s="137">
        <f t="shared" si="16"/>
        <v>12.98</v>
      </c>
      <c r="CL10" s="137">
        <f t="shared" si="16"/>
        <v>12.98</v>
      </c>
      <c r="CM10" s="137">
        <f t="shared" si="16"/>
        <v>12.98</v>
      </c>
      <c r="CN10" s="137">
        <f t="shared" si="16"/>
        <v>12.98</v>
      </c>
      <c r="CO10" s="137">
        <f t="shared" si="16"/>
        <v>12.98</v>
      </c>
      <c r="CP10" s="137">
        <f t="shared" si="16"/>
        <v>12.98</v>
      </c>
      <c r="CQ10" s="137">
        <f t="shared" si="16"/>
        <v>12.98</v>
      </c>
      <c r="CR10" s="137">
        <f t="shared" si="16"/>
        <v>12.98</v>
      </c>
      <c r="CS10" s="137">
        <f t="shared" si="16"/>
        <v>12.98</v>
      </c>
      <c r="CT10" s="137">
        <f t="shared" si="16"/>
        <v>12.98</v>
      </c>
      <c r="CU10" s="137">
        <f t="shared" si="16"/>
        <v>12.98</v>
      </c>
      <c r="CV10" s="137">
        <f t="shared" ref="CV10:DG10" si="17">CU10+CV9</f>
        <v>12.98</v>
      </c>
      <c r="CW10" s="137">
        <f t="shared" si="17"/>
        <v>12.98</v>
      </c>
      <c r="CX10" s="137">
        <f t="shared" si="17"/>
        <v>12.98</v>
      </c>
      <c r="CY10" s="137">
        <f t="shared" si="17"/>
        <v>12.98</v>
      </c>
      <c r="CZ10" s="137">
        <f t="shared" si="17"/>
        <v>12.98</v>
      </c>
      <c r="DA10" s="137">
        <f t="shared" si="17"/>
        <v>12.98</v>
      </c>
      <c r="DB10" s="137">
        <f t="shared" si="17"/>
        <v>12.98</v>
      </c>
      <c r="DC10" s="137">
        <f t="shared" si="17"/>
        <v>12.98</v>
      </c>
      <c r="DD10" s="137">
        <f t="shared" si="17"/>
        <v>12.98</v>
      </c>
      <c r="DE10" s="137">
        <f t="shared" si="17"/>
        <v>12.98</v>
      </c>
      <c r="DF10" s="137">
        <f t="shared" si="17"/>
        <v>12.98</v>
      </c>
      <c r="DG10" s="137">
        <f t="shared" si="17"/>
        <v>12.98</v>
      </c>
      <c r="DH10" s="137">
        <f t="shared" ref="DH10:FG10" si="18">DG10+DH9</f>
        <v>12.98</v>
      </c>
      <c r="DI10" s="137">
        <f t="shared" si="18"/>
        <v>12.98</v>
      </c>
      <c r="DJ10" s="137">
        <f t="shared" si="18"/>
        <v>12.98</v>
      </c>
      <c r="DK10" s="137">
        <f>DJ10+DK9</f>
        <v>12.98</v>
      </c>
      <c r="DL10" s="137">
        <f>DK10+DL9</f>
        <v>12.98</v>
      </c>
      <c r="DM10" s="137">
        <f t="shared" si="18"/>
        <v>12.98</v>
      </c>
      <c r="DN10" s="137">
        <f t="shared" si="18"/>
        <v>12.98</v>
      </c>
      <c r="DO10" s="137">
        <f t="shared" si="18"/>
        <v>12.98</v>
      </c>
      <c r="DP10" s="137">
        <f t="shared" si="18"/>
        <v>12.98</v>
      </c>
      <c r="DQ10" s="137">
        <f t="shared" si="18"/>
        <v>12.98</v>
      </c>
      <c r="DR10" s="137">
        <f t="shared" si="18"/>
        <v>12.98</v>
      </c>
      <c r="DS10" s="137">
        <f t="shared" si="18"/>
        <v>12.98</v>
      </c>
      <c r="DT10" s="137">
        <f t="shared" si="18"/>
        <v>12.98</v>
      </c>
      <c r="DU10" s="137">
        <f t="shared" si="18"/>
        <v>12.98</v>
      </c>
      <c r="DV10" s="137">
        <f t="shared" si="18"/>
        <v>12.98</v>
      </c>
      <c r="DW10" s="137">
        <f t="shared" si="18"/>
        <v>12.98</v>
      </c>
      <c r="DX10" s="137">
        <f t="shared" si="18"/>
        <v>12.98</v>
      </c>
      <c r="DY10" s="137">
        <f t="shared" si="18"/>
        <v>12.98</v>
      </c>
      <c r="DZ10" s="137">
        <f t="shared" si="18"/>
        <v>12.98</v>
      </c>
      <c r="EA10" s="137">
        <f t="shared" si="18"/>
        <v>12.98</v>
      </c>
      <c r="EB10" s="137">
        <f t="shared" si="18"/>
        <v>12.98</v>
      </c>
      <c r="EC10" s="137">
        <f t="shared" si="18"/>
        <v>12.98</v>
      </c>
      <c r="ED10" s="137">
        <f t="shared" si="18"/>
        <v>12.98</v>
      </c>
      <c r="EE10" s="137">
        <f t="shared" si="18"/>
        <v>12.98</v>
      </c>
      <c r="EF10" s="137">
        <f t="shared" si="18"/>
        <v>12.98</v>
      </c>
      <c r="EG10" s="137">
        <f t="shared" si="18"/>
        <v>12.98</v>
      </c>
      <c r="EH10" s="137">
        <f t="shared" si="18"/>
        <v>12.98</v>
      </c>
      <c r="EI10" s="137">
        <f t="shared" si="18"/>
        <v>12.98</v>
      </c>
      <c r="EJ10" s="137">
        <f t="shared" si="18"/>
        <v>12.98</v>
      </c>
      <c r="EK10" s="137">
        <f t="shared" si="18"/>
        <v>12.98</v>
      </c>
      <c r="EL10" s="137">
        <f t="shared" si="18"/>
        <v>12.98</v>
      </c>
      <c r="EM10" s="137">
        <f t="shared" si="18"/>
        <v>12.98</v>
      </c>
      <c r="EN10" s="137">
        <f t="shared" si="18"/>
        <v>12.98</v>
      </c>
      <c r="EO10" s="137">
        <f t="shared" si="18"/>
        <v>12.98</v>
      </c>
      <c r="EP10" s="137">
        <f t="shared" si="18"/>
        <v>12.98</v>
      </c>
      <c r="EQ10" s="137">
        <f t="shared" si="18"/>
        <v>12.98</v>
      </c>
      <c r="ER10" s="137">
        <f t="shared" si="18"/>
        <v>12.98</v>
      </c>
      <c r="ES10" s="137">
        <f t="shared" si="18"/>
        <v>12.98</v>
      </c>
      <c r="ET10" s="137">
        <f t="shared" si="18"/>
        <v>12.98</v>
      </c>
      <c r="EU10" s="137">
        <f t="shared" si="18"/>
        <v>12.98</v>
      </c>
      <c r="EV10" s="137">
        <f t="shared" si="18"/>
        <v>12.98</v>
      </c>
      <c r="EW10" s="137">
        <f t="shared" si="18"/>
        <v>12.98</v>
      </c>
      <c r="EX10" s="137">
        <f t="shared" si="18"/>
        <v>12.98</v>
      </c>
      <c r="EY10" s="137">
        <f t="shared" si="18"/>
        <v>12.98</v>
      </c>
      <c r="EZ10" s="137">
        <f t="shared" si="18"/>
        <v>12.98</v>
      </c>
      <c r="FA10" s="137">
        <f t="shared" si="18"/>
        <v>12.98</v>
      </c>
      <c r="FB10" s="137">
        <f t="shared" si="18"/>
        <v>12.98</v>
      </c>
      <c r="FC10" s="137">
        <f t="shared" si="18"/>
        <v>12.98</v>
      </c>
      <c r="FD10" s="137">
        <f t="shared" si="18"/>
        <v>12.98</v>
      </c>
      <c r="FE10" s="137">
        <f t="shared" si="18"/>
        <v>12.98</v>
      </c>
      <c r="FF10" s="137">
        <f t="shared" si="18"/>
        <v>12.98</v>
      </c>
      <c r="FG10" s="137">
        <f t="shared" si="18"/>
        <v>12.98</v>
      </c>
      <c r="FH10" s="137">
        <f t="shared" ref="FH10:HS10" si="19">FG10+FH9</f>
        <v>12.98</v>
      </c>
      <c r="FI10" s="137">
        <f t="shared" ref="FI10:FR10" si="20">FH10+FI9</f>
        <v>12.98</v>
      </c>
      <c r="FJ10" s="137">
        <f t="shared" si="20"/>
        <v>12.98</v>
      </c>
      <c r="FK10" s="137">
        <f t="shared" si="20"/>
        <v>12.98</v>
      </c>
      <c r="FL10" s="137">
        <f t="shared" si="20"/>
        <v>12.98</v>
      </c>
      <c r="FM10" s="137">
        <f t="shared" si="20"/>
        <v>12.98</v>
      </c>
      <c r="FN10" s="137">
        <f t="shared" si="20"/>
        <v>12.98</v>
      </c>
      <c r="FO10" s="137">
        <f t="shared" si="20"/>
        <v>12.98</v>
      </c>
      <c r="FP10" s="137">
        <f t="shared" si="20"/>
        <v>12.98</v>
      </c>
      <c r="FQ10" s="137">
        <f t="shared" si="20"/>
        <v>12.98</v>
      </c>
      <c r="FR10" s="137">
        <f t="shared" si="20"/>
        <v>12.98</v>
      </c>
      <c r="FS10" s="137">
        <f t="shared" si="19"/>
        <v>12.98</v>
      </c>
      <c r="FT10" s="137">
        <f t="shared" si="19"/>
        <v>12.84</v>
      </c>
      <c r="FU10" s="137">
        <f t="shared" si="19"/>
        <v>12.84</v>
      </c>
      <c r="FV10" s="137">
        <f t="shared" si="19"/>
        <v>12.84</v>
      </c>
      <c r="FW10" s="137">
        <f t="shared" si="19"/>
        <v>12.84</v>
      </c>
      <c r="FX10" s="137">
        <f t="shared" si="19"/>
        <v>12.84</v>
      </c>
      <c r="FY10" s="137">
        <f t="shared" si="19"/>
        <v>12.84</v>
      </c>
      <c r="FZ10" s="137">
        <f t="shared" si="19"/>
        <v>12.84</v>
      </c>
      <c r="GA10" s="137">
        <f t="shared" si="19"/>
        <v>12.84</v>
      </c>
      <c r="GB10" s="137">
        <f t="shared" si="19"/>
        <v>12.84</v>
      </c>
      <c r="GC10" s="137">
        <f t="shared" si="19"/>
        <v>12.84</v>
      </c>
      <c r="GD10" s="137">
        <f t="shared" si="19"/>
        <v>12.84</v>
      </c>
      <c r="GE10" s="137">
        <f t="shared" si="19"/>
        <v>12.84</v>
      </c>
      <c r="GF10" s="137">
        <f t="shared" si="19"/>
        <v>12.84</v>
      </c>
      <c r="GG10" s="282">
        <f t="shared" si="19"/>
        <v>12.84</v>
      </c>
      <c r="GH10" s="137">
        <f t="shared" si="19"/>
        <v>12.84</v>
      </c>
      <c r="GI10" s="137">
        <f t="shared" si="19"/>
        <v>12.84</v>
      </c>
      <c r="GJ10" s="137">
        <f t="shared" si="19"/>
        <v>12.84</v>
      </c>
      <c r="GK10" s="137">
        <f t="shared" si="19"/>
        <v>12.84</v>
      </c>
      <c r="GL10" s="137">
        <f t="shared" si="19"/>
        <v>12.84</v>
      </c>
      <c r="GM10" s="137">
        <f t="shared" si="19"/>
        <v>12.84</v>
      </c>
      <c r="GN10" s="137">
        <f t="shared" si="19"/>
        <v>12.84</v>
      </c>
      <c r="GO10" s="137">
        <f t="shared" si="19"/>
        <v>12.84</v>
      </c>
      <c r="GP10" s="137">
        <f t="shared" si="19"/>
        <v>12.84</v>
      </c>
      <c r="GQ10" s="137">
        <f t="shared" si="19"/>
        <v>12.84</v>
      </c>
      <c r="GR10" s="137">
        <f t="shared" si="19"/>
        <v>12.84</v>
      </c>
      <c r="GS10" s="137">
        <f t="shared" si="19"/>
        <v>12.84</v>
      </c>
      <c r="GT10" s="137">
        <f t="shared" si="19"/>
        <v>12.84</v>
      </c>
      <c r="GU10" s="137">
        <f t="shared" si="19"/>
        <v>12.84</v>
      </c>
      <c r="GV10" s="137">
        <f t="shared" si="19"/>
        <v>12.84</v>
      </c>
      <c r="GW10" s="137">
        <f t="shared" si="19"/>
        <v>12.84</v>
      </c>
      <c r="GX10" s="137">
        <f t="shared" si="19"/>
        <v>12.84</v>
      </c>
      <c r="GY10" s="137">
        <f t="shared" si="19"/>
        <v>12.84</v>
      </c>
      <c r="GZ10" s="137">
        <f t="shared" si="19"/>
        <v>12.84</v>
      </c>
      <c r="HA10" s="137">
        <f t="shared" si="19"/>
        <v>12.84</v>
      </c>
      <c r="HB10" s="137">
        <f t="shared" si="19"/>
        <v>12.84</v>
      </c>
      <c r="HC10" s="137">
        <f t="shared" si="19"/>
        <v>12.84</v>
      </c>
      <c r="HD10" s="137">
        <f t="shared" si="19"/>
        <v>12.84</v>
      </c>
      <c r="HE10" s="137">
        <f t="shared" si="19"/>
        <v>12.84</v>
      </c>
      <c r="HF10" s="137">
        <f t="shared" si="19"/>
        <v>12.84</v>
      </c>
      <c r="HG10" s="137">
        <f t="shared" si="19"/>
        <v>12.84</v>
      </c>
      <c r="HH10" s="137">
        <f t="shared" si="19"/>
        <v>12.84</v>
      </c>
      <c r="HI10" s="137">
        <f t="shared" si="19"/>
        <v>12.84</v>
      </c>
      <c r="HJ10" s="137">
        <f t="shared" si="19"/>
        <v>12.84</v>
      </c>
      <c r="HK10" s="137">
        <f t="shared" si="19"/>
        <v>12.84</v>
      </c>
      <c r="HL10" s="137">
        <f t="shared" si="19"/>
        <v>12.84</v>
      </c>
      <c r="HM10" s="137">
        <f t="shared" si="19"/>
        <v>12.84</v>
      </c>
      <c r="HN10" s="137">
        <f t="shared" si="19"/>
        <v>12.84</v>
      </c>
      <c r="HO10" s="137">
        <f t="shared" si="19"/>
        <v>12.84</v>
      </c>
      <c r="HP10" s="137">
        <f t="shared" si="19"/>
        <v>12.84</v>
      </c>
      <c r="HQ10" s="137">
        <f t="shared" si="19"/>
        <v>12.84</v>
      </c>
      <c r="HR10" s="137">
        <f t="shared" si="19"/>
        <v>12.84</v>
      </c>
      <c r="HS10" s="137">
        <f t="shared" si="19"/>
        <v>12.84</v>
      </c>
      <c r="HT10" s="137">
        <f t="shared" ref="HT10:IU10" si="21">HS10+HT9</f>
        <v>12.84</v>
      </c>
      <c r="HU10" s="137">
        <f t="shared" si="21"/>
        <v>12.84</v>
      </c>
      <c r="HV10" s="137">
        <f t="shared" si="21"/>
        <v>12.84</v>
      </c>
      <c r="HW10" s="137">
        <f t="shared" si="21"/>
        <v>12.84</v>
      </c>
      <c r="HX10" s="137">
        <f t="shared" si="21"/>
        <v>12.84</v>
      </c>
      <c r="HY10" s="137">
        <f t="shared" si="21"/>
        <v>12.84</v>
      </c>
      <c r="HZ10" s="137">
        <f t="shared" si="21"/>
        <v>12.84</v>
      </c>
      <c r="IA10" s="137">
        <f t="shared" si="21"/>
        <v>12.84</v>
      </c>
      <c r="IB10" s="137">
        <f t="shared" si="21"/>
        <v>12.84</v>
      </c>
      <c r="IC10" s="137">
        <f t="shared" si="21"/>
        <v>12.84</v>
      </c>
      <c r="ID10" s="137">
        <f t="shared" si="21"/>
        <v>12.84</v>
      </c>
      <c r="IE10" s="137">
        <f t="shared" si="21"/>
        <v>12.84</v>
      </c>
      <c r="IF10" s="137">
        <f t="shared" si="21"/>
        <v>12.84</v>
      </c>
      <c r="IG10" s="137">
        <f>IF10+IG9</f>
        <v>12.84</v>
      </c>
      <c r="IH10" s="137">
        <f t="shared" si="21"/>
        <v>12.84</v>
      </c>
      <c r="II10" s="137">
        <f t="shared" si="21"/>
        <v>12.84</v>
      </c>
      <c r="IJ10" s="137">
        <f t="shared" si="21"/>
        <v>12.84</v>
      </c>
      <c r="IK10" s="137">
        <f t="shared" si="21"/>
        <v>12.84</v>
      </c>
      <c r="IL10" s="137">
        <f t="shared" si="21"/>
        <v>12.84</v>
      </c>
      <c r="IM10" s="137">
        <f t="shared" si="21"/>
        <v>12.84</v>
      </c>
      <c r="IN10" s="137">
        <f t="shared" si="21"/>
        <v>12.84</v>
      </c>
      <c r="IO10" s="137">
        <f t="shared" si="21"/>
        <v>12.84</v>
      </c>
      <c r="IP10" s="137">
        <f t="shared" si="21"/>
        <v>12.84</v>
      </c>
      <c r="IQ10" s="137">
        <f t="shared" si="21"/>
        <v>12.84</v>
      </c>
      <c r="IR10" s="137">
        <f t="shared" si="21"/>
        <v>12.84</v>
      </c>
      <c r="IS10" s="137">
        <f t="shared" si="21"/>
        <v>12.84</v>
      </c>
      <c r="IT10" s="137">
        <f t="shared" si="21"/>
        <v>12.84</v>
      </c>
      <c r="IU10" s="137">
        <f t="shared" si="21"/>
        <v>12.84</v>
      </c>
    </row>
    <row r="11" spans="3:256">
      <c r="C11" s="138" t="s">
        <v>212</v>
      </c>
      <c r="D11" s="222"/>
      <c r="F11" s="123" t="s">
        <v>131</v>
      </c>
      <c r="I11" s="140">
        <f>ROUND(LOOKUP(I$6,J$6:IV$6,J11:IV11),2)</f>
        <v>0</v>
      </c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39"/>
      <c r="AX11" s="139"/>
      <c r="AY11" s="139"/>
      <c r="AZ11" s="139"/>
      <c r="BA11" s="139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41"/>
      <c r="BN11" s="141"/>
      <c r="BO11" s="141"/>
      <c r="BP11" s="141"/>
      <c r="BQ11" s="141"/>
      <c r="BR11" s="141"/>
      <c r="BS11" s="141"/>
      <c r="BT11" s="141"/>
      <c r="BU11" s="141"/>
      <c r="BV11" s="141"/>
      <c r="BW11" s="141"/>
      <c r="BX11" s="141"/>
      <c r="BY11" s="141"/>
      <c r="BZ11" s="141"/>
      <c r="CA11" s="141"/>
      <c r="CB11" s="141"/>
      <c r="CC11" s="141"/>
      <c r="CD11" s="141"/>
      <c r="CE11" s="141"/>
      <c r="CF11" s="141"/>
      <c r="CG11" s="141"/>
      <c r="CH11" s="141"/>
      <c r="CI11" s="141"/>
      <c r="CJ11" s="141"/>
      <c r="CK11" s="141"/>
      <c r="CL11" s="141"/>
      <c r="CM11" s="141"/>
      <c r="CN11" s="141"/>
      <c r="CO11" s="141"/>
      <c r="CP11" s="141"/>
      <c r="CQ11" s="141"/>
      <c r="CR11" s="141"/>
      <c r="CS11" s="141"/>
      <c r="CT11" s="141"/>
      <c r="CU11" s="141"/>
      <c r="CV11" s="141"/>
      <c r="CW11" s="141"/>
      <c r="CX11" s="141"/>
      <c r="CY11" s="141"/>
      <c r="CZ11" s="141"/>
      <c r="DA11" s="141"/>
      <c r="DB11" s="141"/>
      <c r="DC11" s="141"/>
      <c r="DD11" s="141"/>
      <c r="DE11" s="141"/>
      <c r="DF11" s="141"/>
      <c r="DG11" s="141"/>
      <c r="DH11" s="141"/>
      <c r="DI11" s="141"/>
      <c r="DJ11" s="141"/>
      <c r="DK11" s="141"/>
      <c r="DL11" s="141"/>
      <c r="DM11" s="141"/>
      <c r="DN11" s="141"/>
      <c r="DO11" s="141"/>
      <c r="DP11" s="141"/>
      <c r="DQ11" s="141"/>
      <c r="DR11" s="141"/>
      <c r="DS11" s="141"/>
      <c r="DT11" s="141"/>
      <c r="DU11" s="141"/>
      <c r="DV11" s="141"/>
      <c r="DW11" s="141"/>
      <c r="DX11" s="141"/>
      <c r="DY11" s="141"/>
      <c r="DZ11" s="141"/>
      <c r="EA11" s="141"/>
      <c r="EB11" s="141"/>
      <c r="EC11" s="141"/>
      <c r="ED11" s="141"/>
      <c r="EE11" s="141"/>
      <c r="EF11" s="141"/>
      <c r="EG11" s="141"/>
      <c r="EH11" s="141"/>
      <c r="EI11" s="141"/>
      <c r="EJ11" s="141"/>
      <c r="EK11" s="141"/>
      <c r="EL11" s="141"/>
      <c r="EM11" s="141"/>
      <c r="EN11" s="141"/>
      <c r="EO11" s="141"/>
      <c r="EP11" s="141"/>
      <c r="EQ11" s="141"/>
      <c r="ER11" s="141"/>
      <c r="ES11" s="141"/>
      <c r="ET11" s="141"/>
      <c r="EU11" s="141"/>
      <c r="EV11" s="141"/>
      <c r="EW11" s="141"/>
      <c r="EX11" s="141"/>
      <c r="EY11" s="141"/>
      <c r="EZ11" s="141"/>
      <c r="FA11" s="141"/>
      <c r="FB11" s="141"/>
      <c r="FC11" s="141"/>
      <c r="FD11" s="141"/>
      <c r="FE11" s="141"/>
      <c r="FF11" s="141"/>
      <c r="FG11" s="141"/>
      <c r="FH11" s="141"/>
      <c r="FI11" s="141"/>
      <c r="FJ11" s="141"/>
      <c r="FK11" s="141"/>
      <c r="FL11" s="141"/>
      <c r="FM11" s="141"/>
      <c r="FN11" s="141"/>
      <c r="FO11" s="141"/>
      <c r="FP11" s="141"/>
      <c r="FQ11" s="141"/>
      <c r="FR11" s="141"/>
      <c r="FS11" s="141"/>
      <c r="FT11" s="141"/>
      <c r="FU11" s="141"/>
      <c r="FV11" s="141"/>
      <c r="FW11" s="141"/>
      <c r="FX11" s="141"/>
      <c r="FY11" s="141"/>
      <c r="FZ11" s="141"/>
      <c r="GA11" s="141"/>
      <c r="GB11" s="141"/>
      <c r="GC11" s="141"/>
      <c r="GD11" s="141"/>
      <c r="GE11" s="141"/>
      <c r="GF11" s="141"/>
      <c r="GG11" s="283"/>
      <c r="GH11" s="141"/>
      <c r="GI11" s="141"/>
      <c r="GJ11" s="141"/>
      <c r="GK11" s="141"/>
      <c r="GL11" s="141"/>
      <c r="GM11" s="141"/>
      <c r="GN11" s="141"/>
      <c r="GO11" s="141"/>
      <c r="GP11" s="141"/>
      <c r="GQ11" s="141"/>
      <c r="GR11" s="141"/>
      <c r="GS11" s="141"/>
      <c r="GT11" s="141"/>
    </row>
    <row r="12" spans="3:256">
      <c r="C12" s="138" t="s">
        <v>64</v>
      </c>
      <c r="D12" s="224">
        <f>J14+D7-1</f>
        <v>46411</v>
      </c>
      <c r="F12" s="123" t="s">
        <v>146</v>
      </c>
      <c r="I12" s="136">
        <f>ROUND(LOOKUP(I$6,J$6:IV$6,J12:IV12),2)</f>
        <v>0.45</v>
      </c>
      <c r="J12" s="142">
        <f>進度!C2</f>
        <v>0.34799999999999998</v>
      </c>
      <c r="K12" s="142">
        <f>VLOOKUP(K7,進度!$A$2:$C$250,2)</f>
        <v>0.34799999999999998</v>
      </c>
      <c r="L12" s="142">
        <f>VLOOKUP(L7,進度!$A$2:$C$250,2)</f>
        <v>0.34799999999999998</v>
      </c>
      <c r="M12" s="142">
        <f>VLOOKUP(M7,進度!$A$2:$C$250,2)</f>
        <v>0.34799999999999998</v>
      </c>
      <c r="N12" s="142">
        <f>VLOOKUP(N7,進度!$A$2:$C$250,2)</f>
        <v>0.34799999999999998</v>
      </c>
      <c r="O12" s="142">
        <f>VLOOKUP(O7,進度!$A$2:$C$250,2)</f>
        <v>0.34799999999999998</v>
      </c>
      <c r="P12" s="142">
        <f>VLOOKUP(P7,進度!$A$2:$C$250,2)</f>
        <v>0.34799999999999998</v>
      </c>
      <c r="Q12" s="142">
        <f>VLOOKUP(Q7,進度!$A$2:$C$250,2)</f>
        <v>0.34799999999999998</v>
      </c>
      <c r="R12" s="142">
        <f>VLOOKUP(R7,進度!$A$2:$C$250,2)</f>
        <v>0.34799999999999998</v>
      </c>
      <c r="S12" s="142">
        <f>VLOOKUP(S7,進度!$A$2:$C$250,2)</f>
        <v>0.34799999999999998</v>
      </c>
      <c r="T12" s="142">
        <f>VLOOKUP(T7,進度!$A$2:$C$250,2)</f>
        <v>0.27400000000000002</v>
      </c>
      <c r="U12" s="142">
        <f>VLOOKUP(U7,進度!$A$2:$C$250,2)</f>
        <v>0.27400000000000002</v>
      </c>
      <c r="V12" s="142">
        <f>VLOOKUP(V7,進度!$A$2:$C$250,2)</f>
        <v>0.27400000000000002</v>
      </c>
      <c r="W12" s="142">
        <f>VLOOKUP(W7,進度!$A$2:$C$250,2)</f>
        <v>0.27400000000000002</v>
      </c>
      <c r="X12" s="142">
        <f>VLOOKUP(X7,進度!$A$2:$C$250,2)</f>
        <v>0.27400000000000002</v>
      </c>
      <c r="Y12" s="142">
        <f>VLOOKUP(Y7,進度!$A$2:$C$250,2)</f>
        <v>0.27400000000000002</v>
      </c>
      <c r="Z12" s="142">
        <f>VLOOKUP(Z7,進度!$A$2:$C$250,2)</f>
        <v>0.27400000000000002</v>
      </c>
      <c r="AA12" s="142">
        <f>VLOOKUP(AA7,進度!$A$2:$C$250,2)</f>
        <v>0.27400000000000002</v>
      </c>
      <c r="AB12" s="142">
        <f>VLOOKUP(AB7,進度!$A$2:$C$250,2)</f>
        <v>0.27400000000000002</v>
      </c>
      <c r="AC12" s="142">
        <f>VLOOKUP(AC7,進度!$A$2:$C$250,2)</f>
        <v>0.27400000000000002</v>
      </c>
      <c r="AD12" s="142">
        <f>VLOOKUP(AD7,進度!$A$2:$C$250,2)</f>
        <v>0.27400000000000002</v>
      </c>
      <c r="AE12" s="142">
        <f>VLOOKUP(AE7,進度!$A$2:$C$250,2)</f>
        <v>0.27400000000000002</v>
      </c>
      <c r="AF12" s="142">
        <f>VLOOKUP(AF7,進度!$A$2:$C$250,2)</f>
        <v>0.27400000000000002</v>
      </c>
      <c r="AG12" s="142">
        <f>VLOOKUP(AG7,進度!$A$2:$C$250,2)</f>
        <v>0.27400000000000002</v>
      </c>
      <c r="AH12" s="142">
        <f>VLOOKUP(AH7,進度!$A$2:$C$250,2)</f>
        <v>0.27400000000000002</v>
      </c>
      <c r="AI12" s="142">
        <f>VLOOKUP(AI7,進度!$A$2:$C$250,2)</f>
        <v>0.27400000000000002</v>
      </c>
      <c r="AJ12" s="142">
        <f>VLOOKUP(AJ7,進度!$A$2:$C$250,2)</f>
        <v>0.27400000000000002</v>
      </c>
      <c r="AK12" s="142">
        <f>VLOOKUP(AK7,進度!$A$2:$C$250,2)</f>
        <v>0.27400000000000002</v>
      </c>
      <c r="AL12" s="142">
        <f>VLOOKUP(AL7,進度!$A$2:$C$250,2)</f>
        <v>0.27400000000000002</v>
      </c>
      <c r="AM12" s="142">
        <f>VLOOKUP(AM7,進度!$A$2:$C$250,2)</f>
        <v>0.27400000000000002</v>
      </c>
      <c r="AN12" s="142">
        <f>VLOOKUP(AN7,進度!$A$2:$C$250,2)</f>
        <v>0.45400000000000001</v>
      </c>
      <c r="AO12" s="142">
        <f>VLOOKUP(AO7,進度!$A$2:$C$250,2)</f>
        <v>0.45400000000000001</v>
      </c>
      <c r="AP12" s="142">
        <f>VLOOKUP(AP7,進度!$A$2:$C$250,2)</f>
        <v>0.45400000000000001</v>
      </c>
      <c r="AQ12" s="142">
        <f>VLOOKUP(AQ7,進度!$A$2:$C$250,2)</f>
        <v>0.45400000000000001</v>
      </c>
      <c r="AR12" s="142">
        <f>VLOOKUP(AR7,進度!$A$2:$C$250,2)</f>
        <v>0.45400000000000001</v>
      </c>
      <c r="AS12" s="142">
        <f>VLOOKUP(AS7,進度!$A$2:$C$250,2)</f>
        <v>0.45400000000000001</v>
      </c>
      <c r="AT12" s="142">
        <f>VLOOKUP(AT7,進度!$A$2:$C$250,2)</f>
        <v>0.45400000000000001</v>
      </c>
      <c r="AU12" s="142">
        <f>VLOOKUP(AU7,進度!$A$2:$C$250,2)</f>
        <v>0.45400000000000001</v>
      </c>
      <c r="AV12" s="142">
        <f>VLOOKUP(AV7,進度!$A$2:$C$250,2)</f>
        <v>0.45400000000000001</v>
      </c>
      <c r="AW12" s="142">
        <f>VLOOKUP(AW7,進度!$A$2:$C$250,2)</f>
        <v>0.45400000000000001</v>
      </c>
      <c r="AX12" s="142">
        <f>VLOOKUP(AX7,進度!$A$2:$C$250,2)</f>
        <v>0.45400000000000001</v>
      </c>
      <c r="AY12" s="142">
        <f>VLOOKUP(AY7,進度!$A$2:$C$250,2)</f>
        <v>0.45400000000000001</v>
      </c>
      <c r="AZ12" s="142">
        <f>VLOOKUP(AZ7,進度!$A$2:$C$250,2)</f>
        <v>0.45400000000000001</v>
      </c>
      <c r="BA12" s="142">
        <f>VLOOKUP(BA7,進度!$A$2:$C$250,2)</f>
        <v>0.45400000000000001</v>
      </c>
      <c r="BB12" s="142">
        <f>VLOOKUP(BB7,進度!$A$2:$C$250,2)</f>
        <v>0.45400000000000001</v>
      </c>
      <c r="BC12" s="142">
        <f>VLOOKUP(BC7,進度!$A$2:$C$250,2)</f>
        <v>0.45400000000000001</v>
      </c>
      <c r="BD12" s="142">
        <f>VLOOKUP(BD7,進度!$A$2:$C$250,2)</f>
        <v>0.45400000000000001</v>
      </c>
      <c r="BE12" s="142">
        <f>VLOOKUP(BE7,進度!$A$2:$C$250,2)</f>
        <v>0.45400000000000001</v>
      </c>
      <c r="BF12" s="142">
        <f>VLOOKUP(BF7,進度!$A$2:$C$250,2)</f>
        <v>0.45400000000000001</v>
      </c>
      <c r="BG12" s="142">
        <f>VLOOKUP(BG7,進度!$A$2:$C$250,2)</f>
        <v>0.45400000000000001</v>
      </c>
      <c r="BH12" s="142">
        <f>VLOOKUP(BH7,進度!$A$2:$C$250,2)</f>
        <v>0.252</v>
      </c>
      <c r="BI12" s="142">
        <f>VLOOKUP(BI7,進度!$A$2:$C$250,2)</f>
        <v>0.252</v>
      </c>
      <c r="BJ12" s="142">
        <f>VLOOKUP(BJ7,進度!$A$2:$C$250,2)</f>
        <v>0.252</v>
      </c>
      <c r="BK12" s="142">
        <f>VLOOKUP(BK7,進度!$A$2:$C$250,2)</f>
        <v>0.252</v>
      </c>
      <c r="BL12" s="142">
        <f>VLOOKUP(BL7,進度!$A$2:$C$250,2)</f>
        <v>0.252</v>
      </c>
      <c r="BM12" s="142">
        <f>VLOOKUP(BM7,進度!$A$2:$C$250,2)</f>
        <v>0.252</v>
      </c>
      <c r="BN12" s="142">
        <f>VLOOKUP(BN7,進度!$A$2:$C$250,2)</f>
        <v>0.252</v>
      </c>
      <c r="BO12" s="142">
        <f>VLOOKUP(BO7,進度!$A$2:$C$250,2)</f>
        <v>0.252</v>
      </c>
      <c r="BP12" s="142">
        <f>VLOOKUP(BP7,進度!$A$2:$C$250,2)</f>
        <v>0.252</v>
      </c>
      <c r="BQ12" s="142">
        <f>VLOOKUP(BQ7,進度!$A$2:$C$250,2)</f>
        <v>0.252</v>
      </c>
      <c r="BR12" s="142">
        <f>VLOOKUP(BR7,進度!$A$2:$C$250,2)</f>
        <v>0.252</v>
      </c>
      <c r="BS12" s="142">
        <f>VLOOKUP(BS7,進度!$A$2:$C$250,2)</f>
        <v>0.252</v>
      </c>
      <c r="BT12" s="142">
        <f>VLOOKUP(BT7,進度!$A$2:$C$250,2)</f>
        <v>0.252</v>
      </c>
      <c r="BU12" s="142">
        <f>VLOOKUP(BU7,進度!$A$2:$C$250,2)</f>
        <v>0.252</v>
      </c>
      <c r="BV12" s="142">
        <f>VLOOKUP(BV7,進度!$A$2:$C$250,2)</f>
        <v>0.252</v>
      </c>
      <c r="BW12" s="142">
        <f>VLOOKUP(BW7,進度!$A$2:$C$250,2)</f>
        <v>0.252</v>
      </c>
      <c r="BX12" s="142">
        <f>VLOOKUP(BX7,進度!$A$2:$C$250,2)</f>
        <v>0.252</v>
      </c>
      <c r="BY12" s="142">
        <f>VLOOKUP(BY7,進度!$A$2:$C$250,2)</f>
        <v>0.252</v>
      </c>
      <c r="BZ12" s="142">
        <f>VLOOKUP(BZ7,進度!$A$2:$C$250,2)</f>
        <v>0.252</v>
      </c>
      <c r="CA12" s="142">
        <f>VLOOKUP(CA7,進度!$A$2:$C$250,2)</f>
        <v>0.252</v>
      </c>
      <c r="CB12" s="142">
        <f>VLOOKUP(CB7,進度!$A$2:$C$250,2)</f>
        <v>0.252</v>
      </c>
      <c r="CC12" s="142">
        <f>VLOOKUP(CC7,進度!$A$2:$C$250,2)</f>
        <v>0.252</v>
      </c>
      <c r="CD12" s="142">
        <f>VLOOKUP(CD7,進度!$A$2:$C$250,2)</f>
        <v>0.252</v>
      </c>
      <c r="CE12" s="142">
        <f>VLOOKUP(CE7,進度!$A$2:$C$250,2)</f>
        <v>0.252</v>
      </c>
      <c r="CF12" s="142">
        <f>VLOOKUP(CF7,進度!$A$2:$C$250,2)</f>
        <v>0.252</v>
      </c>
      <c r="CG12" s="142">
        <f>VLOOKUP(CG7,進度!$A$2:$C$250,2)</f>
        <v>0.252</v>
      </c>
      <c r="CH12" s="142">
        <f>VLOOKUP(CH7,進度!$A$2:$C$250,2)</f>
        <v>0.252</v>
      </c>
      <c r="CI12" s="142">
        <f>VLOOKUP(CI7,進度!$A$2:$C$250,2)</f>
        <v>0.252</v>
      </c>
      <c r="CJ12" s="142">
        <f>VLOOKUP(CJ7,進度!$A$2:$C$250,2)</f>
        <v>0.252</v>
      </c>
      <c r="CK12" s="142">
        <f>VLOOKUP(CK7,進度!$A$2:$C$250,2)</f>
        <v>0.252</v>
      </c>
      <c r="CL12" s="142">
        <f>VLOOKUP(CL7,進度!$A$2:$C$250,2)</f>
        <v>0.252</v>
      </c>
      <c r="CM12" s="142">
        <f>VLOOKUP(CM7,進度!$A$2:$C$250,2)</f>
        <v>0.252</v>
      </c>
      <c r="CN12" s="142">
        <f>VLOOKUP(CN7,進度!$A$2:$C$250,2)</f>
        <v>0.252</v>
      </c>
      <c r="CO12" s="142">
        <f>VLOOKUP(CO7,進度!$A$2:$C$250,2)</f>
        <v>0.252</v>
      </c>
      <c r="CP12" s="142">
        <f>VLOOKUP(CP7,進度!$A$2:$C$250,2)</f>
        <v>0.252</v>
      </c>
      <c r="CQ12" s="142">
        <f>VLOOKUP(CQ7,進度!$A$2:$C$250,2)</f>
        <v>0.252</v>
      </c>
      <c r="CR12" s="142">
        <f>VLOOKUP(CR7,進度!$A$2:$C$250,2)</f>
        <v>0.252</v>
      </c>
      <c r="CS12" s="142">
        <f>VLOOKUP(CS7,進度!$A$2:$C$250,2)</f>
        <v>0.252</v>
      </c>
      <c r="CT12" s="142">
        <f>VLOOKUP(CT7,進度!$A$2:$C$250,2)</f>
        <v>0.252</v>
      </c>
      <c r="CU12" s="142">
        <f>VLOOKUP(CU7,進度!$A$2:$C$250,2)</f>
        <v>0.252</v>
      </c>
      <c r="CV12" s="142">
        <f>VLOOKUP(CV7,進度!$A$2:$C$250,2)</f>
        <v>0.252</v>
      </c>
      <c r="CW12" s="142">
        <f>VLOOKUP(CW7,進度!$A$2:$C$250,2)</f>
        <v>0.252</v>
      </c>
      <c r="CX12" s="142">
        <f>VLOOKUP(CX7,進度!$A$2:$C$250,2)</f>
        <v>0.252</v>
      </c>
      <c r="CY12" s="142">
        <f>VLOOKUP(CY7,進度!$A$2:$C$250,2)</f>
        <v>0.252</v>
      </c>
      <c r="CZ12" s="142">
        <f>VLOOKUP(CZ7,進度!$A$2:$C$250,2)</f>
        <v>0.252</v>
      </c>
      <c r="DA12" s="142">
        <f>VLOOKUP(DA7,進度!$A$2:$C$250,2)</f>
        <v>0.252</v>
      </c>
      <c r="DB12" s="142">
        <f>VLOOKUP(DB7,進度!$A$2:$C$250,2)</f>
        <v>0.252</v>
      </c>
      <c r="DC12" s="142">
        <f>VLOOKUP(DC7,進度!$A$2:$C$250,2)</f>
        <v>0.252</v>
      </c>
      <c r="DD12" s="142">
        <f>VLOOKUP(DD7,進度!$A$2:$C$250,2)</f>
        <v>0.252</v>
      </c>
      <c r="DE12" s="142">
        <f>VLOOKUP(DE7,進度!$A$2:$C$250,2)</f>
        <v>0.252</v>
      </c>
      <c r="DF12" s="142">
        <f>VLOOKUP(DF7,進度!$A$2:$C$250,2)</f>
        <v>0.252</v>
      </c>
      <c r="DG12" s="142">
        <f>VLOOKUP(DG7,進度!$A$2:$C$250,2)</f>
        <v>0.252</v>
      </c>
      <c r="DH12" s="142">
        <f>VLOOKUP(DH7,進度!$A$2:$C$250,2)</f>
        <v>0.252</v>
      </c>
      <c r="DI12" s="142">
        <f>VLOOKUP(DI7,進度!$A$2:$C$250,2)</f>
        <v>0.252</v>
      </c>
      <c r="DJ12" s="142">
        <f>VLOOKUP(DJ7,進度!$A$2:$C$250,2)</f>
        <v>0.252</v>
      </c>
      <c r="DK12" s="142">
        <f>VLOOKUP(DK7,進度!$A$2:$C$250,2)</f>
        <v>0.252</v>
      </c>
      <c r="DL12" s="142">
        <f>VLOOKUP(DL7,進度!$A$2:$C$250,2)</f>
        <v>0.252</v>
      </c>
      <c r="DM12" s="142">
        <f>VLOOKUP(DM7,進度!$A$2:$C$250,2)</f>
        <v>0.252</v>
      </c>
      <c r="DN12" s="142">
        <f>VLOOKUP(DN7,進度!$A$2:$C$250,2)</f>
        <v>0.252</v>
      </c>
      <c r="DO12" s="142">
        <f>VLOOKUP(DO7,進度!$A$2:$C$250,2)</f>
        <v>0.252</v>
      </c>
      <c r="DP12" s="142">
        <f>VLOOKUP(DP7,進度!$A$2:$C$250,2)</f>
        <v>0.63600000000000001</v>
      </c>
      <c r="DQ12" s="142">
        <f>VLOOKUP(DQ7,進度!$A$2:$C$250,2)</f>
        <v>0.63600000000000001</v>
      </c>
      <c r="DR12" s="142">
        <f>VLOOKUP(DR7,進度!$A$2:$C$250,2)</f>
        <v>0.63600000000000001</v>
      </c>
      <c r="DS12" s="142">
        <f>VLOOKUP(DS7,進度!$A$2:$C$250,2)</f>
        <v>0.63600000000000001</v>
      </c>
      <c r="DT12" s="142">
        <f>VLOOKUP(DT7,進度!$A$2:$C$250,2)</f>
        <v>0.63600000000000001</v>
      </c>
      <c r="DU12" s="142">
        <f>VLOOKUP(DU7,進度!$A$2:$C$250,2)</f>
        <v>0.63600000000000001</v>
      </c>
      <c r="DV12" s="142">
        <f>VLOOKUP(DV7,進度!$A$2:$C$250,2)</f>
        <v>0.63600000000000001</v>
      </c>
      <c r="DW12" s="142">
        <f>VLOOKUP(DW7,進度!$A$2:$C$250,2)</f>
        <v>0.63600000000000001</v>
      </c>
      <c r="DX12" s="142">
        <f>VLOOKUP(DX7,進度!$A$2:$C$250,2)</f>
        <v>0.63600000000000001</v>
      </c>
      <c r="DY12" s="142">
        <f>VLOOKUP(DY7,進度!$A$2:$C$250,2)</f>
        <v>0.63600000000000001</v>
      </c>
      <c r="DZ12" s="142">
        <f>VLOOKUP(DZ7,進度!$A$2:$C$250,2)</f>
        <v>0.63600000000000001</v>
      </c>
      <c r="EA12" s="142">
        <f>VLOOKUP(EA7,進度!$A$2:$C$250,2)</f>
        <v>0.63600000000000001</v>
      </c>
      <c r="EB12" s="142">
        <f>VLOOKUP(EB7,進度!$A$2:$C$250,2)</f>
        <v>0.63600000000000001</v>
      </c>
      <c r="EC12" s="142">
        <f>VLOOKUP(EC7,進度!$A$2:$C$250,2)</f>
        <v>0.63600000000000001</v>
      </c>
      <c r="ED12" s="142">
        <f>VLOOKUP(ED7,進度!$A$2:$C$250,2)</f>
        <v>0.63600000000000001</v>
      </c>
      <c r="EE12" s="142">
        <f>VLOOKUP(EE7,進度!$A$2:$C$250,2)</f>
        <v>0.63600000000000001</v>
      </c>
      <c r="EF12" s="142">
        <f>VLOOKUP(EF7,進度!$A$2:$C$250,2)</f>
        <v>0.63600000000000001</v>
      </c>
      <c r="EG12" s="142">
        <f>VLOOKUP(EG7,進度!$A$2:$C$250,2)</f>
        <v>0.63600000000000001</v>
      </c>
      <c r="EH12" s="142">
        <f>VLOOKUP(EH7,進度!$A$2:$C$250,2)</f>
        <v>0.63600000000000001</v>
      </c>
      <c r="EI12" s="142">
        <f>VLOOKUP(EI7,進度!$A$2:$C$250,2)</f>
        <v>0.63600000000000001</v>
      </c>
      <c r="EJ12" s="142">
        <f>VLOOKUP(EJ7,進度!$A$2:$C$250,2)</f>
        <v>0.69699999999999995</v>
      </c>
      <c r="EK12" s="142">
        <f>VLOOKUP(EK7,進度!$A$2:$C$250,2)</f>
        <v>0.69699999999999995</v>
      </c>
      <c r="EL12" s="142">
        <f>VLOOKUP(EL7,進度!$A$2:$C$250,2)</f>
        <v>0.69699999999999995</v>
      </c>
      <c r="EM12" s="142">
        <f>VLOOKUP(EM7,進度!$A$2:$C$250,2)</f>
        <v>0.69699999999999995</v>
      </c>
      <c r="EN12" s="142">
        <f>VLOOKUP(EN7,進度!$A$2:$C$250,2)</f>
        <v>0.69699999999999995</v>
      </c>
      <c r="EO12" s="142">
        <f>VLOOKUP(EO7,進度!$A$2:$C$250,2)</f>
        <v>0.69699999999999995</v>
      </c>
      <c r="EP12" s="142">
        <f>VLOOKUP(EP7,進度!$A$2:$C$250,2)</f>
        <v>0.69699999999999995</v>
      </c>
      <c r="EQ12" s="142">
        <f>VLOOKUP(EQ7,進度!$A$2:$C$250,2)</f>
        <v>0.69699999999999995</v>
      </c>
      <c r="ER12" s="142">
        <f>VLOOKUP(ER7,進度!$A$2:$C$250,2)</f>
        <v>0.69699999999999995</v>
      </c>
      <c r="ES12" s="142">
        <f>VLOOKUP(ES7,進度!$A$2:$C$250,2)</f>
        <v>0.69699999999999995</v>
      </c>
      <c r="ET12" s="142">
        <f>VLOOKUP(ET7,進度!$A$2:$C$250,2)</f>
        <v>0.76700000000000002</v>
      </c>
      <c r="EU12" s="142">
        <f>VLOOKUP(EU7,進度!$A$2:$C$250,2)</f>
        <v>0.76700000000000002</v>
      </c>
      <c r="EV12" s="142">
        <f>VLOOKUP(EV7,進度!$A$2:$C$250,2)</f>
        <v>0.76700000000000002</v>
      </c>
      <c r="EW12" s="142">
        <f>VLOOKUP(EW7,進度!$A$2:$C$250,2)</f>
        <v>0.76700000000000002</v>
      </c>
      <c r="EX12" s="142">
        <f>VLOOKUP(EX7,進度!$A$2:$C$250,2)</f>
        <v>0.76700000000000002</v>
      </c>
      <c r="EY12" s="142">
        <f>VLOOKUP(EY7,進度!$A$2:$C$250,2)</f>
        <v>0.76700000000000002</v>
      </c>
      <c r="EZ12" s="142">
        <f>VLOOKUP(EZ7,進度!$A$2:$C$250,2)</f>
        <v>0.76700000000000002</v>
      </c>
      <c r="FA12" s="142">
        <f>VLOOKUP(FA7,進度!$A$2:$C$250,2)</f>
        <v>0.76700000000000002</v>
      </c>
      <c r="FB12" s="142">
        <f>VLOOKUP(FB7,進度!$A$2:$C$250,2)</f>
        <v>0.76700000000000002</v>
      </c>
      <c r="FC12" s="142">
        <f>VLOOKUP(FC7,進度!$A$2:$C$250,2)</f>
        <v>0.76700000000000002</v>
      </c>
      <c r="FD12" s="142">
        <f>VLOOKUP(FD7,進度!$A$2:$C$250,2)</f>
        <v>1.0269999999999999</v>
      </c>
      <c r="FE12" s="142">
        <f>VLOOKUP(FE7,進度!$A$2:$C$250,2)</f>
        <v>1.0269999999999999</v>
      </c>
      <c r="FF12" s="142">
        <f>VLOOKUP(FF7,進度!$A$2:$C$250,2)</f>
        <v>1.0269999999999999</v>
      </c>
      <c r="FG12" s="142">
        <f>VLOOKUP(FG7,進度!$A$2:$C$250,2)</f>
        <v>1.0269999999999999</v>
      </c>
      <c r="FH12" s="142">
        <f>VLOOKUP(FH7,進度!$A$2:$C$250,2)</f>
        <v>1.0269999999999999</v>
      </c>
      <c r="FI12" s="142">
        <f>VLOOKUP(FI7,進度!$A$2:$C$250,2)</f>
        <v>1.0269999999999999</v>
      </c>
      <c r="FJ12" s="142">
        <f>VLOOKUP(FJ7,進度!$A$2:$C$250,2)</f>
        <v>1.0269999999999999</v>
      </c>
      <c r="FK12" s="142">
        <f>VLOOKUP(FK7,進度!$A$2:$C$250,2)</f>
        <v>1.0269999999999999</v>
      </c>
      <c r="FL12" s="142">
        <f>VLOOKUP(FL7,進度!$A$2:$C$250,2)</f>
        <v>1.0269999999999999</v>
      </c>
      <c r="FM12" s="142">
        <f>VLOOKUP(FM7,進度!$A$2:$C$250,2)</f>
        <v>1.0269999999999999</v>
      </c>
      <c r="FN12" s="142">
        <f>VLOOKUP(FN7,進度!$A$2:$C$250,2)</f>
        <v>1.3620000000000001</v>
      </c>
      <c r="FO12" s="142">
        <f>VLOOKUP(FO7,進度!$A$2:$C$250,2)</f>
        <v>1.3620000000000001</v>
      </c>
      <c r="FP12" s="142">
        <f>VLOOKUP(FP7,進度!$A$2:$C$250,2)</f>
        <v>1.3620000000000001</v>
      </c>
      <c r="FQ12" s="142">
        <f>VLOOKUP(FQ7,進度!$A$2:$C$250,2)</f>
        <v>1.3620000000000001</v>
      </c>
      <c r="FR12" s="142">
        <f>VLOOKUP(FR7,進度!$A$2:$C$250,2)</f>
        <v>1.3620000000000001</v>
      </c>
      <c r="FS12" s="142">
        <f>VLOOKUP(FS7,進度!$A$2:$C$250,2)</f>
        <v>1.3620000000000001</v>
      </c>
      <c r="FT12" s="142">
        <f>VLOOKUP(FT7,進度!$A$2:$C$250,2)</f>
        <v>1.3620000000000001</v>
      </c>
      <c r="FU12" s="142">
        <f>VLOOKUP(FU7,進度!$A$2:$C$250,2)</f>
        <v>1.3620000000000001</v>
      </c>
      <c r="FV12" s="142">
        <f>VLOOKUP(FV7,進度!$A$2:$C$250,2)</f>
        <v>1.3620000000000001</v>
      </c>
      <c r="FW12" s="142">
        <f>VLOOKUP(FW7,進度!$A$2:$C$250,2)</f>
        <v>1.3620000000000001</v>
      </c>
      <c r="FX12" s="142">
        <f>VLOOKUP(FX7,進度!$A$2:$C$250,2)</f>
        <v>1.5580000000000001</v>
      </c>
      <c r="FY12" s="142">
        <f>VLOOKUP(FY7,進度!$A$2:$C$250,2)</f>
        <v>1.5580000000000001</v>
      </c>
      <c r="FZ12" s="142">
        <f>VLOOKUP(FZ7,進度!$A$2:$C$250,2)</f>
        <v>1.5580000000000001</v>
      </c>
      <c r="GA12" s="142">
        <f>VLOOKUP(GA7,進度!$A$2:$C$250,2)</f>
        <v>1.5580000000000001</v>
      </c>
      <c r="GB12" s="142">
        <f>VLOOKUP(GB7,進度!$A$2:$C$250,2)</f>
        <v>1.5580000000000001</v>
      </c>
      <c r="GC12" s="142">
        <f>VLOOKUP(GC7,進度!$A$2:$C$250,2)</f>
        <v>1.5580000000000001</v>
      </c>
      <c r="GD12" s="142">
        <f>VLOOKUP(GD7,進度!$A$2:$C$250,2)</f>
        <v>1.5580000000000001</v>
      </c>
      <c r="GE12" s="142">
        <f>VLOOKUP(GE7,進度!$A$2:$C$250,2)</f>
        <v>1.5580000000000001</v>
      </c>
      <c r="GF12" s="142">
        <f>VLOOKUP(GF7,進度!$A$2:$C$250,2)</f>
        <v>1.5580000000000001</v>
      </c>
      <c r="GG12" s="284">
        <f>VLOOKUP(GG7,進度!$A$2:$C$250,2)</f>
        <v>1.57</v>
      </c>
      <c r="GH12" s="142">
        <f>VLOOKUP(GH7,進度!$A$2:$C$250,2)</f>
        <v>1.57</v>
      </c>
      <c r="GI12" s="142">
        <f>VLOOKUP(GI7,進度!$A$2:$C$250,2)</f>
        <v>1.57</v>
      </c>
      <c r="GJ12" s="142">
        <f>VLOOKUP(GJ7,進度!$A$2:$C$250,2)</f>
        <v>1.57</v>
      </c>
      <c r="GK12" s="142">
        <f>VLOOKUP(GK7,進度!$A$2:$C$250,2)</f>
        <v>1.57</v>
      </c>
      <c r="GL12" s="142">
        <f>VLOOKUP(GL7,進度!$A$2:$C$250,2)</f>
        <v>1.57</v>
      </c>
      <c r="GM12" s="142">
        <f>VLOOKUP(GM7,進度!$A$2:$C$250,2)</f>
        <v>1.57</v>
      </c>
      <c r="GN12" s="142">
        <f>VLOOKUP(GN7,進度!$A$2:$C$250,2)</f>
        <v>1.57</v>
      </c>
      <c r="GO12" s="142">
        <f>VLOOKUP(GO7,進度!$A$2:$C$250,2)</f>
        <v>1.57</v>
      </c>
      <c r="GP12" s="142">
        <f>VLOOKUP(GP7,進度!$A$2:$C$250,2)</f>
        <v>1.57</v>
      </c>
      <c r="GQ12" s="142">
        <f>VLOOKUP(GQ7,進度!$A$2:$C$250,2)</f>
        <v>1.57</v>
      </c>
      <c r="GR12" s="142">
        <f>VLOOKUP(GR7,進度!$A$2:$C$250,2)</f>
        <v>1.57</v>
      </c>
      <c r="GS12" s="142">
        <f>VLOOKUP(GS7,進度!$A$2:$C$250,2)</f>
        <v>1.57</v>
      </c>
      <c r="GT12" s="142">
        <f>VLOOKUP(GT7,進度!$A$2:$C$250,2)</f>
        <v>1.57</v>
      </c>
      <c r="GU12" s="142">
        <f>VLOOKUP(GU7,進度!$A$2:$C$250,2)</f>
        <v>1.57</v>
      </c>
      <c r="GV12" s="142">
        <f>VLOOKUP(GV7,進度!$A$2:$C$250,2)</f>
        <v>1.57</v>
      </c>
      <c r="GW12" s="142">
        <f>VLOOKUP(GW7,進度!$A$2:$C$250,2)</f>
        <v>1.57</v>
      </c>
      <c r="GX12" s="142">
        <f>VLOOKUP(GX7,進度!$A$2:$C$250,2)</f>
        <v>1.57</v>
      </c>
      <c r="GY12" s="142">
        <f>VLOOKUP(GY7,進度!$A$2:$C$250,2)</f>
        <v>1.57</v>
      </c>
      <c r="GZ12" s="142">
        <f>VLOOKUP(GZ7,進度!$A$2:$C$250,2)</f>
        <v>1.57</v>
      </c>
      <c r="HA12" s="142">
        <f>VLOOKUP(HA7,進度!$A$2:$C$250,2)</f>
        <v>1.57</v>
      </c>
      <c r="HB12" s="142">
        <f>VLOOKUP(HB7,進度!$A$2:$C$250,2)</f>
        <v>1.57</v>
      </c>
      <c r="HC12" s="142">
        <f>VLOOKUP(HC7,進度!$A$2:$C$250,2)</f>
        <v>1.57</v>
      </c>
      <c r="HD12" s="142">
        <f>VLOOKUP(HD7,進度!$A$2:$C$250,2)</f>
        <v>1.57</v>
      </c>
      <c r="HE12" s="142">
        <f>VLOOKUP(HE7,進度!$A$2:$C$250,2)</f>
        <v>1.57</v>
      </c>
      <c r="HF12" s="142">
        <f>VLOOKUP(HF7,進度!$A$2:$C$250,2)</f>
        <v>1.57</v>
      </c>
      <c r="HG12" s="142">
        <f>VLOOKUP(HG7,進度!$A$2:$C$250,2)</f>
        <v>1.57</v>
      </c>
      <c r="HH12" s="142">
        <f>VLOOKUP(HH7,進度!$A$2:$C$250,2)</f>
        <v>1.57</v>
      </c>
      <c r="HI12" s="142">
        <f>VLOOKUP(HI7,進度!$A$2:$C$250,2)</f>
        <v>1.57</v>
      </c>
      <c r="HJ12" s="142">
        <f>VLOOKUP(HJ7,進度!$A$2:$C$250,2)</f>
        <v>1.57</v>
      </c>
      <c r="HK12" s="142">
        <f>VLOOKUP(HK7,進度!$A$2:$C$250,2)</f>
        <v>1.57</v>
      </c>
      <c r="HL12" s="142">
        <f>VLOOKUP(HL7,進度!$A$2:$C$250,2)</f>
        <v>1.57</v>
      </c>
      <c r="HM12" s="142">
        <f>VLOOKUP(HM7,進度!$A$2:$C$250,2)</f>
        <v>1.57</v>
      </c>
      <c r="HN12" s="142">
        <f>VLOOKUP(HN7,進度!$A$2:$C$250,2)</f>
        <v>1.57</v>
      </c>
      <c r="HO12" s="142">
        <f>VLOOKUP(HO7,進度!$A$2:$C$250,2)</f>
        <v>1.57</v>
      </c>
      <c r="HP12" s="142">
        <f>VLOOKUP(HP7,進度!$A$2:$C$250,2)</f>
        <v>1.57</v>
      </c>
      <c r="HQ12" s="142">
        <f>VLOOKUP(HQ7,進度!$A$2:$C$250,2)</f>
        <v>1.57</v>
      </c>
      <c r="HR12" s="142">
        <f>VLOOKUP(HR7,進度!$A$2:$C$250,2)</f>
        <v>1.57</v>
      </c>
      <c r="HS12" s="142">
        <f>VLOOKUP(HS7,進度!$A$2:$C$250,2)</f>
        <v>1.57</v>
      </c>
      <c r="HT12" s="142">
        <f>VLOOKUP(HT7,進度!$A$2:$C$250,2)</f>
        <v>1.57</v>
      </c>
      <c r="HU12" s="142">
        <f>VLOOKUP(HU7,進度!$A$2:$C$250,2)</f>
        <v>1.57</v>
      </c>
      <c r="HV12" s="142">
        <f>VLOOKUP(HV7,進度!$A$2:$C$250,2)</f>
        <v>1.57</v>
      </c>
      <c r="HW12" s="142">
        <f>VLOOKUP(HW7,進度!$A$2:$C$250,2)</f>
        <v>1.57</v>
      </c>
      <c r="HX12" s="142">
        <f>VLOOKUP(HX7,進度!$A$2:$C$250,2)</f>
        <v>1.57</v>
      </c>
      <c r="HY12" s="142">
        <f>VLOOKUP(HY7,進度!$A$2:$C$250,2)</f>
        <v>1.57</v>
      </c>
      <c r="HZ12" s="142">
        <f>VLOOKUP(HZ7,進度!$A$2:$C$250,2)</f>
        <v>1.57</v>
      </c>
      <c r="IA12" s="142">
        <f>VLOOKUP(IA7,進度!$A$2:$C$250,2)</f>
        <v>1.57</v>
      </c>
      <c r="IB12" s="142">
        <f>VLOOKUP(IB7,進度!$A$2:$C$250,2)</f>
        <v>1.57</v>
      </c>
      <c r="IC12" s="142">
        <f>VLOOKUP(IC7,進度!$A$2:$C$250,2)</f>
        <v>1.57</v>
      </c>
      <c r="ID12" s="142">
        <f>VLOOKUP(ID7,進度!$A$2:$C$250,2)</f>
        <v>1.57</v>
      </c>
      <c r="IE12" s="142">
        <f>VLOOKUP(IE7,進度!$A$2:$C$250,2)</f>
        <v>1.57</v>
      </c>
      <c r="IF12" s="142">
        <f>VLOOKUP(IF7,進度!$A$2:$C$250,2)</f>
        <v>1.57</v>
      </c>
      <c r="IG12" s="142">
        <f>VLOOKUP(IG7,進度!$A$2:$C$250,2)</f>
        <v>1.57</v>
      </c>
      <c r="IH12" s="142">
        <f>VLOOKUP(IH7,進度!$A$2:$C$250,2)</f>
        <v>1.57</v>
      </c>
      <c r="II12" s="142">
        <f>VLOOKUP(II7,進度!$A$2:$C$250,2)</f>
        <v>1.57</v>
      </c>
      <c r="IJ12" s="142">
        <f>VLOOKUP(IJ7,進度!$A$2:$C$250,2)</f>
        <v>1.57</v>
      </c>
      <c r="IK12" s="142">
        <f>VLOOKUP(IK7,進度!$A$2:$C$250,2)</f>
        <v>1.57</v>
      </c>
      <c r="IL12" s="142">
        <f>VLOOKUP(IL7,進度!$A$2:$C$250,2)</f>
        <v>1.57</v>
      </c>
      <c r="IM12" s="142">
        <f>VLOOKUP(IM7,進度!$A$2:$C$250,2)</f>
        <v>1.57</v>
      </c>
      <c r="IN12" s="142">
        <f>VLOOKUP(IN7,進度!$A$2:$C$250,2)</f>
        <v>1.57</v>
      </c>
      <c r="IO12" s="142">
        <f>VLOOKUP(IO7,進度!$A$2:$C$250,2)</f>
        <v>1.57</v>
      </c>
      <c r="IP12" s="142">
        <f>VLOOKUP(IP7,進度!$A$2:$C$250,2)</f>
        <v>1.57</v>
      </c>
      <c r="IQ12" s="142">
        <f>VLOOKUP(IQ7,進度!$A$2:$C$250,2)</f>
        <v>1.57</v>
      </c>
      <c r="IR12" s="142">
        <f>VLOOKUP(IR7,進度!$A$2:$C$250,2)</f>
        <v>1.57</v>
      </c>
      <c r="IS12" s="142">
        <f>VLOOKUP(IS7,進度!$A$2:$C$250,2)</f>
        <v>1.57</v>
      </c>
      <c r="IT12" s="142">
        <f>VLOOKUP(IT7,進度!$A$2:$C$250,2)</f>
        <v>1.57</v>
      </c>
      <c r="IU12" s="142">
        <f>VLOOKUP(IU7,進度!$A$2:$C$250,2)</f>
        <v>1.57</v>
      </c>
      <c r="IV12" s="142"/>
    </row>
    <row r="13" spans="3:256" s="143" customFormat="1">
      <c r="C13" s="220" t="s">
        <v>164</v>
      </c>
      <c r="D13" s="144"/>
      <c r="F13" s="143" t="s">
        <v>147</v>
      </c>
      <c r="I13" s="145">
        <f>ROUND(LOOKUP(I$6,J$6:IV$6,J13:IV13),2)</f>
        <v>9.8699999999999992</v>
      </c>
      <c r="J13" s="143">
        <f>IF(J7=1,J12,IF(J7=0,0))</f>
        <v>0.34799999999999998</v>
      </c>
      <c r="K13" s="143">
        <f>IF(K7-J7=1,J13+K12,IF(K7-J7=0,J13+0))</f>
        <v>0.69599999999999995</v>
      </c>
      <c r="L13" s="143">
        <f t="shared" ref="L13:BW13" si="22">IF(L7-K7=1,K13+L12,IF(L7-K7=0,K13+0))</f>
        <v>1.044</v>
      </c>
      <c r="M13" s="143">
        <f t="shared" si="22"/>
        <v>1.3919999999999999</v>
      </c>
      <c r="N13" s="143">
        <f t="shared" si="22"/>
        <v>1.7399999999999998</v>
      </c>
      <c r="O13" s="143">
        <f t="shared" si="22"/>
        <v>2.0879999999999996</v>
      </c>
      <c r="P13" s="143">
        <f t="shared" si="22"/>
        <v>2.4359999999999995</v>
      </c>
      <c r="Q13" s="143">
        <f t="shared" si="22"/>
        <v>2.7839999999999994</v>
      </c>
      <c r="R13" s="143">
        <f t="shared" si="22"/>
        <v>3.1319999999999992</v>
      </c>
      <c r="S13" s="143">
        <f t="shared" si="22"/>
        <v>3.4799999999999991</v>
      </c>
      <c r="T13" s="143">
        <f t="shared" si="22"/>
        <v>3.7539999999999991</v>
      </c>
      <c r="U13" s="143">
        <f t="shared" si="22"/>
        <v>4.0279999999999987</v>
      </c>
      <c r="V13" s="143">
        <f t="shared" si="22"/>
        <v>4.3019999999999987</v>
      </c>
      <c r="W13" s="143">
        <f t="shared" si="22"/>
        <v>4.5759999999999987</v>
      </c>
      <c r="X13" s="143">
        <f t="shared" si="22"/>
        <v>4.8499999999999988</v>
      </c>
      <c r="Y13" s="143">
        <f t="shared" si="22"/>
        <v>5.1239999999999988</v>
      </c>
      <c r="Z13" s="143">
        <f t="shared" si="22"/>
        <v>5.3979999999999988</v>
      </c>
      <c r="AA13" s="143">
        <f t="shared" si="22"/>
        <v>5.6719999999999988</v>
      </c>
      <c r="AB13" s="143">
        <f t="shared" si="22"/>
        <v>5.9459999999999988</v>
      </c>
      <c r="AC13" s="143">
        <f t="shared" si="22"/>
        <v>6.2199999999999989</v>
      </c>
      <c r="AD13" s="143">
        <f t="shared" si="22"/>
        <v>6.4939999999999989</v>
      </c>
      <c r="AE13" s="143">
        <f t="shared" si="22"/>
        <v>6.7679999999999989</v>
      </c>
      <c r="AF13" s="143">
        <f t="shared" si="22"/>
        <v>7.0419999999999989</v>
      </c>
      <c r="AG13" s="143">
        <f t="shared" si="22"/>
        <v>7.3159999999999989</v>
      </c>
      <c r="AH13" s="143">
        <f t="shared" si="22"/>
        <v>7.589999999999999</v>
      </c>
      <c r="AI13" s="143">
        <f t="shared" si="22"/>
        <v>7.863999999999999</v>
      </c>
      <c r="AJ13" s="143">
        <f t="shared" si="22"/>
        <v>8.1379999999999981</v>
      </c>
      <c r="AK13" s="143">
        <f t="shared" si="22"/>
        <v>8.411999999999999</v>
      </c>
      <c r="AL13" s="143">
        <f t="shared" si="22"/>
        <v>8.6859999999999999</v>
      </c>
      <c r="AM13" s="143">
        <f t="shared" si="22"/>
        <v>8.9600000000000009</v>
      </c>
      <c r="AN13" s="143">
        <f t="shared" si="22"/>
        <v>9.4140000000000015</v>
      </c>
      <c r="AO13" s="143">
        <f t="shared" si="22"/>
        <v>9.8680000000000021</v>
      </c>
      <c r="AP13" s="143">
        <f t="shared" si="22"/>
        <v>10.322000000000003</v>
      </c>
      <c r="AQ13" s="143">
        <f t="shared" si="22"/>
        <v>10.776000000000003</v>
      </c>
      <c r="AR13" s="143">
        <f t="shared" si="22"/>
        <v>11.230000000000004</v>
      </c>
      <c r="AS13" s="143">
        <f t="shared" si="22"/>
        <v>11.684000000000005</v>
      </c>
      <c r="AT13" s="143">
        <f t="shared" si="22"/>
        <v>12.138000000000005</v>
      </c>
      <c r="AU13" s="143">
        <f t="shared" si="22"/>
        <v>12.592000000000006</v>
      </c>
      <c r="AV13" s="143">
        <f t="shared" si="22"/>
        <v>13.046000000000006</v>
      </c>
      <c r="AW13" s="143">
        <f t="shared" si="22"/>
        <v>13.500000000000007</v>
      </c>
      <c r="AX13" s="143">
        <f t="shared" si="22"/>
        <v>13.954000000000008</v>
      </c>
      <c r="AY13" s="143">
        <f t="shared" si="22"/>
        <v>14.408000000000008</v>
      </c>
      <c r="AZ13" s="143">
        <f t="shared" si="22"/>
        <v>14.862000000000009</v>
      </c>
      <c r="BA13" s="143">
        <f t="shared" si="22"/>
        <v>15.31600000000001</v>
      </c>
      <c r="BB13" s="143">
        <f t="shared" si="22"/>
        <v>15.77000000000001</v>
      </c>
      <c r="BC13" s="143">
        <f t="shared" si="22"/>
        <v>16.224000000000011</v>
      </c>
      <c r="BD13" s="143">
        <f t="shared" si="22"/>
        <v>16.678000000000011</v>
      </c>
      <c r="BE13" s="143">
        <f t="shared" si="22"/>
        <v>17.132000000000012</v>
      </c>
      <c r="BF13" s="143">
        <f t="shared" si="22"/>
        <v>17.586000000000013</v>
      </c>
      <c r="BG13" s="143">
        <f t="shared" si="22"/>
        <v>18.040000000000013</v>
      </c>
      <c r="BH13" s="143">
        <f t="shared" si="22"/>
        <v>18.292000000000012</v>
      </c>
      <c r="BI13" s="143">
        <f t="shared" si="22"/>
        <v>18.544000000000011</v>
      </c>
      <c r="BJ13" s="143">
        <f t="shared" si="22"/>
        <v>18.79600000000001</v>
      </c>
      <c r="BK13" s="143">
        <f t="shared" si="22"/>
        <v>19.048000000000009</v>
      </c>
      <c r="BL13" s="143">
        <f t="shared" si="22"/>
        <v>19.300000000000008</v>
      </c>
      <c r="BM13" s="143">
        <f t="shared" si="22"/>
        <v>19.552000000000007</v>
      </c>
      <c r="BN13" s="143">
        <f t="shared" si="22"/>
        <v>19.804000000000006</v>
      </c>
      <c r="BO13" s="143">
        <f t="shared" si="22"/>
        <v>20.056000000000004</v>
      </c>
      <c r="BP13" s="143">
        <f t="shared" si="22"/>
        <v>20.308000000000003</v>
      </c>
      <c r="BQ13" s="143">
        <f t="shared" si="22"/>
        <v>20.560000000000002</v>
      </c>
      <c r="BR13" s="143">
        <f t="shared" si="22"/>
        <v>20.812000000000001</v>
      </c>
      <c r="BS13" s="143">
        <f t="shared" si="22"/>
        <v>21.064</v>
      </c>
      <c r="BT13" s="143">
        <f t="shared" si="22"/>
        <v>21.315999999999999</v>
      </c>
      <c r="BU13" s="143">
        <f t="shared" si="22"/>
        <v>21.567999999999998</v>
      </c>
      <c r="BV13" s="143">
        <f t="shared" si="22"/>
        <v>21.819999999999997</v>
      </c>
      <c r="BW13" s="143">
        <f t="shared" si="22"/>
        <v>22.071999999999996</v>
      </c>
      <c r="BX13" s="143">
        <f t="shared" ref="BX13:DN13" si="23">IF(BX7-BW7=1,BW13+BX12,IF(BX7-BW7=0,BW13+0))</f>
        <v>22.323999999999995</v>
      </c>
      <c r="BY13" s="143">
        <f t="shared" si="23"/>
        <v>22.575999999999993</v>
      </c>
      <c r="BZ13" s="143">
        <f t="shared" si="23"/>
        <v>22.827999999999992</v>
      </c>
      <c r="CA13" s="143">
        <f t="shared" si="23"/>
        <v>23.079999999999991</v>
      </c>
      <c r="CB13" s="143">
        <f t="shared" si="23"/>
        <v>23.33199999999999</v>
      </c>
      <c r="CC13" s="143">
        <f t="shared" si="23"/>
        <v>23.583999999999989</v>
      </c>
      <c r="CD13" s="143">
        <f t="shared" si="23"/>
        <v>23.835999999999988</v>
      </c>
      <c r="CE13" s="143">
        <f t="shared" si="23"/>
        <v>24.087999999999987</v>
      </c>
      <c r="CF13" s="143">
        <f t="shared" si="23"/>
        <v>24.339999999999986</v>
      </c>
      <c r="CG13" s="143">
        <f t="shared" si="23"/>
        <v>24.591999999999985</v>
      </c>
      <c r="CH13" s="143">
        <f t="shared" si="23"/>
        <v>24.843999999999983</v>
      </c>
      <c r="CI13" s="143">
        <f t="shared" si="23"/>
        <v>25.095999999999982</v>
      </c>
      <c r="CJ13" s="143">
        <f t="shared" si="23"/>
        <v>25.347999999999981</v>
      </c>
      <c r="CK13" s="143">
        <f t="shared" si="23"/>
        <v>25.59999999999998</v>
      </c>
      <c r="CL13" s="143">
        <f t="shared" si="23"/>
        <v>25.851999999999979</v>
      </c>
      <c r="CM13" s="143">
        <f t="shared" si="23"/>
        <v>26.103999999999978</v>
      </c>
      <c r="CN13" s="143">
        <f t="shared" si="23"/>
        <v>26.355999999999977</v>
      </c>
      <c r="CO13" s="143">
        <f t="shared" si="23"/>
        <v>26.607999999999976</v>
      </c>
      <c r="CP13" s="143">
        <f t="shared" si="23"/>
        <v>26.859999999999975</v>
      </c>
      <c r="CQ13" s="143">
        <f t="shared" si="23"/>
        <v>27.111999999999973</v>
      </c>
      <c r="CR13" s="143">
        <f t="shared" si="23"/>
        <v>27.363999999999972</v>
      </c>
      <c r="CS13" s="143">
        <f t="shared" si="23"/>
        <v>27.615999999999971</v>
      </c>
      <c r="CT13" s="143">
        <f t="shared" si="23"/>
        <v>27.86799999999997</v>
      </c>
      <c r="CU13" s="143">
        <f t="shared" si="23"/>
        <v>28.119999999999969</v>
      </c>
      <c r="CV13" s="143">
        <f t="shared" si="23"/>
        <v>28.371999999999968</v>
      </c>
      <c r="CW13" s="143">
        <f t="shared" si="23"/>
        <v>28.623999999999967</v>
      </c>
      <c r="CX13" s="143">
        <f t="shared" si="23"/>
        <v>28.875999999999966</v>
      </c>
      <c r="CY13" s="143">
        <f t="shared" si="23"/>
        <v>29.127999999999965</v>
      </c>
      <c r="CZ13" s="143">
        <f t="shared" si="23"/>
        <v>29.379999999999963</v>
      </c>
      <c r="DA13" s="143">
        <f t="shared" si="23"/>
        <v>29.631999999999962</v>
      </c>
      <c r="DB13" s="143">
        <f t="shared" si="23"/>
        <v>29.883999999999961</v>
      </c>
      <c r="DC13" s="143">
        <f t="shared" si="23"/>
        <v>30.13599999999996</v>
      </c>
      <c r="DD13" s="143">
        <f t="shared" si="23"/>
        <v>30.387999999999959</v>
      </c>
      <c r="DE13" s="143">
        <f t="shared" si="23"/>
        <v>30.639999999999958</v>
      </c>
      <c r="DF13" s="143">
        <f t="shared" si="23"/>
        <v>30.891999999999957</v>
      </c>
      <c r="DG13" s="143">
        <f t="shared" si="23"/>
        <v>31.143999999999956</v>
      </c>
      <c r="DH13" s="143">
        <f t="shared" si="23"/>
        <v>31.395999999999955</v>
      </c>
      <c r="DI13" s="143">
        <f t="shared" si="23"/>
        <v>31.647999999999954</v>
      </c>
      <c r="DJ13" s="143">
        <f t="shared" si="23"/>
        <v>31.899999999999952</v>
      </c>
      <c r="DK13" s="143">
        <f>IF(DK7-DJ7=1,DJ13+DK12,IF(DK7-DJ7=0,DJ13+0))</f>
        <v>32.151999999999951</v>
      </c>
      <c r="DL13" s="143">
        <f>IF(DL7-DK7=1,DK13+DL12,IF(DL7-DK7=0,DK13+0))</f>
        <v>32.403999999999954</v>
      </c>
      <c r="DM13" s="143">
        <f t="shared" si="23"/>
        <v>32.655999999999956</v>
      </c>
      <c r="DN13" s="143">
        <f t="shared" si="23"/>
        <v>32.907999999999959</v>
      </c>
      <c r="DO13" s="143">
        <f t="shared" ref="DO13:FH13" si="24">IF(DO7-DN7=1,DN13+DO12,IF(DO7-DN7=0,DN13+0))</f>
        <v>33.159999999999961</v>
      </c>
      <c r="DP13" s="143">
        <f t="shared" si="24"/>
        <v>33.795999999999964</v>
      </c>
      <c r="DQ13" s="143">
        <f t="shared" si="24"/>
        <v>34.431999999999967</v>
      </c>
      <c r="DR13" s="143">
        <f t="shared" si="24"/>
        <v>35.067999999999969</v>
      </c>
      <c r="DS13" s="143">
        <f t="shared" si="24"/>
        <v>35.703999999999972</v>
      </c>
      <c r="DT13" s="143">
        <f t="shared" si="24"/>
        <v>36.339999999999975</v>
      </c>
      <c r="DU13" s="143">
        <f t="shared" si="24"/>
        <v>36.975999999999978</v>
      </c>
      <c r="DV13" s="143">
        <f t="shared" si="24"/>
        <v>37.611999999999981</v>
      </c>
      <c r="DW13" s="143">
        <f t="shared" si="24"/>
        <v>38.247999999999983</v>
      </c>
      <c r="DX13" s="143">
        <f t="shared" si="24"/>
        <v>38.883999999999986</v>
      </c>
      <c r="DY13" s="143">
        <f t="shared" si="24"/>
        <v>39.519999999999989</v>
      </c>
      <c r="DZ13" s="143">
        <f t="shared" si="24"/>
        <v>40.155999999999992</v>
      </c>
      <c r="EA13" s="143">
        <f t="shared" si="24"/>
        <v>40.791999999999994</v>
      </c>
      <c r="EB13" s="143">
        <f t="shared" si="24"/>
        <v>41.427999999999997</v>
      </c>
      <c r="EC13" s="143">
        <f t="shared" si="24"/>
        <v>42.064</v>
      </c>
      <c r="ED13" s="143">
        <f t="shared" si="24"/>
        <v>42.7</v>
      </c>
      <c r="EE13" s="143">
        <f t="shared" si="24"/>
        <v>43.336000000000006</v>
      </c>
      <c r="EF13" s="143">
        <f t="shared" si="24"/>
        <v>43.972000000000008</v>
      </c>
      <c r="EG13" s="143">
        <f t="shared" si="24"/>
        <v>44.608000000000011</v>
      </c>
      <c r="EH13" s="143">
        <f t="shared" si="24"/>
        <v>45.244000000000014</v>
      </c>
      <c r="EI13" s="143">
        <f t="shared" si="24"/>
        <v>45.880000000000017</v>
      </c>
      <c r="EJ13" s="143">
        <f t="shared" si="24"/>
        <v>46.577000000000019</v>
      </c>
      <c r="EK13" s="143">
        <f t="shared" si="24"/>
        <v>47.274000000000022</v>
      </c>
      <c r="EL13" s="143">
        <f t="shared" si="24"/>
        <v>47.971000000000025</v>
      </c>
      <c r="EM13" s="143">
        <f t="shared" si="24"/>
        <v>48.668000000000028</v>
      </c>
      <c r="EN13" s="143">
        <f t="shared" si="24"/>
        <v>49.36500000000003</v>
      </c>
      <c r="EO13" s="143">
        <f t="shared" si="24"/>
        <v>50.062000000000033</v>
      </c>
      <c r="EP13" s="143">
        <f t="shared" si="24"/>
        <v>50.759000000000036</v>
      </c>
      <c r="EQ13" s="143">
        <f t="shared" si="24"/>
        <v>51.456000000000039</v>
      </c>
      <c r="ER13" s="143">
        <f t="shared" si="24"/>
        <v>52.153000000000041</v>
      </c>
      <c r="ES13" s="143">
        <f t="shared" si="24"/>
        <v>52.850000000000044</v>
      </c>
      <c r="ET13" s="143">
        <f t="shared" si="24"/>
        <v>53.617000000000047</v>
      </c>
      <c r="EU13" s="143">
        <f t="shared" si="24"/>
        <v>54.38400000000005</v>
      </c>
      <c r="EV13" s="143">
        <f t="shared" si="24"/>
        <v>55.151000000000053</v>
      </c>
      <c r="EW13" s="143">
        <f t="shared" si="24"/>
        <v>55.918000000000056</v>
      </c>
      <c r="EX13" s="143">
        <f t="shared" si="24"/>
        <v>56.685000000000059</v>
      </c>
      <c r="EY13" s="143">
        <f t="shared" si="24"/>
        <v>57.452000000000062</v>
      </c>
      <c r="EZ13" s="143">
        <f t="shared" si="24"/>
        <v>58.219000000000065</v>
      </c>
      <c r="FA13" s="143">
        <f t="shared" si="24"/>
        <v>58.986000000000068</v>
      </c>
      <c r="FB13" s="143">
        <f t="shared" si="24"/>
        <v>59.753000000000071</v>
      </c>
      <c r="FC13" s="143">
        <f t="shared" si="24"/>
        <v>60.520000000000074</v>
      </c>
      <c r="FD13" s="143">
        <f t="shared" si="24"/>
        <v>61.547000000000075</v>
      </c>
      <c r="FE13" s="143">
        <f t="shared" si="24"/>
        <v>62.574000000000076</v>
      </c>
      <c r="FF13" s="143">
        <f t="shared" si="24"/>
        <v>63.601000000000077</v>
      </c>
      <c r="FG13" s="143">
        <f t="shared" si="24"/>
        <v>64.628000000000071</v>
      </c>
      <c r="FH13" s="143">
        <f t="shared" si="24"/>
        <v>65.655000000000072</v>
      </c>
      <c r="FI13" s="143">
        <f t="shared" ref="FI13:FR13" si="25">IF(FI7-FH7=1,FH13+FI12,IF(FI7-FH7=0,FH13+0))</f>
        <v>66.682000000000073</v>
      </c>
      <c r="FJ13" s="143">
        <f t="shared" si="25"/>
        <v>67.709000000000074</v>
      </c>
      <c r="FK13" s="143">
        <f t="shared" si="25"/>
        <v>68.736000000000075</v>
      </c>
      <c r="FL13" s="143">
        <f t="shared" si="25"/>
        <v>69.763000000000076</v>
      </c>
      <c r="FM13" s="143">
        <f t="shared" si="25"/>
        <v>70.790000000000077</v>
      </c>
      <c r="FN13" s="143">
        <f t="shared" si="25"/>
        <v>72.152000000000072</v>
      </c>
      <c r="FO13" s="143">
        <f t="shared" si="25"/>
        <v>73.514000000000067</v>
      </c>
      <c r="FP13" s="143">
        <f t="shared" si="25"/>
        <v>74.876000000000062</v>
      </c>
      <c r="FQ13" s="143">
        <f t="shared" si="25"/>
        <v>76.238000000000056</v>
      </c>
      <c r="FR13" s="143">
        <f t="shared" si="25"/>
        <v>77.600000000000051</v>
      </c>
      <c r="FS13" s="143">
        <f t="shared" ref="FS13:GS13" si="26">IF(FS7-FR7=1,FR13+FS12,IF(FS7-FR7=0,FR13+0))</f>
        <v>78.962000000000046</v>
      </c>
      <c r="FT13" s="143">
        <f t="shared" si="26"/>
        <v>80.324000000000041</v>
      </c>
      <c r="FU13" s="143">
        <f t="shared" si="26"/>
        <v>81.686000000000035</v>
      </c>
      <c r="FV13" s="143">
        <f t="shared" si="26"/>
        <v>83.04800000000003</v>
      </c>
      <c r="FW13" s="143">
        <f t="shared" si="26"/>
        <v>84.410000000000025</v>
      </c>
      <c r="FX13" s="143">
        <f t="shared" si="26"/>
        <v>85.968000000000032</v>
      </c>
      <c r="FY13" s="143">
        <f t="shared" si="26"/>
        <v>87.526000000000039</v>
      </c>
      <c r="FZ13" s="143">
        <f t="shared" si="26"/>
        <v>89.084000000000046</v>
      </c>
      <c r="GA13" s="143">
        <f t="shared" si="26"/>
        <v>90.642000000000053</v>
      </c>
      <c r="GB13" s="143">
        <f t="shared" si="26"/>
        <v>92.20000000000006</v>
      </c>
      <c r="GC13" s="143">
        <f t="shared" si="26"/>
        <v>93.758000000000067</v>
      </c>
      <c r="GD13" s="143">
        <f t="shared" si="26"/>
        <v>95.316000000000074</v>
      </c>
      <c r="GE13" s="143">
        <f t="shared" si="26"/>
        <v>96.87400000000008</v>
      </c>
      <c r="GF13" s="143">
        <f t="shared" si="26"/>
        <v>98.432000000000087</v>
      </c>
      <c r="GG13" s="285">
        <f t="shared" si="26"/>
        <v>100.00200000000008</v>
      </c>
      <c r="GH13" s="143">
        <f t="shared" si="26"/>
        <v>101.57200000000007</v>
      </c>
      <c r="GI13" s="143">
        <f t="shared" si="26"/>
        <v>103.14200000000007</v>
      </c>
      <c r="GJ13" s="143">
        <f t="shared" si="26"/>
        <v>104.71200000000006</v>
      </c>
      <c r="GK13" s="143">
        <f t="shared" si="26"/>
        <v>106.28200000000005</v>
      </c>
      <c r="GL13" s="143">
        <f t="shared" si="26"/>
        <v>107.85200000000005</v>
      </c>
      <c r="GM13" s="143">
        <f t="shared" si="26"/>
        <v>109.42200000000004</v>
      </c>
      <c r="GN13" s="143">
        <f t="shared" si="26"/>
        <v>110.99200000000003</v>
      </c>
      <c r="GO13" s="143">
        <f t="shared" si="26"/>
        <v>112.56200000000003</v>
      </c>
      <c r="GP13" s="143">
        <f t="shared" si="26"/>
        <v>114.13200000000002</v>
      </c>
      <c r="GQ13" s="143">
        <f t="shared" si="26"/>
        <v>115.70200000000001</v>
      </c>
      <c r="GR13" s="143">
        <f t="shared" si="26"/>
        <v>117.27200000000001</v>
      </c>
      <c r="GS13" s="143">
        <f t="shared" si="26"/>
        <v>118.842</v>
      </c>
      <c r="GT13" s="143">
        <f>ROUND(GT12+GS13,2)</f>
        <v>120.41</v>
      </c>
      <c r="GU13" s="143">
        <f>ROUND(GU12+GT13,2)</f>
        <v>121.98</v>
      </c>
      <c r="GV13" s="143">
        <f>ROUND(GV12+GU13,2)</f>
        <v>123.55</v>
      </c>
      <c r="GW13" s="143">
        <f>ROUND(GW12+GV13,2)</f>
        <v>125.12</v>
      </c>
      <c r="GX13" s="143">
        <f>ROUND(GX12+GW13,2)</f>
        <v>126.69</v>
      </c>
      <c r="GY13" s="143">
        <f t="shared" ref="GY13:HS13" si="27">GY12+GX13</f>
        <v>128.26</v>
      </c>
      <c r="GZ13" s="143">
        <f t="shared" si="27"/>
        <v>129.82999999999998</v>
      </c>
      <c r="HA13" s="143">
        <f t="shared" si="27"/>
        <v>131.39999999999998</v>
      </c>
      <c r="HB13" s="143">
        <f t="shared" si="27"/>
        <v>132.96999999999997</v>
      </c>
      <c r="HC13" s="143">
        <f t="shared" si="27"/>
        <v>134.53999999999996</v>
      </c>
      <c r="HD13" s="143">
        <f t="shared" si="27"/>
        <v>136.10999999999996</v>
      </c>
      <c r="HE13" s="143">
        <f t="shared" si="27"/>
        <v>137.67999999999995</v>
      </c>
      <c r="HF13" s="143">
        <f t="shared" si="27"/>
        <v>139.24999999999994</v>
      </c>
      <c r="HG13" s="143">
        <f t="shared" si="27"/>
        <v>140.81999999999994</v>
      </c>
      <c r="HH13" s="143">
        <f t="shared" si="27"/>
        <v>142.38999999999993</v>
      </c>
      <c r="HI13" s="143">
        <f t="shared" si="27"/>
        <v>143.95999999999992</v>
      </c>
      <c r="HJ13" s="143">
        <f t="shared" si="27"/>
        <v>145.52999999999992</v>
      </c>
      <c r="HK13" s="143">
        <f t="shared" si="27"/>
        <v>147.09999999999991</v>
      </c>
      <c r="HL13" s="143">
        <f t="shared" si="27"/>
        <v>148.6699999999999</v>
      </c>
      <c r="HM13" s="143">
        <f t="shared" si="27"/>
        <v>150.2399999999999</v>
      </c>
      <c r="HN13" s="143">
        <f t="shared" si="27"/>
        <v>151.80999999999989</v>
      </c>
      <c r="HO13" s="143">
        <f t="shared" si="27"/>
        <v>153.37999999999988</v>
      </c>
      <c r="HP13" s="143">
        <f t="shared" si="27"/>
        <v>154.94999999999987</v>
      </c>
      <c r="HQ13" s="143">
        <f t="shared" si="27"/>
        <v>156.51999999999987</v>
      </c>
      <c r="HR13" s="143">
        <f t="shared" si="27"/>
        <v>158.08999999999986</v>
      </c>
      <c r="HS13" s="143">
        <f t="shared" si="27"/>
        <v>159.65999999999985</v>
      </c>
      <c r="HT13" s="143">
        <f t="shared" ref="HT13:IU13" si="28">HT12+HS13</f>
        <v>161.22999999999985</v>
      </c>
      <c r="HU13" s="143">
        <f t="shared" si="28"/>
        <v>162.79999999999984</v>
      </c>
      <c r="HV13" s="143">
        <f t="shared" si="28"/>
        <v>164.36999999999983</v>
      </c>
      <c r="HW13" s="143">
        <f t="shared" si="28"/>
        <v>165.93999999999983</v>
      </c>
      <c r="HX13" s="143">
        <f t="shared" si="28"/>
        <v>167.50999999999982</v>
      </c>
      <c r="HY13" s="143">
        <f t="shared" si="28"/>
        <v>169.07999999999981</v>
      </c>
      <c r="HZ13" s="143">
        <f t="shared" si="28"/>
        <v>170.64999999999981</v>
      </c>
      <c r="IA13" s="143">
        <f t="shared" si="28"/>
        <v>172.2199999999998</v>
      </c>
      <c r="IB13" s="143">
        <f t="shared" si="28"/>
        <v>173.78999999999979</v>
      </c>
      <c r="IC13" s="143">
        <f t="shared" si="28"/>
        <v>175.35999999999979</v>
      </c>
      <c r="ID13" s="143">
        <f t="shared" si="28"/>
        <v>176.92999999999978</v>
      </c>
      <c r="IE13" s="143">
        <f t="shared" si="28"/>
        <v>178.49999999999977</v>
      </c>
      <c r="IF13" s="143">
        <f t="shared" si="28"/>
        <v>180.06999999999977</v>
      </c>
      <c r="IG13" s="143">
        <f t="shared" si="28"/>
        <v>181.63999999999976</v>
      </c>
      <c r="IH13" s="143">
        <f t="shared" si="28"/>
        <v>183.20999999999975</v>
      </c>
      <c r="II13" s="143">
        <f t="shared" si="28"/>
        <v>184.77999999999975</v>
      </c>
      <c r="IJ13" s="143">
        <f t="shared" si="28"/>
        <v>186.34999999999974</v>
      </c>
      <c r="IK13" s="143">
        <f t="shared" si="28"/>
        <v>187.91999999999973</v>
      </c>
      <c r="IL13" s="143">
        <f t="shared" si="28"/>
        <v>189.48999999999972</v>
      </c>
      <c r="IM13" s="143">
        <f t="shared" si="28"/>
        <v>191.05999999999972</v>
      </c>
      <c r="IN13" s="143">
        <f t="shared" si="28"/>
        <v>192.62999999999971</v>
      </c>
      <c r="IO13" s="143">
        <f t="shared" si="28"/>
        <v>194.1999999999997</v>
      </c>
      <c r="IP13" s="143">
        <f t="shared" si="28"/>
        <v>195.7699999999997</v>
      </c>
      <c r="IQ13" s="143">
        <f t="shared" si="28"/>
        <v>197.33999999999969</v>
      </c>
      <c r="IR13" s="143">
        <f t="shared" si="28"/>
        <v>198.90999999999968</v>
      </c>
      <c r="IS13" s="143">
        <f t="shared" si="28"/>
        <v>200.47999999999968</v>
      </c>
      <c r="IT13" s="143">
        <f t="shared" si="28"/>
        <v>202.04999999999967</v>
      </c>
      <c r="IU13" s="143">
        <f t="shared" si="28"/>
        <v>203.61999999999966</v>
      </c>
    </row>
    <row r="14" spans="3:256" s="146" customFormat="1">
      <c r="C14" s="219" t="s">
        <v>163</v>
      </c>
      <c r="F14" s="147" t="s">
        <v>26</v>
      </c>
      <c r="H14" s="132"/>
      <c r="I14" s="148">
        <f>LOOKUP(I$6,J$6:IV$6,日期)</f>
        <v>46263</v>
      </c>
      <c r="J14" s="225">
        <v>46232</v>
      </c>
      <c r="K14" s="225">
        <v>46233</v>
      </c>
      <c r="L14" s="225">
        <v>46234</v>
      </c>
      <c r="M14" s="225">
        <v>46235</v>
      </c>
      <c r="N14" s="225">
        <v>46236</v>
      </c>
      <c r="O14" s="225">
        <v>46237</v>
      </c>
      <c r="P14" s="225">
        <v>46238</v>
      </c>
      <c r="Q14" s="225">
        <v>46239</v>
      </c>
      <c r="R14" s="225">
        <v>46240</v>
      </c>
      <c r="S14" s="225">
        <v>46241</v>
      </c>
      <c r="T14" s="225">
        <v>46242</v>
      </c>
      <c r="U14" s="225">
        <v>46243</v>
      </c>
      <c r="V14" s="225">
        <v>46244</v>
      </c>
      <c r="W14" s="225">
        <v>46245</v>
      </c>
      <c r="X14" s="225">
        <v>46246</v>
      </c>
      <c r="Y14" s="225">
        <v>46247</v>
      </c>
      <c r="Z14" s="225">
        <v>46248</v>
      </c>
      <c r="AA14" s="225">
        <v>46249</v>
      </c>
      <c r="AB14" s="225">
        <v>46250</v>
      </c>
      <c r="AC14" s="225">
        <v>46251</v>
      </c>
      <c r="AD14" s="225">
        <v>46252</v>
      </c>
      <c r="AE14" s="225">
        <v>46253</v>
      </c>
      <c r="AF14" s="225">
        <v>46254</v>
      </c>
      <c r="AG14" s="225">
        <v>46255</v>
      </c>
      <c r="AH14" s="225">
        <v>46256</v>
      </c>
      <c r="AI14" s="225">
        <v>46257</v>
      </c>
      <c r="AJ14" s="225">
        <v>46258</v>
      </c>
      <c r="AK14" s="225">
        <v>46259</v>
      </c>
      <c r="AL14" s="225">
        <v>46260</v>
      </c>
      <c r="AM14" s="225">
        <v>46261</v>
      </c>
      <c r="AN14" s="225">
        <v>46262</v>
      </c>
      <c r="AO14" s="225">
        <v>46263</v>
      </c>
      <c r="AP14" s="225">
        <v>46264</v>
      </c>
      <c r="AQ14" s="225">
        <v>46265</v>
      </c>
      <c r="AR14" s="225">
        <v>46266</v>
      </c>
      <c r="AS14" s="225">
        <v>46267</v>
      </c>
      <c r="AT14" s="225">
        <v>46268</v>
      </c>
      <c r="AU14" s="225">
        <v>46269</v>
      </c>
      <c r="AV14" s="225">
        <v>46270</v>
      </c>
      <c r="AW14" s="225">
        <v>46271</v>
      </c>
      <c r="AX14" s="225">
        <v>46272</v>
      </c>
      <c r="AY14" s="225">
        <v>46273</v>
      </c>
      <c r="AZ14" s="225">
        <v>46274</v>
      </c>
      <c r="BA14" s="225">
        <v>46275</v>
      </c>
      <c r="BB14" s="225">
        <v>46276</v>
      </c>
      <c r="BC14" s="225">
        <v>46277</v>
      </c>
      <c r="BD14" s="225">
        <v>46278</v>
      </c>
      <c r="BE14" s="225">
        <v>46279</v>
      </c>
      <c r="BF14" s="225">
        <v>46280</v>
      </c>
      <c r="BG14" s="225">
        <v>46281</v>
      </c>
      <c r="BH14" s="225">
        <v>46282</v>
      </c>
      <c r="BI14" s="225">
        <v>46283</v>
      </c>
      <c r="BJ14" s="225">
        <v>46284</v>
      </c>
      <c r="BK14" s="225">
        <v>46285</v>
      </c>
      <c r="BL14" s="225">
        <v>46286</v>
      </c>
      <c r="BM14" s="225">
        <v>46287</v>
      </c>
      <c r="BN14" s="225">
        <v>46288</v>
      </c>
      <c r="BO14" s="225">
        <v>46289</v>
      </c>
      <c r="BP14" s="225">
        <v>46290</v>
      </c>
      <c r="BQ14" s="225">
        <v>46291</v>
      </c>
      <c r="BR14" s="225">
        <v>46292</v>
      </c>
      <c r="BS14" s="225">
        <v>46293</v>
      </c>
      <c r="BT14" s="225">
        <v>46294</v>
      </c>
      <c r="BU14" s="225">
        <v>46295</v>
      </c>
      <c r="BV14" s="225">
        <v>46296</v>
      </c>
      <c r="BW14" s="225">
        <v>46297</v>
      </c>
      <c r="BX14" s="225">
        <v>46298</v>
      </c>
      <c r="BY14" s="225">
        <v>46299</v>
      </c>
      <c r="BZ14" s="225">
        <v>46300</v>
      </c>
      <c r="CA14" s="225">
        <v>46301</v>
      </c>
      <c r="CB14" s="225">
        <v>46302</v>
      </c>
      <c r="CC14" s="225">
        <v>46303</v>
      </c>
      <c r="CD14" s="225">
        <v>46304</v>
      </c>
      <c r="CE14" s="225">
        <v>46305</v>
      </c>
      <c r="CF14" s="225">
        <v>46306</v>
      </c>
      <c r="CG14" s="225">
        <v>46307</v>
      </c>
      <c r="CH14" s="225">
        <v>46308</v>
      </c>
      <c r="CI14" s="225">
        <v>46309</v>
      </c>
      <c r="CJ14" s="225">
        <v>46310</v>
      </c>
      <c r="CK14" s="225">
        <v>46311</v>
      </c>
      <c r="CL14" s="225">
        <v>46312</v>
      </c>
      <c r="CM14" s="225">
        <v>46313</v>
      </c>
      <c r="CN14" s="225">
        <v>46314</v>
      </c>
      <c r="CO14" s="225">
        <v>46315</v>
      </c>
      <c r="CP14" s="225">
        <v>46316</v>
      </c>
      <c r="CQ14" s="225">
        <v>46317</v>
      </c>
      <c r="CR14" s="225">
        <v>46318</v>
      </c>
      <c r="CS14" s="225">
        <v>46319</v>
      </c>
      <c r="CT14" s="225">
        <v>46320</v>
      </c>
      <c r="CU14" s="225">
        <v>46321</v>
      </c>
      <c r="CV14" s="225">
        <v>46322</v>
      </c>
      <c r="CW14" s="225">
        <v>46323</v>
      </c>
      <c r="CX14" s="225">
        <v>46324</v>
      </c>
      <c r="CY14" s="225">
        <v>46325</v>
      </c>
      <c r="CZ14" s="225">
        <v>46326</v>
      </c>
      <c r="DA14" s="225">
        <v>46327</v>
      </c>
      <c r="DB14" s="225">
        <v>46328</v>
      </c>
      <c r="DC14" s="225">
        <v>46329</v>
      </c>
      <c r="DD14" s="225">
        <v>46330</v>
      </c>
      <c r="DE14" s="225">
        <v>46331</v>
      </c>
      <c r="DF14" s="225">
        <v>46332</v>
      </c>
      <c r="DG14" s="225">
        <v>46333</v>
      </c>
      <c r="DH14" s="225">
        <v>46334</v>
      </c>
      <c r="DI14" s="225">
        <v>46335</v>
      </c>
      <c r="DJ14" s="225">
        <v>46336</v>
      </c>
      <c r="DK14" s="225">
        <v>46337</v>
      </c>
      <c r="DL14" s="225">
        <v>46338</v>
      </c>
      <c r="DM14" s="225">
        <v>46339</v>
      </c>
      <c r="DN14" s="225">
        <v>46340</v>
      </c>
      <c r="DO14" s="225">
        <v>46341</v>
      </c>
      <c r="DP14" s="225">
        <v>46342</v>
      </c>
      <c r="DQ14" s="225">
        <v>46343</v>
      </c>
      <c r="DR14" s="225">
        <v>46344</v>
      </c>
      <c r="DS14" s="225">
        <v>46345</v>
      </c>
      <c r="DT14" s="225">
        <v>46346</v>
      </c>
      <c r="DU14" s="225">
        <v>46347</v>
      </c>
      <c r="DV14" s="225">
        <v>46348</v>
      </c>
      <c r="DW14" s="225">
        <v>46349</v>
      </c>
      <c r="DX14" s="225">
        <v>46350</v>
      </c>
      <c r="DY14" s="225">
        <v>46351</v>
      </c>
      <c r="DZ14" s="225">
        <v>46352</v>
      </c>
      <c r="EA14" s="225">
        <v>46353</v>
      </c>
      <c r="EB14" s="225">
        <v>46354</v>
      </c>
      <c r="EC14" s="225">
        <v>46355</v>
      </c>
      <c r="ED14" s="225">
        <v>46356</v>
      </c>
      <c r="EE14" s="225">
        <v>46357</v>
      </c>
      <c r="EF14" s="225">
        <v>46358</v>
      </c>
      <c r="EG14" s="225">
        <v>46359</v>
      </c>
      <c r="EH14" s="225">
        <v>46360</v>
      </c>
      <c r="EI14" s="225">
        <v>46361</v>
      </c>
      <c r="EJ14" s="225">
        <v>46362</v>
      </c>
      <c r="EK14" s="225">
        <v>46363</v>
      </c>
      <c r="EL14" s="225">
        <v>46364</v>
      </c>
      <c r="EM14" s="225">
        <v>46365</v>
      </c>
      <c r="EN14" s="225">
        <v>46366</v>
      </c>
      <c r="EO14" s="225">
        <v>46367</v>
      </c>
      <c r="EP14" s="225">
        <v>46368</v>
      </c>
      <c r="EQ14" s="225">
        <v>46369</v>
      </c>
      <c r="ER14" s="225">
        <v>46370</v>
      </c>
      <c r="ES14" s="225">
        <v>46371</v>
      </c>
      <c r="ET14" s="225">
        <v>46372</v>
      </c>
      <c r="EU14" s="225">
        <v>46373</v>
      </c>
      <c r="EV14" s="225">
        <v>46374</v>
      </c>
      <c r="EW14" s="225">
        <v>46375</v>
      </c>
      <c r="EX14" s="225">
        <v>46376</v>
      </c>
      <c r="EY14" s="225">
        <v>46377</v>
      </c>
      <c r="EZ14" s="225">
        <v>46378</v>
      </c>
      <c r="FA14" s="225">
        <v>46379</v>
      </c>
      <c r="FB14" s="225">
        <v>46380</v>
      </c>
      <c r="FC14" s="225">
        <v>46381</v>
      </c>
      <c r="FD14" s="225">
        <v>46382</v>
      </c>
      <c r="FE14" s="225">
        <v>46383</v>
      </c>
      <c r="FF14" s="225">
        <v>46384</v>
      </c>
      <c r="FG14" s="225">
        <v>46385</v>
      </c>
      <c r="FH14" s="225">
        <v>46386</v>
      </c>
      <c r="FI14" s="225">
        <v>46387</v>
      </c>
      <c r="FJ14" s="225">
        <v>46388</v>
      </c>
      <c r="FK14" s="225">
        <v>46389</v>
      </c>
      <c r="FL14" s="225">
        <v>46390</v>
      </c>
      <c r="FM14" s="225">
        <v>46391</v>
      </c>
      <c r="FN14" s="225">
        <v>46392</v>
      </c>
      <c r="FO14" s="225">
        <v>46393</v>
      </c>
      <c r="FP14" s="225">
        <v>46394</v>
      </c>
      <c r="FQ14" s="225">
        <v>46395</v>
      </c>
      <c r="FR14" s="225">
        <v>46396</v>
      </c>
      <c r="FS14" s="225">
        <v>46397</v>
      </c>
      <c r="FT14" s="225">
        <v>46398</v>
      </c>
      <c r="FU14" s="225">
        <v>46399</v>
      </c>
      <c r="FV14" s="225">
        <v>46400</v>
      </c>
      <c r="FW14" s="225">
        <v>46401</v>
      </c>
      <c r="FX14" s="225">
        <v>46402</v>
      </c>
      <c r="FY14" s="225">
        <v>46403</v>
      </c>
      <c r="FZ14" s="225">
        <v>46404</v>
      </c>
      <c r="GA14" s="225">
        <v>46405</v>
      </c>
      <c r="GB14" s="225">
        <v>46406</v>
      </c>
      <c r="GC14" s="225">
        <v>46407</v>
      </c>
      <c r="GD14" s="225">
        <v>46408</v>
      </c>
      <c r="GE14" s="225">
        <v>46409</v>
      </c>
      <c r="GF14" s="225">
        <v>46410</v>
      </c>
      <c r="GG14" s="286">
        <v>46411</v>
      </c>
      <c r="GH14" s="225">
        <v>46412</v>
      </c>
      <c r="GI14" s="225">
        <v>46413</v>
      </c>
      <c r="GJ14" s="225">
        <v>46414</v>
      </c>
      <c r="GK14" s="225">
        <v>46415</v>
      </c>
      <c r="GL14" s="225">
        <v>46416</v>
      </c>
      <c r="GM14" s="225">
        <v>46417</v>
      </c>
      <c r="GN14" s="225">
        <v>46418</v>
      </c>
      <c r="GO14" s="225">
        <v>46419</v>
      </c>
      <c r="GP14" s="225">
        <v>46420</v>
      </c>
      <c r="GQ14" s="225">
        <v>46421</v>
      </c>
      <c r="GR14" s="225">
        <v>46422</v>
      </c>
      <c r="GS14" s="225">
        <v>46423</v>
      </c>
      <c r="GT14" s="225">
        <v>46424</v>
      </c>
      <c r="GU14" s="225">
        <v>46425</v>
      </c>
      <c r="GV14" s="225">
        <v>46426</v>
      </c>
      <c r="GW14" s="225">
        <v>46427</v>
      </c>
      <c r="GX14" s="225">
        <v>46428</v>
      </c>
      <c r="GY14" s="225">
        <v>46429</v>
      </c>
      <c r="GZ14" s="225">
        <v>46430</v>
      </c>
      <c r="HA14" s="225">
        <v>46431</v>
      </c>
      <c r="HB14" s="225">
        <v>46432</v>
      </c>
      <c r="HC14" s="225">
        <v>46433</v>
      </c>
      <c r="HD14" s="225">
        <v>46434</v>
      </c>
      <c r="HE14" s="225">
        <v>46435</v>
      </c>
      <c r="HF14" s="225">
        <v>46436</v>
      </c>
      <c r="HG14" s="225">
        <v>46437</v>
      </c>
      <c r="HH14" s="225">
        <v>46438</v>
      </c>
      <c r="HI14" s="225">
        <v>46439</v>
      </c>
      <c r="HJ14" s="225">
        <v>46440</v>
      </c>
      <c r="HK14" s="225">
        <v>46441</v>
      </c>
      <c r="HL14" s="225">
        <v>46442</v>
      </c>
      <c r="HM14" s="149">
        <v>46399</v>
      </c>
      <c r="HN14" s="149">
        <v>46400</v>
      </c>
      <c r="HO14" s="149">
        <v>46401</v>
      </c>
      <c r="HP14" s="149">
        <v>46402</v>
      </c>
      <c r="HQ14" s="149">
        <v>46403</v>
      </c>
      <c r="HR14" s="149">
        <v>46404</v>
      </c>
      <c r="HS14" s="149">
        <v>46405</v>
      </c>
      <c r="HT14" s="149">
        <v>46406</v>
      </c>
      <c r="HU14" s="149">
        <v>46407</v>
      </c>
      <c r="HV14" s="149">
        <v>46408</v>
      </c>
      <c r="HW14" s="149">
        <v>46409</v>
      </c>
      <c r="HX14" s="149">
        <v>46410</v>
      </c>
      <c r="HY14" s="149">
        <v>46411</v>
      </c>
      <c r="HZ14" s="149">
        <v>46412</v>
      </c>
      <c r="IA14" s="149">
        <v>46413</v>
      </c>
      <c r="IB14" s="149">
        <v>46414</v>
      </c>
      <c r="IC14" s="149">
        <v>46415</v>
      </c>
      <c r="ID14" s="149">
        <v>46416</v>
      </c>
      <c r="IE14" s="149">
        <v>46417</v>
      </c>
      <c r="IF14" s="149">
        <v>46418</v>
      </c>
      <c r="IG14" s="149">
        <v>46419</v>
      </c>
      <c r="IH14" s="149">
        <v>46420</v>
      </c>
      <c r="II14" s="149">
        <v>46421</v>
      </c>
      <c r="IJ14" s="149">
        <v>46422</v>
      </c>
      <c r="IK14" s="149">
        <v>46423</v>
      </c>
      <c r="IL14" s="149">
        <v>46424</v>
      </c>
      <c r="IM14" s="149">
        <v>46425</v>
      </c>
      <c r="IN14" s="149">
        <v>46426</v>
      </c>
      <c r="IO14" s="149">
        <v>46427</v>
      </c>
      <c r="IP14" s="149">
        <v>46428</v>
      </c>
      <c r="IQ14" s="149">
        <v>46429</v>
      </c>
      <c r="IR14" s="149">
        <v>46430</v>
      </c>
      <c r="IS14" s="149">
        <v>46431</v>
      </c>
      <c r="IT14" s="149">
        <v>46432</v>
      </c>
      <c r="IU14" s="149">
        <v>46433</v>
      </c>
    </row>
    <row r="15" spans="3:256" s="150" customFormat="1" ht="19.5" customHeight="1">
      <c r="F15" s="151" t="s">
        <v>27</v>
      </c>
      <c r="G15" s="151">
        <f>WEEKDAY(I14)</f>
        <v>7</v>
      </c>
      <c r="H15" s="132" t="s">
        <v>39</v>
      </c>
      <c r="I15" s="133">
        <f>COUNT(I20:I56)</f>
        <v>0</v>
      </c>
      <c r="J15" s="150">
        <f t="shared" ref="J15:T15" si="29">WEEKDAY(J14)</f>
        <v>4</v>
      </c>
      <c r="K15" s="150">
        <f t="shared" si="29"/>
        <v>5</v>
      </c>
      <c r="L15" s="150">
        <f t="shared" si="29"/>
        <v>6</v>
      </c>
      <c r="M15" s="150">
        <f t="shared" si="29"/>
        <v>7</v>
      </c>
      <c r="N15" s="150">
        <f t="shared" si="29"/>
        <v>1</v>
      </c>
      <c r="O15" s="150">
        <f t="shared" si="29"/>
        <v>2</v>
      </c>
      <c r="P15" s="150">
        <f t="shared" si="29"/>
        <v>3</v>
      </c>
      <c r="Q15" s="150">
        <f t="shared" si="29"/>
        <v>4</v>
      </c>
      <c r="R15" s="150">
        <f t="shared" si="29"/>
        <v>5</v>
      </c>
      <c r="S15" s="150">
        <f t="shared" si="29"/>
        <v>6</v>
      </c>
      <c r="T15" s="150">
        <f t="shared" si="29"/>
        <v>7</v>
      </c>
      <c r="U15" s="150">
        <f t="shared" ref="U15:AI15" si="30">WEEKDAY(U14)</f>
        <v>1</v>
      </c>
      <c r="V15" s="150">
        <f t="shared" si="30"/>
        <v>2</v>
      </c>
      <c r="W15" s="150">
        <f t="shared" si="30"/>
        <v>3</v>
      </c>
      <c r="X15" s="150">
        <f t="shared" si="30"/>
        <v>4</v>
      </c>
      <c r="Y15" s="150">
        <f t="shared" si="30"/>
        <v>5</v>
      </c>
      <c r="Z15" s="150">
        <f>WEEKDAY(Z14)</f>
        <v>6</v>
      </c>
      <c r="AA15" s="150">
        <f>WEEKDAY(AA14)</f>
        <v>7</v>
      </c>
      <c r="AB15" s="150">
        <f t="shared" si="30"/>
        <v>1</v>
      </c>
      <c r="AC15" s="150">
        <f t="shared" si="30"/>
        <v>2</v>
      </c>
      <c r="AD15" s="150">
        <f t="shared" si="30"/>
        <v>3</v>
      </c>
      <c r="AE15" s="150">
        <f t="shared" si="30"/>
        <v>4</v>
      </c>
      <c r="AF15" s="150">
        <f t="shared" si="30"/>
        <v>5</v>
      </c>
      <c r="AG15" s="150">
        <f>WEEKDAY(AG14)</f>
        <v>6</v>
      </c>
      <c r="AH15" s="150">
        <f>WEEKDAY(AH14)</f>
        <v>7</v>
      </c>
      <c r="AI15" s="150">
        <f t="shared" si="30"/>
        <v>1</v>
      </c>
      <c r="AJ15" s="150">
        <f t="shared" ref="AJ15:CU15" si="31">WEEKDAY(AJ14)</f>
        <v>2</v>
      </c>
      <c r="AK15" s="150">
        <f t="shared" si="31"/>
        <v>3</v>
      </c>
      <c r="AL15" s="150">
        <f t="shared" si="31"/>
        <v>4</v>
      </c>
      <c r="AM15" s="150">
        <f t="shared" si="31"/>
        <v>5</v>
      </c>
      <c r="AN15" s="150">
        <f>WEEKDAY(AN14)</f>
        <v>6</v>
      </c>
      <c r="AO15" s="150">
        <f>WEEKDAY(AO14)</f>
        <v>7</v>
      </c>
      <c r="AP15" s="150">
        <f t="shared" si="31"/>
        <v>1</v>
      </c>
      <c r="AQ15" s="150">
        <f t="shared" si="31"/>
        <v>2</v>
      </c>
      <c r="AR15" s="150">
        <f t="shared" si="31"/>
        <v>3</v>
      </c>
      <c r="AS15" s="150">
        <f t="shared" si="31"/>
        <v>4</v>
      </c>
      <c r="AT15" s="150">
        <f t="shared" si="31"/>
        <v>5</v>
      </c>
      <c r="AU15" s="150">
        <f t="shared" si="31"/>
        <v>6</v>
      </c>
      <c r="AV15" s="150">
        <f t="shared" si="31"/>
        <v>7</v>
      </c>
      <c r="AW15" s="150">
        <f t="shared" si="31"/>
        <v>1</v>
      </c>
      <c r="AX15" s="150">
        <f t="shared" si="31"/>
        <v>2</v>
      </c>
      <c r="AY15" s="150">
        <f t="shared" si="31"/>
        <v>3</v>
      </c>
      <c r="AZ15" s="150">
        <f t="shared" si="31"/>
        <v>4</v>
      </c>
      <c r="BA15" s="150">
        <f t="shared" si="31"/>
        <v>5</v>
      </c>
      <c r="BB15" s="150">
        <f t="shared" si="31"/>
        <v>6</v>
      </c>
      <c r="BC15" s="150">
        <f t="shared" si="31"/>
        <v>7</v>
      </c>
      <c r="BD15" s="150">
        <f t="shared" si="31"/>
        <v>1</v>
      </c>
      <c r="BE15" s="150">
        <f t="shared" si="31"/>
        <v>2</v>
      </c>
      <c r="BF15" s="150">
        <f t="shared" si="31"/>
        <v>3</v>
      </c>
      <c r="BG15" s="150">
        <f t="shared" si="31"/>
        <v>4</v>
      </c>
      <c r="BH15" s="150">
        <f t="shared" si="31"/>
        <v>5</v>
      </c>
      <c r="BI15" s="150">
        <f t="shared" si="31"/>
        <v>6</v>
      </c>
      <c r="BJ15" s="150">
        <f t="shared" si="31"/>
        <v>7</v>
      </c>
      <c r="BK15" s="150">
        <f t="shared" si="31"/>
        <v>1</v>
      </c>
      <c r="BL15" s="150">
        <f t="shared" si="31"/>
        <v>2</v>
      </c>
      <c r="BM15" s="150">
        <f t="shared" si="31"/>
        <v>3</v>
      </c>
      <c r="BN15" s="150">
        <f t="shared" si="31"/>
        <v>4</v>
      </c>
      <c r="BO15" s="150">
        <f t="shared" si="31"/>
        <v>5</v>
      </c>
      <c r="BP15" s="150">
        <f t="shared" si="31"/>
        <v>6</v>
      </c>
      <c r="BQ15" s="150">
        <f t="shared" si="31"/>
        <v>7</v>
      </c>
      <c r="BR15" s="150">
        <f t="shared" si="31"/>
        <v>1</v>
      </c>
      <c r="BS15" s="150">
        <f t="shared" si="31"/>
        <v>2</v>
      </c>
      <c r="BT15" s="150">
        <f t="shared" si="31"/>
        <v>3</v>
      </c>
      <c r="BU15" s="150">
        <f t="shared" si="31"/>
        <v>4</v>
      </c>
      <c r="BV15" s="150">
        <f t="shared" si="31"/>
        <v>5</v>
      </c>
      <c r="BW15" s="150">
        <f t="shared" si="31"/>
        <v>6</v>
      </c>
      <c r="BX15" s="150">
        <f t="shared" si="31"/>
        <v>7</v>
      </c>
      <c r="BY15" s="150">
        <f t="shared" si="31"/>
        <v>1</v>
      </c>
      <c r="BZ15" s="150">
        <f t="shared" si="31"/>
        <v>2</v>
      </c>
      <c r="CA15" s="150">
        <f t="shared" si="31"/>
        <v>3</v>
      </c>
      <c r="CB15" s="150">
        <f t="shared" si="31"/>
        <v>4</v>
      </c>
      <c r="CC15" s="150">
        <f t="shared" si="31"/>
        <v>5</v>
      </c>
      <c r="CD15" s="150">
        <f t="shared" si="31"/>
        <v>6</v>
      </c>
      <c r="CE15" s="150">
        <f t="shared" si="31"/>
        <v>7</v>
      </c>
      <c r="CF15" s="150">
        <f t="shared" si="31"/>
        <v>1</v>
      </c>
      <c r="CG15" s="150">
        <f t="shared" si="31"/>
        <v>2</v>
      </c>
      <c r="CH15" s="150">
        <f t="shared" si="31"/>
        <v>3</v>
      </c>
      <c r="CI15" s="150">
        <f t="shared" si="31"/>
        <v>4</v>
      </c>
      <c r="CJ15" s="150">
        <f t="shared" si="31"/>
        <v>5</v>
      </c>
      <c r="CK15" s="150">
        <f t="shared" si="31"/>
        <v>6</v>
      </c>
      <c r="CL15" s="150">
        <f t="shared" si="31"/>
        <v>7</v>
      </c>
      <c r="CM15" s="150">
        <f t="shared" si="31"/>
        <v>1</v>
      </c>
      <c r="CN15" s="150">
        <f t="shared" si="31"/>
        <v>2</v>
      </c>
      <c r="CO15" s="150">
        <f t="shared" si="31"/>
        <v>3</v>
      </c>
      <c r="CP15" s="150">
        <f t="shared" si="31"/>
        <v>4</v>
      </c>
      <c r="CQ15" s="150">
        <f t="shared" si="31"/>
        <v>5</v>
      </c>
      <c r="CR15" s="150">
        <f t="shared" si="31"/>
        <v>6</v>
      </c>
      <c r="CS15" s="150">
        <f t="shared" si="31"/>
        <v>7</v>
      </c>
      <c r="CT15" s="150">
        <f t="shared" si="31"/>
        <v>1</v>
      </c>
      <c r="CU15" s="150">
        <f t="shared" si="31"/>
        <v>2</v>
      </c>
      <c r="CV15" s="150">
        <f t="shared" ref="CV15:FG15" si="32">WEEKDAY(CV14)</f>
        <v>3</v>
      </c>
      <c r="CW15" s="150">
        <f t="shared" si="32"/>
        <v>4</v>
      </c>
      <c r="CX15" s="150">
        <f t="shared" si="32"/>
        <v>5</v>
      </c>
      <c r="CY15" s="150">
        <f t="shared" si="32"/>
        <v>6</v>
      </c>
      <c r="CZ15" s="150">
        <f t="shared" si="32"/>
        <v>7</v>
      </c>
      <c r="DA15" s="150">
        <f t="shared" si="32"/>
        <v>1</v>
      </c>
      <c r="DB15" s="150">
        <f t="shared" si="32"/>
        <v>2</v>
      </c>
      <c r="DC15" s="150">
        <f t="shared" si="32"/>
        <v>3</v>
      </c>
      <c r="DD15" s="150">
        <f t="shared" si="32"/>
        <v>4</v>
      </c>
      <c r="DE15" s="150">
        <f t="shared" si="32"/>
        <v>5</v>
      </c>
      <c r="DF15" s="150">
        <f t="shared" si="32"/>
        <v>6</v>
      </c>
      <c r="DG15" s="150">
        <f t="shared" si="32"/>
        <v>7</v>
      </c>
      <c r="DH15" s="150">
        <f t="shared" si="32"/>
        <v>1</v>
      </c>
      <c r="DI15" s="150">
        <f t="shared" si="32"/>
        <v>2</v>
      </c>
      <c r="DJ15" s="150">
        <f t="shared" si="32"/>
        <v>3</v>
      </c>
      <c r="DK15" s="150">
        <f>WEEKDAY(DK14)</f>
        <v>4</v>
      </c>
      <c r="DL15" s="150">
        <f>WEEKDAY(DL14)</f>
        <v>5</v>
      </c>
      <c r="DM15" s="150">
        <f t="shared" si="32"/>
        <v>6</v>
      </c>
      <c r="DN15" s="150">
        <f t="shared" si="32"/>
        <v>7</v>
      </c>
      <c r="DO15" s="150">
        <f t="shared" si="32"/>
        <v>1</v>
      </c>
      <c r="DP15" s="150">
        <f t="shared" si="32"/>
        <v>2</v>
      </c>
      <c r="DQ15" s="150">
        <f t="shared" si="32"/>
        <v>3</v>
      </c>
      <c r="DR15" s="150">
        <f t="shared" si="32"/>
        <v>4</v>
      </c>
      <c r="DS15" s="150">
        <f t="shared" si="32"/>
        <v>5</v>
      </c>
      <c r="DT15" s="150">
        <f t="shared" si="32"/>
        <v>6</v>
      </c>
      <c r="DU15" s="150">
        <f t="shared" si="32"/>
        <v>7</v>
      </c>
      <c r="DV15" s="150">
        <f t="shared" si="32"/>
        <v>1</v>
      </c>
      <c r="DW15" s="150">
        <f t="shared" si="32"/>
        <v>2</v>
      </c>
      <c r="DX15" s="150">
        <f t="shared" si="32"/>
        <v>3</v>
      </c>
      <c r="DY15" s="150">
        <f t="shared" si="32"/>
        <v>4</v>
      </c>
      <c r="DZ15" s="150">
        <f t="shared" si="32"/>
        <v>5</v>
      </c>
      <c r="EA15" s="150">
        <f t="shared" si="32"/>
        <v>6</v>
      </c>
      <c r="EB15" s="150">
        <f t="shared" si="32"/>
        <v>7</v>
      </c>
      <c r="EC15" s="150">
        <f t="shared" si="32"/>
        <v>1</v>
      </c>
      <c r="ED15" s="150">
        <f t="shared" si="32"/>
        <v>2</v>
      </c>
      <c r="EE15" s="150">
        <f t="shared" si="32"/>
        <v>3</v>
      </c>
      <c r="EF15" s="150">
        <f t="shared" si="32"/>
        <v>4</v>
      </c>
      <c r="EG15" s="150">
        <f t="shared" si="32"/>
        <v>5</v>
      </c>
      <c r="EH15" s="150">
        <f t="shared" si="32"/>
        <v>6</v>
      </c>
      <c r="EI15" s="150">
        <f t="shared" si="32"/>
        <v>7</v>
      </c>
      <c r="EJ15" s="150">
        <f t="shared" si="32"/>
        <v>1</v>
      </c>
      <c r="EK15" s="150">
        <f t="shared" si="32"/>
        <v>2</v>
      </c>
      <c r="EL15" s="150">
        <f t="shared" si="32"/>
        <v>3</v>
      </c>
      <c r="EM15" s="150">
        <f t="shared" si="32"/>
        <v>4</v>
      </c>
      <c r="EN15" s="150">
        <f t="shared" si="32"/>
        <v>5</v>
      </c>
      <c r="EO15" s="150">
        <f t="shared" si="32"/>
        <v>6</v>
      </c>
      <c r="EP15" s="150">
        <f t="shared" si="32"/>
        <v>7</v>
      </c>
      <c r="EQ15" s="150">
        <f t="shared" si="32"/>
        <v>1</v>
      </c>
      <c r="ER15" s="150">
        <f t="shared" si="32"/>
        <v>2</v>
      </c>
      <c r="ES15" s="150">
        <f t="shared" si="32"/>
        <v>3</v>
      </c>
      <c r="ET15" s="150">
        <f t="shared" si="32"/>
        <v>4</v>
      </c>
      <c r="EU15" s="150">
        <f t="shared" si="32"/>
        <v>5</v>
      </c>
      <c r="EV15" s="150">
        <f t="shared" si="32"/>
        <v>6</v>
      </c>
      <c r="EW15" s="150">
        <f t="shared" si="32"/>
        <v>7</v>
      </c>
      <c r="EX15" s="150">
        <f t="shared" si="32"/>
        <v>1</v>
      </c>
      <c r="EY15" s="150">
        <f t="shared" si="32"/>
        <v>2</v>
      </c>
      <c r="EZ15" s="150">
        <f t="shared" si="32"/>
        <v>3</v>
      </c>
      <c r="FA15" s="150">
        <f t="shared" si="32"/>
        <v>4</v>
      </c>
      <c r="FB15" s="150">
        <f t="shared" si="32"/>
        <v>5</v>
      </c>
      <c r="FC15" s="150">
        <f t="shared" si="32"/>
        <v>6</v>
      </c>
      <c r="FD15" s="150">
        <f t="shared" si="32"/>
        <v>7</v>
      </c>
      <c r="FE15" s="150">
        <f t="shared" si="32"/>
        <v>1</v>
      </c>
      <c r="FF15" s="150">
        <f t="shared" si="32"/>
        <v>2</v>
      </c>
      <c r="FG15" s="150">
        <f t="shared" si="32"/>
        <v>3</v>
      </c>
      <c r="FH15" s="150">
        <f t="shared" ref="FH15:HS15" si="33">WEEKDAY(FH14)</f>
        <v>4</v>
      </c>
      <c r="FI15" s="150">
        <f t="shared" ref="FI15:FR15" si="34">WEEKDAY(FI14)</f>
        <v>5</v>
      </c>
      <c r="FJ15" s="150">
        <f t="shared" si="34"/>
        <v>6</v>
      </c>
      <c r="FK15" s="150">
        <f t="shared" si="34"/>
        <v>7</v>
      </c>
      <c r="FL15" s="150">
        <f t="shared" si="34"/>
        <v>1</v>
      </c>
      <c r="FM15" s="150">
        <f t="shared" si="34"/>
        <v>2</v>
      </c>
      <c r="FN15" s="150">
        <f t="shared" si="34"/>
        <v>3</v>
      </c>
      <c r="FO15" s="150">
        <f t="shared" si="34"/>
        <v>4</v>
      </c>
      <c r="FP15" s="150">
        <f t="shared" si="34"/>
        <v>5</v>
      </c>
      <c r="FQ15" s="150">
        <f t="shared" si="34"/>
        <v>6</v>
      </c>
      <c r="FR15" s="150">
        <f t="shared" si="34"/>
        <v>7</v>
      </c>
      <c r="FS15" s="150">
        <f t="shared" si="33"/>
        <v>1</v>
      </c>
      <c r="FT15" s="150">
        <f t="shared" si="33"/>
        <v>2</v>
      </c>
      <c r="FU15" s="150">
        <f t="shared" si="33"/>
        <v>3</v>
      </c>
      <c r="FV15" s="150">
        <f t="shared" si="33"/>
        <v>4</v>
      </c>
      <c r="FW15" s="150">
        <f t="shared" si="33"/>
        <v>5</v>
      </c>
      <c r="FX15" s="150">
        <f t="shared" si="33"/>
        <v>6</v>
      </c>
      <c r="FY15" s="150">
        <f t="shared" si="33"/>
        <v>7</v>
      </c>
      <c r="FZ15" s="150">
        <f t="shared" si="33"/>
        <v>1</v>
      </c>
      <c r="GA15" s="150">
        <f t="shared" si="33"/>
        <v>2</v>
      </c>
      <c r="GB15" s="150">
        <f t="shared" si="33"/>
        <v>3</v>
      </c>
      <c r="GC15" s="150">
        <f t="shared" si="33"/>
        <v>4</v>
      </c>
      <c r="GD15" s="150">
        <f t="shared" si="33"/>
        <v>5</v>
      </c>
      <c r="GE15" s="150">
        <f t="shared" si="33"/>
        <v>6</v>
      </c>
      <c r="GF15" s="150">
        <f t="shared" si="33"/>
        <v>7</v>
      </c>
      <c r="GG15" s="287">
        <f t="shared" si="33"/>
        <v>1</v>
      </c>
      <c r="GH15" s="150">
        <f t="shared" si="33"/>
        <v>2</v>
      </c>
      <c r="GI15" s="150">
        <f t="shared" si="33"/>
        <v>3</v>
      </c>
      <c r="GJ15" s="150">
        <f t="shared" si="33"/>
        <v>4</v>
      </c>
      <c r="GK15" s="150">
        <f t="shared" si="33"/>
        <v>5</v>
      </c>
      <c r="GL15" s="150">
        <f t="shared" si="33"/>
        <v>6</v>
      </c>
      <c r="GM15" s="150">
        <f t="shared" si="33"/>
        <v>7</v>
      </c>
      <c r="GN15" s="150">
        <f t="shared" si="33"/>
        <v>1</v>
      </c>
      <c r="GO15" s="150">
        <f t="shared" si="33"/>
        <v>2</v>
      </c>
      <c r="GP15" s="150">
        <f t="shared" si="33"/>
        <v>3</v>
      </c>
      <c r="GQ15" s="150">
        <f t="shared" si="33"/>
        <v>4</v>
      </c>
      <c r="GR15" s="150">
        <f t="shared" si="33"/>
        <v>5</v>
      </c>
      <c r="GS15" s="150">
        <f t="shared" si="33"/>
        <v>6</v>
      </c>
      <c r="GT15" s="150">
        <f t="shared" si="33"/>
        <v>7</v>
      </c>
      <c r="GU15" s="150">
        <f t="shared" si="33"/>
        <v>1</v>
      </c>
      <c r="GV15" s="150">
        <f t="shared" si="33"/>
        <v>2</v>
      </c>
      <c r="GW15" s="150">
        <f t="shared" si="33"/>
        <v>3</v>
      </c>
      <c r="GX15" s="150">
        <f t="shared" si="33"/>
        <v>4</v>
      </c>
      <c r="GY15" s="150">
        <f t="shared" si="33"/>
        <v>5</v>
      </c>
      <c r="GZ15" s="150">
        <f t="shared" si="33"/>
        <v>6</v>
      </c>
      <c r="HA15" s="150">
        <f t="shared" si="33"/>
        <v>7</v>
      </c>
      <c r="HB15" s="150">
        <f t="shared" si="33"/>
        <v>1</v>
      </c>
      <c r="HC15" s="150">
        <f t="shared" si="33"/>
        <v>2</v>
      </c>
      <c r="HD15" s="150">
        <f t="shared" si="33"/>
        <v>3</v>
      </c>
      <c r="HE15" s="150">
        <f t="shared" si="33"/>
        <v>4</v>
      </c>
      <c r="HF15" s="150">
        <f t="shared" si="33"/>
        <v>5</v>
      </c>
      <c r="HG15" s="150">
        <f t="shared" si="33"/>
        <v>6</v>
      </c>
      <c r="HH15" s="150">
        <f t="shared" si="33"/>
        <v>7</v>
      </c>
      <c r="HI15" s="150">
        <f t="shared" si="33"/>
        <v>1</v>
      </c>
      <c r="HJ15" s="150">
        <f t="shared" si="33"/>
        <v>2</v>
      </c>
      <c r="HK15" s="150">
        <f t="shared" si="33"/>
        <v>3</v>
      </c>
      <c r="HL15" s="150">
        <f t="shared" si="33"/>
        <v>4</v>
      </c>
      <c r="HM15" s="150">
        <f t="shared" si="33"/>
        <v>3</v>
      </c>
      <c r="HN15" s="150">
        <f t="shared" si="33"/>
        <v>4</v>
      </c>
      <c r="HO15" s="150">
        <f t="shared" si="33"/>
        <v>5</v>
      </c>
      <c r="HP15" s="150">
        <f t="shared" si="33"/>
        <v>6</v>
      </c>
      <c r="HQ15" s="150">
        <f t="shared" si="33"/>
        <v>7</v>
      </c>
      <c r="HR15" s="150">
        <f t="shared" si="33"/>
        <v>1</v>
      </c>
      <c r="HS15" s="150">
        <f t="shared" si="33"/>
        <v>2</v>
      </c>
      <c r="HT15" s="150">
        <f t="shared" ref="HT15:IU15" si="35">WEEKDAY(HT14)</f>
        <v>3</v>
      </c>
      <c r="HU15" s="150">
        <f t="shared" si="35"/>
        <v>4</v>
      </c>
      <c r="HV15" s="150">
        <f t="shared" si="35"/>
        <v>5</v>
      </c>
      <c r="HW15" s="150">
        <f t="shared" si="35"/>
        <v>6</v>
      </c>
      <c r="HX15" s="150">
        <f t="shared" si="35"/>
        <v>7</v>
      </c>
      <c r="HY15" s="150">
        <f t="shared" si="35"/>
        <v>1</v>
      </c>
      <c r="HZ15" s="150">
        <f t="shared" si="35"/>
        <v>2</v>
      </c>
      <c r="IA15" s="150">
        <f t="shared" si="35"/>
        <v>3</v>
      </c>
      <c r="IB15" s="150">
        <f t="shared" si="35"/>
        <v>4</v>
      </c>
      <c r="IC15" s="150">
        <f t="shared" si="35"/>
        <v>5</v>
      </c>
      <c r="ID15" s="150">
        <f t="shared" si="35"/>
        <v>6</v>
      </c>
      <c r="IE15" s="150">
        <f t="shared" si="35"/>
        <v>7</v>
      </c>
      <c r="IF15" s="150">
        <f t="shared" si="35"/>
        <v>1</v>
      </c>
      <c r="IG15" s="150">
        <f t="shared" si="35"/>
        <v>2</v>
      </c>
      <c r="IH15" s="150">
        <f t="shared" si="35"/>
        <v>3</v>
      </c>
      <c r="II15" s="150">
        <f t="shared" si="35"/>
        <v>4</v>
      </c>
      <c r="IJ15" s="150">
        <f t="shared" si="35"/>
        <v>5</v>
      </c>
      <c r="IK15" s="150">
        <f t="shared" si="35"/>
        <v>6</v>
      </c>
      <c r="IL15" s="150">
        <f t="shared" si="35"/>
        <v>7</v>
      </c>
      <c r="IM15" s="150">
        <f t="shared" si="35"/>
        <v>1</v>
      </c>
      <c r="IN15" s="150">
        <f t="shared" si="35"/>
        <v>2</v>
      </c>
      <c r="IO15" s="150">
        <f t="shared" si="35"/>
        <v>3</v>
      </c>
      <c r="IP15" s="150">
        <f t="shared" si="35"/>
        <v>4</v>
      </c>
      <c r="IQ15" s="150">
        <f t="shared" si="35"/>
        <v>5</v>
      </c>
      <c r="IR15" s="150">
        <f t="shared" si="35"/>
        <v>6</v>
      </c>
      <c r="IS15" s="150">
        <f t="shared" si="35"/>
        <v>7</v>
      </c>
      <c r="IT15" s="150">
        <f t="shared" si="35"/>
        <v>1</v>
      </c>
      <c r="IU15" s="150">
        <f t="shared" si="35"/>
        <v>2</v>
      </c>
    </row>
    <row r="16" spans="3:256" s="128" customFormat="1">
      <c r="C16" s="123" t="s">
        <v>148</v>
      </c>
      <c r="D16" s="240">
        <f>SUMPRODUCT($E$20:$E54,$F$20:$F54)</f>
        <v>3330000</v>
      </c>
      <c r="E16" s="432">
        <v>1</v>
      </c>
      <c r="F16" s="123" t="s">
        <v>149</v>
      </c>
      <c r="G16" s="123"/>
      <c r="H16" s="132" t="s">
        <v>150</v>
      </c>
      <c r="I16" s="133">
        <f>COUNT(I62:I66)</f>
        <v>0</v>
      </c>
      <c r="J16" s="128">
        <f>IF(OR(J$15=1,J$15=7),0,IF(COUNTIF(工期不計!2:35,J$14),0,1))</f>
        <v>1</v>
      </c>
      <c r="K16" s="128">
        <f>IF(OR(K$15=1,K$15=7),0,IF(COUNTIF(工期不計!2:35,K$14),0,1))</f>
        <v>1</v>
      </c>
      <c r="L16" s="128">
        <f>IF(OR(L$15=1,L$15=7),0,IF(COUNTIF(工期不計!2:35,L$14),0,1))</f>
        <v>1</v>
      </c>
      <c r="M16" s="128">
        <f>IF(OR(M$15=1,M$15=7),0,IF(COUNTIF(工期不計!2:35,M$14),0,1))</f>
        <v>0</v>
      </c>
      <c r="N16" s="128">
        <f>IF(OR(N$15=1,N$15=7),0,IF(COUNTIF(工期不計!2:35,N$14),0,1))</f>
        <v>0</v>
      </c>
      <c r="O16" s="128">
        <f>IF(OR(O$15=1,O$15=7),0,IF(COUNTIF(工期不計!2:35,O$14),0,1))</f>
        <v>1</v>
      </c>
      <c r="P16" s="128">
        <f>IF(OR(P$15=1,P$15=7),0,IF(COUNTIF(工期不計!2:35,P$14),0,1))</f>
        <v>1</v>
      </c>
      <c r="Q16" s="128">
        <f>IF(OR(Q$15=1,Q$15=7),0,IF(COUNTIF(工期不計!2:35,Q$14),0,1))</f>
        <v>1</v>
      </c>
      <c r="R16" s="128">
        <f>IF(OR(R$15=1,R$15=7),0,IF(COUNTIF(工期不計!2:35,R$14),0,1))</f>
        <v>1</v>
      </c>
      <c r="S16" s="128">
        <f>IF(OR(S$15=1,S$15=7),0,IF(COUNTIF(工期不計!2:35,S$14),0,1))</f>
        <v>1</v>
      </c>
      <c r="T16" s="128">
        <f>IF(OR(T$15=1,T$15=7),0,IF(COUNTIF(工期不計!2:35,T$14),0,1))</f>
        <v>0</v>
      </c>
      <c r="U16" s="128">
        <f>IF(OR(U$15=1,U$15=7),0,IF(COUNTIF(工期不計!2:35,U$14),0,1))</f>
        <v>0</v>
      </c>
      <c r="V16" s="128">
        <f>IF(OR(V$15=1,V$15=7),0,IF(COUNTIF(工期不計!2:35,V$14),0,1))</f>
        <v>1</v>
      </c>
      <c r="W16" s="128">
        <f>IF(OR(W$15=1,W$15=7),0,IF(COUNTIF(工期不計!2:35,W$14),0,1))</f>
        <v>1</v>
      </c>
      <c r="X16" s="128">
        <f>IF(OR(X$15=1,X$15=7),0,IF(COUNTIF(工期不計!2:35,X$14),0,1))</f>
        <v>1</v>
      </c>
      <c r="Y16" s="128">
        <f>IF(OR(Y$15=1,Y$15=7),0,IF(COUNTIF(工期不計!2:35,Y$14),0,1))</f>
        <v>1</v>
      </c>
      <c r="Z16" s="128">
        <f>IF(OR(Z$15=1,Z$15=7),0,IF(COUNTIF(工期不計!2:35,Z$14),0,1))</f>
        <v>1</v>
      </c>
      <c r="AA16" s="128">
        <f>IF(OR(AA$15=1,AA$15=7),0,IF(COUNTIF(工期不計!2:35,AA$14),0,1))</f>
        <v>0</v>
      </c>
      <c r="AB16" s="128">
        <f>IF(OR(AB$15=1,AB$15=7),0,IF(COUNTIF(工期不計!2:35,AB$14),0,1))</f>
        <v>0</v>
      </c>
      <c r="AC16" s="128">
        <f>IF(OR(AC$15=1,AC$15=7),0,IF(COUNTIF(工期不計!2:35,AC$14),0,1))</f>
        <v>1</v>
      </c>
      <c r="AD16" s="128">
        <f>IF(OR(AD$15=1,AD$15=7),0,IF(COUNTIF(工期不計!2:35,AD$14),0,1))</f>
        <v>1</v>
      </c>
      <c r="AE16" s="128">
        <f>IF(OR(AE$15=1,AE$15=7),0,IF(COUNTIF(工期不計!2:35,AE$14),0,1))</f>
        <v>1</v>
      </c>
      <c r="AF16" s="128">
        <f>IF(OR(AF$15=1,AF$15=7),0,IF(COUNTIF(工期不計!2:35,AF$14),0,1))</f>
        <v>1</v>
      </c>
      <c r="AG16" s="128">
        <f>IF(OR(AG$15=1,AG$15=7),0,IF(COUNTIF(工期不計!2:35,AG$14),0,1))</f>
        <v>1</v>
      </c>
      <c r="AH16" s="128">
        <f>IF(OR(AH$15=1,AH$15=7),0,IF(COUNTIF(工期不計!2:35,AH$14),0,1))</f>
        <v>0</v>
      </c>
      <c r="AI16" s="128">
        <f>IF(OR(AI$15=1,AI$15=7),0,IF(COUNTIF(工期不計!2:35,AI$14),0,1))</f>
        <v>0</v>
      </c>
      <c r="AJ16" s="128">
        <f>IF(OR(AJ$15=1,AJ$15=7),0,IF(COUNTIF(工期不計!2:35,AJ$14),0,1))</f>
        <v>1</v>
      </c>
      <c r="AK16" s="128">
        <f>IF(OR(AK$15=1,AK$15=7),0,IF(COUNTIF(工期不計!2:35,AK$14),0,1))</f>
        <v>1</v>
      </c>
      <c r="AL16" s="128">
        <f>IF(OR(AL$15=1,AL$15=7),0,IF(COUNTIF(工期不計!2:35,AL$14),0,1))</f>
        <v>1</v>
      </c>
      <c r="AM16" s="128">
        <f>IF(OR(AM$15=1,AM$15=7),0,IF(COUNTIF(工期不計!2:35,AM$14),0,1))</f>
        <v>1</v>
      </c>
      <c r="AN16" s="128">
        <f>IF(OR(AN$15=1,AN$15=7),0,IF(COUNTIF(工期不計!2:35,AN$14),0,1))</f>
        <v>1</v>
      </c>
      <c r="AO16" s="128">
        <f>IF(OR(AO$15=1,AO$15=7),0,IF(COUNTIF(工期不計!2:35,AO$14),0,1))</f>
        <v>0</v>
      </c>
      <c r="AP16" s="128">
        <f>IF(OR(AP$15=1,AP$15=7),0,IF(COUNTIF(工期不計!2:35,AP$14),0,1))</f>
        <v>0</v>
      </c>
      <c r="AQ16" s="128">
        <f>IF(OR(AQ$15=1,AQ$15=7),0,IF(COUNTIF(工期不計!2:35,AQ$14),0,1))</f>
        <v>1</v>
      </c>
      <c r="AR16" s="128">
        <f>IF(OR(AR$15=1,AR$15=7),0,IF(COUNTIF(工期不計!2:35,AR$14),0,1))</f>
        <v>1</v>
      </c>
      <c r="AS16" s="128">
        <f>IF(OR(AS$15=1,AS$15=7),0,IF(COUNTIF(工期不計!2:35,AS$14),0,1))</f>
        <v>1</v>
      </c>
      <c r="AT16" s="128">
        <f>IF(OR(AT$15=1,AT$15=7),0,IF(COUNTIF(工期不計!2:35,AT$14),0,1))</f>
        <v>1</v>
      </c>
      <c r="AU16" s="128">
        <f>IF(OR(AU$15=1,AU$15=7),0,IF(COUNTIF(工期不計!2:35,AU$14),0,1))</f>
        <v>1</v>
      </c>
      <c r="AV16" s="128">
        <f>IF(OR(AV$15=1,AV$15=7),0,IF(COUNTIF(工期不計!2:35,AV$14),0,1))</f>
        <v>0</v>
      </c>
      <c r="AW16" s="128">
        <f>IF(OR(AW$15=1,AW$15=7),0,IF(COUNTIF(工期不計!2:35,AW$14),0,1))</f>
        <v>0</v>
      </c>
      <c r="AX16" s="128">
        <f>IF(OR(AX$15=1,AX$15=7),0,IF(COUNTIF(工期不計!2:35,AX$14),0,1))</f>
        <v>1</v>
      </c>
      <c r="AY16" s="128">
        <f>IF(OR(AY$15=1,AY$15=7),0,IF(COUNTIF(工期不計!2:35,AY$14),0,1))</f>
        <v>1</v>
      </c>
      <c r="AZ16" s="128">
        <f>IF(OR(AZ$15=1,AZ$15=7),0,IF(COUNTIF(工期不計!2:35,AZ$14),0,1))</f>
        <v>1</v>
      </c>
      <c r="BA16" s="128">
        <f>IF(OR(BA$15=1,BA$15=7),0,IF(COUNTIF(工期不計!2:35,BA$14),0,1))</f>
        <v>1</v>
      </c>
      <c r="BB16" s="128">
        <f>IF(OR(BB$15=1,BB$15=7),0,IF(COUNTIF(工期不計!2:35,BB$14),0,1))</f>
        <v>1</v>
      </c>
      <c r="BC16" s="128">
        <f>IF(OR(BC$15=1,BC$15=7),0,IF(COUNTIF(工期不計!2:35,BC$14),0,1))</f>
        <v>0</v>
      </c>
      <c r="BD16" s="128">
        <f>IF(OR(BD$15=1,BD$15=7),0,IF(COUNTIF(工期不計!2:35,BD$14),0,1))</f>
        <v>0</v>
      </c>
      <c r="BE16" s="128">
        <f>IF(OR(BE$15=1,BE$15=7),0,IF(COUNTIF(工期不計!2:35,BE$14),0,1))</f>
        <v>1</v>
      </c>
      <c r="BF16" s="128">
        <f>IF(OR(BF$15=1,BF$15=7),0,IF(COUNTIF(工期不計!2:35,BF$14),0,1))</f>
        <v>1</v>
      </c>
      <c r="BG16" s="128">
        <f>IF(OR(BG$15=1,BG$15=7),0,IF(COUNTIF(工期不計!2:35,BG$14),0,1))</f>
        <v>1</v>
      </c>
      <c r="BH16" s="128">
        <f>IF(OR(BH$15=1,BH$15=7),0,IF(COUNTIF(工期不計!2:35,BH$14),0,1))</f>
        <v>1</v>
      </c>
      <c r="BI16" s="128">
        <f>IF(OR(BI$15=1,BI$15=7),0,IF(COUNTIF(工期不計!2:35,BI$14),0,1))</f>
        <v>1</v>
      </c>
      <c r="BJ16" s="128">
        <f>IF(OR(BJ$15=1,BJ$15=7),0,IF(COUNTIF(工期不計!2:35,BJ$14),0,1))</f>
        <v>0</v>
      </c>
      <c r="BK16" s="128">
        <f>IF(OR(BK$15=1,BK$15=7),0,IF(COUNTIF(工期不計!2:35,BK$14),0,1))</f>
        <v>0</v>
      </c>
      <c r="BL16" s="128">
        <f>IF(OR(BL$15=1,BL$15=7),0,IF(COUNTIF(工期不計!2:35,BL$14),0,1))</f>
        <v>1</v>
      </c>
      <c r="BM16" s="128">
        <f>IF(OR(BM$15=1,BM$15=7),0,IF(COUNTIF(工期不計!2:35,BM$14),0,1))</f>
        <v>1</v>
      </c>
      <c r="BN16" s="128">
        <f>IF(OR(BN$15=1,BN$15=7),0,IF(COUNTIF(工期不計!2:35,BN$14),0,1))</f>
        <v>1</v>
      </c>
      <c r="BO16" s="128">
        <f>IF(OR(BO$15=1,BO$15=7),0,IF(COUNTIF(工期不計!2:35,BO$14),0,1))</f>
        <v>1</v>
      </c>
      <c r="BP16" s="128">
        <f>IF(OR(BP$15=1,BP$15=7),0,IF(COUNTIF(工期不計!2:35,BP$14),0,1))</f>
        <v>1</v>
      </c>
      <c r="BQ16" s="128">
        <f>IF(OR(BQ$15=1,BQ$15=7),0,IF(COUNTIF(工期不計!2:35,BQ$14),0,1))</f>
        <v>0</v>
      </c>
      <c r="BR16" s="128">
        <f>IF(OR(BR$15=1,BR$15=7),0,IF(COUNTIF(工期不計!2:35,BR$14),0,1))</f>
        <v>0</v>
      </c>
      <c r="BS16" s="128">
        <f>IF(OR(BS$15=1,BS$15=7),0,IF(COUNTIF(工期不計!2:35,BS$14),0,1))</f>
        <v>1</v>
      </c>
      <c r="BT16" s="128">
        <f>IF(OR(BT$15=1,BT$15=7),0,IF(COUNTIF(工期不計!2:35,BT$14),0,1))</f>
        <v>1</v>
      </c>
      <c r="BU16" s="128">
        <f>IF(OR(BU$15=1,BU$15=7),0,IF(COUNTIF(工期不計!2:35,BU$14),0,1))</f>
        <v>1</v>
      </c>
      <c r="BV16" s="128">
        <f>IF(OR(BV$15=1,BV$15=7),0,IF(COUNTIF(工期不計!2:35,BV$14),0,1))</f>
        <v>1</v>
      </c>
      <c r="BW16" s="128">
        <f>IF(OR(BW$15=1,BW$15=7),0,IF(COUNTIF(工期不計!2:35,BW$14),0,1))</f>
        <v>1</v>
      </c>
      <c r="BX16" s="128">
        <f>IF(OR(BX$15=1,BX$15=7),0,IF(COUNTIF(工期不計!2:35,BX$14),0,1))</f>
        <v>0</v>
      </c>
      <c r="BY16" s="128">
        <f>IF(OR(BY$15=1,BY$15=7),0,IF(COUNTIF(工期不計!2:35,BY$14),0,1))</f>
        <v>0</v>
      </c>
      <c r="BZ16" s="128">
        <f>IF(OR(BZ$15=1,BZ$15=7),0,IF(COUNTIF(工期不計!2:35,BZ$14),0,1))</f>
        <v>1</v>
      </c>
      <c r="CA16" s="128">
        <f>IF(OR(CA$15=1,CA$15=7),0,IF(COUNTIF(工期不計!2:35,CA$14),0,1))</f>
        <v>1</v>
      </c>
      <c r="CB16" s="128">
        <f>IF(OR(CB$15=1,CB$15=7),0,IF(COUNTIF(工期不計!2:35,CB$14),0,1))</f>
        <v>1</v>
      </c>
      <c r="CC16" s="128">
        <f>IF(OR(CC$15=1,CC$15=7),0,IF(COUNTIF(工期不計!2:35,CC$14),0,1))</f>
        <v>1</v>
      </c>
      <c r="CD16" s="128">
        <f>IF(OR(CD$15=1,CD$15=7),0,IF(COUNTIF(工期不計!2:35,CD$14),0,1))</f>
        <v>1</v>
      </c>
      <c r="CE16" s="128">
        <f>IF(OR(CE$15=1,CE$15=7),0,IF(COUNTIF(工期不計!2:35,CE$14),0,1))</f>
        <v>0</v>
      </c>
      <c r="CF16" s="128">
        <f>IF(OR(CF$15=1,CF$15=7),0,IF(COUNTIF(工期不計!2:35,CF$14),0,1))</f>
        <v>0</v>
      </c>
      <c r="CG16" s="128">
        <f>IF(OR(CG$15=1,CG$15=7),0,IF(COUNTIF(工期不計!2:35,CG$14),0,1))</f>
        <v>1</v>
      </c>
      <c r="CH16" s="128">
        <f>IF(OR(CH$15=1,CH$15=7),0,IF(COUNTIF(工期不計!2:35,CH$14),0,1))</f>
        <v>1</v>
      </c>
      <c r="CI16" s="128">
        <f>IF(OR(CI$15=1,CI$15=7),0,IF(COUNTIF(工期不計!2:35,CI$14),0,1))</f>
        <v>1</v>
      </c>
      <c r="CJ16" s="128">
        <f>IF(OR(CJ$15=1,CJ$15=7),0,IF(COUNTIF(工期不計!2:35,CJ$14),0,1))</f>
        <v>1</v>
      </c>
      <c r="CK16" s="128">
        <f>IF(OR(CK$15=1,CK$15=7),0,IF(COUNTIF(工期不計!2:35,CK$14),0,1))</f>
        <v>1</v>
      </c>
      <c r="CL16" s="128">
        <f>IF(OR(CL$15=1,CL$15=7),0,IF(COUNTIF(工期不計!2:35,CL$14),0,1))</f>
        <v>0</v>
      </c>
      <c r="CM16" s="128">
        <f>IF(OR(CM$15=1,CM$15=7),0,IF(COUNTIF(工期不計!2:35,CM$14),0,1))</f>
        <v>0</v>
      </c>
      <c r="CN16" s="128">
        <f>IF(OR(CN$15=1,CN$15=7),0,IF(COUNTIF(工期不計!2:35,CN$14),0,1))</f>
        <v>1</v>
      </c>
      <c r="CO16" s="128">
        <f>IF(OR(CO$15=1,CO$15=7),0,IF(COUNTIF(工期不計!2:35,CO$14),0,1))</f>
        <v>1</v>
      </c>
      <c r="CP16" s="128">
        <f>IF(OR(CP$15=1,CP$15=7),0,IF(COUNTIF(工期不計!2:35,CP$14),0,1))</f>
        <v>1</v>
      </c>
      <c r="CQ16" s="128">
        <f>IF(OR(CQ$15=1,CQ$15=7),0,IF(COUNTIF(工期不計!2:35,CQ$14),0,1))</f>
        <v>1</v>
      </c>
      <c r="CR16" s="128">
        <f>IF(OR(CR$15=1,CR$15=7),0,IF(COUNTIF(工期不計!2:35,CR$14),0,1))</f>
        <v>1</v>
      </c>
      <c r="CS16" s="128">
        <f>IF(OR(CS$15=1,CS$15=7),0,IF(COUNTIF(工期不計!2:35,CS$14),0,1))</f>
        <v>0</v>
      </c>
      <c r="CT16" s="128">
        <f>IF(OR(CT$15=1,CT$15=7),0,IF(COUNTIF(工期不計!2:35,CT$14),0,1))</f>
        <v>0</v>
      </c>
      <c r="CU16" s="128">
        <f>IF(OR(CU$15=1,CU$15=7),0,IF(COUNTIF(工期不計!2:35,CU$14),0,1))</f>
        <v>1</v>
      </c>
      <c r="CV16" s="128">
        <f>IF(OR(CV$15=1,CV$15=7),0,IF(COUNTIF(工期不計!2:35,CV$14),0,1))</f>
        <v>1</v>
      </c>
      <c r="CW16" s="128">
        <f>IF(OR(CW$15=1,CW$15=7),0,IF(COUNTIF(工期不計!2:35,CW$14),0,1))</f>
        <v>1</v>
      </c>
      <c r="CX16" s="128">
        <f>IF(OR(CX$15=1,CX$15=7),0,IF(COUNTIF(工期不計!2:35,CX$14),0,1))</f>
        <v>1</v>
      </c>
      <c r="CY16" s="128">
        <f>IF(OR(CY$15=1,CY$15=7),0,IF(COUNTIF(工期不計!2:35,CY$14),0,1))</f>
        <v>1</v>
      </c>
      <c r="CZ16" s="128">
        <f>IF(OR(CZ$15=1,CZ$15=7),0,IF(COUNTIF(工期不計!2:35,CZ$14),0,1))</f>
        <v>0</v>
      </c>
      <c r="DA16" s="128">
        <f>IF(OR(DA$15=1,DA$15=7),0,IF(COUNTIF(工期不計!2:35,DA$14),0,1))</f>
        <v>0</v>
      </c>
      <c r="DB16" s="128">
        <f>IF(OR(DB$15=1,DB$15=7),0,IF(COUNTIF(工期不計!2:35,DB$14),0,1))</f>
        <v>1</v>
      </c>
      <c r="DC16" s="128">
        <f>IF(OR(DC$15=1,DC$15=7),0,IF(COUNTIF(工期不計!2:35,DC$14),0,1))</f>
        <v>1</v>
      </c>
      <c r="DD16" s="128">
        <f>IF(OR(DD$15=1,DD$15=7),0,IF(COUNTIF(工期不計!2:35,DD$14),0,1))</f>
        <v>1</v>
      </c>
      <c r="DE16" s="128">
        <f>IF(OR(DE$15=1,DE$15=7),0,IF(COUNTIF(工期不計!2:35,DE$14),0,1))</f>
        <v>1</v>
      </c>
      <c r="DF16" s="128">
        <f>IF(OR(DF$15=1,DF$15=7),0,IF(COUNTIF(工期不計!2:35,DF$14),0,1))</f>
        <v>1</v>
      </c>
      <c r="DG16" s="128">
        <f>IF(OR(DG$15=1,DG$15=7),0,IF(COUNTIF(工期不計!2:35,DG$14),0,1))</f>
        <v>0</v>
      </c>
      <c r="DH16" s="128">
        <f>IF(OR(DH$15=1,DH$15=7),0,IF(COUNTIF(工期不計!2:35,DH$14),0,1))</f>
        <v>0</v>
      </c>
      <c r="DI16" s="128">
        <f>IF(OR(DI$15=1,DI$15=7),0,IF(COUNTIF(工期不計!2:35,DI$14),0,1))</f>
        <v>1</v>
      </c>
      <c r="DJ16" s="128">
        <f>IF(OR(DJ$15=1,DJ$15=7),0,IF(COUNTIF(工期不計!2:35,DJ$14),0,1))</f>
        <v>1</v>
      </c>
      <c r="DK16" s="128">
        <f>IF(OR(DK$15=1,DK$15=7),0,IF(COUNTIF(工期不計!2:35,DK$14),0,1))</f>
        <v>1</v>
      </c>
      <c r="DL16" s="128">
        <f>IF(OR(DL$15=1,DL$15=7),0,IF(COUNTIF(工期不計!2:35,DL$14),0,1))</f>
        <v>1</v>
      </c>
      <c r="DM16" s="128">
        <f>IF(OR(DM$15=1,DM$15=7),0,IF(COUNTIF(工期不計!2:35,DM$14),0,1))</f>
        <v>1</v>
      </c>
      <c r="DN16" s="128">
        <f>IF(OR(DN$15=1,DN$15=7),0,IF(COUNTIF(工期不計!2:35,DN$14),0,1))</f>
        <v>0</v>
      </c>
      <c r="DO16" s="128">
        <f>IF(OR(DO$15=1,DO$15=7),0,IF(COUNTIF(工期不計!2:35,DO$14),0,1))</f>
        <v>0</v>
      </c>
      <c r="DP16" s="128">
        <f>IF(OR(DP$15=1,DP$15=7),0,IF(COUNTIF(工期不計!2:35,DP$14),0,1))</f>
        <v>1</v>
      </c>
      <c r="DQ16" s="128">
        <f>IF(OR(DQ$15=1,DQ$15=7),0,IF(COUNTIF(工期不計!2:35,DQ$14),0,1))</f>
        <v>1</v>
      </c>
      <c r="DR16" s="128">
        <f>IF(OR(DR$15=1,DR$15=7),0,IF(COUNTIF(工期不計!2:35,DR$14),0,1))</f>
        <v>1</v>
      </c>
      <c r="DS16" s="128">
        <f>IF(OR(DS$15=1,DS$15=7),0,IF(COUNTIF(工期不計!2:35,DS$14),0,1))</f>
        <v>1</v>
      </c>
      <c r="DT16" s="128">
        <f>IF(OR(DT$15=1,DT$15=7),0,IF(COUNTIF(工期不計!2:35,DT$14),0,1))</f>
        <v>1</v>
      </c>
      <c r="DU16" s="128">
        <f>IF(OR(DU$15=1,DU$15=7),0,IF(COUNTIF(工期不計!2:35,DU$14),0,1))</f>
        <v>0</v>
      </c>
      <c r="DV16" s="128">
        <f>IF(OR(DV$15=1,DV$15=7),0,IF(COUNTIF(工期不計!2:35,DV$14),0,1))</f>
        <v>0</v>
      </c>
      <c r="DW16" s="128">
        <f>IF(OR(DW$15=1,DW$15=7),0,IF(COUNTIF(工期不計!2:35,DW$14),0,1))</f>
        <v>1</v>
      </c>
      <c r="DX16" s="128">
        <f>IF(OR(DX$15=1,DX$15=7),0,IF(COUNTIF(工期不計!2:35,DX$14),0,1))</f>
        <v>1</v>
      </c>
      <c r="DY16" s="128">
        <f>IF(OR(DY$15=1,DY$15=7),0,IF(COUNTIF(工期不計!2:35,DY$14),0,1))</f>
        <v>1</v>
      </c>
      <c r="DZ16" s="128">
        <f>IF(OR(DZ$15=1,DZ$15=7),0,IF(COUNTIF(工期不計!2:35,DZ$14),0,1))</f>
        <v>1</v>
      </c>
      <c r="EA16" s="128">
        <f>IF(OR(EA$15=1,EA$15=7),0,IF(COUNTIF(工期不計!2:35,EA$14),0,1))</f>
        <v>1</v>
      </c>
      <c r="EB16" s="128">
        <f>IF(OR(EB$15=1,EB$15=7),0,IF(COUNTIF(工期不計!2:35,EB$14),0,1))</f>
        <v>0</v>
      </c>
      <c r="EC16" s="128">
        <f>IF(OR(EC$15=1,EC$15=7),0,IF(COUNTIF(工期不計!2:35,EC$14),0,1))</f>
        <v>0</v>
      </c>
      <c r="ED16" s="128">
        <f>IF(OR(ED$15=1,ED$15=7),0,IF(COUNTIF(工期不計!2:35,ED$14),0,1))</f>
        <v>1</v>
      </c>
      <c r="EE16" s="128">
        <f>IF(OR(EE$15=1,EE$15=7),0,IF(COUNTIF(工期不計!2:35,EE$14),0,1))</f>
        <v>1</v>
      </c>
      <c r="EF16" s="128">
        <f>IF(OR(EF$15=1,EF$15=7),0,IF(COUNTIF(工期不計!2:35,EF$14),0,1))</f>
        <v>1</v>
      </c>
      <c r="EG16" s="128">
        <f>IF(OR(EG$15=1,EG$15=7),0,IF(COUNTIF(工期不計!2:35,EG$14),0,1))</f>
        <v>1</v>
      </c>
      <c r="EH16" s="128">
        <f>IF(OR(EH$15=1,EH$15=7),0,IF(COUNTIF(工期不計!2:35,EH$14),0,1))</f>
        <v>1</v>
      </c>
      <c r="EI16" s="128">
        <f>IF(OR(EI$15=1,EI$15=7),0,IF(COUNTIF(工期不計!2:35,EI$14),0,1))</f>
        <v>0</v>
      </c>
      <c r="EJ16" s="128">
        <f>IF(OR(EJ$15=1,EJ$15=7),0,IF(COUNTIF(工期不計!2:35,EJ$14),0,1))</f>
        <v>0</v>
      </c>
      <c r="EK16" s="128">
        <f>IF(OR(EK$15=1,EK$15=7),0,IF(COUNTIF(工期不計!2:35,EK$14),0,1))</f>
        <v>1</v>
      </c>
      <c r="EL16" s="128">
        <f>IF(OR(EL$15=1,EL$15=7),0,IF(COUNTIF(工期不計!2:35,EL$14),0,1))</f>
        <v>1</v>
      </c>
      <c r="EM16" s="128">
        <f>IF(OR(EM$15=1,EM$15=7),0,IF(COUNTIF(工期不計!2:35,EM$14),0,1))</f>
        <v>1</v>
      </c>
      <c r="EN16" s="128">
        <f>IF(OR(EN$15=1,EN$15=7),0,IF(COUNTIF(工期不計!2:35,EN$14),0,1))</f>
        <v>1</v>
      </c>
      <c r="EO16" s="128">
        <f>IF(OR(EO$15=1,EO$15=7),0,IF(COUNTIF(工期不計!2:35,EO$14),0,1))</f>
        <v>1</v>
      </c>
      <c r="EP16" s="128">
        <f>IF(OR(EP$15=1,EP$15=7),0,IF(COUNTIF(工期不計!2:35,EP$14),0,1))</f>
        <v>0</v>
      </c>
      <c r="EQ16" s="128">
        <f>IF(OR(EQ$15=1,EQ$15=7),0,IF(COUNTIF(工期不計!2:35,EQ$14),0,1))</f>
        <v>0</v>
      </c>
      <c r="ER16" s="128">
        <f>IF(OR(ER$15=1,ER$15=7),0,IF(COUNTIF(工期不計!2:35,ER$14),0,1))</f>
        <v>1</v>
      </c>
      <c r="ES16" s="128">
        <f>IF(OR(ES$15=1,ES$15=7),0,IF(COUNTIF(工期不計!2:35,ES$14),0,1))</f>
        <v>1</v>
      </c>
      <c r="ET16" s="128">
        <f>IF(OR(ET$15=1,ET$15=7),0,IF(COUNTIF(工期不計!2:35,ET$14),0,1))</f>
        <v>1</v>
      </c>
      <c r="EU16" s="128">
        <f>IF(OR(EU$15=1,EU$15=7),0,IF(COUNTIF(工期不計!2:35,EU$14),0,1))</f>
        <v>1</v>
      </c>
      <c r="EV16" s="128">
        <f>IF(OR(EV$15=1,EV$15=7),0,IF(COUNTIF(工期不計!2:35,EV$14),0,1))</f>
        <v>1</v>
      </c>
      <c r="EW16" s="128">
        <f>IF(OR(EW$15=1,EW$15=7),0,IF(COUNTIF(工期不計!2:35,EW$14),0,1))</f>
        <v>0</v>
      </c>
      <c r="EX16" s="128">
        <f>IF(OR(EX$15=1,EX$15=7),0,IF(COUNTIF(工期不計!2:35,EX$14),0,1))</f>
        <v>0</v>
      </c>
      <c r="EY16" s="128">
        <f>IF(OR(EY$15=1,EY$15=7),0,IF(COUNTIF(工期不計!2:35,EY$14),0,1))</f>
        <v>1</v>
      </c>
      <c r="EZ16" s="128">
        <f>IF(OR(EZ$15=1,EZ$15=7),0,IF(COUNTIF(工期不計!2:35,EZ$14),0,1))</f>
        <v>1</v>
      </c>
      <c r="FA16" s="128">
        <f>IF(OR(FA$15=1,FA$15=7),0,IF(COUNTIF(工期不計!2:35,FA$14),0,1))</f>
        <v>1</v>
      </c>
      <c r="FB16" s="128">
        <f>IF(OR(FB$15=1,FB$15=7),0,IF(COUNTIF(工期不計!2:35,FB$14),0,1))</f>
        <v>1</v>
      </c>
      <c r="FC16" s="128">
        <f>IF(OR(FC$15=1,FC$15=7),0,IF(COUNTIF(工期不計!2:35,FC$14),0,1))</f>
        <v>1</v>
      </c>
      <c r="FD16" s="128">
        <f>IF(OR(FD$15=1,FD$15=7),0,IF(COUNTIF(工期不計!2:35,FD$14),0,1))</f>
        <v>0</v>
      </c>
      <c r="FE16" s="128">
        <f>IF(OR(FE$15=1,FE$15=7),0,IF(COUNTIF(工期不計!2:35,FE$14),0,1))</f>
        <v>0</v>
      </c>
      <c r="FF16" s="128">
        <f>IF(OR(FF$15=1,FF$15=7),0,IF(COUNTIF(工期不計!2:35,FF$14),0,1))</f>
        <v>1</v>
      </c>
      <c r="FG16" s="128">
        <f>IF(OR(FG$15=1,FG$15=7),0,IF(COUNTIF(工期不計!2:35,FG$14),0,1))</f>
        <v>1</v>
      </c>
      <c r="FH16" s="128">
        <f>IF(OR(FH$15=1,FH$15=7),0,IF(COUNTIF(工期不計!2:35,FH$14),0,1))</f>
        <v>1</v>
      </c>
      <c r="FI16" s="128">
        <f>IF(OR(FI$15=1,FI$15=7),0,IF(COUNTIF(工期不計!2:35,FI$14),0,1))</f>
        <v>1</v>
      </c>
      <c r="FJ16" s="128">
        <f>IF(OR(FJ$15=1,FJ$15=7),0,IF(COUNTIF(工期不計!2:35,FJ$14),0,1))</f>
        <v>1</v>
      </c>
      <c r="FK16" s="128">
        <f>IF(OR(FK$15=1,FK$15=7),0,IF(COUNTIF(工期不計!2:35,FK$14),0,1))</f>
        <v>0</v>
      </c>
      <c r="FL16" s="128">
        <f>IF(OR(FL$15=1,FL$15=7),0,IF(COUNTIF(工期不計!2:35,FL$14),0,1))</f>
        <v>0</v>
      </c>
      <c r="FM16" s="128">
        <f>IF(OR(FM$15=1,FM$15=7),0,IF(COUNTIF(工期不計!2:35,FM$14),0,1))</f>
        <v>1</v>
      </c>
      <c r="FN16" s="128">
        <f>IF(OR(FN$15=1,FN$15=7),0,IF(COUNTIF(工期不計!2:35,FN$14),0,1))</f>
        <v>1</v>
      </c>
      <c r="FO16" s="128">
        <f>IF(OR(FO$15=1,FO$15=7),0,IF(COUNTIF(工期不計!2:35,FO$14),0,1))</f>
        <v>1</v>
      </c>
      <c r="FP16" s="128">
        <f>IF(OR(FP$15=1,FP$15=7),0,IF(COUNTIF(工期不計!2:35,FP$14),0,1))</f>
        <v>1</v>
      </c>
      <c r="FQ16" s="128">
        <f>IF(OR(FQ$15=1,FQ$15=7),0,IF(COUNTIF(工期不計!2:35,FQ$14),0,1))</f>
        <v>1</v>
      </c>
      <c r="FR16" s="128">
        <f>IF(OR(FR$15=1,FR$15=7),0,IF(COUNTIF(工期不計!2:35,FR$14),0,1))</f>
        <v>0</v>
      </c>
      <c r="FS16" s="128">
        <f>IF(OR(FS$15=1,FS$15=7),0,IF(COUNTIF(工期不計!2:35,FS$14),0,1))</f>
        <v>0</v>
      </c>
      <c r="FT16" s="128">
        <f>IF(OR(FT$15=1,FT$15=7),0,IF(COUNTIF(工期不計!2:35,FT$14),0,1))</f>
        <v>1</v>
      </c>
      <c r="FU16" s="128">
        <f>IF(OR(FU$15=1,FU$15=7),0,IF(COUNTIF(工期不計!2:35,FU$14),0,1))</f>
        <v>1</v>
      </c>
      <c r="FV16" s="128">
        <f>IF(OR(FV$15=1,FV$15=7),0,IF(COUNTIF(工期不計!2:35,FV$14),0,1))</f>
        <v>1</v>
      </c>
      <c r="FW16" s="128">
        <f>IF(OR(FW$15=1,FW$15=7),0,IF(COUNTIF(工期不計!2:35,FW$14),0,1))</f>
        <v>1</v>
      </c>
      <c r="FX16" s="128">
        <f>IF(OR(FX$15=1,FX$15=7),0,IF(COUNTIF(工期不計!2:35,FX$14),0,1))</f>
        <v>1</v>
      </c>
      <c r="FY16" s="128">
        <f>IF(OR(FY$15=1,FY$15=7),0,IF(COUNTIF(工期不計!2:35,FY$14),0,1))</f>
        <v>0</v>
      </c>
      <c r="FZ16" s="128">
        <f>IF(OR(FZ$15=1,FZ$15=7),0,IF(COUNTIF(工期不計!2:35,FZ$14),0,1))</f>
        <v>0</v>
      </c>
      <c r="GA16" s="128">
        <f>IF(OR(GA$15=1,GA$15=7),0,IF(COUNTIF(工期不計!2:35,GA$14),0,1))</f>
        <v>1</v>
      </c>
      <c r="GB16" s="128">
        <f>IF(OR(GB$15=1,GB$15=7),0,IF(COUNTIF(工期不計!2:35,GB$14),0,1))</f>
        <v>1</v>
      </c>
      <c r="GC16" s="128">
        <f>IF(OR(GC$15=1,GC$15=7),0,IF(COUNTIF(工期不計!2:35,GC$14),0,1))</f>
        <v>1</v>
      </c>
      <c r="GD16" s="128">
        <f>IF(OR(GD$15=1,GD$15=7),0,IF(COUNTIF(工期不計!2:35,GD$14),0,1))</f>
        <v>1</v>
      </c>
      <c r="GE16" s="128">
        <f>IF(OR(GE$15=1,GE$15=7),0,IF(COUNTIF(工期不計!2:35,GE$14),0,1))</f>
        <v>1</v>
      </c>
      <c r="GF16" s="128">
        <f>IF(OR(GF$15=1,GF$15=7),0,IF(COUNTIF(工期不計!2:35,GF$14),0,1))</f>
        <v>0</v>
      </c>
      <c r="GG16" s="280">
        <f>IF(OR(GG$15=1,GG$15=7),0,IF(COUNTIF(工期不計!2:35,GG$14),0,1))</f>
        <v>0</v>
      </c>
      <c r="GH16" s="128">
        <f>IF(OR(GH$15=1,GH$15=7),0,IF(COUNTIF(工期不計!2:35,GH$14),0,1))</f>
        <v>1</v>
      </c>
      <c r="GI16" s="128">
        <f>IF(OR(GI$15=1,GI$15=7),0,IF(COUNTIF(工期不計!2:35,GI$14),0,1))</f>
        <v>1</v>
      </c>
      <c r="GJ16" s="128">
        <f>IF(OR(GJ$15=1,GJ$15=7),0,IF(COUNTIF(工期不計!2:35,GJ$14),0,1))</f>
        <v>1</v>
      </c>
      <c r="GK16" s="128">
        <f>IF(OR(GK$15=1,GK$15=7),0,IF(COUNTIF(工期不計!2:35,GK$14),0,1))</f>
        <v>1</v>
      </c>
      <c r="GL16" s="128">
        <f>IF(OR(GL$15=1,GL$15=7),0,IF(COUNTIF(工期不計!2:35,GL$14),0,1))</f>
        <v>1</v>
      </c>
      <c r="GM16" s="128">
        <f>IF(OR(GM$15=1,GM$15=7),0,IF(COUNTIF(工期不計!2:35,GM$14),0,1))</f>
        <v>0</v>
      </c>
      <c r="GN16" s="128">
        <f>IF(OR(GN$15=1,GN$15=7),0,IF(COUNTIF(工期不計!2:35,GN$14),0,1))</f>
        <v>0</v>
      </c>
      <c r="GO16" s="128">
        <f>IF(OR(GO$15=1,GO$15=7),0,IF(COUNTIF(工期不計!2:35,GO$14),0,1))</f>
        <v>1</v>
      </c>
      <c r="GP16" s="128">
        <f>IF(OR(GP$15=1,GP$15=7),0,IF(COUNTIF(工期不計!2:35,GP$14),0,1))</f>
        <v>1</v>
      </c>
      <c r="GQ16" s="128">
        <f>IF(OR(GQ$15=1,GQ$15=7),0,IF(COUNTIF(工期不計!2:35,GQ$14),0,1))</f>
        <v>1</v>
      </c>
      <c r="GR16" s="128">
        <f>IF(OR(GR$15=1,GR$15=7),0,IF(COUNTIF(工期不計!2:35,GR$14),0,1))</f>
        <v>1</v>
      </c>
      <c r="GS16" s="128">
        <f>IF(OR(GS$15=1,GS$15=7),0,IF(COUNTIF(工期不計!2:35,GS$14),0,1))</f>
        <v>1</v>
      </c>
      <c r="GT16" s="128">
        <f>IF(OR(GT$15=1,GT$15=7),0,IF(COUNTIF(工期不計!2:35,GT$14),0,1))</f>
        <v>0</v>
      </c>
      <c r="GU16" s="128">
        <f>IF(OR(GU$15=1,GU$15=7),0,IF(COUNTIF(工期不計!2:35,GU$14),0,1))</f>
        <v>0</v>
      </c>
      <c r="GV16" s="128">
        <f>IF(OR(GV$15=1,GV$15=7),0,IF(COUNTIF(工期不計!2:35,GV$14),0,1))</f>
        <v>1</v>
      </c>
      <c r="GW16" s="128">
        <f>IF(OR(GW$15=1,GW$15=7),0,IF(COUNTIF(工期不計!2:35,GW$14),0,1))</f>
        <v>1</v>
      </c>
      <c r="GX16" s="128">
        <f>IF(OR(GX$15=1,GX$15=7),0,IF(COUNTIF(工期不計!2:35,GX$14),0,1))</f>
        <v>1</v>
      </c>
      <c r="GY16" s="128">
        <f>IF(OR(GY$15=1,GY$15=7),0,IF(COUNTIF(工期不計!2:35,GY$14),0,1))</f>
        <v>1</v>
      </c>
      <c r="GZ16" s="128">
        <f>IF(OR(GZ$15=1,GZ$15=7),0,IF(COUNTIF(工期不計!2:35,GZ$14),0,1))</f>
        <v>1</v>
      </c>
      <c r="HA16" s="128">
        <f>IF(OR(HA$15=1,HA$15=7),0,IF(COUNTIF(工期不計!2:35,HA$14),0,1))</f>
        <v>0</v>
      </c>
      <c r="HB16" s="128">
        <f>IF(OR(HB$15=1,HB$15=7),0,IF(COUNTIF(工期不計!2:35,HB$14),0,1))</f>
        <v>0</v>
      </c>
      <c r="HC16" s="128">
        <f>IF(OR(HC$15=1,HC$15=7),0,IF(COUNTIF(工期不計!2:35,HC$14),0,1))</f>
        <v>1</v>
      </c>
      <c r="HD16" s="128">
        <f>IF(OR(HD$15=1,HD$15=7),0,IF(COUNTIF(工期不計!2:35,HD$14),0,1))</f>
        <v>1</v>
      </c>
      <c r="HE16" s="128">
        <f>IF(OR(HE$15=1,HE$15=7),0,IF(COUNTIF(工期不計!2:35,HE$14),0,1))</f>
        <v>1</v>
      </c>
      <c r="HF16" s="128">
        <f>IF(OR(HF$15=1,HF$15=7),0,IF(COUNTIF(工期不計!2:35,HF$14),0,1))</f>
        <v>1</v>
      </c>
      <c r="HG16" s="128">
        <f>IF(OR(HG$15=1,HG$15=7),0,IF(COUNTIF(工期不計!2:35,HG$14),0,1))</f>
        <v>1</v>
      </c>
      <c r="HH16" s="128">
        <f>IF(OR(HH$15=1,HH$15=7),0,IF(COUNTIF(工期不計!2:35,HH$14),0,1))</f>
        <v>0</v>
      </c>
      <c r="HI16" s="128">
        <f>IF(OR(HI$15=1,HI$15=7),0,IF(COUNTIF(工期不計!2:35,HI$14),0,1))</f>
        <v>0</v>
      </c>
      <c r="HJ16" s="128">
        <f>IF(OR(HJ$15=1,HJ$15=7),0,IF(COUNTIF(工期不計!2:35,HJ$14),0,1))</f>
        <v>1</v>
      </c>
      <c r="HK16" s="128">
        <f>IF(OR(HK$15=1,HK$15=7),0,IF(COUNTIF(工期不計!2:35,HK$14),0,1))</f>
        <v>1</v>
      </c>
      <c r="HL16" s="128">
        <f>IF(OR(HL$15=1,HL$15=7),0,IF(COUNTIF(工期不計!2:35,HL$14),0,1))</f>
        <v>1</v>
      </c>
      <c r="HM16" s="128">
        <f>IF(OR(HM$15=1,HM$15=7),0,IF(COUNTIF(工期不計!2:35,HM$14),0,1))</f>
        <v>1</v>
      </c>
      <c r="HN16" s="128">
        <f>IF(OR(HN$15=1,HN$15=7),0,IF(COUNTIF(工期不計!2:35,HN$14),0,1))</f>
        <v>1</v>
      </c>
      <c r="HO16" s="128">
        <f>IF(OR(HO$15=1,HO$15=7),0,IF(COUNTIF(工期不計!2:35,HO$14),0,1))</f>
        <v>1</v>
      </c>
      <c r="HP16" s="128">
        <f>IF(OR(HP$15=1,HP$15=7),0,IF(COUNTIF(工期不計!2:35,HP$14),0,1))</f>
        <v>1</v>
      </c>
      <c r="HQ16" s="128">
        <f>IF(OR(HQ$15=1,HQ$15=7),0,IF(COUNTIF(工期不計!2:35,HQ$14),0,1))</f>
        <v>0</v>
      </c>
      <c r="HR16" s="128">
        <f>IF(OR(HR$15=1,HR$15=7),0,IF(COUNTIF(工期不計!2:35,HR$14),0,1))</f>
        <v>0</v>
      </c>
      <c r="HS16" s="128">
        <f>IF(OR(HS$15=1,HS$15=7),0,IF(COUNTIF(工期不計!2:35,HS$14),0,1))</f>
        <v>1</v>
      </c>
      <c r="HT16" s="128">
        <f>IF(OR(HT$15=1,HT$15=7),0,IF(COUNTIF(工期不計!2:35,HT$14),0,1))</f>
        <v>1</v>
      </c>
      <c r="HU16" s="128">
        <f>IF(OR(HU$15=1,HU$15=7),0,IF(COUNTIF(工期不計!2:35,HU$14),0,1))</f>
        <v>1</v>
      </c>
      <c r="HV16" s="128">
        <f>IF(OR(HV$15=1,HV$15=7),0,IF(COUNTIF(工期不計!2:35,HV$14),0,1))</f>
        <v>1</v>
      </c>
      <c r="HW16" s="128">
        <f>IF(OR(HW$15=1,HW$15=7),0,IF(COUNTIF(工期不計!2:35,HW$14),0,1))</f>
        <v>1</v>
      </c>
      <c r="HX16" s="128">
        <f>IF(OR(HX$15=1,HX$15=7),0,IF(COUNTIF(工期不計!2:35,HX$14),0,1))</f>
        <v>0</v>
      </c>
      <c r="HY16" s="128">
        <f>IF(OR(HY$15=1,HY$15=7),0,IF(COUNTIF(工期不計!2:35,HY$14),0,1))</f>
        <v>0</v>
      </c>
      <c r="HZ16" s="128">
        <f>IF(OR(HZ$15=1,HZ$15=7),0,IF(COUNTIF(工期不計!2:35,HZ$14),0,1))</f>
        <v>1</v>
      </c>
      <c r="IA16" s="128">
        <f>IF(OR(IA$15=1,IA$15=7),0,IF(COUNTIF(工期不計!2:35,IA$14),0,1))</f>
        <v>1</v>
      </c>
      <c r="IB16" s="128">
        <f>IF(OR(IB$15=1,IB$15=7),0,IF(COUNTIF(工期不計!2:35,IB$14),0,1))</f>
        <v>1</v>
      </c>
      <c r="IC16" s="128">
        <f>IF(OR(IC$15=1,IC$15=7),0,IF(COUNTIF(工期不計!2:35,IC$14),0,1))</f>
        <v>1</v>
      </c>
      <c r="ID16" s="128">
        <f>IF(OR(ID$15=1,ID$15=7),0,IF(COUNTIF(工期不計!2:35,ID$14),0,1))</f>
        <v>1</v>
      </c>
      <c r="IE16" s="128">
        <f>IF(OR(IE$15=1,IE$15=7),0,IF(COUNTIF(工期不計!2:15,IE$14),0,1))</f>
        <v>0</v>
      </c>
      <c r="IF16" s="128">
        <f>IF(OR(IF$15=1,IF$15=7),0,IF(COUNTIF(工期不計!2:15,IF$14),0,1))</f>
        <v>0</v>
      </c>
      <c r="IG16" s="128">
        <f>IF(OR(IG$15=1,IG$15=7),0,IF(COUNTIF(工期不計!2:15,IG$14),0,1))</f>
        <v>1</v>
      </c>
      <c r="IH16" s="128">
        <f>IF(OR(IH$15=1,IH$15=7),0,IF(COUNTIF(工期不計!2:15,IH$14),0,1))</f>
        <v>1</v>
      </c>
      <c r="II16" s="128">
        <f>IF(OR(II$15=1,II$15=7),0,IF(COUNTIF(工期不計!2:15,II$14),0,1))</f>
        <v>1</v>
      </c>
      <c r="IJ16" s="128">
        <f>IF(OR(IJ$15=1,IJ$15=7),0,IF(COUNTIF(工期不計!2:15,IJ$14),0,1))</f>
        <v>1</v>
      </c>
      <c r="IK16" s="128">
        <f>IF(OR(IK$15=1,IK$15=7),0,IF(COUNTIF(工期不計!2:15,IK$14),0,1))</f>
        <v>1</v>
      </c>
      <c r="IL16" s="128">
        <f>IF(OR(IL$15=1,IL$15=7),0,IF(COUNTIF(工期不計!2:15,IL$14),0,1))</f>
        <v>0</v>
      </c>
      <c r="IM16" s="128">
        <f>IF(OR(IM$15=1,IM$15=7),0,IF(COUNTIF(工期不計!2:15,IM$14),0,1))</f>
        <v>0</v>
      </c>
      <c r="IN16" s="128">
        <f>IF(OR(IN$15=1,IN$15=7),0,IF(COUNTIF(工期不計!2:15,IN$14),0,1))</f>
        <v>1</v>
      </c>
      <c r="IO16" s="128">
        <f>IF(OR(IO$15=1,IO$15=7),0,IF(COUNTIF(工期不計!2:15,IO$14),0,1))</f>
        <v>1</v>
      </c>
      <c r="IP16" s="128">
        <f>IF(OR(IP$15=1,IP$15=7),0,IF(COUNTIF(工期不計!2:15,IP$14),0,1))</f>
        <v>1</v>
      </c>
      <c r="IQ16" s="128">
        <f>IF(OR(IQ$15=1,IQ$15=7),0,IF(COUNTIF(工期不計!2:15,IQ$14),0,1))</f>
        <v>1</v>
      </c>
      <c r="IR16" s="128">
        <f>IF(OR(IR$15=1,IR$15=7),0,IF(COUNTIF(工期不計!2:15,IR$14),0,1))</f>
        <v>1</v>
      </c>
      <c r="IS16" s="128">
        <f>IF(OR(IS$15=1,IS$15=7),0,IF(COUNTIF(工期不計!2:15,IS$14),0,1))</f>
        <v>0</v>
      </c>
      <c r="IT16" s="128">
        <f>IF(OR(IT$15=1,IT$15=7),0,IF(COUNTIF(工期不計!2:15,IT$14),0,1))</f>
        <v>0</v>
      </c>
      <c r="IU16" s="128">
        <f>IF(OR(IU$15=1,IU$15=7),0,IF(COUNTIF(工期不計!2:15,IU$14),0,1))</f>
        <v>1</v>
      </c>
    </row>
    <row r="17" spans="1:255" s="128" customFormat="1" ht="15" customHeight="1">
      <c r="C17" s="123" t="s">
        <v>68</v>
      </c>
      <c r="D17" s="152"/>
      <c r="E17" s="432"/>
      <c r="F17" s="123" t="s">
        <v>149</v>
      </c>
      <c r="G17" s="123"/>
      <c r="H17" s="132" t="s">
        <v>151</v>
      </c>
      <c r="I17" s="133">
        <f>COUNT(I69:I73)</f>
        <v>0</v>
      </c>
      <c r="J17" s="128">
        <f>IF(OR(J$15=1,J$15=7),0,IF(COUNTIF(工期不計!2:35,J$14),0,1))</f>
        <v>1</v>
      </c>
      <c r="K17" s="128">
        <f>IF(OR(K$15=1,K$15=7),0,IF(COUNTIF(工期不計!2:35,K$14),0,1))</f>
        <v>1</v>
      </c>
      <c r="L17" s="128">
        <f>IF(OR(L$15=1,L$15=7),0,IF(COUNTIF(工期不計!2:35,L$14),0,1))</f>
        <v>1</v>
      </c>
      <c r="M17" s="128">
        <f>IF(OR(M$15=1,M$15=7),0,IF(COUNTIF(工期不計!2:35,M$14),0,1))</f>
        <v>0</v>
      </c>
      <c r="N17" s="128">
        <f>IF(OR(N$15=1,N$15=7),0,IF(COUNTIF(工期不計!2:35,N$14),0,1))</f>
        <v>0</v>
      </c>
      <c r="O17" s="128">
        <f>IF(OR(O$15=1,O$15=7),0,IF(COUNTIF(工期不計!2:35,O$14),0,1))</f>
        <v>1</v>
      </c>
      <c r="P17" s="128">
        <f>IF(OR(P$15=1,P$15=7),0,IF(COUNTIF(工期不計!2:35,P$14),0,1))</f>
        <v>1</v>
      </c>
      <c r="Q17" s="128">
        <f>IF(OR(Q$15=1,Q$15=7),0,IF(COUNTIF(工期不計!2:35,Q$14),0,1))</f>
        <v>1</v>
      </c>
      <c r="R17" s="128">
        <f>IF(OR(R$15=1,R$15=7),0,IF(COUNTIF(工期不計!2:35,R$14),0,1))</f>
        <v>1</v>
      </c>
      <c r="S17" s="128">
        <f>IF(OR(S$15=1,S$15=7),0,IF(COUNTIF(工期不計!2:35,S$14),0,1))</f>
        <v>1</v>
      </c>
      <c r="T17" s="128">
        <f>IF(OR(T$15=1,T$15=7),0,IF(COUNTIF(工期不計!2:35,T$14),0,1))</f>
        <v>0</v>
      </c>
      <c r="U17" s="128">
        <f>IF(OR(U$15=1,U$15=7),0,IF(COUNTIF(工期不計!2:35,U$14),0,1))</f>
        <v>0</v>
      </c>
      <c r="V17" s="128">
        <f>IF(OR(V$15=1,V$15=7),0,IF(COUNTIF(工期不計!2:35,V$14),0,1))</f>
        <v>1</v>
      </c>
      <c r="W17" s="128">
        <f>IF(OR(W$15=1,W$15=7),0,IF(COUNTIF(工期不計!2:35,W$14),0,1))</f>
        <v>1</v>
      </c>
      <c r="X17" s="128">
        <f>IF(OR(X$15=1,X$15=7),0,IF(COUNTIF(工期不計!2:35,X$14),0,1))</f>
        <v>1</v>
      </c>
      <c r="Y17" s="128">
        <f>IF(OR(Y$15=1,Y$15=7),0,IF(COUNTIF(工期不計!2:35,Y$14),0,1))</f>
        <v>1</v>
      </c>
      <c r="Z17" s="128">
        <f>IF(OR(Z$15=1,Z$15=7),0,IF(COUNTIF(工期不計!2:35,Z$14),0,1))</f>
        <v>1</v>
      </c>
      <c r="AA17" s="128">
        <f>IF(OR(AA$15=1,AA$15=7),0,IF(COUNTIF(工期不計!2:35,AA$14),0,1))</f>
        <v>0</v>
      </c>
      <c r="AB17" s="128">
        <f>IF(OR(AB$15=1,AB$15=7),0,IF(COUNTIF(工期不計!2:35,AB$14),0,1))</f>
        <v>0</v>
      </c>
      <c r="AC17" s="128">
        <f>IF(OR(AC$15=1,AC$15=7),0,IF(COUNTIF(工期不計!2:35,AC$14),0,1))</f>
        <v>1</v>
      </c>
      <c r="AD17" s="128">
        <f>IF(OR(AD$15=1,AD$15=7),0,IF(COUNTIF(工期不計!2:35,AD$14),0,1))</f>
        <v>1</v>
      </c>
      <c r="AE17" s="128">
        <f>IF(OR(AE$15=1,AE$15=7),0,IF(COUNTIF(工期不計!2:35,AE$14),0,1))</f>
        <v>1</v>
      </c>
      <c r="AF17" s="128">
        <f>IF(OR(AF$15=1,AF$15=7),0,IF(COUNTIF(工期不計!2:35,AF$14),0,1))</f>
        <v>1</v>
      </c>
      <c r="AG17" s="128">
        <f>IF(OR(AG$15=1,AG$15=7),0,IF(COUNTIF(工期不計!2:35,AG$14),0,1))</f>
        <v>1</v>
      </c>
      <c r="AH17" s="128">
        <f>IF(OR(AH$15=1,AH$15=7),0,IF(COUNTIF(工期不計!2:35,AH$14),0,1))</f>
        <v>0</v>
      </c>
      <c r="AI17" s="128">
        <f>IF(OR(AI$15=1,AI$15=7),0,IF(COUNTIF(工期不計!2:35,AI$14),0,1))</f>
        <v>0</v>
      </c>
      <c r="AJ17" s="128">
        <f>IF(OR(AJ$15=1,AJ$15=7),0,IF(COUNTIF(工期不計!2:35,AJ$14),0,1))</f>
        <v>1</v>
      </c>
      <c r="AK17" s="128">
        <f>IF(OR(AK$15=1,AK$15=7),0,IF(COUNTIF(工期不計!2:35,AK$14),0,1))</f>
        <v>1</v>
      </c>
      <c r="AL17" s="128">
        <f>IF(OR(AL$15=1,AL$15=7),0,IF(COUNTIF(工期不計!2:35,AL$14),0,1))</f>
        <v>1</v>
      </c>
      <c r="AM17" s="128">
        <f>IF(OR(AM$15=1,AM$15=7),0,IF(COUNTIF(工期不計!2:35,AM$14),0,1))</f>
        <v>1</v>
      </c>
      <c r="AN17" s="128">
        <f>IF(OR(AN$15=1,AN$15=7),0,IF(COUNTIF(工期不計!2:35,AN$14),0,1))</f>
        <v>1</v>
      </c>
      <c r="AO17" s="128">
        <f>IF(OR(AO$15=1,AO$15=7),0,IF(COUNTIF(工期不計!2:35,AO$14),0,1))</f>
        <v>0</v>
      </c>
      <c r="AP17" s="128">
        <f>IF(OR(AP$15=1,AP$15=7),0,IF(COUNTIF(工期不計!2:35,AP$14),0,1))</f>
        <v>0</v>
      </c>
      <c r="AQ17" s="128">
        <f>IF(OR(AQ$15=1,AQ$15=7),0,IF(COUNTIF(工期不計!2:35,AQ$14),0,1))</f>
        <v>1</v>
      </c>
      <c r="AR17" s="128">
        <f>IF(OR(AR$15=1,AR$15=7),0,IF(COUNTIF(工期不計!2:35,AR$14),0,1))</f>
        <v>1</v>
      </c>
      <c r="AS17" s="128">
        <f>IF(OR(AS$15=1,AS$15=7),0,IF(COUNTIF(工期不計!2:35,AS$14),0,1))</f>
        <v>1</v>
      </c>
      <c r="AT17" s="128">
        <f>IF(OR(AT$15=1,AT$15=7),0,IF(COUNTIF(工期不計!2:35,AT$14),0,1))</f>
        <v>1</v>
      </c>
      <c r="AU17" s="128">
        <f>IF(OR(AU$15=1,AU$15=7),0,IF(COUNTIF(工期不計!2:35,AU$14),0,1))</f>
        <v>1</v>
      </c>
      <c r="AV17" s="128">
        <f>IF(OR(AV$15=1,AV$15=7),0,IF(COUNTIF(工期不計!2:35,AV$14),0,1))</f>
        <v>0</v>
      </c>
      <c r="AW17" s="128">
        <f>IF(OR(AW$15=1,AW$15=7),0,IF(COUNTIF(工期不計!2:35,AW$14),0,1))</f>
        <v>0</v>
      </c>
      <c r="AX17" s="128">
        <f>IF(OR(AX$15=1,AX$15=7),0,IF(COUNTIF(工期不計!2:35,AX$14),0,1))</f>
        <v>1</v>
      </c>
      <c r="AY17" s="128">
        <f>IF(OR(AY$15=1,AY$15=7),0,IF(COUNTIF(工期不計!2:35,AY$14),0,1))</f>
        <v>1</v>
      </c>
      <c r="AZ17" s="128">
        <f>IF(OR(AZ$15=1,AZ$15=7),0,IF(COUNTIF(工期不計!2:35,AZ$14),0,1))</f>
        <v>1</v>
      </c>
      <c r="BA17" s="128">
        <f>IF(OR(BA$15=1,BA$15=7),0,IF(COUNTIF(工期不計!2:35,BA$14),0,1))</f>
        <v>1</v>
      </c>
      <c r="BB17" s="128">
        <f>IF(OR(BB$15=1,BB$15=7),0,IF(COUNTIF(工期不計!2:35,BB$14),0,1))</f>
        <v>1</v>
      </c>
      <c r="BC17" s="128">
        <f>IF(OR(BC$15=1,BC$15=7),0,IF(COUNTIF(工期不計!2:35,BC$14),0,1))</f>
        <v>0</v>
      </c>
      <c r="BD17" s="128">
        <f>IF(OR(BD$15=1,BD$15=7),0,IF(COUNTIF(工期不計!2:35,BD$14),0,1))</f>
        <v>0</v>
      </c>
      <c r="BE17" s="128">
        <f>IF(OR(BE$15=1,BE$15=7),0,IF(COUNTIF(工期不計!2:35,BE$14),0,1))</f>
        <v>1</v>
      </c>
      <c r="BF17" s="128">
        <f>IF(OR(BF$15=1,BF$15=7),0,IF(COUNTIF(工期不計!2:35,BF$14),0,1))</f>
        <v>1</v>
      </c>
      <c r="BG17" s="128">
        <f>IF(OR(BG$15=1,BG$15=7),0,IF(COUNTIF(工期不計!2:35,BG$14),0,1))</f>
        <v>1</v>
      </c>
      <c r="BH17" s="128">
        <f>IF(OR(BH$15=1,BH$15=7),0,IF(COUNTIF(工期不計!2:35,BH$14),0,1))</f>
        <v>1</v>
      </c>
      <c r="BI17" s="128">
        <f>IF(OR(BI$15=1,BI$15=7),0,IF(COUNTIF(工期不計!2:35,BI$14),0,1))</f>
        <v>1</v>
      </c>
      <c r="BJ17" s="128">
        <f>IF(OR(BJ$15=1,BJ$15=7),0,IF(COUNTIF(工期不計!2:35,BJ$14),0,1))</f>
        <v>0</v>
      </c>
      <c r="BK17" s="128">
        <f>IF(OR(BK$15=1,BK$15=7),0,IF(COUNTIF(工期不計!2:35,BK$14),0,1))</f>
        <v>0</v>
      </c>
      <c r="BL17" s="128">
        <f>IF(OR(BL$15=1,BL$15=7),0,IF(COUNTIF(工期不計!2:35,BL$14),0,1))</f>
        <v>1</v>
      </c>
      <c r="BM17" s="128">
        <f>IF(OR(BM$15=1,BM$15=7),0,IF(COUNTIF(工期不計!2:35,BM$14),0,1))</f>
        <v>1</v>
      </c>
      <c r="BN17" s="128">
        <f>IF(OR(BN$15=1,BN$15=7),0,IF(COUNTIF(工期不計!2:35,BN$14),0,1))</f>
        <v>1</v>
      </c>
      <c r="BO17" s="128">
        <f>IF(OR(BO$15=1,BO$15=7),0,IF(COUNTIF(工期不計!2:35,BO$14),0,1))</f>
        <v>1</v>
      </c>
      <c r="BP17" s="128">
        <f>IF(OR(BP$15=1,BP$15=7),0,IF(COUNTIF(工期不計!2:35,BP$14),0,1))</f>
        <v>1</v>
      </c>
      <c r="BQ17" s="128">
        <f>IF(OR(BQ$15=1,BQ$15=7),0,IF(COUNTIF(工期不計!2:35,BQ$14),0,1))</f>
        <v>0</v>
      </c>
      <c r="BR17" s="128">
        <f>IF(OR(BR$15=1,BR$15=7),0,IF(COUNTIF(工期不計!2:35,BR$14),0,1))</f>
        <v>0</v>
      </c>
      <c r="BS17" s="128">
        <f>IF(OR(BS$15=1,BS$15=7),0,IF(COUNTIF(工期不計!2:35,BS$14),0,1))</f>
        <v>1</v>
      </c>
      <c r="BT17" s="128">
        <f>IF(OR(BT$15=1,BT$15=7),0,IF(COUNTIF(工期不計!2:35,BT$14),0,1))</f>
        <v>1</v>
      </c>
      <c r="BU17" s="128">
        <f>IF(OR(BU$15=1,BU$15=7),0,IF(COUNTIF(工期不計!2:35,BU$14),0,1))</f>
        <v>1</v>
      </c>
      <c r="BV17" s="128">
        <f>IF(OR(BV$15=1,BV$15=7),0,IF(COUNTIF(工期不計!2:35,BV$14),0,1))</f>
        <v>1</v>
      </c>
      <c r="BW17" s="128">
        <f>IF(OR(BW$15=1,BW$15=7),0,IF(COUNTIF(工期不計!2:35,BW$14),0,1))</f>
        <v>1</v>
      </c>
      <c r="BX17" s="128">
        <f>IF(OR(BX$15=1,BX$15=7),0,IF(COUNTIF(工期不計!2:35,BX$14),0,1))</f>
        <v>0</v>
      </c>
      <c r="BY17" s="128">
        <f>IF(OR(BY$15=1,BY$15=7),0,IF(COUNTIF(工期不計!2:35,BY$14),0,1))</f>
        <v>0</v>
      </c>
      <c r="BZ17" s="128">
        <f>IF(OR(BZ$15=1,BZ$15=7),0,IF(COUNTIF(工期不計!2:35,BZ$14),0,1))</f>
        <v>1</v>
      </c>
      <c r="CA17" s="128">
        <f>IF(OR(CA$15=1,CA$15=7),0,IF(COUNTIF(工期不計!2:35,CA$14),0,1))</f>
        <v>1</v>
      </c>
      <c r="CB17" s="128">
        <f>IF(OR(CB$15=1,CB$15=7),0,IF(COUNTIF(工期不計!2:35,CB$14),0,1))</f>
        <v>1</v>
      </c>
      <c r="CC17" s="128">
        <f>IF(OR(CC$15=1,CC$15=7),0,IF(COUNTIF(工期不計!2:35,CC$14),0,1))</f>
        <v>1</v>
      </c>
      <c r="CD17" s="128">
        <f>IF(OR(CD$15=1,CD$15=7),0,IF(COUNTIF(工期不計!2:35,CD$14),0,1))</f>
        <v>1</v>
      </c>
      <c r="CE17" s="128">
        <f>IF(OR(CE$15=1,CE$15=7),0,IF(COUNTIF(工期不計!2:35,CE$14),0,1))</f>
        <v>0</v>
      </c>
      <c r="CF17" s="128">
        <f>IF(OR(CF$15=1,CF$15=7),0,IF(COUNTIF(工期不計!2:35,CF$14),0,1))</f>
        <v>0</v>
      </c>
      <c r="CG17" s="128">
        <f>IF(OR(CG$15=1,CG$15=7),0,IF(COUNTIF(工期不計!2:35,CG$14),0,1))</f>
        <v>1</v>
      </c>
      <c r="CH17" s="128">
        <f>IF(OR(CH$15=1,CH$15=7),0,IF(COUNTIF(工期不計!2:35,CH$14),0,1))</f>
        <v>1</v>
      </c>
      <c r="CI17" s="128">
        <f>IF(OR(CI$15=1,CI$15=7),0,IF(COUNTIF(工期不計!2:35,CI$14),0,1))</f>
        <v>1</v>
      </c>
      <c r="CJ17" s="128">
        <f>IF(OR(CJ$15=1,CJ$15=7),0,IF(COUNTIF(工期不計!2:35,CJ$14),0,1))</f>
        <v>1</v>
      </c>
      <c r="CK17" s="128">
        <f>IF(OR(CK$15=1,CK$15=7),0,IF(COUNTIF(工期不計!2:35,CK$14),0,1))</f>
        <v>1</v>
      </c>
      <c r="CL17" s="128">
        <f>IF(OR(CL$15=1,CL$15=7),0,IF(COUNTIF(工期不計!2:35,CL$14),0,1))</f>
        <v>0</v>
      </c>
      <c r="CM17" s="128">
        <f>IF(OR(CM$15=1,CM$15=7),0,IF(COUNTIF(工期不計!2:35,CM$14),0,1))</f>
        <v>0</v>
      </c>
      <c r="CN17" s="128">
        <f>IF(OR(CN$15=1,CN$15=7),0,IF(COUNTIF(工期不計!2:35,CN$14),0,1))</f>
        <v>1</v>
      </c>
      <c r="CO17" s="128">
        <f>IF(OR(CO$15=1,CO$15=7),0,IF(COUNTIF(工期不計!2:35,CO$14),0,1))</f>
        <v>1</v>
      </c>
      <c r="CP17" s="128">
        <f>IF(OR(CP$15=1,CP$15=7),0,IF(COUNTIF(工期不計!2:35,CP$14),0,1))</f>
        <v>1</v>
      </c>
      <c r="CQ17" s="128">
        <f>IF(OR(CQ$15=1,CQ$15=7),0,IF(COUNTIF(工期不計!2:35,CQ$14),0,1))</f>
        <v>1</v>
      </c>
      <c r="CR17" s="128">
        <f>IF(OR(CR$15=1,CR$15=7),0,IF(COUNTIF(工期不計!2:35,CR$14),0,1))</f>
        <v>1</v>
      </c>
      <c r="CS17" s="128">
        <f>IF(OR(CS$15=1,CS$15=7),0,IF(COUNTIF(工期不計!2:35,CS$14),0,1))</f>
        <v>0</v>
      </c>
      <c r="CT17" s="128">
        <f>IF(OR(CT$15=1,CT$15=7),0,IF(COUNTIF(工期不計!2:35,CT$14),0,1))</f>
        <v>0</v>
      </c>
      <c r="CU17" s="128">
        <f>IF(OR(CU$15=1,CU$15=7),0,IF(COUNTIF(工期不計!2:35,CU$14),0,1))</f>
        <v>1</v>
      </c>
      <c r="CV17" s="128">
        <f>IF(OR(CV$15=1,CV$15=7),0,IF(COUNTIF(工期不計!2:35,CV$14),0,1))</f>
        <v>1</v>
      </c>
      <c r="CW17" s="128">
        <f>IF(OR(CW$15=1,CW$15=7),0,IF(COUNTIF(工期不計!2:35,CW$14),0,1))</f>
        <v>1</v>
      </c>
      <c r="CX17" s="128">
        <f>IF(OR(CX$15=1,CX$15=7),0,IF(COUNTIF(工期不計!2:35,CX$14),0,1))</f>
        <v>1</v>
      </c>
      <c r="CY17" s="128">
        <f>IF(OR(CY$15=1,CY$15=7),0,IF(COUNTIF(工期不計!2:35,CY$14),0,1))</f>
        <v>1</v>
      </c>
      <c r="CZ17" s="128">
        <f>IF(OR(CZ$15=1,CZ$15=7),0,IF(COUNTIF(工期不計!2:35,CZ$14),0,1))</f>
        <v>0</v>
      </c>
      <c r="DA17" s="128">
        <f>IF(OR(DA$15=1,DA$15=7),0,IF(COUNTIF(工期不計!2:35,DA$14),0,1))</f>
        <v>0</v>
      </c>
      <c r="DB17" s="128">
        <f>IF(OR(DB$15=1,DB$15=7),0,IF(COUNTIF(工期不計!2:35,DB$14),0,1))</f>
        <v>1</v>
      </c>
      <c r="DC17" s="128">
        <f>IF(OR(DC$15=1,DC$15=7),0,IF(COUNTIF(工期不計!2:35,DC$14),0,1))</f>
        <v>1</v>
      </c>
      <c r="DD17" s="128">
        <f>IF(OR(DD$15=1,DD$15=7),0,IF(COUNTIF(工期不計!2:35,DD$14),0,1))</f>
        <v>1</v>
      </c>
      <c r="DE17" s="128">
        <f>IF(OR(DE$15=1,DE$15=7),0,IF(COUNTIF(工期不計!2:35,DE$14),0,1))</f>
        <v>1</v>
      </c>
      <c r="DF17" s="128">
        <f>IF(OR(DF$15=1,DF$15=7),0,IF(COUNTIF(工期不計!2:35,DF$14),0,1))</f>
        <v>1</v>
      </c>
      <c r="DG17" s="128">
        <f>IF(OR(DG$15=1,DG$15=7),0,IF(COUNTIF(工期不計!2:35,DG$14),0,1))</f>
        <v>0</v>
      </c>
      <c r="DH17" s="128">
        <f>IF(OR(DH$15=1,DH$15=7),0,IF(COUNTIF(工期不計!2:35,DH$14),0,1))</f>
        <v>0</v>
      </c>
      <c r="DI17" s="128">
        <f>IF(OR(DI$15=1,DI$15=7),0,IF(COUNTIF(工期不計!2:35,DI$14),0,1))</f>
        <v>1</v>
      </c>
      <c r="DJ17" s="128">
        <f>IF(OR(DJ$15=1,DJ$15=7),0,IF(COUNTIF(工期不計!2:35,DJ$14),0,1))</f>
        <v>1</v>
      </c>
      <c r="DK17" s="128">
        <f>IF(OR(DK$15=1,DK$15=7),0,IF(COUNTIF(工期不計!2:35,DK$14),0,1))</f>
        <v>1</v>
      </c>
      <c r="DL17" s="128">
        <f>IF(OR(DL$15=1,DL$15=7),0,IF(COUNTIF(工期不計!2:35,DL$14),0,1))</f>
        <v>1</v>
      </c>
      <c r="DM17" s="128">
        <f>IF(OR(DM$15=1,DM$15=7),0,IF(COUNTIF(工期不計!2:35,DM$14),0,1))</f>
        <v>1</v>
      </c>
      <c r="DN17" s="128">
        <f>IF(OR(DN$15=1,DN$15=7),0,IF(COUNTIF(工期不計!2:35,DN$14),0,1))</f>
        <v>0</v>
      </c>
      <c r="DO17" s="128">
        <f>IF(OR(DO$15=1,DO$15=7),0,IF(COUNTIF(工期不計!2:35,DO$14),0,1))</f>
        <v>0</v>
      </c>
      <c r="DP17" s="128">
        <f>IF(OR(DP$15=1,DP$15=7),0,IF(COUNTIF(工期不計!2:35,DP$14),0,1))</f>
        <v>1</v>
      </c>
      <c r="DQ17" s="128">
        <f>IF(OR(DQ$15=1,DQ$15=7),0,IF(COUNTIF(工期不計!2:35,DQ$14),0,1))</f>
        <v>1</v>
      </c>
      <c r="DR17" s="128">
        <f>IF(OR(DR$15=1,DR$15=7),0,IF(COUNTIF(工期不計!2:35,DR$14),0,1))</f>
        <v>1</v>
      </c>
      <c r="DS17" s="128">
        <f>IF(OR(DS$15=1,DS$15=7),0,IF(COUNTIF(工期不計!2:35,DS$14),0,1))</f>
        <v>1</v>
      </c>
      <c r="DT17" s="128">
        <f>IF(OR(DT$15=1,DT$15=7),0,IF(COUNTIF(工期不計!2:35,DT$14),0,1))</f>
        <v>1</v>
      </c>
      <c r="DU17" s="128">
        <f>IF(OR(DU$15=1,DU$15=7),0,IF(COUNTIF(工期不計!2:35,DU$14),0,1))</f>
        <v>0</v>
      </c>
      <c r="DV17" s="128">
        <f>IF(OR(DV$15=1,DV$15=7),0,IF(COUNTIF(工期不計!2:35,DV$14),0,1))</f>
        <v>0</v>
      </c>
      <c r="DW17" s="128">
        <f>IF(OR(DW$15=1,DW$15=7),0,IF(COUNTIF(工期不計!2:35,DW$14),0,1))</f>
        <v>1</v>
      </c>
      <c r="DX17" s="128">
        <f>IF(OR(DX$15=1,DX$15=7),0,IF(COUNTIF(工期不計!2:35,DX$14),0,1))</f>
        <v>1</v>
      </c>
      <c r="DY17" s="128">
        <f>IF(OR(DY$15=1,DY$15=7),0,IF(COUNTIF(工期不計!2:35,DY$14),0,1))</f>
        <v>1</v>
      </c>
      <c r="DZ17" s="128">
        <f>IF(OR(DZ$15=1,DZ$15=7),0,IF(COUNTIF(工期不計!2:35,DZ$14),0,1))</f>
        <v>1</v>
      </c>
      <c r="EA17" s="128">
        <f>IF(OR(EA$15=1,EA$15=7),0,IF(COUNTIF(工期不計!2:35,EA$14),0,1))</f>
        <v>1</v>
      </c>
      <c r="EB17" s="128">
        <f>IF(OR(EB$15=1,EB$15=7),0,IF(COUNTIF(工期不計!2:35,EB$14),0,1))</f>
        <v>0</v>
      </c>
      <c r="EC17" s="128">
        <f>IF(OR(EC$15=1,EC$15=7),0,IF(COUNTIF(工期不計!2:35,EC$14),0,1))</f>
        <v>0</v>
      </c>
      <c r="ED17" s="128">
        <f>IF(OR(ED$15=1,ED$15=7),0,IF(COUNTIF(工期不計!2:35,ED$14),0,1))</f>
        <v>1</v>
      </c>
      <c r="EE17" s="128">
        <f>IF(OR(EE$15=1,EE$15=7),0,IF(COUNTIF(工期不計!2:35,EE$14),0,1))</f>
        <v>1</v>
      </c>
      <c r="EF17" s="128">
        <f>IF(OR(EF$15=1,EF$15=7),0,IF(COUNTIF(工期不計!2:35,EF$14),0,1))</f>
        <v>1</v>
      </c>
      <c r="EG17" s="128">
        <f>IF(OR(EG$15=1,EG$15=7),0,IF(COUNTIF(工期不計!2:35,EG$14),0,1))</f>
        <v>1</v>
      </c>
      <c r="EH17" s="128">
        <f>IF(OR(EH$15=1,EH$15=7),0,IF(COUNTIF(工期不計!2:35,EH$14),0,1))</f>
        <v>1</v>
      </c>
      <c r="EI17" s="128">
        <f>IF(OR(EI$15=1,EI$15=7),0,IF(COUNTIF(工期不計!2:35,EI$14),0,1))</f>
        <v>0</v>
      </c>
      <c r="EJ17" s="128">
        <f>IF(OR(EJ$15=1,EJ$15=7),0,IF(COUNTIF(工期不計!2:35,EJ$14),0,1))</f>
        <v>0</v>
      </c>
      <c r="EK17" s="128">
        <f>IF(OR(EK$15=1,EK$15=7),0,IF(COUNTIF(工期不計!2:35,EK$14),0,1))</f>
        <v>1</v>
      </c>
      <c r="EL17" s="128">
        <f>IF(OR(EL$15=1,EL$15=7),0,IF(COUNTIF(工期不計!2:35,EL$14),0,1))</f>
        <v>1</v>
      </c>
      <c r="EM17" s="128">
        <f>IF(OR(EM$15=1,EM$15=7),0,IF(COUNTIF(工期不計!2:35,EM$14),0,1))</f>
        <v>1</v>
      </c>
      <c r="EN17" s="128">
        <f>IF(OR(EN$15=1,EN$15=7),0,IF(COUNTIF(工期不計!2:35,EN$14),0,1))</f>
        <v>1</v>
      </c>
      <c r="EO17" s="128">
        <f>IF(OR(EO$15=1,EO$15=7),0,IF(COUNTIF(工期不計!2:35,EO$14),0,1))</f>
        <v>1</v>
      </c>
      <c r="EP17" s="128">
        <f>IF(OR(EP$15=1,EP$15=7),0,IF(COUNTIF(工期不計!2:35,EP$14),0,1))</f>
        <v>0</v>
      </c>
      <c r="EQ17" s="128">
        <f>IF(OR(EQ$15=1,EQ$15=7),0,IF(COUNTIF(工期不計!2:35,EQ$14),0,1))</f>
        <v>0</v>
      </c>
      <c r="ER17" s="128">
        <f>IF(OR(ER$15=1,ER$15=7),0,IF(COUNTIF(工期不計!2:35,ER$14),0,1))</f>
        <v>1</v>
      </c>
      <c r="ES17" s="128">
        <f>IF(OR(ES$15=1,ES$15=7),0,IF(COUNTIF(工期不計!2:35,ES$14),0,1))</f>
        <v>1</v>
      </c>
      <c r="ET17" s="128">
        <f>IF(OR(ET$15=1,ET$15=7),0,IF(COUNTIF(工期不計!2:35,ET$14),0,1))</f>
        <v>1</v>
      </c>
      <c r="EU17" s="128">
        <f>IF(OR(EU$15=1,EU$15=7),0,IF(COUNTIF(工期不計!2:35,EU$14),0,1))</f>
        <v>1</v>
      </c>
      <c r="EV17" s="128">
        <f>IF(OR(EV$15=1,EV$15=7),0,IF(COUNTIF(工期不計!2:35,EV$14),0,1))</f>
        <v>1</v>
      </c>
      <c r="EW17" s="128">
        <f>IF(OR(EW$15=1,EW$15=7),0,IF(COUNTIF(工期不計!2:35,EW$14),0,1))</f>
        <v>0</v>
      </c>
      <c r="EX17" s="128">
        <f>IF(OR(EX$15=1,EX$15=7),0,IF(COUNTIF(工期不計!2:35,EX$14),0,1))</f>
        <v>0</v>
      </c>
      <c r="EY17" s="128">
        <f>IF(OR(EY$15=1,EY$15=7),0,IF(COUNTIF(工期不計!2:35,EY$14),0,1))</f>
        <v>1</v>
      </c>
      <c r="EZ17" s="128">
        <f>IF(OR(EZ$15=1,EZ$15=7),0,IF(COUNTIF(工期不計!2:35,EZ$14),0,1))</f>
        <v>1</v>
      </c>
      <c r="FA17" s="128">
        <f>IF(OR(FA$15=1,FA$15=7),0,IF(COUNTIF(工期不計!2:35,FA$14),0,1))</f>
        <v>1</v>
      </c>
      <c r="FB17" s="128">
        <f>IF(OR(FB$15=1,FB$15=7),0,IF(COUNTIF(工期不計!2:35,FB$14),0,1))</f>
        <v>1</v>
      </c>
      <c r="FC17" s="128">
        <f>IF(OR(FC$15=1,FC$15=7),0,IF(COUNTIF(工期不計!2:35,FC$14),0,1))</f>
        <v>1</v>
      </c>
      <c r="FD17" s="128">
        <f>IF(OR(FD$15=1,FD$15=7),0,IF(COUNTIF(工期不計!2:35,FD$14),0,1))</f>
        <v>0</v>
      </c>
      <c r="FE17" s="128">
        <f>IF(OR(FE$15=1,FE$15=7),0,IF(COUNTIF(工期不計!2:35,FE$14),0,1))</f>
        <v>0</v>
      </c>
      <c r="FF17" s="128">
        <f>IF(OR(FF$15=1,FF$15=7),0,IF(COUNTIF(工期不計!2:35,FF$14),0,1))</f>
        <v>1</v>
      </c>
      <c r="FG17" s="128">
        <f>IF(OR(FG$15=1,FG$15=7),0,IF(COUNTIF(工期不計!2:35,FG$14),0,1))</f>
        <v>1</v>
      </c>
      <c r="FH17" s="128">
        <f>IF(OR(FH$15=1,FH$15=7),0,IF(COUNTIF(工期不計!2:35,FH$14),0,1))</f>
        <v>1</v>
      </c>
      <c r="FI17" s="128">
        <f>IF(OR(FI$15=1,FI$15=7),0,IF(COUNTIF(工期不計!2:35,FI$14),0,1))</f>
        <v>1</v>
      </c>
      <c r="FJ17" s="128">
        <f>IF(OR(FJ$15=1,FJ$15=7),0,IF(COUNTIF(工期不計!2:35,FJ$14),0,1))</f>
        <v>1</v>
      </c>
      <c r="FK17" s="128">
        <f>IF(OR(FK$15=1,FK$15=7),0,IF(COUNTIF(工期不計!2:35,FK$14),0,1))</f>
        <v>0</v>
      </c>
      <c r="FL17" s="128">
        <f>IF(OR(FL$15=1,FL$15=7),0,IF(COUNTIF(工期不計!2:35,FL$14),0,1))</f>
        <v>0</v>
      </c>
      <c r="FM17" s="128">
        <f>IF(OR(FM$15=1,FM$15=7),0,IF(COUNTIF(工期不計!2:35,FM$14),0,1))</f>
        <v>1</v>
      </c>
      <c r="FN17" s="128">
        <f>IF(OR(FN$15=1,FN$15=7),0,IF(COUNTIF(工期不計!2:35,FN$14),0,1))</f>
        <v>1</v>
      </c>
      <c r="FO17" s="128">
        <f>IF(OR(FO$15=1,FO$15=7),0,IF(COUNTIF(工期不計!2:35,FO$14),0,1))</f>
        <v>1</v>
      </c>
      <c r="FP17" s="128">
        <f>IF(OR(FP$15=1,FP$15=7),0,IF(COUNTIF(工期不計!2:35,FP$14),0,1))</f>
        <v>1</v>
      </c>
      <c r="FQ17" s="128">
        <f>IF(OR(FQ$15=1,FQ$15=7),0,IF(COUNTIF(工期不計!2:35,FQ$14),0,1))</f>
        <v>1</v>
      </c>
      <c r="FR17" s="128">
        <f>IF(OR(FR$15=1,FR$15=7),0,IF(COUNTIF(工期不計!2:35,FR$14),0,1))</f>
        <v>0</v>
      </c>
      <c r="FS17" s="128">
        <f>IF(OR(FS$15=1,FS$15=7),0,IF(COUNTIF(工期不計!2:35,FS$14),0,1))</f>
        <v>0</v>
      </c>
      <c r="FT17" s="128">
        <f>IF(OR(FT$15=1,FT$15=7),0,IF(COUNTIF(工期不計!2:35,FT$14),0,1))</f>
        <v>1</v>
      </c>
      <c r="FU17" s="128">
        <f>IF(OR(FU$15=1,FU$15=7),0,IF(COUNTIF(工期不計!2:35,FU$14),0,1))</f>
        <v>1</v>
      </c>
      <c r="FV17" s="128">
        <f>IF(OR(FV$15=1,FV$15=7),0,IF(COUNTIF(工期不計!2:35,FV$14),0,1))</f>
        <v>1</v>
      </c>
      <c r="FW17" s="128">
        <f>IF(OR(FW$15=1,FW$15=7),0,IF(COUNTIF(工期不計!2:35,FW$14),0,1))</f>
        <v>1</v>
      </c>
      <c r="FX17" s="128">
        <f>IF(OR(FX$15=1,FX$15=7),0,IF(COUNTIF(工期不計!2:35,FX$14),0,1))</f>
        <v>1</v>
      </c>
      <c r="FY17" s="128">
        <f>IF(OR(FY$15=1,FY$15=7),0,IF(COUNTIF(工期不計!2:35,FY$14),0,1))</f>
        <v>0</v>
      </c>
      <c r="FZ17" s="128">
        <f>IF(OR(FZ$15=1,FZ$15=7),0,IF(COUNTIF(工期不計!2:35,FZ$14),0,1))</f>
        <v>0</v>
      </c>
      <c r="GA17" s="128">
        <f>IF(OR(GA$15=1,GA$15=7),0,IF(COUNTIF(工期不計!2:35,GA$14),0,1))</f>
        <v>1</v>
      </c>
      <c r="GB17" s="128">
        <f>IF(OR(GB$15=1,GB$15=7),0,IF(COUNTIF(工期不計!2:35,GB$14),0,1))</f>
        <v>1</v>
      </c>
      <c r="GC17" s="128">
        <f>IF(OR(GC$15=1,GC$15=7),0,IF(COUNTIF(工期不計!2:35,GC$14),0,1))</f>
        <v>1</v>
      </c>
      <c r="GD17" s="128">
        <f>IF(OR(GD$15=1,GD$15=7),0,IF(COUNTIF(工期不計!2:35,GD$14),0,1))</f>
        <v>1</v>
      </c>
      <c r="GE17" s="128">
        <f>IF(OR(GE$15=1,GE$15=7),0,IF(COUNTIF(工期不計!2:35,GE$14),0,1))</f>
        <v>1</v>
      </c>
      <c r="GF17" s="128">
        <f>IF(OR(GF$15=1,GF$15=7),0,IF(COUNTIF(工期不計!2:35,GF$14),0,1))</f>
        <v>0</v>
      </c>
      <c r="GG17" s="280">
        <f>IF(OR(GG$15=1,GG$15=7),0,IF(COUNTIF(工期不計!2:35,GG$14),0,1))</f>
        <v>0</v>
      </c>
      <c r="GH17" s="128">
        <f>IF(OR(GH$15=1,GH$15=7),0,IF(COUNTIF(工期不計!2:35,GH$14),0,1))</f>
        <v>1</v>
      </c>
      <c r="GI17" s="128">
        <f>IF(OR(GI$15=1,GI$15=7),0,IF(COUNTIF(工期不計!2:35,GI$14),0,1))</f>
        <v>1</v>
      </c>
      <c r="GJ17" s="128">
        <f>IF(OR(GJ$15=1,GJ$15=7),0,IF(COUNTIF(工期不計!2:35,GJ$14),0,1))</f>
        <v>1</v>
      </c>
      <c r="GK17" s="128">
        <f>IF(OR(GK$15=1,GK$15=7),0,IF(COUNTIF(工期不計!2:35,GK$14),0,1))</f>
        <v>1</v>
      </c>
      <c r="GL17" s="128">
        <f>IF(OR(GL$15=1,GL$15=7),0,IF(COUNTIF(工期不計!2:35,GL$14),0,1))</f>
        <v>1</v>
      </c>
      <c r="GM17" s="128">
        <f>IF(OR(GM$15=1,GM$15=7),0,IF(COUNTIF(工期不計!2:35,GM$14),0,1))</f>
        <v>0</v>
      </c>
      <c r="GN17" s="128">
        <f>IF(OR(GN$15=1,GN$15=7),0,IF(COUNTIF(工期不計!2:35,GN$14),0,1))</f>
        <v>0</v>
      </c>
      <c r="GO17" s="128">
        <f>IF(OR(GO$15=1,GO$15=7),0,IF(COUNTIF(工期不計!2:35,GO$14),0,1))</f>
        <v>1</v>
      </c>
      <c r="GP17" s="128">
        <f>IF(OR(GP$15=1,GP$15=7),0,IF(COUNTIF(工期不計!2:35,GP$14),0,1))</f>
        <v>1</v>
      </c>
      <c r="GQ17" s="128">
        <f>IF(OR(GQ$15=1,GQ$15=7),0,IF(COUNTIF(工期不計!2:35,GQ$14),0,1))</f>
        <v>1</v>
      </c>
      <c r="GR17" s="128">
        <f>IF(OR(GR$15=1,GR$15=7),0,IF(COUNTIF(工期不計!2:35,GR$14),0,1))</f>
        <v>1</v>
      </c>
      <c r="GS17" s="128">
        <f>IF(OR(GS$15=1,GS$15=7),0,IF(COUNTIF(工期不計!2:35,GS$14),0,1))</f>
        <v>1</v>
      </c>
      <c r="GT17" s="128">
        <f>IF(OR(GT$15=1,GT$15=7),0,IF(COUNTIF(工期不計!2:35,GT$14),0,1))</f>
        <v>0</v>
      </c>
      <c r="GU17" s="128">
        <f>IF(OR(GU$15=1,GU$15=7),0,IF(COUNTIF(工期不計!2:35,GU$14),0,1))</f>
        <v>0</v>
      </c>
      <c r="GV17" s="128">
        <f>IF(OR(GV$15=1,GV$15=7),0,IF(COUNTIF(工期不計!2:35,GV$14),0,1))</f>
        <v>1</v>
      </c>
      <c r="GW17" s="128">
        <f>IF(OR(GW$15=1,GW$15=7),0,IF(COUNTIF(工期不計!2:35,GW$14),0,1))</f>
        <v>1</v>
      </c>
      <c r="GX17" s="128">
        <f>IF(OR(GX$15=1,GX$15=7),0,IF(COUNTIF(工期不計!2:35,GX$14),0,1))</f>
        <v>1</v>
      </c>
      <c r="GY17" s="128">
        <f>IF(OR(GY$15=1,GY$15=7),0,IF(COUNTIF(工期不計!2:35,GY$14),0,1))</f>
        <v>1</v>
      </c>
      <c r="GZ17" s="128">
        <f>IF(OR(GZ$15=1,GZ$15=7),0,IF(COUNTIF(工期不計!2:35,GZ$14),0,1))</f>
        <v>1</v>
      </c>
      <c r="HA17" s="128">
        <f>IF(OR(HA$15=1,HA$15=7),0,IF(COUNTIF(工期不計!2:35,HA$14),0,1))</f>
        <v>0</v>
      </c>
      <c r="HB17" s="128">
        <f>IF(OR(HB$15=1,HB$15=7),0,IF(COUNTIF(工期不計!2:35,HB$14),0,1))</f>
        <v>0</v>
      </c>
      <c r="HC17" s="128">
        <f>IF(OR(HC$15=1,HC$15=7),0,IF(COUNTIF(工期不計!2:35,HC$14),0,1))</f>
        <v>1</v>
      </c>
      <c r="HD17" s="128">
        <f>IF(OR(HD$15=1,HD$15=7),0,IF(COUNTIF(工期不計!2:35,HD$14),0,1))</f>
        <v>1</v>
      </c>
      <c r="HE17" s="128">
        <f>IF(OR(HE$15=1,HE$15=7),0,IF(COUNTIF(工期不計!2:35,HE$14),0,1))</f>
        <v>1</v>
      </c>
      <c r="HF17" s="128">
        <f>IF(OR(HF$15=1,HF$15=7),0,IF(COUNTIF(工期不計!2:35,HF$14),0,1))</f>
        <v>1</v>
      </c>
      <c r="HG17" s="128">
        <f>IF(OR(HG$15=1,HG$15=7),0,IF(COUNTIF(工期不計!2:35,HG$14),0,1))</f>
        <v>1</v>
      </c>
      <c r="HH17" s="128">
        <f>IF(OR(HH$15=1,HH$15=7),0,IF(COUNTIF(工期不計!2:35,HH$14),0,1))</f>
        <v>0</v>
      </c>
      <c r="HI17" s="128">
        <f>IF(OR(HI$15=1,HI$15=7),0,IF(COUNTIF(工期不計!2:35,HI$14),0,1))</f>
        <v>0</v>
      </c>
      <c r="HJ17" s="128">
        <f>IF(OR(HJ$15=1,HJ$15=7),0,IF(COUNTIF(工期不計!2:35,HJ$14),0,1))</f>
        <v>1</v>
      </c>
      <c r="HK17" s="128">
        <f>IF(OR(HK$15=1,HK$15=7),0,IF(COUNTIF(工期不計!2:35,HK$14),0,1))</f>
        <v>1</v>
      </c>
      <c r="HL17" s="128">
        <f>IF(OR(HL$15=1,HL$15=7),0,IF(COUNTIF(工期不計!2:35,HL$14),0,1))</f>
        <v>1</v>
      </c>
      <c r="HM17" s="128">
        <f>IF(OR(HM$15=1,HM$15=7),0,IF(COUNTIF(工期不計!2:35,HM$14),0,1))</f>
        <v>1</v>
      </c>
      <c r="HN17" s="128">
        <f>IF(OR(HN$15=1,HN$15=7),0,IF(COUNTIF(工期不計!2:35,HN$14),0,1))</f>
        <v>1</v>
      </c>
      <c r="HO17" s="128">
        <f>IF(OR(HO$15=1,HO$15=7),0,IF(COUNTIF(工期不計!2:35,HO$14),0,1))</f>
        <v>1</v>
      </c>
      <c r="HP17" s="128">
        <f>IF(OR(HP$15=1,HP$15=7),0,IF(COUNTIF(工期不計!2:35,HP$14),0,1))</f>
        <v>1</v>
      </c>
      <c r="HQ17" s="128">
        <f>IF(OR(HQ$15=1,HQ$15=7),0,IF(COUNTIF(工期不計!2:35,HQ$14),0,1))</f>
        <v>0</v>
      </c>
      <c r="HR17" s="128">
        <f>IF(OR(HR$15=1,HR$15=7),0,IF(COUNTIF(工期不計!2:35,HR$14),0,1))</f>
        <v>0</v>
      </c>
      <c r="HS17" s="128">
        <f>IF(OR(HS$15=1,HS$15=7),0,IF(COUNTIF(工期不計!2:35,HS$14),0,1))</f>
        <v>1</v>
      </c>
      <c r="HT17" s="128">
        <f>IF(OR(HT$15=1,HT$15=7),0,IF(COUNTIF(工期不計!2:35,HT$14),0,1))</f>
        <v>1</v>
      </c>
      <c r="HU17" s="128">
        <f>IF(OR(HU$15=1,HU$15=7),0,IF(COUNTIF(工期不計!2:35,HU$14),0,1))</f>
        <v>1</v>
      </c>
      <c r="HV17" s="128">
        <f>IF(OR(HV$15=1,HV$15=7),0,IF(COUNTIF(工期不計!2:35,HV$14),0,1))</f>
        <v>1</v>
      </c>
      <c r="HW17" s="128">
        <f>IF(OR(HW$15=1,HW$15=7),0,IF(COUNTIF(工期不計!2:35,HW$14),0,1))</f>
        <v>1</v>
      </c>
      <c r="HX17" s="128">
        <f>IF(OR(HX$15=1,HX$15=7),0,IF(COUNTIF(工期不計!2:35,HX$14),0,1))</f>
        <v>0</v>
      </c>
      <c r="HY17" s="128">
        <f>IF(OR(HY$15=1,HY$15=7),0,IF(COUNTIF(工期不計!2:35,HY$14),0,1))</f>
        <v>0</v>
      </c>
      <c r="HZ17" s="128">
        <f>IF(OR(HZ$15=1,HZ$15=7),0,IF(COUNTIF(工期不計!2:35,HZ$14),0,1))</f>
        <v>1</v>
      </c>
      <c r="IA17" s="128">
        <f>IF(OR(IA$15=1,IA$15=7),0,IF(COUNTIF(工期不計!2:35,IA$14),0,1))</f>
        <v>1</v>
      </c>
      <c r="IB17" s="128">
        <f>IF(OR(IB$15=1,IB$15=7),0,IF(COUNTIF(工期不計!2:35,IB$14),0,1))</f>
        <v>1</v>
      </c>
      <c r="IC17" s="128">
        <f>IF(OR(IC$15=1,IC$15=7),0,IF(COUNTIF(工期不計!2:35,IC$14),0,1))</f>
        <v>1</v>
      </c>
      <c r="ID17" s="128">
        <f>IF(OR(ID$15=1,ID$15=7),0,IF(COUNTIF(工期不計!2:35,ID$14),0,1))</f>
        <v>1</v>
      </c>
      <c r="IE17" s="128">
        <f>IF(OR(IE$15=1,IE$15=7),0,IF(COUNTIF(工期不計!2:15,IE$14),0,1))</f>
        <v>0</v>
      </c>
      <c r="IF17" s="128">
        <f>IF(OR(IF$15=1,IF$15=7),0,IF(COUNTIF(工期不計!2:15,IF$14),0,1))</f>
        <v>0</v>
      </c>
      <c r="IG17" s="128">
        <f>IF(OR(IG$15=1,IG$15=7),0,IF(COUNTIF(工期不計!2:15,IG$14),0,1))</f>
        <v>1</v>
      </c>
      <c r="IH17" s="128">
        <f>IF(OR(IH$15=1,IH$15=7),0,IF(COUNTIF(工期不計!2:15,IH$14),0,1))</f>
        <v>1</v>
      </c>
      <c r="II17" s="128">
        <f>IF(OR(II$15=1,II$15=7),0,IF(COUNTIF(工期不計!2:15,II$14),0,1))</f>
        <v>1</v>
      </c>
      <c r="IJ17" s="128">
        <f>IF(OR(IJ$15=1,IJ$15=7),0,IF(COUNTIF(工期不計!2:15,IJ$14),0,1))</f>
        <v>1</v>
      </c>
      <c r="IK17" s="128">
        <f>IF(OR(IK$15=1,IK$15=7),0,IF(COUNTIF(工期不計!2:15,IK$14),0,1))</f>
        <v>1</v>
      </c>
      <c r="IL17" s="128">
        <f>IF(OR(IL$15=1,IL$15=7),0,IF(COUNTIF(工期不計!2:15,IL$14),0,1))</f>
        <v>0</v>
      </c>
      <c r="IM17" s="128">
        <f>IF(OR(IM$15=1,IM$15=7),0,IF(COUNTIF(工期不計!2:15,IM$14),0,1))</f>
        <v>0</v>
      </c>
      <c r="IN17" s="128">
        <f>IF(OR(IN$15=1,IN$15=7),0,IF(COUNTIF(工期不計!2:15,IN$14),0,1))</f>
        <v>1</v>
      </c>
      <c r="IO17" s="128">
        <f>IF(OR(IO$15=1,IO$15=7),0,IF(COUNTIF(工期不計!2:15,IO$14),0,1))</f>
        <v>1</v>
      </c>
      <c r="IP17" s="128">
        <f>IF(OR(IP$15=1,IP$15=7),0,IF(COUNTIF(工期不計!2:15,IP$14),0,1))</f>
        <v>1</v>
      </c>
      <c r="IQ17" s="128">
        <f>IF(OR(IQ$15=1,IQ$15=7),0,IF(COUNTIF(工期不計!2:15,IQ$14),0,1))</f>
        <v>1</v>
      </c>
      <c r="IR17" s="128">
        <f>IF(OR(IR$15=1,IR$15=7),0,IF(COUNTIF(工期不計!2:15,IR$14),0,1))</f>
        <v>1</v>
      </c>
      <c r="IS17" s="128">
        <f>IF(OR(IS$15=1,IS$15=7),0,IF(COUNTIF(工期不計!2:15,IS$14),0,1))</f>
        <v>0</v>
      </c>
      <c r="IT17" s="128">
        <f>IF(OR(IT$15=1,IT$15=7),0,IF(COUNTIF(工期不計!2:15,IT$14),0,1))</f>
        <v>0</v>
      </c>
      <c r="IU17" s="128">
        <f>IF(OR(IU$15=1,IU$15=7),0,IF(COUNTIF(工期不計!2:15,IU$14),0,1))</f>
        <v>1</v>
      </c>
    </row>
    <row r="18" spans="1:255">
      <c r="C18" s="153" t="s">
        <v>13</v>
      </c>
      <c r="D18" s="123" t="s">
        <v>33</v>
      </c>
      <c r="E18" s="123" t="s">
        <v>34</v>
      </c>
      <c r="F18" s="123" t="s">
        <v>32</v>
      </c>
      <c r="G18" s="123" t="s">
        <v>35</v>
      </c>
      <c r="H18" s="132" t="s">
        <v>36</v>
      </c>
      <c r="I18" s="127" t="s">
        <v>0</v>
      </c>
      <c r="J18" s="123" t="s">
        <v>38</v>
      </c>
      <c r="BG18" s="123"/>
    </row>
    <row r="19" spans="1:255" s="128" customFormat="1">
      <c r="A19" s="154" t="str">
        <f>IF(I19="","",B19)</f>
        <v/>
      </c>
      <c r="B19" s="226" t="s">
        <v>166</v>
      </c>
      <c r="C19" s="227" t="s">
        <v>167</v>
      </c>
      <c r="D19" s="226"/>
      <c r="E19" s="228"/>
      <c r="F19" s="229"/>
      <c r="G19" s="155"/>
      <c r="H19" s="155"/>
      <c r="I19" s="156" t="str">
        <f t="shared" ref="I19" si="36">IF(LOOKUP(I$6,J$6:IU$6,J19:IU19)=0,"",LOOKUP(I$6,J$6:IU$6,J19:AR19))</f>
        <v/>
      </c>
      <c r="J19" s="218"/>
      <c r="K19" s="216"/>
      <c r="L19" s="216"/>
      <c r="M19" s="216"/>
      <c r="N19" s="216"/>
      <c r="O19" s="216"/>
      <c r="P19" s="216"/>
      <c r="Q19" s="216"/>
      <c r="R19" s="216"/>
      <c r="S19" s="216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</row>
    <row r="20" spans="1:255" s="128" customFormat="1" ht="33">
      <c r="A20" s="128" t="str">
        <f t="shared" ref="A20:A73" si="37">IF(I20="","",B20)</f>
        <v/>
      </c>
      <c r="B20" s="226">
        <v>1</v>
      </c>
      <c r="C20" s="230" t="s">
        <v>168</v>
      </c>
      <c r="D20" s="231" t="s">
        <v>169</v>
      </c>
      <c r="E20" s="232">
        <v>1</v>
      </c>
      <c r="F20" s="229">
        <v>3990</v>
      </c>
      <c r="G20" s="243">
        <f ca="1">IF(SUM(J20:OFFSET(J20,,I$6-1))&gt;E20+1000,"錯誤",SUM(J20:OFFSET(J20,,I$6-1)))</f>
        <v>0.5</v>
      </c>
      <c r="H20" s="243">
        <f t="shared" ref="H20:H54" ca="1" si="38">E20-G20</f>
        <v>0.5</v>
      </c>
      <c r="I20" s="156" t="str">
        <f>IF(LOOKUP(I$6,J$6:IU$6,J20:IU20)=0,"",LOOKUP(I$6,J$6:IU$6,J20:AR20))</f>
        <v/>
      </c>
      <c r="J20" s="244">
        <v>0.5</v>
      </c>
      <c r="K20" s="245"/>
      <c r="L20" s="245"/>
      <c r="M20" s="60"/>
      <c r="N20" s="246"/>
      <c r="O20" s="60"/>
      <c r="P20" s="246"/>
      <c r="Q20" s="246"/>
      <c r="R20" s="246"/>
      <c r="S20" s="246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247"/>
      <c r="BQ20" s="247"/>
      <c r="BR20" s="247"/>
      <c r="BS20" s="247"/>
      <c r="BT20" s="247"/>
      <c r="BU20" s="247"/>
      <c r="BV20" s="247"/>
      <c r="BW20" s="247"/>
      <c r="BX20" s="247"/>
      <c r="BY20" s="247"/>
      <c r="BZ20" s="247"/>
      <c r="CA20" s="247"/>
      <c r="CB20" s="247"/>
      <c r="CC20" s="247"/>
      <c r="CD20" s="247"/>
      <c r="CE20" s="247"/>
      <c r="CF20" s="247"/>
      <c r="CG20" s="247"/>
      <c r="CH20" s="247"/>
      <c r="CI20" s="247"/>
      <c r="CJ20" s="247"/>
      <c r="CK20" s="247"/>
      <c r="CL20" s="247"/>
      <c r="CM20" s="247"/>
      <c r="CN20" s="247"/>
      <c r="CO20" s="247"/>
      <c r="CP20" s="247"/>
      <c r="CQ20" s="247"/>
      <c r="CR20" s="247"/>
      <c r="CS20" s="247"/>
      <c r="CT20" s="247"/>
      <c r="CU20" s="247"/>
      <c r="CV20" s="247"/>
      <c r="CW20" s="247"/>
      <c r="CX20" s="247"/>
      <c r="CY20" s="247"/>
      <c r="CZ20" s="247"/>
      <c r="DA20" s="247"/>
      <c r="DB20" s="247"/>
      <c r="DC20" s="247"/>
      <c r="DD20" s="247"/>
      <c r="DE20" s="247"/>
      <c r="DF20" s="247"/>
      <c r="DG20" s="247"/>
      <c r="DH20" s="247"/>
      <c r="DI20" s="247"/>
      <c r="DJ20" s="247"/>
      <c r="DK20" s="247"/>
      <c r="DL20" s="247"/>
      <c r="DM20" s="247"/>
      <c r="DN20" s="247"/>
      <c r="DO20" s="247"/>
      <c r="DP20" s="247"/>
      <c r="DQ20" s="247"/>
      <c r="DR20" s="247"/>
      <c r="DS20" s="247"/>
      <c r="DT20" s="247"/>
      <c r="DU20" s="247"/>
      <c r="DV20" s="247"/>
      <c r="DW20" s="247"/>
      <c r="DX20" s="247"/>
      <c r="DY20" s="247"/>
      <c r="DZ20" s="247"/>
      <c r="EA20" s="247"/>
      <c r="EB20" s="247"/>
      <c r="EC20" s="247"/>
      <c r="ED20" s="247"/>
      <c r="EE20" s="247"/>
      <c r="EF20" s="247"/>
      <c r="EG20" s="247"/>
      <c r="EH20" s="247"/>
      <c r="EI20" s="247"/>
      <c r="EJ20" s="247"/>
      <c r="EK20" s="247"/>
      <c r="EL20" s="247"/>
      <c r="EM20" s="247"/>
      <c r="EN20" s="247"/>
      <c r="EO20" s="247"/>
      <c r="EP20" s="247"/>
      <c r="EQ20" s="247"/>
      <c r="ER20" s="247"/>
      <c r="ES20" s="247"/>
      <c r="ET20" s="247"/>
      <c r="EU20" s="247"/>
      <c r="EV20" s="247"/>
      <c r="EW20" s="247"/>
      <c r="EX20" s="247"/>
      <c r="EY20" s="247"/>
      <c r="EZ20" s="247"/>
      <c r="FA20" s="247"/>
      <c r="FB20" s="247"/>
      <c r="FC20" s="247"/>
      <c r="FD20" s="247"/>
      <c r="FE20" s="247"/>
      <c r="FF20" s="247"/>
      <c r="FG20" s="247"/>
      <c r="FH20" s="247"/>
      <c r="FI20" s="247"/>
      <c r="FJ20" s="247"/>
      <c r="FK20" s="247"/>
      <c r="FL20" s="247"/>
      <c r="FM20" s="247"/>
      <c r="FN20" s="247"/>
      <c r="FO20" s="247"/>
      <c r="FP20" s="247"/>
      <c r="FQ20" s="247"/>
      <c r="FR20" s="247"/>
      <c r="FS20" s="247"/>
      <c r="FT20" s="247"/>
      <c r="FU20" s="247"/>
      <c r="FV20" s="247"/>
      <c r="FW20" s="247"/>
      <c r="FX20" s="247"/>
      <c r="FY20" s="247"/>
      <c r="FZ20" s="247"/>
      <c r="GA20" s="247"/>
      <c r="GB20" s="247"/>
      <c r="GC20" s="247"/>
      <c r="GD20" s="247"/>
      <c r="GE20" s="247"/>
      <c r="GF20" s="247"/>
      <c r="GG20" s="247"/>
      <c r="GH20" s="247"/>
      <c r="GI20" s="247"/>
      <c r="GJ20" s="247"/>
      <c r="GK20" s="247"/>
      <c r="GL20" s="247"/>
      <c r="GM20" s="247"/>
      <c r="GN20" s="247"/>
      <c r="GO20" s="247"/>
      <c r="GP20" s="247"/>
      <c r="GQ20" s="247"/>
    </row>
    <row r="21" spans="1:255" s="128" customFormat="1">
      <c r="A21" s="128" t="str">
        <f t="shared" si="37"/>
        <v/>
      </c>
      <c r="B21" s="226">
        <v>2</v>
      </c>
      <c r="C21" s="230" t="s">
        <v>170</v>
      </c>
      <c r="D21" s="231" t="s">
        <v>169</v>
      </c>
      <c r="E21" s="232">
        <v>1</v>
      </c>
      <c r="F21" s="229">
        <v>3990</v>
      </c>
      <c r="G21" s="243">
        <f ca="1">IF(SUM(J21:OFFSET(J21,,I$6-1))&gt;E21+1000,"錯誤",SUM(J21:OFFSET(J21,,I$6-1)))</f>
        <v>1</v>
      </c>
      <c r="H21" s="243">
        <f t="shared" ca="1" si="38"/>
        <v>0</v>
      </c>
      <c r="I21" s="156" t="str">
        <f t="shared" ref="I21:I54" si="39">IF(LOOKUP(I$6,J$6:IU$6,J21:IU21)=0,"",LOOKUP(I$6,J$6:IU$6,J21:AR21))</f>
        <v/>
      </c>
      <c r="J21" s="244">
        <v>1</v>
      </c>
      <c r="K21" s="245"/>
      <c r="L21" s="245"/>
      <c r="M21" s="60"/>
      <c r="N21" s="246"/>
      <c r="O21" s="60"/>
      <c r="P21" s="246"/>
      <c r="Q21" s="246"/>
      <c r="R21" s="246"/>
      <c r="S21" s="246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247"/>
      <c r="BQ21" s="247"/>
      <c r="BR21" s="247"/>
      <c r="BS21" s="247"/>
      <c r="BT21" s="247"/>
      <c r="BU21" s="247"/>
      <c r="BV21" s="247"/>
      <c r="BW21" s="247"/>
      <c r="BX21" s="247"/>
      <c r="BY21" s="247"/>
      <c r="BZ21" s="247"/>
      <c r="CA21" s="247"/>
      <c r="CB21" s="247"/>
      <c r="CC21" s="247"/>
      <c r="CD21" s="247"/>
      <c r="CE21" s="247"/>
      <c r="CF21" s="247"/>
      <c r="CG21" s="247"/>
      <c r="CH21" s="247"/>
      <c r="CI21" s="247"/>
      <c r="CJ21" s="247"/>
      <c r="CK21" s="247"/>
      <c r="CL21" s="247"/>
      <c r="CM21" s="247"/>
      <c r="CN21" s="247"/>
      <c r="CO21" s="247"/>
      <c r="CP21" s="247"/>
      <c r="CQ21" s="247"/>
      <c r="CR21" s="247"/>
      <c r="CS21" s="247"/>
      <c r="CT21" s="247"/>
      <c r="CU21" s="247"/>
      <c r="CV21" s="247"/>
      <c r="CW21" s="247"/>
      <c r="CX21" s="247"/>
      <c r="CY21" s="247"/>
      <c r="CZ21" s="247"/>
      <c r="DA21" s="247"/>
      <c r="DB21" s="247"/>
      <c r="DC21" s="247"/>
      <c r="DD21" s="247"/>
      <c r="DE21" s="247"/>
      <c r="DF21" s="247"/>
      <c r="DG21" s="247"/>
      <c r="DH21" s="247"/>
      <c r="DI21" s="247"/>
      <c r="DJ21" s="247"/>
      <c r="DK21" s="247"/>
      <c r="DL21" s="247"/>
      <c r="DM21" s="247"/>
      <c r="DN21" s="247"/>
      <c r="DO21" s="247"/>
      <c r="DP21" s="247"/>
      <c r="DQ21" s="247"/>
      <c r="DR21" s="247"/>
      <c r="DS21" s="247"/>
      <c r="DT21" s="247"/>
      <c r="DU21" s="247"/>
      <c r="DV21" s="247"/>
      <c r="DW21" s="247"/>
      <c r="DX21" s="247"/>
      <c r="DY21" s="247"/>
      <c r="DZ21" s="247"/>
      <c r="EA21" s="247"/>
      <c r="EB21" s="247"/>
      <c r="EC21" s="247"/>
      <c r="ED21" s="247"/>
      <c r="EE21" s="247"/>
      <c r="EF21" s="247"/>
      <c r="EG21" s="247"/>
      <c r="EH21" s="247"/>
      <c r="EI21" s="247"/>
      <c r="EJ21" s="247"/>
      <c r="EK21" s="247"/>
      <c r="EL21" s="247"/>
      <c r="EM21" s="247"/>
      <c r="EN21" s="247"/>
      <c r="EO21" s="247"/>
      <c r="EP21" s="247"/>
      <c r="EQ21" s="247"/>
      <c r="ER21" s="247"/>
      <c r="ES21" s="247"/>
      <c r="ET21" s="247"/>
      <c r="EU21" s="247"/>
      <c r="EV21" s="247"/>
      <c r="EW21" s="247"/>
      <c r="EX21" s="247"/>
      <c r="EY21" s="247"/>
      <c r="EZ21" s="247"/>
      <c r="FA21" s="247"/>
      <c r="FB21" s="247"/>
      <c r="FC21" s="247"/>
      <c r="FD21" s="247"/>
      <c r="FE21" s="247"/>
      <c r="FF21" s="247"/>
      <c r="FG21" s="247"/>
      <c r="FH21" s="247"/>
      <c r="FI21" s="247"/>
      <c r="FJ21" s="247"/>
      <c r="FK21" s="247"/>
      <c r="FL21" s="247"/>
      <c r="FM21" s="247"/>
      <c r="FN21" s="247"/>
      <c r="FO21" s="247"/>
      <c r="FP21" s="247"/>
      <c r="FQ21" s="247"/>
      <c r="FR21" s="247"/>
      <c r="FS21" s="247"/>
      <c r="FT21" s="247"/>
      <c r="FU21" s="247"/>
      <c r="FV21" s="247"/>
      <c r="FW21" s="247"/>
      <c r="FX21" s="247"/>
      <c r="FY21" s="247"/>
      <c r="FZ21" s="247"/>
      <c r="GA21" s="247"/>
      <c r="GB21" s="247"/>
      <c r="GC21" s="247"/>
      <c r="GD21" s="247"/>
      <c r="GE21" s="247"/>
      <c r="GF21" s="247"/>
      <c r="GG21" s="247"/>
      <c r="GH21" s="247"/>
      <c r="GI21" s="247"/>
      <c r="GJ21" s="247"/>
      <c r="GK21" s="247"/>
      <c r="GL21" s="247"/>
      <c r="GM21" s="247"/>
      <c r="GN21" s="247"/>
      <c r="GO21" s="247"/>
      <c r="GP21" s="247"/>
      <c r="GQ21" s="247"/>
    </row>
    <row r="22" spans="1:255" s="128" customFormat="1" ht="33">
      <c r="A22" s="128" t="str">
        <f t="shared" si="37"/>
        <v/>
      </c>
      <c r="B22" s="226">
        <v>3</v>
      </c>
      <c r="C22" s="230" t="s">
        <v>171</v>
      </c>
      <c r="D22" s="231" t="s">
        <v>169</v>
      </c>
      <c r="E22" s="232">
        <v>1</v>
      </c>
      <c r="F22" s="229">
        <v>7479</v>
      </c>
      <c r="G22" s="243">
        <f ca="1">IF(SUM(J22:OFFSET(J22,,I$6-1))&gt;E22+1000,"錯誤",SUM(J22:OFFSET(J22,,I$6-1)))</f>
        <v>0.6</v>
      </c>
      <c r="H22" s="243">
        <f t="shared" ca="1" si="38"/>
        <v>0.4</v>
      </c>
      <c r="I22" s="156" t="str">
        <f t="shared" si="39"/>
        <v/>
      </c>
      <c r="J22" s="244"/>
      <c r="K22" s="245"/>
      <c r="L22" s="245"/>
      <c r="M22" s="60"/>
      <c r="N22" s="246"/>
      <c r="O22" s="246"/>
      <c r="P22" s="246"/>
      <c r="Q22" s="246"/>
      <c r="R22" s="246"/>
      <c r="S22" s="246"/>
      <c r="T22" s="246"/>
      <c r="U22" s="60"/>
      <c r="V22" s="60"/>
      <c r="W22" s="60"/>
      <c r="X22" s="60"/>
      <c r="Y22" s="60"/>
      <c r="Z22" s="60"/>
      <c r="AA22" s="60"/>
      <c r="AB22" s="60"/>
      <c r="AC22" s="60"/>
      <c r="AD22" s="293">
        <v>0.1</v>
      </c>
      <c r="AE22" s="293">
        <v>0.1</v>
      </c>
      <c r="AF22" s="293">
        <v>0.1</v>
      </c>
      <c r="AG22" s="293">
        <v>0.1</v>
      </c>
      <c r="AH22" s="60"/>
      <c r="AI22" s="60"/>
      <c r="AJ22" s="60"/>
      <c r="AK22" s="60"/>
      <c r="AL22" s="60"/>
      <c r="AM22" s="293">
        <v>0.1</v>
      </c>
      <c r="AN22" s="293">
        <v>0.1</v>
      </c>
      <c r="AO22" s="60"/>
      <c r="AP22" s="60"/>
      <c r="AQ22" s="293">
        <v>0.1</v>
      </c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247"/>
      <c r="BQ22" s="247"/>
      <c r="BR22" s="247"/>
      <c r="BS22" s="247"/>
      <c r="BT22" s="247"/>
      <c r="BU22" s="247"/>
      <c r="BV22" s="247"/>
      <c r="BW22" s="247"/>
      <c r="BX22" s="247"/>
      <c r="BY22" s="247"/>
      <c r="BZ22" s="247"/>
      <c r="CA22" s="247"/>
      <c r="CB22" s="247"/>
      <c r="CC22" s="247"/>
      <c r="CD22" s="247"/>
      <c r="CE22" s="247"/>
      <c r="CF22" s="247"/>
      <c r="CG22" s="247"/>
      <c r="CH22" s="247"/>
      <c r="CI22" s="247"/>
      <c r="CJ22" s="247"/>
      <c r="CK22" s="247"/>
      <c r="CL22" s="247"/>
      <c r="CM22" s="247"/>
      <c r="CN22" s="247"/>
      <c r="CO22" s="247"/>
      <c r="CP22" s="247"/>
      <c r="CQ22" s="247"/>
      <c r="CR22" s="247"/>
      <c r="CS22" s="247"/>
      <c r="CT22" s="247"/>
      <c r="CU22" s="247"/>
      <c r="CV22" s="247"/>
      <c r="CW22" s="247"/>
      <c r="CX22" s="247"/>
      <c r="CY22" s="247"/>
      <c r="CZ22" s="247"/>
      <c r="DA22" s="247"/>
      <c r="DB22" s="247"/>
      <c r="DC22" s="247"/>
      <c r="DD22" s="247"/>
      <c r="DE22" s="247"/>
      <c r="DF22" s="247"/>
      <c r="DG22" s="247"/>
      <c r="DH22" s="247"/>
      <c r="DI22" s="247"/>
      <c r="DJ22" s="247"/>
      <c r="DK22" s="247"/>
      <c r="DL22" s="247"/>
      <c r="DM22" s="247"/>
      <c r="DN22" s="247"/>
      <c r="DO22" s="247"/>
      <c r="DP22" s="247"/>
      <c r="DQ22" s="247"/>
      <c r="DR22" s="247"/>
      <c r="DS22" s="247"/>
      <c r="DT22" s="247"/>
      <c r="DU22" s="247"/>
      <c r="DV22" s="247"/>
      <c r="DW22" s="247"/>
      <c r="DX22" s="247"/>
      <c r="DY22" s="247"/>
      <c r="DZ22" s="247"/>
      <c r="EA22" s="247"/>
      <c r="EB22" s="247"/>
      <c r="EC22" s="247"/>
      <c r="ED22" s="247"/>
      <c r="EE22" s="247"/>
      <c r="EF22" s="247"/>
      <c r="EG22" s="247"/>
      <c r="EH22" s="247"/>
      <c r="EI22" s="247"/>
      <c r="EJ22" s="247"/>
      <c r="EK22" s="247"/>
      <c r="EL22" s="247"/>
      <c r="EM22" s="247"/>
      <c r="EN22" s="247"/>
      <c r="EO22" s="247"/>
      <c r="EP22" s="247"/>
      <c r="EQ22" s="247"/>
      <c r="ER22" s="247"/>
      <c r="ES22" s="247"/>
      <c r="ET22" s="247"/>
      <c r="EU22" s="247"/>
      <c r="EV22" s="247"/>
      <c r="EW22" s="247"/>
      <c r="EX22" s="247"/>
      <c r="EY22" s="247"/>
      <c r="EZ22" s="247"/>
      <c r="FA22" s="247"/>
      <c r="FB22" s="247"/>
      <c r="FC22" s="247"/>
      <c r="FD22" s="247"/>
      <c r="FE22" s="247"/>
      <c r="FF22" s="247"/>
      <c r="FG22" s="247"/>
      <c r="FH22" s="247"/>
      <c r="FI22" s="247"/>
      <c r="FJ22" s="247"/>
      <c r="FK22" s="247"/>
      <c r="FL22" s="247"/>
      <c r="FM22" s="247"/>
      <c r="FN22" s="247"/>
      <c r="FO22" s="247"/>
      <c r="FP22" s="247"/>
      <c r="FQ22" s="247"/>
      <c r="FR22" s="247"/>
      <c r="FS22" s="247"/>
      <c r="FT22" s="247"/>
      <c r="FU22" s="247"/>
      <c r="FV22" s="247"/>
      <c r="FW22" s="247"/>
      <c r="FX22" s="247"/>
      <c r="FY22" s="247"/>
      <c r="FZ22" s="247"/>
      <c r="GA22" s="247"/>
      <c r="GB22" s="247"/>
      <c r="GC22" s="247"/>
      <c r="GD22" s="247"/>
      <c r="GE22" s="247"/>
      <c r="GF22" s="247"/>
      <c r="GG22" s="247"/>
      <c r="GH22" s="247"/>
      <c r="GI22" s="247"/>
      <c r="GJ22" s="247"/>
      <c r="GK22" s="247"/>
      <c r="GL22" s="247"/>
      <c r="GM22" s="247"/>
      <c r="GN22" s="247"/>
      <c r="GO22" s="247"/>
      <c r="GP22" s="247"/>
      <c r="GQ22" s="247"/>
    </row>
    <row r="23" spans="1:255" s="128" customFormat="1" ht="49.5">
      <c r="A23" s="128" t="str">
        <f t="shared" si="37"/>
        <v/>
      </c>
      <c r="B23" s="226">
        <v>4</v>
      </c>
      <c r="C23" s="233" t="s">
        <v>172</v>
      </c>
      <c r="D23" s="234" t="s">
        <v>169</v>
      </c>
      <c r="E23" s="232">
        <v>1</v>
      </c>
      <c r="F23" s="229">
        <v>328032</v>
      </c>
      <c r="G23" s="243">
        <f ca="1">IF(SUM(J23:OFFSET(J23,,I$6-1))&gt;E23+1000,"錯誤",SUM(J23:OFFSET(J23,,I$6-1)))</f>
        <v>1</v>
      </c>
      <c r="H23" s="243">
        <f t="shared" ca="1" si="38"/>
        <v>0</v>
      </c>
      <c r="I23" s="156" t="str">
        <f t="shared" si="39"/>
        <v/>
      </c>
      <c r="J23" s="244">
        <v>0.2</v>
      </c>
      <c r="K23" s="245">
        <v>0.2</v>
      </c>
      <c r="L23" s="245">
        <v>0.2</v>
      </c>
      <c r="M23" s="60"/>
      <c r="N23" s="246"/>
      <c r="O23" s="292">
        <v>0.2</v>
      </c>
      <c r="P23" s="292">
        <v>0.2</v>
      </c>
      <c r="Q23" s="246"/>
      <c r="R23" s="246"/>
      <c r="S23" s="246"/>
      <c r="T23" s="246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247"/>
      <c r="BQ23" s="247"/>
      <c r="BR23" s="247"/>
      <c r="BS23" s="247"/>
      <c r="BT23" s="247"/>
      <c r="BU23" s="247"/>
      <c r="BV23" s="247"/>
      <c r="BW23" s="247"/>
      <c r="BX23" s="247"/>
      <c r="BY23" s="247"/>
      <c r="BZ23" s="247"/>
      <c r="CA23" s="247"/>
      <c r="CB23" s="247"/>
      <c r="CC23" s="247"/>
      <c r="CD23" s="247"/>
      <c r="CE23" s="247"/>
      <c r="CF23" s="247"/>
      <c r="CG23" s="247"/>
      <c r="CH23" s="247"/>
      <c r="CI23" s="247"/>
      <c r="CJ23" s="247"/>
      <c r="CK23" s="247"/>
      <c r="CL23" s="247"/>
      <c r="CM23" s="247"/>
      <c r="CN23" s="247"/>
      <c r="CO23" s="247"/>
      <c r="CP23" s="247"/>
      <c r="CQ23" s="247"/>
      <c r="CR23" s="247"/>
      <c r="CS23" s="247"/>
      <c r="CT23" s="247"/>
      <c r="CU23" s="247"/>
      <c r="CV23" s="247"/>
      <c r="CW23" s="247"/>
      <c r="CX23" s="247"/>
      <c r="CY23" s="247"/>
      <c r="CZ23" s="247"/>
      <c r="DA23" s="247"/>
      <c r="DB23" s="247"/>
      <c r="DC23" s="247"/>
      <c r="DD23" s="247"/>
      <c r="DE23" s="247"/>
      <c r="DF23" s="247"/>
      <c r="DG23" s="247"/>
      <c r="DH23" s="247"/>
      <c r="DI23" s="247"/>
      <c r="DJ23" s="247"/>
      <c r="DK23" s="247"/>
      <c r="DL23" s="247"/>
      <c r="DM23" s="247"/>
      <c r="DN23" s="247"/>
      <c r="DO23" s="247"/>
      <c r="DP23" s="247"/>
      <c r="DQ23" s="247"/>
      <c r="DR23" s="247"/>
      <c r="DS23" s="247"/>
      <c r="DT23" s="247"/>
      <c r="DU23" s="247"/>
      <c r="DV23" s="247"/>
      <c r="DW23" s="247"/>
      <c r="DX23" s="247"/>
      <c r="DY23" s="247"/>
      <c r="DZ23" s="247"/>
      <c r="EA23" s="247"/>
      <c r="EB23" s="247"/>
      <c r="EC23" s="247"/>
      <c r="ED23" s="247"/>
      <c r="EE23" s="247"/>
      <c r="EF23" s="247"/>
      <c r="EG23" s="247"/>
      <c r="EH23" s="247"/>
      <c r="EI23" s="247"/>
      <c r="EJ23" s="247"/>
      <c r="EK23" s="247"/>
      <c r="EL23" s="247"/>
      <c r="EM23" s="247"/>
      <c r="EN23" s="247"/>
      <c r="EO23" s="247"/>
      <c r="EP23" s="247"/>
      <c r="EQ23" s="247"/>
      <c r="ER23" s="247"/>
      <c r="ES23" s="247"/>
      <c r="ET23" s="247"/>
      <c r="EU23" s="247"/>
      <c r="EV23" s="247"/>
      <c r="EW23" s="247"/>
      <c r="EX23" s="247"/>
      <c r="EY23" s="247"/>
      <c r="EZ23" s="247"/>
      <c r="FA23" s="247"/>
      <c r="FB23" s="247"/>
      <c r="FC23" s="247"/>
      <c r="FD23" s="247"/>
      <c r="FE23" s="247"/>
      <c r="FF23" s="247"/>
      <c r="FG23" s="247"/>
      <c r="FH23" s="247"/>
      <c r="FI23" s="247"/>
      <c r="FJ23" s="247"/>
      <c r="FK23" s="247"/>
      <c r="FL23" s="247"/>
      <c r="FM23" s="247"/>
      <c r="FN23" s="247"/>
      <c r="FO23" s="247"/>
      <c r="FP23" s="247"/>
      <c r="FQ23" s="247"/>
      <c r="FR23" s="247"/>
      <c r="FS23" s="247"/>
      <c r="FT23" s="247"/>
      <c r="FU23" s="247"/>
      <c r="FV23" s="247"/>
      <c r="FW23" s="247"/>
      <c r="FX23" s="247"/>
      <c r="FY23" s="247"/>
      <c r="FZ23" s="247"/>
      <c r="GA23" s="247"/>
      <c r="GB23" s="247"/>
      <c r="GC23" s="247"/>
      <c r="GD23" s="247"/>
      <c r="GE23" s="247"/>
      <c r="GF23" s="247"/>
      <c r="GG23" s="247"/>
      <c r="GH23" s="247"/>
      <c r="GI23" s="247"/>
      <c r="GJ23" s="247"/>
      <c r="GK23" s="247"/>
      <c r="GL23" s="247"/>
      <c r="GM23" s="247"/>
      <c r="GN23" s="247"/>
      <c r="GO23" s="247"/>
      <c r="GP23" s="247"/>
      <c r="GQ23" s="247"/>
    </row>
    <row r="24" spans="1:255" s="128" customFormat="1" ht="33">
      <c r="A24" s="128" t="str">
        <f t="shared" si="37"/>
        <v/>
      </c>
      <c r="B24" s="226">
        <v>5</v>
      </c>
      <c r="C24" s="233" t="s">
        <v>173</v>
      </c>
      <c r="D24" s="235" t="s">
        <v>169</v>
      </c>
      <c r="E24" s="232">
        <v>1</v>
      </c>
      <c r="F24" s="229">
        <v>8977</v>
      </c>
      <c r="G24" s="243">
        <f ca="1">IF(SUM(J24:GG24:OFFSET(J24,,I$6-1))&gt;E24+1000,"錯誤",SUM(J24:OFFSET(J24,,I$6-1)))</f>
        <v>1</v>
      </c>
      <c r="H24" s="243">
        <f t="shared" ca="1" si="38"/>
        <v>0</v>
      </c>
      <c r="I24" s="156" t="str">
        <f t="shared" si="39"/>
        <v/>
      </c>
      <c r="J24" s="244"/>
      <c r="K24" s="245"/>
      <c r="L24" s="245"/>
      <c r="M24" s="60"/>
      <c r="N24" s="246"/>
      <c r="O24" s="246"/>
      <c r="P24" s="246"/>
      <c r="Q24" s="246"/>
      <c r="R24" s="246"/>
      <c r="S24" s="246"/>
      <c r="T24" s="246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>
        <v>0.25</v>
      </c>
      <c r="AG24" s="60">
        <v>0.25</v>
      </c>
      <c r="AH24" s="60"/>
      <c r="AI24" s="60"/>
      <c r="AJ24" s="60">
        <v>0.25</v>
      </c>
      <c r="AK24" s="60"/>
      <c r="AL24" s="60"/>
      <c r="AM24" s="60">
        <v>0.25</v>
      </c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247"/>
      <c r="BQ24" s="247"/>
      <c r="BR24" s="247"/>
      <c r="BS24" s="247"/>
      <c r="BT24" s="247"/>
      <c r="BU24" s="247"/>
      <c r="BV24" s="247"/>
      <c r="BW24" s="247"/>
      <c r="BX24" s="247"/>
      <c r="BY24" s="247"/>
      <c r="BZ24" s="247"/>
      <c r="CA24" s="247"/>
      <c r="CB24" s="247"/>
      <c r="CC24" s="247"/>
      <c r="CD24" s="247"/>
      <c r="CE24" s="247"/>
      <c r="CF24" s="247"/>
      <c r="CG24" s="247"/>
      <c r="CH24" s="247"/>
      <c r="CI24" s="247"/>
      <c r="CJ24" s="247"/>
      <c r="CK24" s="247"/>
      <c r="CL24" s="247"/>
      <c r="CM24" s="247"/>
      <c r="CN24" s="247"/>
      <c r="CO24" s="247"/>
      <c r="CP24" s="247"/>
      <c r="CQ24" s="247"/>
      <c r="CR24" s="247"/>
      <c r="CS24" s="247"/>
      <c r="CT24" s="247"/>
      <c r="CU24" s="247"/>
      <c r="CV24" s="247"/>
      <c r="CW24" s="247"/>
      <c r="CX24" s="247"/>
      <c r="CY24" s="247"/>
      <c r="CZ24" s="247"/>
      <c r="DA24" s="247"/>
      <c r="DB24" s="247"/>
      <c r="DC24" s="247"/>
      <c r="DD24" s="247"/>
      <c r="DE24" s="247"/>
      <c r="DF24" s="247"/>
      <c r="DG24" s="247"/>
      <c r="DH24" s="247"/>
      <c r="DI24" s="247"/>
      <c r="DJ24" s="247"/>
      <c r="DK24" s="247"/>
      <c r="DL24" s="247"/>
      <c r="DM24" s="247"/>
      <c r="DN24" s="247"/>
      <c r="DO24" s="247"/>
      <c r="DP24" s="247"/>
      <c r="DQ24" s="247"/>
      <c r="DR24" s="247"/>
      <c r="DS24" s="247"/>
      <c r="DT24" s="247"/>
      <c r="DU24" s="247"/>
      <c r="DV24" s="247"/>
      <c r="DW24" s="247"/>
      <c r="DX24" s="247"/>
      <c r="DY24" s="247"/>
      <c r="DZ24" s="247"/>
      <c r="EA24" s="247"/>
      <c r="EB24" s="247"/>
      <c r="EC24" s="247"/>
      <c r="ED24" s="247"/>
      <c r="EE24" s="247"/>
      <c r="EF24" s="247"/>
      <c r="EG24" s="247"/>
      <c r="EH24" s="247"/>
      <c r="EI24" s="247"/>
      <c r="EJ24" s="247"/>
      <c r="EK24" s="247"/>
      <c r="EL24" s="247"/>
      <c r="EM24" s="247"/>
      <c r="EN24" s="247"/>
      <c r="EO24" s="247"/>
      <c r="EP24" s="247"/>
      <c r="EQ24" s="247"/>
      <c r="ER24" s="247"/>
      <c r="ES24" s="247"/>
      <c r="ET24" s="247"/>
      <c r="EU24" s="247"/>
      <c r="EV24" s="247"/>
      <c r="EW24" s="247"/>
      <c r="EX24" s="247"/>
      <c r="EY24" s="247"/>
      <c r="EZ24" s="247"/>
      <c r="FA24" s="247"/>
      <c r="FB24" s="247"/>
      <c r="FC24" s="247"/>
      <c r="FD24" s="247"/>
      <c r="FE24" s="247"/>
      <c r="FF24" s="247"/>
      <c r="FG24" s="247"/>
      <c r="FH24" s="247"/>
      <c r="FI24" s="247"/>
      <c r="FJ24" s="247"/>
      <c r="FK24" s="247"/>
      <c r="FL24" s="247"/>
      <c r="FM24" s="247"/>
      <c r="FN24" s="247"/>
      <c r="FO24" s="247"/>
      <c r="FP24" s="247"/>
      <c r="FQ24" s="247"/>
      <c r="FR24" s="247"/>
      <c r="FS24" s="247"/>
      <c r="FT24" s="247"/>
      <c r="FU24" s="247"/>
      <c r="FV24" s="247"/>
      <c r="FW24" s="247"/>
      <c r="FX24" s="247"/>
      <c r="FY24" s="247"/>
      <c r="FZ24" s="247"/>
      <c r="GA24" s="247"/>
      <c r="GB24" s="247"/>
      <c r="GC24" s="247"/>
      <c r="GD24" s="247"/>
      <c r="GE24" s="247"/>
      <c r="GF24" s="247"/>
      <c r="GG24" s="247"/>
      <c r="GH24" s="247"/>
      <c r="GI24" s="247"/>
      <c r="GJ24" s="247"/>
      <c r="GK24" s="247"/>
      <c r="GL24" s="247"/>
      <c r="GM24" s="247"/>
      <c r="GN24" s="247"/>
      <c r="GO24" s="247"/>
      <c r="GP24" s="247"/>
      <c r="GQ24" s="247"/>
    </row>
    <row r="25" spans="1:255" s="128" customFormat="1">
      <c r="A25" s="128" t="str">
        <f t="shared" si="37"/>
        <v/>
      </c>
      <c r="B25" s="226">
        <v>6</v>
      </c>
      <c r="C25" s="233" t="s">
        <v>174</v>
      </c>
      <c r="D25" s="234" t="s">
        <v>169</v>
      </c>
      <c r="E25" s="232">
        <v>1</v>
      </c>
      <c r="F25" s="229">
        <v>87770</v>
      </c>
      <c r="G25" s="243">
        <f ca="1">IF(SUM(J25:OFFSET(J25,,I$6-1))&gt;E25+1000,"錯誤",SUM(J25:OFFSET(J25,,I$6-1)))</f>
        <v>0</v>
      </c>
      <c r="H25" s="243">
        <f t="shared" ca="1" si="38"/>
        <v>1</v>
      </c>
      <c r="I25" s="156" t="str">
        <f t="shared" si="39"/>
        <v/>
      </c>
      <c r="J25" s="246"/>
      <c r="K25" s="246"/>
      <c r="L25" s="246"/>
      <c r="M25" s="60"/>
      <c r="N25" s="246"/>
      <c r="O25" s="246"/>
      <c r="P25" s="246"/>
      <c r="Q25" s="246"/>
      <c r="R25" s="246"/>
      <c r="S25" s="246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247"/>
      <c r="BQ25" s="247"/>
      <c r="BR25" s="247"/>
      <c r="BS25" s="247"/>
      <c r="BT25" s="247"/>
      <c r="BU25" s="247"/>
      <c r="BV25" s="247"/>
      <c r="BW25" s="247"/>
      <c r="BX25" s="247"/>
      <c r="BY25" s="247"/>
      <c r="BZ25" s="247"/>
      <c r="CA25" s="247"/>
      <c r="CB25" s="247"/>
      <c r="CC25" s="247"/>
      <c r="CD25" s="247"/>
      <c r="CE25" s="247"/>
      <c r="CF25" s="247"/>
      <c r="CG25" s="247"/>
      <c r="CH25" s="247"/>
      <c r="CI25" s="247"/>
      <c r="CJ25" s="247"/>
      <c r="CK25" s="247"/>
      <c r="CL25" s="247"/>
      <c r="CM25" s="247"/>
      <c r="CN25" s="247"/>
      <c r="CO25" s="247"/>
      <c r="CP25" s="247"/>
      <c r="CQ25" s="247"/>
      <c r="CR25" s="247"/>
      <c r="CS25" s="247"/>
      <c r="CT25" s="247"/>
      <c r="CU25" s="247"/>
      <c r="CV25" s="247"/>
      <c r="CW25" s="247"/>
      <c r="CX25" s="247"/>
      <c r="CY25" s="247"/>
      <c r="CZ25" s="247"/>
      <c r="DA25" s="247"/>
      <c r="DB25" s="247"/>
      <c r="DC25" s="247"/>
      <c r="DD25" s="247"/>
      <c r="DE25" s="247"/>
      <c r="DF25" s="247"/>
      <c r="DG25" s="247"/>
      <c r="DH25" s="247"/>
      <c r="DI25" s="247"/>
      <c r="DJ25" s="247"/>
      <c r="DK25" s="247"/>
      <c r="DL25" s="247"/>
      <c r="DM25" s="247"/>
      <c r="DN25" s="247"/>
      <c r="DO25" s="247"/>
      <c r="DP25" s="247"/>
      <c r="DQ25" s="247"/>
      <c r="DR25" s="247"/>
      <c r="DS25" s="247"/>
      <c r="DT25" s="247"/>
      <c r="DU25" s="247"/>
      <c r="DV25" s="247"/>
      <c r="DW25" s="247"/>
      <c r="DX25" s="247"/>
      <c r="DY25" s="247"/>
      <c r="DZ25" s="247"/>
      <c r="EA25" s="247"/>
      <c r="EB25" s="247"/>
      <c r="EC25" s="247"/>
      <c r="ED25" s="247"/>
      <c r="EE25" s="247"/>
      <c r="EF25" s="247"/>
      <c r="EG25" s="247"/>
      <c r="EH25" s="247"/>
      <c r="EI25" s="247"/>
      <c r="EJ25" s="247"/>
      <c r="EK25" s="247"/>
      <c r="EL25" s="247"/>
      <c r="EM25" s="247"/>
      <c r="EN25" s="247"/>
      <c r="EO25" s="247"/>
      <c r="EP25" s="247"/>
      <c r="EQ25" s="247"/>
      <c r="ER25" s="247"/>
      <c r="ES25" s="247"/>
      <c r="ET25" s="247"/>
      <c r="EU25" s="247"/>
      <c r="EV25" s="247"/>
      <c r="EW25" s="247"/>
      <c r="EX25" s="247"/>
      <c r="EY25" s="247"/>
      <c r="EZ25" s="247"/>
      <c r="FA25" s="247"/>
      <c r="FB25" s="247"/>
      <c r="FC25" s="247"/>
      <c r="FD25" s="247"/>
      <c r="FE25" s="247"/>
      <c r="FF25" s="247"/>
      <c r="FG25" s="247"/>
      <c r="FH25" s="247"/>
      <c r="FI25" s="247"/>
      <c r="FJ25" s="247"/>
      <c r="FK25" s="247"/>
      <c r="FL25" s="247"/>
      <c r="FM25" s="247"/>
      <c r="FN25" s="247"/>
      <c r="FO25" s="247"/>
      <c r="FP25" s="247"/>
      <c r="FQ25" s="247"/>
      <c r="FR25" s="247"/>
      <c r="FS25" s="247"/>
      <c r="FT25" s="247"/>
      <c r="FU25" s="247"/>
      <c r="FV25" s="247"/>
      <c r="FW25" s="247"/>
      <c r="FX25" s="247"/>
      <c r="FY25" s="247"/>
      <c r="FZ25" s="247"/>
      <c r="GA25" s="247"/>
      <c r="GB25" s="247"/>
      <c r="GC25" s="247"/>
      <c r="GD25" s="247"/>
      <c r="GE25" s="247"/>
      <c r="GF25" s="247"/>
      <c r="GG25" s="247"/>
      <c r="GH25" s="247"/>
      <c r="GI25" s="247"/>
      <c r="GJ25" s="247"/>
      <c r="GK25" s="247"/>
      <c r="GL25" s="247"/>
      <c r="GM25" s="247"/>
      <c r="GN25" s="247"/>
      <c r="GO25" s="247"/>
      <c r="GP25" s="247"/>
      <c r="GQ25" s="247"/>
    </row>
    <row r="26" spans="1:255" s="128" customFormat="1">
      <c r="A26" s="128">
        <v>5</v>
      </c>
      <c r="B26" s="226">
        <v>7</v>
      </c>
      <c r="C26" s="227" t="s">
        <v>175</v>
      </c>
      <c r="D26" s="231" t="s">
        <v>120</v>
      </c>
      <c r="E26" s="232">
        <v>40</v>
      </c>
      <c r="F26" s="229">
        <v>997</v>
      </c>
      <c r="G26" s="243">
        <f ca="1">IF(SUM(J26:OFFSET(J26,,I$6-1))&gt;E26+1000,"錯誤",SUM(J26:OFFSET(J26,,I$6-1)))</f>
        <v>20</v>
      </c>
      <c r="H26" s="243">
        <f t="shared" ca="1" si="38"/>
        <v>20</v>
      </c>
      <c r="I26" s="156" t="str">
        <f t="shared" si="39"/>
        <v/>
      </c>
      <c r="J26" s="244"/>
      <c r="K26" s="246"/>
      <c r="L26" s="246"/>
      <c r="M26" s="60"/>
      <c r="N26" s="246"/>
      <c r="O26" s="246"/>
      <c r="P26" s="246"/>
      <c r="Q26" s="246"/>
      <c r="R26" s="246"/>
      <c r="S26" s="246"/>
      <c r="T26" s="246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294">
        <v>10</v>
      </c>
      <c r="AN26" s="294">
        <v>10</v>
      </c>
      <c r="AO26" s="60"/>
      <c r="AP26" s="60"/>
      <c r="AQ26" s="294">
        <v>10</v>
      </c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247"/>
      <c r="BQ26" s="247"/>
      <c r="BR26" s="247"/>
      <c r="BS26" s="247"/>
      <c r="BT26" s="247"/>
      <c r="BU26" s="247"/>
      <c r="BV26" s="247"/>
      <c r="BW26" s="247"/>
      <c r="BX26" s="247"/>
      <c r="BY26" s="247"/>
      <c r="BZ26" s="247"/>
      <c r="CA26" s="247"/>
      <c r="CB26" s="247"/>
      <c r="CC26" s="247"/>
      <c r="CD26" s="247"/>
      <c r="CE26" s="247"/>
      <c r="CF26" s="247"/>
      <c r="CG26" s="247"/>
      <c r="CH26" s="247"/>
      <c r="CI26" s="247"/>
      <c r="CJ26" s="247"/>
      <c r="CK26" s="247"/>
      <c r="CL26" s="247"/>
      <c r="CM26" s="247"/>
      <c r="CN26" s="247"/>
      <c r="CO26" s="247"/>
      <c r="CP26" s="247"/>
      <c r="CQ26" s="247"/>
      <c r="CR26" s="247"/>
      <c r="CS26" s="247"/>
      <c r="CT26" s="247"/>
      <c r="CU26" s="247"/>
      <c r="CV26" s="247"/>
      <c r="CW26" s="247"/>
      <c r="CX26" s="247"/>
      <c r="CY26" s="247"/>
      <c r="CZ26" s="247"/>
      <c r="DA26" s="247"/>
      <c r="DB26" s="247"/>
      <c r="DC26" s="247"/>
      <c r="DD26" s="247"/>
      <c r="DE26" s="247"/>
      <c r="DF26" s="247"/>
      <c r="DG26" s="247"/>
      <c r="DH26" s="247"/>
      <c r="DI26" s="247"/>
      <c r="DJ26" s="247"/>
      <c r="DK26" s="247"/>
      <c r="DL26" s="247"/>
      <c r="DM26" s="247"/>
      <c r="DN26" s="247"/>
      <c r="DO26" s="247"/>
      <c r="DP26" s="247"/>
      <c r="DQ26" s="247"/>
      <c r="DR26" s="247"/>
      <c r="DS26" s="247"/>
      <c r="DT26" s="247"/>
      <c r="DU26" s="247"/>
      <c r="DV26" s="247"/>
      <c r="DW26" s="247"/>
      <c r="DX26" s="247"/>
      <c r="DY26" s="247"/>
      <c r="DZ26" s="247"/>
      <c r="EA26" s="247"/>
      <c r="EB26" s="247"/>
      <c r="EC26" s="247"/>
      <c r="ED26" s="247"/>
      <c r="EE26" s="247"/>
      <c r="EF26" s="247"/>
      <c r="EG26" s="247"/>
      <c r="EH26" s="247"/>
      <c r="EI26" s="247"/>
      <c r="EJ26" s="247"/>
      <c r="EK26" s="247"/>
      <c r="EL26" s="247"/>
      <c r="EM26" s="247"/>
      <c r="EN26" s="247"/>
      <c r="EO26" s="247"/>
      <c r="EP26" s="247"/>
      <c r="EQ26" s="247"/>
      <c r="ER26" s="247"/>
      <c r="ES26" s="247"/>
      <c r="ET26" s="247"/>
      <c r="EU26" s="247"/>
      <c r="EV26" s="247"/>
      <c r="EW26" s="247"/>
      <c r="EX26" s="247"/>
      <c r="EY26" s="247"/>
      <c r="EZ26" s="247"/>
      <c r="FA26" s="247"/>
      <c r="FB26" s="247"/>
      <c r="FC26" s="247"/>
      <c r="FD26" s="247"/>
      <c r="FE26" s="247"/>
      <c r="FF26" s="247"/>
      <c r="FG26" s="247"/>
      <c r="FH26" s="247"/>
      <c r="FI26" s="247"/>
      <c r="FJ26" s="247"/>
      <c r="FK26" s="247"/>
      <c r="FL26" s="247"/>
      <c r="FM26" s="247"/>
      <c r="FN26" s="247"/>
      <c r="FO26" s="247"/>
      <c r="FP26" s="247"/>
      <c r="FQ26" s="247"/>
      <c r="FR26" s="247"/>
      <c r="FS26" s="247"/>
      <c r="FT26" s="247"/>
      <c r="FU26" s="247"/>
      <c r="FV26" s="247"/>
      <c r="FW26" s="247"/>
      <c r="FX26" s="247"/>
      <c r="FY26" s="247"/>
      <c r="FZ26" s="247"/>
      <c r="GA26" s="247"/>
      <c r="GB26" s="247"/>
      <c r="GC26" s="247"/>
      <c r="GD26" s="247"/>
      <c r="GE26" s="247"/>
      <c r="GF26" s="247"/>
      <c r="GG26" s="247"/>
      <c r="GH26" s="247"/>
      <c r="GI26" s="247"/>
      <c r="GJ26" s="247"/>
      <c r="GK26" s="247"/>
      <c r="GL26" s="247"/>
      <c r="GM26" s="247"/>
      <c r="GN26" s="247"/>
      <c r="GO26" s="247"/>
      <c r="GP26" s="247"/>
      <c r="GQ26" s="247"/>
    </row>
    <row r="27" spans="1:255" s="128" customFormat="1" ht="33">
      <c r="A27" s="128" t="str">
        <f t="shared" si="37"/>
        <v/>
      </c>
      <c r="B27" s="226">
        <v>8</v>
      </c>
      <c r="C27" s="227" t="s">
        <v>176</v>
      </c>
      <c r="D27" s="231" t="s">
        <v>155</v>
      </c>
      <c r="E27" s="232">
        <v>1</v>
      </c>
      <c r="F27" s="229">
        <v>5985</v>
      </c>
      <c r="G27" s="243">
        <f ca="1">IF(SUM(J27:OFFSET(J27,,I$6-1))&gt;E27+1000,"錯誤",SUM(J27:OFFSET(J27,,I$6-1)))</f>
        <v>0</v>
      </c>
      <c r="H27" s="243">
        <f t="shared" ca="1" si="38"/>
        <v>1</v>
      </c>
      <c r="I27" s="156" t="str">
        <f t="shared" si="39"/>
        <v/>
      </c>
      <c r="J27" s="244"/>
      <c r="K27" s="246"/>
      <c r="L27" s="246"/>
      <c r="M27" s="60"/>
      <c r="N27" s="246"/>
      <c r="O27" s="246"/>
      <c r="P27" s="246"/>
      <c r="Q27" s="246"/>
      <c r="R27" s="246"/>
      <c r="S27" s="246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247"/>
      <c r="BQ27" s="247"/>
      <c r="BR27" s="247"/>
      <c r="BS27" s="247"/>
      <c r="BT27" s="247"/>
      <c r="BU27" s="247"/>
      <c r="BV27" s="247"/>
      <c r="BW27" s="247"/>
      <c r="BX27" s="247"/>
      <c r="BY27" s="247"/>
      <c r="BZ27" s="247"/>
      <c r="CA27" s="247"/>
      <c r="CB27" s="247"/>
      <c r="CC27" s="247"/>
      <c r="CD27" s="247"/>
      <c r="CE27" s="247"/>
      <c r="CF27" s="247"/>
      <c r="CG27" s="247"/>
      <c r="CH27" s="247"/>
      <c r="CI27" s="247"/>
      <c r="CJ27" s="247"/>
      <c r="CK27" s="247"/>
      <c r="CL27" s="247"/>
      <c r="CM27" s="247"/>
      <c r="CN27" s="247"/>
      <c r="CO27" s="247"/>
      <c r="CP27" s="247"/>
      <c r="CQ27" s="247"/>
      <c r="CR27" s="247"/>
      <c r="CS27" s="247"/>
      <c r="CT27" s="247"/>
      <c r="CU27" s="247"/>
      <c r="CV27" s="247"/>
      <c r="CW27" s="247"/>
      <c r="CX27" s="247"/>
      <c r="CY27" s="247"/>
      <c r="CZ27" s="247"/>
      <c r="DA27" s="247"/>
      <c r="DB27" s="247"/>
      <c r="DC27" s="247"/>
      <c r="DD27" s="247"/>
      <c r="DE27" s="247"/>
      <c r="DF27" s="247"/>
      <c r="DG27" s="247"/>
      <c r="DH27" s="247"/>
      <c r="DI27" s="247"/>
      <c r="DJ27" s="247"/>
      <c r="DK27" s="247"/>
      <c r="DL27" s="247"/>
      <c r="DM27" s="247"/>
      <c r="DN27" s="247"/>
      <c r="DO27" s="247"/>
      <c r="DP27" s="247"/>
      <c r="DQ27" s="247"/>
      <c r="DR27" s="247"/>
      <c r="DS27" s="247"/>
      <c r="DT27" s="247"/>
      <c r="DU27" s="247"/>
      <c r="DV27" s="247"/>
      <c r="DW27" s="247"/>
      <c r="DX27" s="247"/>
      <c r="DY27" s="247"/>
      <c r="DZ27" s="247"/>
      <c r="EA27" s="247"/>
      <c r="EB27" s="247"/>
      <c r="EC27" s="247"/>
      <c r="ED27" s="247"/>
      <c r="EE27" s="247"/>
      <c r="EF27" s="247"/>
      <c r="EG27" s="247"/>
      <c r="EH27" s="247"/>
      <c r="EI27" s="247"/>
      <c r="EJ27" s="247"/>
      <c r="EK27" s="247"/>
      <c r="EL27" s="247"/>
      <c r="EM27" s="247"/>
      <c r="EN27" s="247"/>
      <c r="EO27" s="247"/>
      <c r="EP27" s="247"/>
      <c r="EQ27" s="247"/>
      <c r="ER27" s="247"/>
      <c r="ES27" s="247"/>
      <c r="ET27" s="247"/>
      <c r="EU27" s="247"/>
      <c r="EV27" s="247"/>
      <c r="EW27" s="247"/>
      <c r="EX27" s="247"/>
      <c r="EY27" s="247"/>
      <c r="EZ27" s="247"/>
      <c r="FA27" s="247"/>
      <c r="FB27" s="247"/>
      <c r="FC27" s="247"/>
      <c r="FD27" s="247"/>
      <c r="FE27" s="247"/>
      <c r="FF27" s="247"/>
      <c r="FG27" s="247"/>
      <c r="FH27" s="247"/>
      <c r="FI27" s="247"/>
      <c r="FJ27" s="247"/>
      <c r="FK27" s="247"/>
      <c r="FL27" s="247"/>
      <c r="FM27" s="247"/>
      <c r="FN27" s="247"/>
      <c r="FO27" s="247"/>
      <c r="FP27" s="247"/>
      <c r="FQ27" s="247"/>
      <c r="FR27" s="247"/>
      <c r="FS27" s="247"/>
      <c r="FT27" s="247"/>
      <c r="FU27" s="247"/>
      <c r="FV27" s="247"/>
      <c r="FW27" s="247"/>
      <c r="FX27" s="247"/>
      <c r="FY27" s="247"/>
      <c r="FZ27" s="247"/>
      <c r="GA27" s="247"/>
      <c r="GB27" s="247"/>
      <c r="GC27" s="247"/>
      <c r="GD27" s="247"/>
      <c r="GE27" s="247"/>
      <c r="GF27" s="247"/>
      <c r="GG27" s="247"/>
      <c r="GH27" s="247"/>
      <c r="GI27" s="247"/>
      <c r="GJ27" s="247"/>
      <c r="GK27" s="247"/>
      <c r="GL27" s="247"/>
      <c r="GM27" s="247"/>
      <c r="GN27" s="247"/>
      <c r="GO27" s="247"/>
      <c r="GP27" s="247"/>
      <c r="GQ27" s="247"/>
    </row>
    <row r="28" spans="1:255" s="128" customFormat="1">
      <c r="A28" s="128" t="str">
        <f t="shared" si="37"/>
        <v/>
      </c>
      <c r="B28" s="226">
        <v>9</v>
      </c>
      <c r="C28" s="227" t="s">
        <v>177</v>
      </c>
      <c r="D28" s="234" t="s">
        <v>120</v>
      </c>
      <c r="E28" s="232">
        <v>592</v>
      </c>
      <c r="F28" s="229">
        <v>450</v>
      </c>
      <c r="G28" s="243">
        <f ca="1">IF(SUM(J28:OFFSET(J28,,I$6-1))&gt;E28+1000,"錯誤",SUM(J28:OFFSET(J28,,I$6-1)))</f>
        <v>0</v>
      </c>
      <c r="H28" s="243">
        <f t="shared" ca="1" si="38"/>
        <v>592</v>
      </c>
      <c r="I28" s="156" t="str">
        <f t="shared" si="39"/>
        <v/>
      </c>
      <c r="J28" s="244"/>
      <c r="K28" s="246"/>
      <c r="L28" s="246"/>
      <c r="M28" s="60"/>
      <c r="N28" s="246"/>
      <c r="O28" s="246"/>
      <c r="P28" s="246"/>
      <c r="Q28" s="246"/>
      <c r="R28" s="246"/>
      <c r="S28" s="246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247"/>
      <c r="BQ28" s="247"/>
      <c r="BR28" s="247"/>
      <c r="BS28" s="247"/>
      <c r="BT28" s="247"/>
      <c r="BU28" s="247"/>
      <c r="BV28" s="247"/>
      <c r="BW28" s="247"/>
      <c r="BX28" s="247"/>
      <c r="BY28" s="247"/>
      <c r="BZ28" s="247"/>
      <c r="CA28" s="247"/>
      <c r="CB28" s="247"/>
      <c r="CC28" s="247"/>
      <c r="CD28" s="247"/>
      <c r="CE28" s="247"/>
      <c r="CF28" s="247"/>
      <c r="CG28" s="247"/>
      <c r="CH28" s="247"/>
      <c r="CI28" s="247"/>
      <c r="CJ28" s="247"/>
      <c r="CK28" s="247"/>
      <c r="CL28" s="247"/>
      <c r="CM28" s="247"/>
      <c r="CN28" s="247"/>
      <c r="CO28" s="247"/>
      <c r="CP28" s="247"/>
      <c r="CQ28" s="247"/>
      <c r="CR28" s="247"/>
      <c r="CS28" s="247"/>
      <c r="CT28" s="247"/>
      <c r="CU28" s="247"/>
      <c r="CV28" s="247"/>
      <c r="CW28" s="247"/>
      <c r="CX28" s="247"/>
      <c r="CY28" s="247"/>
      <c r="CZ28" s="247"/>
      <c r="DA28" s="247"/>
      <c r="DB28" s="247"/>
      <c r="DC28" s="247"/>
      <c r="DD28" s="247"/>
      <c r="DE28" s="247"/>
      <c r="DF28" s="247"/>
      <c r="DG28" s="247"/>
      <c r="DH28" s="247"/>
      <c r="DI28" s="247"/>
      <c r="DJ28" s="247"/>
      <c r="DK28" s="247"/>
      <c r="DL28" s="247"/>
      <c r="DM28" s="247"/>
      <c r="DN28" s="247"/>
      <c r="DO28" s="247"/>
      <c r="DP28" s="247"/>
      <c r="DQ28" s="247"/>
      <c r="DR28" s="247"/>
      <c r="DS28" s="247"/>
      <c r="DT28" s="247"/>
      <c r="DU28" s="247"/>
      <c r="DV28" s="247"/>
      <c r="DW28" s="247"/>
      <c r="DX28" s="247"/>
      <c r="DY28" s="247"/>
      <c r="DZ28" s="247"/>
      <c r="EA28" s="247"/>
      <c r="EB28" s="247"/>
      <c r="EC28" s="247"/>
      <c r="ED28" s="247"/>
      <c r="EE28" s="247"/>
      <c r="EF28" s="247"/>
      <c r="EG28" s="247"/>
      <c r="EH28" s="247"/>
      <c r="EI28" s="247"/>
      <c r="EJ28" s="247"/>
      <c r="EK28" s="247"/>
      <c r="EL28" s="247"/>
      <c r="EM28" s="247"/>
      <c r="EN28" s="247"/>
      <c r="EO28" s="247"/>
      <c r="EP28" s="247"/>
      <c r="EQ28" s="247"/>
      <c r="ER28" s="247"/>
      <c r="ES28" s="247"/>
      <c r="ET28" s="247"/>
      <c r="EU28" s="247"/>
      <c r="EV28" s="247"/>
      <c r="EW28" s="247"/>
      <c r="EX28" s="247"/>
      <c r="EY28" s="247"/>
      <c r="EZ28" s="247"/>
      <c r="FA28" s="247"/>
      <c r="FB28" s="247"/>
      <c r="FC28" s="247"/>
      <c r="FD28" s="247"/>
      <c r="FE28" s="247"/>
      <c r="FF28" s="247"/>
      <c r="FG28" s="247"/>
      <c r="FH28" s="247"/>
      <c r="FI28" s="247"/>
      <c r="FJ28" s="247"/>
      <c r="FK28" s="247"/>
      <c r="FL28" s="247"/>
      <c r="FM28" s="247"/>
      <c r="FN28" s="247"/>
      <c r="FO28" s="247"/>
      <c r="FP28" s="247"/>
      <c r="FQ28" s="247"/>
      <c r="FR28" s="247"/>
      <c r="FS28" s="247"/>
      <c r="FT28" s="247"/>
      <c r="FU28" s="247"/>
      <c r="FV28" s="247"/>
      <c r="FW28" s="247"/>
      <c r="FX28" s="247"/>
      <c r="FY28" s="247"/>
      <c r="FZ28" s="247"/>
      <c r="GA28" s="247"/>
      <c r="GB28" s="247"/>
      <c r="GC28" s="247"/>
      <c r="GD28" s="247"/>
      <c r="GE28" s="247"/>
      <c r="GF28" s="247"/>
      <c r="GG28" s="247"/>
      <c r="GH28" s="247"/>
      <c r="GI28" s="247"/>
      <c r="GJ28" s="247"/>
      <c r="GK28" s="247"/>
      <c r="GL28" s="247"/>
      <c r="GM28" s="247"/>
      <c r="GN28" s="247"/>
      <c r="GO28" s="247"/>
      <c r="GP28" s="247"/>
      <c r="GQ28" s="247"/>
    </row>
    <row r="29" spans="1:255" s="128" customFormat="1">
      <c r="A29" s="128" t="str">
        <f t="shared" si="37"/>
        <v/>
      </c>
      <c r="B29" s="226">
        <v>10</v>
      </c>
      <c r="C29" s="233" t="s">
        <v>178</v>
      </c>
      <c r="D29" s="234" t="s">
        <v>120</v>
      </c>
      <c r="E29" s="232">
        <v>327</v>
      </c>
      <c r="F29" s="229">
        <v>399</v>
      </c>
      <c r="G29" s="243">
        <f ca="1">IF(SUM(J29:OFFSET(J29,,I$6-1))&gt;E29+1000,"錯誤",SUM(J29:OFFSET(J29,,I$6-1)))</f>
        <v>0</v>
      </c>
      <c r="H29" s="243">
        <f t="shared" ca="1" si="38"/>
        <v>327</v>
      </c>
      <c r="I29" s="156" t="str">
        <f t="shared" si="39"/>
        <v/>
      </c>
      <c r="J29" s="60"/>
      <c r="K29" s="244"/>
      <c r="L29" s="246"/>
      <c r="M29" s="246"/>
      <c r="N29" s="246"/>
      <c r="O29" s="246"/>
      <c r="P29" s="246"/>
      <c r="Q29" s="246"/>
      <c r="R29" s="246"/>
      <c r="S29" s="246"/>
      <c r="T29" s="246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247"/>
      <c r="BQ29" s="247"/>
      <c r="BR29" s="247"/>
      <c r="BS29" s="247"/>
      <c r="BT29" s="247"/>
      <c r="BU29" s="247"/>
      <c r="BV29" s="247"/>
      <c r="BW29" s="247"/>
      <c r="BX29" s="247"/>
      <c r="BY29" s="247"/>
      <c r="BZ29" s="247"/>
      <c r="CA29" s="247"/>
      <c r="CB29" s="247"/>
      <c r="CC29" s="247"/>
      <c r="CD29" s="247"/>
      <c r="CE29" s="247"/>
      <c r="CF29" s="247"/>
      <c r="CG29" s="247"/>
      <c r="CH29" s="247"/>
      <c r="CI29" s="247"/>
      <c r="CJ29" s="247"/>
      <c r="CK29" s="247"/>
      <c r="CL29" s="247"/>
      <c r="CM29" s="247"/>
      <c r="CN29" s="247"/>
      <c r="CO29" s="247"/>
      <c r="CP29" s="247"/>
      <c r="CQ29" s="247"/>
      <c r="CR29" s="247"/>
      <c r="CS29" s="247"/>
      <c r="CT29" s="247"/>
      <c r="CU29" s="247"/>
      <c r="CV29" s="247"/>
      <c r="CW29" s="247"/>
      <c r="CX29" s="247"/>
      <c r="CY29" s="247"/>
      <c r="CZ29" s="247"/>
      <c r="DA29" s="247"/>
      <c r="DB29" s="247"/>
      <c r="DC29" s="247"/>
      <c r="DD29" s="247"/>
      <c r="DE29" s="247"/>
      <c r="DF29" s="247"/>
      <c r="DG29" s="247"/>
      <c r="DH29" s="247"/>
      <c r="DI29" s="247"/>
      <c r="DJ29" s="247"/>
      <c r="DK29" s="247"/>
      <c r="DL29" s="247"/>
      <c r="DM29" s="247"/>
      <c r="DN29" s="247"/>
      <c r="DO29" s="247"/>
      <c r="DP29" s="247"/>
      <c r="DQ29" s="247"/>
      <c r="DR29" s="247"/>
      <c r="DS29" s="247"/>
      <c r="DT29" s="247"/>
      <c r="DU29" s="247"/>
      <c r="DV29" s="247"/>
      <c r="DW29" s="247"/>
      <c r="DX29" s="247"/>
      <c r="DY29" s="247"/>
      <c r="DZ29" s="247"/>
      <c r="EA29" s="247"/>
      <c r="EB29" s="247"/>
      <c r="EC29" s="247"/>
      <c r="ED29" s="247"/>
      <c r="EE29" s="247"/>
      <c r="EF29" s="247"/>
      <c r="EG29" s="247"/>
      <c r="EH29" s="247"/>
      <c r="EI29" s="247"/>
      <c r="EJ29" s="247"/>
      <c r="EK29" s="247"/>
      <c r="EL29" s="247"/>
      <c r="EM29" s="247"/>
      <c r="EN29" s="247"/>
      <c r="EO29" s="247"/>
      <c r="EP29" s="247"/>
      <c r="EQ29" s="247"/>
      <c r="ER29" s="247"/>
      <c r="ES29" s="247"/>
      <c r="ET29" s="247"/>
      <c r="EU29" s="247"/>
      <c r="EV29" s="247"/>
      <c r="EW29" s="247"/>
      <c r="EX29" s="247"/>
      <c r="EY29" s="247"/>
      <c r="EZ29" s="247"/>
      <c r="FA29" s="247"/>
      <c r="FB29" s="247"/>
      <c r="FC29" s="247"/>
      <c r="FD29" s="247"/>
      <c r="FE29" s="247"/>
      <c r="FF29" s="247"/>
      <c r="FG29" s="247"/>
      <c r="FH29" s="247"/>
      <c r="FI29" s="247"/>
      <c r="FJ29" s="247"/>
      <c r="FK29" s="247"/>
      <c r="FL29" s="247"/>
      <c r="FM29" s="247"/>
      <c r="FN29" s="247"/>
      <c r="FO29" s="247"/>
      <c r="FP29" s="247"/>
      <c r="FQ29" s="247"/>
      <c r="FR29" s="247"/>
      <c r="FS29" s="247"/>
      <c r="FT29" s="247"/>
      <c r="FU29" s="247"/>
      <c r="FV29" s="247"/>
      <c r="FW29" s="247"/>
      <c r="FX29" s="247"/>
      <c r="FY29" s="247"/>
      <c r="FZ29" s="247"/>
      <c r="GA29" s="247"/>
      <c r="GB29" s="247"/>
      <c r="GC29" s="247"/>
      <c r="GD29" s="247"/>
      <c r="GE29" s="247"/>
      <c r="GF29" s="247"/>
      <c r="GG29" s="247"/>
      <c r="GH29" s="247"/>
      <c r="GI29" s="247"/>
      <c r="GJ29" s="247"/>
      <c r="GK29" s="247"/>
      <c r="GL29" s="247"/>
      <c r="GM29" s="247"/>
      <c r="GN29" s="247"/>
      <c r="GO29" s="247"/>
      <c r="GP29" s="247"/>
      <c r="GQ29" s="247"/>
    </row>
    <row r="30" spans="1:255" s="128" customFormat="1" ht="33">
      <c r="A30" s="128" t="str">
        <f t="shared" si="37"/>
        <v/>
      </c>
      <c r="B30" s="226">
        <v>11</v>
      </c>
      <c r="C30" s="233" t="s">
        <v>179</v>
      </c>
      <c r="D30" s="234" t="s">
        <v>156</v>
      </c>
      <c r="E30" s="232">
        <v>26</v>
      </c>
      <c r="F30" s="229">
        <v>548</v>
      </c>
      <c r="G30" s="243">
        <f ca="1">IF(SUM(J30:OFFSET(J30,,I$6-1))&gt;E30+1000,"錯誤",SUM(J30:OFFSET(J30,,I$6-1)))</f>
        <v>0</v>
      </c>
      <c r="H30" s="243">
        <f t="shared" ca="1" si="38"/>
        <v>26</v>
      </c>
      <c r="I30" s="156" t="str">
        <f t="shared" si="39"/>
        <v/>
      </c>
      <c r="J30" s="60"/>
      <c r="K30" s="244"/>
      <c r="L30" s="246"/>
      <c r="M30" s="246"/>
      <c r="N30" s="246"/>
      <c r="O30" s="246"/>
      <c r="P30" s="246"/>
      <c r="Q30" s="246"/>
      <c r="R30" s="246"/>
      <c r="S30" s="246"/>
      <c r="T30" s="246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247"/>
      <c r="BQ30" s="247"/>
      <c r="BR30" s="247"/>
      <c r="BS30" s="247"/>
      <c r="BT30" s="247"/>
      <c r="BU30" s="247"/>
      <c r="BV30" s="247"/>
      <c r="BW30" s="247"/>
      <c r="BX30" s="247"/>
      <c r="BY30" s="247"/>
      <c r="BZ30" s="247"/>
      <c r="CA30" s="247"/>
      <c r="CB30" s="247"/>
      <c r="CC30" s="247"/>
      <c r="CD30" s="247"/>
      <c r="CE30" s="247"/>
      <c r="CF30" s="247"/>
      <c r="CG30" s="247"/>
      <c r="CH30" s="247"/>
      <c r="CI30" s="247"/>
      <c r="CJ30" s="247"/>
      <c r="CK30" s="247"/>
      <c r="CL30" s="247"/>
      <c r="CM30" s="247"/>
      <c r="CN30" s="247"/>
      <c r="CO30" s="247"/>
      <c r="CP30" s="247"/>
      <c r="CQ30" s="247"/>
      <c r="CR30" s="247"/>
      <c r="CS30" s="247"/>
      <c r="CT30" s="247"/>
      <c r="CU30" s="247"/>
      <c r="CV30" s="247"/>
      <c r="CW30" s="247"/>
      <c r="CX30" s="247"/>
      <c r="CY30" s="247"/>
      <c r="CZ30" s="247"/>
      <c r="DA30" s="247"/>
      <c r="DB30" s="247"/>
      <c r="DC30" s="247"/>
      <c r="DD30" s="247"/>
      <c r="DE30" s="247"/>
      <c r="DF30" s="247"/>
      <c r="DG30" s="247"/>
      <c r="DH30" s="247"/>
      <c r="DI30" s="247"/>
      <c r="DJ30" s="247"/>
      <c r="DK30" s="247"/>
      <c r="DL30" s="247"/>
      <c r="DM30" s="247"/>
      <c r="DN30" s="247"/>
      <c r="DO30" s="247"/>
      <c r="DP30" s="247"/>
      <c r="DQ30" s="247"/>
      <c r="DR30" s="247"/>
      <c r="DS30" s="247"/>
      <c r="DT30" s="247"/>
      <c r="DU30" s="247"/>
      <c r="DV30" s="247"/>
      <c r="DW30" s="247"/>
      <c r="DX30" s="247"/>
      <c r="DY30" s="247"/>
      <c r="DZ30" s="247"/>
      <c r="EA30" s="247"/>
      <c r="EB30" s="247"/>
      <c r="EC30" s="247"/>
      <c r="ED30" s="247"/>
      <c r="EE30" s="247"/>
      <c r="EF30" s="247"/>
      <c r="EG30" s="247"/>
      <c r="EH30" s="247"/>
      <c r="EI30" s="247"/>
      <c r="EJ30" s="247"/>
      <c r="EK30" s="247"/>
      <c r="EL30" s="247"/>
      <c r="EM30" s="247"/>
      <c r="EN30" s="247"/>
      <c r="EO30" s="247"/>
      <c r="EP30" s="247"/>
      <c r="EQ30" s="247"/>
      <c r="ER30" s="247"/>
      <c r="ES30" s="247"/>
      <c r="ET30" s="247"/>
      <c r="EU30" s="247"/>
      <c r="EV30" s="247"/>
      <c r="EW30" s="247"/>
      <c r="EX30" s="247"/>
      <c r="EY30" s="247"/>
      <c r="EZ30" s="247"/>
      <c r="FA30" s="247"/>
      <c r="FB30" s="247"/>
      <c r="FC30" s="247"/>
      <c r="FD30" s="247"/>
      <c r="FE30" s="247"/>
      <c r="FF30" s="247"/>
      <c r="FG30" s="247"/>
      <c r="FH30" s="247"/>
      <c r="FI30" s="247"/>
      <c r="FJ30" s="247"/>
      <c r="FK30" s="247"/>
      <c r="FL30" s="247"/>
      <c r="FM30" s="247"/>
      <c r="FN30" s="247"/>
      <c r="FO30" s="247"/>
      <c r="FP30" s="247"/>
      <c r="FQ30" s="247"/>
      <c r="FR30" s="247"/>
      <c r="FS30" s="247"/>
      <c r="FT30" s="247"/>
      <c r="FU30" s="247"/>
      <c r="FV30" s="247"/>
      <c r="FW30" s="247"/>
      <c r="FX30" s="247"/>
      <c r="FY30" s="247"/>
      <c r="FZ30" s="247"/>
      <c r="GA30" s="247"/>
      <c r="GB30" s="247"/>
      <c r="GC30" s="247"/>
      <c r="GD30" s="247"/>
      <c r="GE30" s="247"/>
      <c r="GF30" s="247"/>
      <c r="GG30" s="247"/>
      <c r="GH30" s="247"/>
      <c r="GI30" s="247"/>
      <c r="GJ30" s="247"/>
      <c r="GK30" s="247"/>
      <c r="GL30" s="247"/>
      <c r="GM30" s="247"/>
      <c r="GN30" s="247"/>
      <c r="GO30" s="247"/>
      <c r="GP30" s="247"/>
      <c r="GQ30" s="247"/>
    </row>
    <row r="31" spans="1:255" s="128" customFormat="1" ht="33">
      <c r="A31" s="128" t="str">
        <f t="shared" si="37"/>
        <v/>
      </c>
      <c r="B31" s="226">
        <v>12</v>
      </c>
      <c r="C31" s="233" t="s">
        <v>180</v>
      </c>
      <c r="D31" s="234" t="s">
        <v>120</v>
      </c>
      <c r="E31" s="232">
        <v>129</v>
      </c>
      <c r="F31" s="229">
        <v>897</v>
      </c>
      <c r="G31" s="243">
        <f ca="1">IF(SUM(J31:OFFSET(J31,,I$6-1))&gt;E31+1000,"錯誤",SUM(J31:OFFSET(J31,,I$6-1)))</f>
        <v>0</v>
      </c>
      <c r="H31" s="243">
        <f t="shared" ca="1" si="38"/>
        <v>129</v>
      </c>
      <c r="I31" s="156" t="str">
        <f t="shared" si="39"/>
        <v/>
      </c>
      <c r="J31" s="60"/>
      <c r="K31" s="244"/>
      <c r="L31" s="246"/>
      <c r="M31" s="246"/>
      <c r="N31" s="246"/>
      <c r="O31" s="246"/>
      <c r="P31" s="246"/>
      <c r="Q31" s="246"/>
      <c r="R31" s="246"/>
      <c r="S31" s="246"/>
      <c r="T31" s="246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247"/>
      <c r="BQ31" s="247"/>
      <c r="BR31" s="247"/>
      <c r="BS31" s="247"/>
      <c r="BT31" s="247"/>
      <c r="BU31" s="247"/>
      <c r="BV31" s="247"/>
      <c r="BW31" s="247"/>
      <c r="BX31" s="247"/>
      <c r="BY31" s="247"/>
      <c r="BZ31" s="247"/>
      <c r="CA31" s="247"/>
      <c r="CB31" s="247"/>
      <c r="CC31" s="247"/>
      <c r="CD31" s="247"/>
      <c r="CE31" s="247"/>
      <c r="CF31" s="247"/>
      <c r="CG31" s="247"/>
      <c r="CH31" s="247"/>
      <c r="CI31" s="247"/>
      <c r="CJ31" s="247"/>
      <c r="CK31" s="247"/>
      <c r="CL31" s="247"/>
      <c r="CM31" s="247"/>
      <c r="CN31" s="247"/>
      <c r="CO31" s="247"/>
      <c r="CP31" s="247"/>
      <c r="CQ31" s="247"/>
      <c r="CR31" s="247"/>
      <c r="CS31" s="247"/>
      <c r="CT31" s="247"/>
      <c r="CU31" s="247"/>
      <c r="CV31" s="247"/>
      <c r="CW31" s="247"/>
      <c r="CX31" s="247"/>
      <c r="CY31" s="247"/>
      <c r="CZ31" s="247"/>
      <c r="DA31" s="247"/>
      <c r="DB31" s="247"/>
      <c r="DC31" s="247"/>
      <c r="DD31" s="247"/>
      <c r="DE31" s="247"/>
      <c r="DF31" s="247"/>
      <c r="DG31" s="247"/>
      <c r="DH31" s="247"/>
      <c r="DI31" s="247"/>
      <c r="DJ31" s="247"/>
      <c r="DK31" s="247"/>
      <c r="DL31" s="247"/>
      <c r="DM31" s="247"/>
      <c r="DN31" s="247"/>
      <c r="DO31" s="247"/>
      <c r="DP31" s="247"/>
      <c r="DQ31" s="247"/>
      <c r="DR31" s="247"/>
      <c r="DS31" s="247"/>
      <c r="DT31" s="247"/>
      <c r="DU31" s="247"/>
      <c r="DV31" s="247"/>
      <c r="DW31" s="247"/>
      <c r="DX31" s="247"/>
      <c r="DY31" s="247"/>
      <c r="DZ31" s="247"/>
      <c r="EA31" s="247"/>
      <c r="EB31" s="247"/>
      <c r="EC31" s="247"/>
      <c r="ED31" s="247"/>
      <c r="EE31" s="247"/>
      <c r="EF31" s="247"/>
      <c r="EG31" s="247"/>
      <c r="EH31" s="247"/>
      <c r="EI31" s="247"/>
      <c r="EJ31" s="247"/>
      <c r="EK31" s="247"/>
      <c r="EL31" s="247"/>
      <c r="EM31" s="247"/>
      <c r="EN31" s="247"/>
      <c r="EO31" s="247"/>
      <c r="EP31" s="247"/>
      <c r="EQ31" s="247"/>
      <c r="ER31" s="247"/>
      <c r="ES31" s="247"/>
      <c r="ET31" s="247"/>
      <c r="EU31" s="247"/>
      <c r="EV31" s="247"/>
      <c r="EW31" s="247"/>
      <c r="EX31" s="247"/>
      <c r="EY31" s="247"/>
      <c r="EZ31" s="247"/>
      <c r="FA31" s="247"/>
      <c r="FB31" s="247"/>
      <c r="FC31" s="247"/>
      <c r="FD31" s="247"/>
      <c r="FE31" s="247"/>
      <c r="FF31" s="247"/>
      <c r="FG31" s="247"/>
      <c r="FH31" s="247"/>
      <c r="FI31" s="247"/>
      <c r="FJ31" s="247"/>
      <c r="FK31" s="247"/>
      <c r="FL31" s="247"/>
      <c r="FM31" s="247"/>
      <c r="FN31" s="247"/>
      <c r="FO31" s="247"/>
      <c r="FP31" s="247"/>
      <c r="FQ31" s="247"/>
      <c r="FR31" s="247"/>
      <c r="FS31" s="247"/>
      <c r="FT31" s="247"/>
      <c r="FU31" s="247"/>
      <c r="FV31" s="247"/>
      <c r="FW31" s="247"/>
      <c r="FX31" s="247"/>
      <c r="FY31" s="247"/>
      <c r="FZ31" s="247"/>
      <c r="GA31" s="247"/>
      <c r="GB31" s="247"/>
      <c r="GC31" s="247"/>
      <c r="GD31" s="247"/>
      <c r="GE31" s="247"/>
      <c r="GF31" s="247"/>
      <c r="GG31" s="247"/>
      <c r="GH31" s="247"/>
      <c r="GI31" s="247"/>
      <c r="GJ31" s="247"/>
      <c r="GK31" s="247"/>
      <c r="GL31" s="247"/>
      <c r="GM31" s="247"/>
      <c r="GN31" s="247"/>
      <c r="GO31" s="247"/>
      <c r="GP31" s="247"/>
      <c r="GQ31" s="247"/>
    </row>
    <row r="32" spans="1:255" s="128" customFormat="1" ht="33">
      <c r="A32" s="128" t="str">
        <f t="shared" si="37"/>
        <v/>
      </c>
      <c r="B32" s="226">
        <v>13</v>
      </c>
      <c r="C32" s="233" t="s">
        <v>181</v>
      </c>
      <c r="D32" s="234" t="s">
        <v>154</v>
      </c>
      <c r="E32" s="232">
        <v>5</v>
      </c>
      <c r="F32" s="229">
        <v>1197</v>
      </c>
      <c r="G32" s="243">
        <f ca="1">IF(SUM(J32:OFFSET(J32,,I$6-1))&gt;E32+1000,"錯誤",SUM(J32:OFFSET(J32,,I$6-1)))</f>
        <v>0</v>
      </c>
      <c r="H32" s="243">
        <f t="shared" ca="1" si="38"/>
        <v>5</v>
      </c>
      <c r="I32" s="156" t="str">
        <f t="shared" si="39"/>
        <v/>
      </c>
      <c r="J32" s="60"/>
      <c r="K32" s="244"/>
      <c r="L32" s="246"/>
      <c r="M32" s="246"/>
      <c r="N32" s="246"/>
      <c r="O32" s="246"/>
      <c r="P32" s="246"/>
      <c r="Q32" s="246"/>
      <c r="R32" s="246"/>
      <c r="S32" s="246"/>
      <c r="T32" s="246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247"/>
      <c r="BQ32" s="247"/>
      <c r="BR32" s="247"/>
      <c r="BS32" s="247"/>
      <c r="BT32" s="247"/>
      <c r="BU32" s="247"/>
      <c r="BV32" s="247"/>
      <c r="BW32" s="247"/>
      <c r="BX32" s="247"/>
      <c r="BY32" s="247"/>
      <c r="BZ32" s="247"/>
      <c r="CA32" s="247"/>
      <c r="CB32" s="247"/>
      <c r="CC32" s="247"/>
      <c r="CD32" s="247"/>
      <c r="CE32" s="247"/>
      <c r="CF32" s="247"/>
      <c r="CG32" s="247"/>
      <c r="CH32" s="247"/>
      <c r="CI32" s="247"/>
      <c r="CJ32" s="247"/>
      <c r="CK32" s="247"/>
      <c r="CL32" s="247"/>
      <c r="CM32" s="247"/>
      <c r="CN32" s="247"/>
      <c r="CO32" s="247"/>
      <c r="CP32" s="247"/>
      <c r="CQ32" s="247"/>
      <c r="CR32" s="247"/>
      <c r="CS32" s="247"/>
      <c r="CT32" s="247"/>
      <c r="CU32" s="247"/>
      <c r="CV32" s="247"/>
      <c r="CW32" s="247"/>
      <c r="CX32" s="247"/>
      <c r="CY32" s="247"/>
      <c r="CZ32" s="247"/>
      <c r="DA32" s="247"/>
      <c r="DB32" s="247"/>
      <c r="DC32" s="247"/>
      <c r="DD32" s="247"/>
      <c r="DE32" s="247"/>
      <c r="DF32" s="247"/>
      <c r="DG32" s="247"/>
      <c r="DH32" s="247"/>
      <c r="DI32" s="247"/>
      <c r="DJ32" s="247"/>
      <c r="DK32" s="247"/>
      <c r="DL32" s="247"/>
      <c r="DM32" s="247"/>
      <c r="DN32" s="247"/>
      <c r="DO32" s="247"/>
      <c r="DP32" s="247"/>
      <c r="DQ32" s="247"/>
      <c r="DR32" s="247"/>
      <c r="DS32" s="247"/>
      <c r="DT32" s="247"/>
      <c r="DU32" s="247"/>
      <c r="DV32" s="247"/>
      <c r="DW32" s="247"/>
      <c r="DX32" s="247"/>
      <c r="DY32" s="247"/>
      <c r="DZ32" s="247"/>
      <c r="EA32" s="247"/>
      <c r="EB32" s="247"/>
      <c r="EC32" s="247"/>
      <c r="ED32" s="247"/>
      <c r="EE32" s="247"/>
      <c r="EF32" s="247"/>
      <c r="EG32" s="247"/>
      <c r="EH32" s="247"/>
      <c r="EI32" s="247"/>
      <c r="EJ32" s="247"/>
      <c r="EK32" s="247"/>
      <c r="EL32" s="247"/>
      <c r="EM32" s="247"/>
      <c r="EN32" s="247"/>
      <c r="EO32" s="247"/>
      <c r="EP32" s="247"/>
      <c r="EQ32" s="247"/>
      <c r="ER32" s="247"/>
      <c r="ES32" s="247"/>
      <c r="ET32" s="247"/>
      <c r="EU32" s="247"/>
      <c r="EV32" s="247"/>
      <c r="EW32" s="247"/>
      <c r="EX32" s="247"/>
      <c r="EY32" s="247"/>
      <c r="EZ32" s="247"/>
      <c r="FA32" s="247"/>
      <c r="FB32" s="247"/>
      <c r="FC32" s="247"/>
      <c r="FD32" s="247"/>
      <c r="FE32" s="247"/>
      <c r="FF32" s="247"/>
      <c r="FG32" s="247"/>
      <c r="FH32" s="247"/>
      <c r="FI32" s="247"/>
      <c r="FJ32" s="247"/>
      <c r="FK32" s="247"/>
      <c r="FL32" s="247"/>
      <c r="FM32" s="247"/>
      <c r="FN32" s="247"/>
      <c r="FO32" s="247"/>
      <c r="FP32" s="247"/>
      <c r="FQ32" s="247"/>
      <c r="FR32" s="247"/>
      <c r="FS32" s="247"/>
      <c r="FT32" s="247"/>
      <c r="FU32" s="247"/>
      <c r="FV32" s="247"/>
      <c r="FW32" s="247"/>
      <c r="FX32" s="247"/>
      <c r="FY32" s="247"/>
      <c r="FZ32" s="247"/>
      <c r="GA32" s="247"/>
      <c r="GB32" s="247"/>
      <c r="GC32" s="247"/>
      <c r="GD32" s="247"/>
      <c r="GE32" s="247"/>
      <c r="GF32" s="247"/>
      <c r="GG32" s="247"/>
      <c r="GH32" s="247"/>
      <c r="GI32" s="247"/>
      <c r="GJ32" s="247"/>
      <c r="GK32" s="247"/>
      <c r="GL32" s="247"/>
      <c r="GM32" s="247"/>
      <c r="GN32" s="247"/>
      <c r="GO32" s="247"/>
      <c r="GP32" s="247"/>
      <c r="GQ32" s="247"/>
    </row>
    <row r="33" spans="1:199" s="128" customFormat="1" ht="33">
      <c r="A33" s="128" t="str">
        <f t="shared" si="37"/>
        <v/>
      </c>
      <c r="B33" s="226">
        <v>14</v>
      </c>
      <c r="C33" s="233" t="s">
        <v>182</v>
      </c>
      <c r="D33" s="234" t="s">
        <v>120</v>
      </c>
      <c r="E33" s="232">
        <v>364</v>
      </c>
      <c r="F33" s="229">
        <v>1197</v>
      </c>
      <c r="G33" s="243">
        <f ca="1">IF(SUM(J33:OFFSET(J33,,I$6-1))&gt;E33+1000,"錯誤",SUM(J33:OFFSET(J33,,I$6-1)))</f>
        <v>0</v>
      </c>
      <c r="H33" s="243">
        <f t="shared" ca="1" si="38"/>
        <v>364</v>
      </c>
      <c r="I33" s="156" t="str">
        <f t="shared" si="39"/>
        <v/>
      </c>
      <c r="J33" s="244"/>
      <c r="K33" s="245"/>
      <c r="L33" s="245"/>
      <c r="M33" s="60"/>
      <c r="N33" s="246"/>
      <c r="O33" s="60"/>
      <c r="P33" s="246"/>
      <c r="Q33" s="246"/>
      <c r="R33" s="246"/>
      <c r="S33" s="246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247"/>
      <c r="BQ33" s="247"/>
      <c r="BR33" s="247"/>
      <c r="BS33" s="247"/>
      <c r="BT33" s="247"/>
      <c r="BU33" s="247"/>
      <c r="BV33" s="247"/>
      <c r="BW33" s="247"/>
      <c r="BX33" s="247"/>
      <c r="BY33" s="247"/>
      <c r="BZ33" s="247"/>
      <c r="CA33" s="247"/>
      <c r="CB33" s="247"/>
      <c r="CC33" s="247"/>
      <c r="CD33" s="247"/>
      <c r="CE33" s="247"/>
      <c r="CF33" s="247"/>
      <c r="CG33" s="247"/>
      <c r="CH33" s="247"/>
      <c r="CI33" s="247"/>
      <c r="CJ33" s="247"/>
      <c r="CK33" s="247"/>
      <c r="CL33" s="247"/>
      <c r="CM33" s="247"/>
      <c r="CN33" s="247"/>
      <c r="CO33" s="247"/>
      <c r="CP33" s="247"/>
      <c r="CQ33" s="247"/>
      <c r="CR33" s="247"/>
      <c r="CS33" s="247"/>
      <c r="CT33" s="247"/>
      <c r="CU33" s="247"/>
      <c r="CV33" s="247"/>
      <c r="CW33" s="247"/>
      <c r="CX33" s="247"/>
      <c r="CY33" s="247"/>
      <c r="CZ33" s="247"/>
      <c r="DA33" s="247"/>
      <c r="DB33" s="247"/>
      <c r="DC33" s="247"/>
      <c r="DD33" s="247"/>
      <c r="DE33" s="247"/>
      <c r="DF33" s="247"/>
      <c r="DG33" s="247"/>
      <c r="DH33" s="247"/>
      <c r="DI33" s="247"/>
      <c r="DJ33" s="247"/>
      <c r="DK33" s="247"/>
      <c r="DL33" s="247"/>
      <c r="DM33" s="247"/>
      <c r="DN33" s="247"/>
      <c r="DO33" s="247"/>
      <c r="DP33" s="247"/>
      <c r="DQ33" s="247"/>
      <c r="DR33" s="247"/>
      <c r="DS33" s="247"/>
      <c r="DT33" s="247"/>
      <c r="DU33" s="247"/>
      <c r="DV33" s="247"/>
      <c r="DW33" s="247"/>
      <c r="DX33" s="247"/>
      <c r="DY33" s="247"/>
      <c r="DZ33" s="247"/>
      <c r="EA33" s="247"/>
      <c r="EB33" s="247"/>
      <c r="EC33" s="247"/>
      <c r="ED33" s="247"/>
      <c r="EE33" s="247"/>
      <c r="EF33" s="247"/>
      <c r="EG33" s="247"/>
      <c r="EH33" s="247"/>
      <c r="EI33" s="247"/>
      <c r="EJ33" s="247"/>
      <c r="EK33" s="247"/>
      <c r="EL33" s="247"/>
      <c r="EM33" s="247"/>
      <c r="EN33" s="247"/>
      <c r="EO33" s="247"/>
      <c r="EP33" s="247"/>
      <c r="EQ33" s="247"/>
      <c r="ER33" s="247"/>
      <c r="ES33" s="247"/>
      <c r="ET33" s="247"/>
      <c r="EU33" s="247"/>
      <c r="EV33" s="247"/>
      <c r="EW33" s="247"/>
      <c r="EX33" s="247"/>
      <c r="EY33" s="247"/>
      <c r="EZ33" s="247"/>
      <c r="FA33" s="247"/>
      <c r="FB33" s="247"/>
      <c r="FC33" s="247"/>
      <c r="FD33" s="247"/>
      <c r="FE33" s="247"/>
      <c r="FF33" s="247"/>
      <c r="FG33" s="247"/>
      <c r="FH33" s="247"/>
      <c r="FI33" s="247"/>
      <c r="FJ33" s="247"/>
      <c r="FK33" s="247"/>
      <c r="FL33" s="247"/>
      <c r="FM33" s="247"/>
      <c r="FN33" s="247"/>
      <c r="FO33" s="247"/>
      <c r="FP33" s="247"/>
      <c r="FQ33" s="247"/>
      <c r="FR33" s="247"/>
      <c r="FS33" s="247"/>
      <c r="FT33" s="247"/>
      <c r="FU33" s="247"/>
      <c r="FV33" s="247"/>
      <c r="FW33" s="247"/>
      <c r="FX33" s="247"/>
      <c r="FY33" s="247"/>
      <c r="FZ33" s="247"/>
      <c r="GA33" s="247"/>
      <c r="GB33" s="247"/>
      <c r="GC33" s="247"/>
      <c r="GD33" s="247"/>
      <c r="GE33" s="247"/>
      <c r="GF33" s="247"/>
      <c r="GG33" s="247"/>
      <c r="GH33" s="247"/>
      <c r="GI33" s="247"/>
      <c r="GJ33" s="247"/>
      <c r="GK33" s="247"/>
      <c r="GL33" s="247"/>
      <c r="GM33" s="247"/>
      <c r="GN33" s="247"/>
      <c r="GO33" s="247"/>
      <c r="GP33" s="247"/>
      <c r="GQ33" s="247"/>
    </row>
    <row r="34" spans="1:199" s="128" customFormat="1">
      <c r="A34" s="128" t="str">
        <f t="shared" si="37"/>
        <v/>
      </c>
      <c r="B34" s="226">
        <v>15</v>
      </c>
      <c r="C34" s="233" t="s">
        <v>183</v>
      </c>
      <c r="D34" s="234" t="s">
        <v>153</v>
      </c>
      <c r="E34" s="232">
        <v>138</v>
      </c>
      <c r="F34" s="229">
        <v>399</v>
      </c>
      <c r="G34" s="243">
        <f ca="1">IF(SUM(J34:OFFSET(J34,,I$6-1))&gt;E34+1000,"錯誤",SUM(J34:OFFSET(J34,,I$6-1)))</f>
        <v>0</v>
      </c>
      <c r="H34" s="243">
        <f t="shared" ca="1" si="38"/>
        <v>138</v>
      </c>
      <c r="I34" s="156" t="str">
        <f t="shared" si="39"/>
        <v/>
      </c>
      <c r="J34" s="244"/>
      <c r="K34" s="245"/>
      <c r="L34" s="245"/>
      <c r="M34" s="60"/>
      <c r="N34" s="246"/>
      <c r="O34" s="60"/>
      <c r="P34" s="246"/>
      <c r="Q34" s="246"/>
      <c r="R34" s="246"/>
      <c r="S34" s="246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247"/>
      <c r="BQ34" s="247"/>
      <c r="BR34" s="247"/>
      <c r="BS34" s="247"/>
      <c r="BT34" s="247"/>
      <c r="BU34" s="247"/>
      <c r="BV34" s="247"/>
      <c r="BW34" s="247"/>
      <c r="BX34" s="247"/>
      <c r="BY34" s="247"/>
      <c r="BZ34" s="247"/>
      <c r="CA34" s="247"/>
      <c r="CB34" s="247"/>
      <c r="CC34" s="247"/>
      <c r="CD34" s="247"/>
      <c r="CE34" s="247"/>
      <c r="CF34" s="247"/>
      <c r="CG34" s="247"/>
      <c r="CH34" s="247"/>
      <c r="CI34" s="247"/>
      <c r="CJ34" s="247"/>
      <c r="CK34" s="247"/>
      <c r="CL34" s="247"/>
      <c r="CM34" s="247"/>
      <c r="CN34" s="247"/>
      <c r="CO34" s="247"/>
      <c r="CP34" s="247"/>
      <c r="CQ34" s="247"/>
      <c r="CR34" s="247"/>
      <c r="CS34" s="247"/>
      <c r="CT34" s="247"/>
      <c r="CU34" s="247"/>
      <c r="CV34" s="247"/>
      <c r="CW34" s="247"/>
      <c r="CX34" s="247"/>
      <c r="CY34" s="247"/>
      <c r="CZ34" s="247"/>
      <c r="DA34" s="247"/>
      <c r="DB34" s="247"/>
      <c r="DC34" s="247"/>
      <c r="DD34" s="247"/>
      <c r="DE34" s="247"/>
      <c r="DF34" s="247"/>
      <c r="DG34" s="247"/>
      <c r="DH34" s="247"/>
      <c r="DI34" s="247"/>
      <c r="DJ34" s="247"/>
      <c r="DK34" s="247"/>
      <c r="DL34" s="247"/>
      <c r="DM34" s="247"/>
      <c r="DN34" s="247"/>
      <c r="DO34" s="247"/>
      <c r="DP34" s="247"/>
      <c r="DQ34" s="247"/>
      <c r="DR34" s="247"/>
      <c r="DS34" s="247"/>
      <c r="DT34" s="247"/>
      <c r="DU34" s="247"/>
      <c r="DV34" s="247"/>
      <c r="DW34" s="247"/>
      <c r="DX34" s="247"/>
      <c r="DY34" s="247"/>
      <c r="DZ34" s="247"/>
      <c r="EA34" s="247"/>
      <c r="EB34" s="247"/>
      <c r="EC34" s="247"/>
      <c r="ED34" s="247"/>
      <c r="EE34" s="247"/>
      <c r="EF34" s="247"/>
      <c r="EG34" s="247"/>
      <c r="EH34" s="247"/>
      <c r="EI34" s="247"/>
      <c r="EJ34" s="247"/>
      <c r="EK34" s="247"/>
      <c r="EL34" s="247"/>
      <c r="EM34" s="247"/>
      <c r="EN34" s="247"/>
      <c r="EO34" s="247"/>
      <c r="EP34" s="247"/>
      <c r="EQ34" s="247"/>
      <c r="ER34" s="247"/>
      <c r="ES34" s="247"/>
      <c r="ET34" s="247"/>
      <c r="EU34" s="247"/>
      <c r="EV34" s="247"/>
      <c r="EW34" s="247"/>
      <c r="EX34" s="247"/>
      <c r="EY34" s="247"/>
      <c r="EZ34" s="247"/>
      <c r="FA34" s="247"/>
      <c r="FB34" s="247"/>
      <c r="FC34" s="247"/>
      <c r="FD34" s="247"/>
      <c r="FE34" s="247"/>
      <c r="FF34" s="247"/>
      <c r="FG34" s="247"/>
      <c r="FH34" s="247"/>
      <c r="FI34" s="247"/>
      <c r="FJ34" s="247"/>
      <c r="FK34" s="247"/>
      <c r="FL34" s="247"/>
      <c r="FM34" s="247"/>
      <c r="FN34" s="247"/>
      <c r="FO34" s="247"/>
      <c r="FP34" s="247"/>
      <c r="FQ34" s="247"/>
      <c r="FR34" s="247"/>
      <c r="FS34" s="247"/>
      <c r="FT34" s="247"/>
      <c r="FU34" s="247"/>
      <c r="FV34" s="247"/>
      <c r="FW34" s="247"/>
      <c r="FX34" s="247"/>
      <c r="FY34" s="247"/>
      <c r="FZ34" s="247"/>
      <c r="GA34" s="247"/>
      <c r="GB34" s="247"/>
      <c r="GC34" s="247"/>
      <c r="GD34" s="247"/>
      <c r="GE34" s="247"/>
      <c r="GF34" s="247"/>
      <c r="GG34" s="247"/>
      <c r="GH34" s="247"/>
      <c r="GI34" s="247"/>
      <c r="GJ34" s="247"/>
      <c r="GK34" s="247"/>
      <c r="GL34" s="247"/>
      <c r="GM34" s="247"/>
      <c r="GN34" s="247"/>
      <c r="GO34" s="247"/>
      <c r="GP34" s="247"/>
      <c r="GQ34" s="247"/>
    </row>
    <row r="35" spans="1:199" s="128" customFormat="1">
      <c r="A35" s="128" t="str">
        <f t="shared" si="37"/>
        <v/>
      </c>
      <c r="B35" s="226">
        <v>16</v>
      </c>
      <c r="C35" s="233" t="s">
        <v>184</v>
      </c>
      <c r="D35" s="234" t="s">
        <v>154</v>
      </c>
      <c r="E35" s="232">
        <v>2</v>
      </c>
      <c r="F35" s="229">
        <v>698</v>
      </c>
      <c r="G35" s="243">
        <f ca="1">IF(SUM(J35:OFFSET(J35,,I$6-1))&gt;E35+1000,"錯誤",SUM(J35:OFFSET(J35,,I$6-1)))</f>
        <v>0</v>
      </c>
      <c r="H35" s="243">
        <f t="shared" ca="1" si="38"/>
        <v>2</v>
      </c>
      <c r="I35" s="156" t="str">
        <f t="shared" si="39"/>
        <v/>
      </c>
      <c r="J35" s="244"/>
      <c r="K35" s="245"/>
      <c r="L35" s="245"/>
      <c r="M35" s="60"/>
      <c r="N35" s="246"/>
      <c r="O35" s="60"/>
      <c r="P35" s="246"/>
      <c r="Q35" s="246"/>
      <c r="R35" s="246"/>
      <c r="S35" s="246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247"/>
      <c r="BQ35" s="247"/>
      <c r="BR35" s="247"/>
      <c r="BS35" s="247"/>
      <c r="BT35" s="247"/>
      <c r="BU35" s="247"/>
      <c r="BV35" s="247"/>
      <c r="BW35" s="247"/>
      <c r="BX35" s="247"/>
      <c r="BY35" s="247"/>
      <c r="BZ35" s="247"/>
      <c r="CA35" s="247"/>
      <c r="CB35" s="247"/>
      <c r="CC35" s="247"/>
      <c r="CD35" s="247"/>
      <c r="CE35" s="247"/>
      <c r="CF35" s="247"/>
      <c r="CG35" s="247"/>
      <c r="CH35" s="247"/>
      <c r="CI35" s="247"/>
      <c r="CJ35" s="247"/>
      <c r="CK35" s="247"/>
      <c r="CL35" s="247"/>
      <c r="CM35" s="247"/>
      <c r="CN35" s="247"/>
      <c r="CO35" s="247"/>
      <c r="CP35" s="247"/>
      <c r="CQ35" s="247"/>
      <c r="CR35" s="247"/>
      <c r="CS35" s="247"/>
      <c r="CT35" s="247"/>
      <c r="CU35" s="247"/>
      <c r="CV35" s="247"/>
      <c r="CW35" s="247"/>
      <c r="CX35" s="247"/>
      <c r="CY35" s="247"/>
      <c r="CZ35" s="247"/>
      <c r="DA35" s="247"/>
      <c r="DB35" s="247"/>
      <c r="DC35" s="247"/>
      <c r="DD35" s="247"/>
      <c r="DE35" s="247"/>
      <c r="DF35" s="247"/>
      <c r="DG35" s="247"/>
      <c r="DH35" s="247"/>
      <c r="DI35" s="247"/>
      <c r="DJ35" s="247"/>
      <c r="DK35" s="247"/>
      <c r="DL35" s="247"/>
      <c r="DM35" s="247"/>
      <c r="DN35" s="247"/>
      <c r="DO35" s="247"/>
      <c r="DP35" s="247"/>
      <c r="DQ35" s="247"/>
      <c r="DR35" s="247"/>
      <c r="DS35" s="247"/>
      <c r="DT35" s="247"/>
      <c r="DU35" s="247"/>
      <c r="DV35" s="247"/>
      <c r="DW35" s="247"/>
      <c r="DX35" s="247"/>
      <c r="DY35" s="247"/>
      <c r="DZ35" s="247"/>
      <c r="EA35" s="247"/>
      <c r="EB35" s="247"/>
      <c r="EC35" s="247"/>
      <c r="ED35" s="247"/>
      <c r="EE35" s="247"/>
      <c r="EF35" s="247"/>
      <c r="EG35" s="247"/>
      <c r="EH35" s="247"/>
      <c r="EI35" s="247"/>
      <c r="EJ35" s="247"/>
      <c r="EK35" s="247"/>
      <c r="EL35" s="247"/>
      <c r="EM35" s="247"/>
      <c r="EN35" s="247"/>
      <c r="EO35" s="247"/>
      <c r="EP35" s="247"/>
      <c r="EQ35" s="247"/>
      <c r="ER35" s="247"/>
      <c r="ES35" s="247"/>
      <c r="ET35" s="247"/>
      <c r="EU35" s="247"/>
      <c r="EV35" s="247"/>
      <c r="EW35" s="247"/>
      <c r="EX35" s="247"/>
      <c r="EY35" s="247"/>
      <c r="EZ35" s="247"/>
      <c r="FA35" s="247"/>
      <c r="FB35" s="247"/>
      <c r="FC35" s="247"/>
      <c r="FD35" s="247"/>
      <c r="FE35" s="247"/>
      <c r="FF35" s="247"/>
      <c r="FG35" s="247"/>
      <c r="FH35" s="247"/>
      <c r="FI35" s="247"/>
      <c r="FJ35" s="247"/>
      <c r="FK35" s="247"/>
      <c r="FL35" s="247"/>
      <c r="FM35" s="247"/>
      <c r="FN35" s="247"/>
      <c r="FO35" s="247"/>
      <c r="FP35" s="247"/>
      <c r="FQ35" s="247"/>
      <c r="FR35" s="247"/>
      <c r="FS35" s="247"/>
      <c r="FT35" s="247"/>
      <c r="FU35" s="247"/>
      <c r="FV35" s="247"/>
      <c r="FW35" s="247"/>
      <c r="FX35" s="247"/>
      <c r="FY35" s="247"/>
      <c r="FZ35" s="247"/>
      <c r="GA35" s="247"/>
      <c r="GB35" s="247"/>
      <c r="GC35" s="247"/>
      <c r="GD35" s="247"/>
      <c r="GE35" s="247"/>
      <c r="GF35" s="247"/>
      <c r="GG35" s="247"/>
      <c r="GH35" s="247"/>
      <c r="GI35" s="247"/>
      <c r="GJ35" s="247"/>
      <c r="GK35" s="247"/>
      <c r="GL35" s="247"/>
      <c r="GM35" s="247"/>
      <c r="GN35" s="247"/>
      <c r="GO35" s="247"/>
      <c r="GP35" s="247"/>
      <c r="GQ35" s="247"/>
    </row>
    <row r="36" spans="1:199" s="128" customFormat="1" ht="33">
      <c r="A36" s="128" t="str">
        <f t="shared" si="37"/>
        <v/>
      </c>
      <c r="B36" s="226">
        <v>17</v>
      </c>
      <c r="C36" s="233" t="s">
        <v>185</v>
      </c>
      <c r="D36" s="234" t="s">
        <v>120</v>
      </c>
      <c r="E36" s="232">
        <v>331</v>
      </c>
      <c r="F36" s="229">
        <v>150</v>
      </c>
      <c r="G36" s="243">
        <f ca="1">IF(SUM(J36:OFFSET(J36,,I$6-1))&gt;E36+1000,"錯誤",SUM(J36:OFFSET(J36,,I$6-1)))</f>
        <v>0</v>
      </c>
      <c r="H36" s="243">
        <f t="shared" ca="1" si="38"/>
        <v>331</v>
      </c>
      <c r="I36" s="156" t="str">
        <f t="shared" si="39"/>
        <v/>
      </c>
      <c r="J36" s="244"/>
      <c r="K36" s="245"/>
      <c r="L36" s="245"/>
      <c r="M36" s="60"/>
      <c r="N36" s="246"/>
      <c r="O36" s="60"/>
      <c r="P36" s="246"/>
      <c r="Q36" s="246"/>
      <c r="R36" s="246"/>
      <c r="S36" s="246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247"/>
      <c r="BQ36" s="247"/>
      <c r="BR36" s="247"/>
      <c r="BS36" s="247"/>
      <c r="BT36" s="247"/>
      <c r="BU36" s="247"/>
      <c r="BV36" s="247"/>
      <c r="BW36" s="247"/>
      <c r="BX36" s="247"/>
      <c r="BY36" s="247"/>
      <c r="BZ36" s="247"/>
      <c r="CA36" s="247"/>
      <c r="CB36" s="247"/>
      <c r="CC36" s="247"/>
      <c r="CD36" s="247"/>
      <c r="CE36" s="247"/>
      <c r="CF36" s="247"/>
      <c r="CG36" s="247"/>
      <c r="CH36" s="247"/>
      <c r="CI36" s="247"/>
      <c r="CJ36" s="247"/>
      <c r="CK36" s="247"/>
      <c r="CL36" s="247"/>
      <c r="CM36" s="247"/>
      <c r="CN36" s="247"/>
      <c r="CO36" s="247"/>
      <c r="CP36" s="247"/>
      <c r="CQ36" s="247"/>
      <c r="CR36" s="247"/>
      <c r="CS36" s="247"/>
      <c r="CT36" s="247"/>
      <c r="CU36" s="247"/>
      <c r="CV36" s="247"/>
      <c r="CW36" s="247"/>
      <c r="CX36" s="247"/>
      <c r="CY36" s="247"/>
      <c r="CZ36" s="247"/>
      <c r="DA36" s="247"/>
      <c r="DB36" s="247"/>
      <c r="DC36" s="247"/>
      <c r="DD36" s="247"/>
      <c r="DE36" s="247"/>
      <c r="DF36" s="247"/>
      <c r="DG36" s="247"/>
      <c r="DH36" s="247"/>
      <c r="DI36" s="247"/>
      <c r="DJ36" s="247"/>
      <c r="DK36" s="247"/>
      <c r="DL36" s="247"/>
      <c r="DM36" s="247"/>
      <c r="DN36" s="247"/>
      <c r="DO36" s="247"/>
      <c r="DP36" s="247"/>
      <c r="DQ36" s="247"/>
      <c r="DR36" s="247"/>
      <c r="DS36" s="247"/>
      <c r="DT36" s="247"/>
      <c r="DU36" s="247"/>
      <c r="DV36" s="247"/>
      <c r="DW36" s="247"/>
      <c r="DX36" s="247"/>
      <c r="DY36" s="247"/>
      <c r="DZ36" s="247"/>
      <c r="EA36" s="247"/>
      <c r="EB36" s="247"/>
      <c r="EC36" s="247"/>
      <c r="ED36" s="247"/>
      <c r="EE36" s="247"/>
      <c r="EF36" s="247"/>
      <c r="EG36" s="247"/>
      <c r="EH36" s="247"/>
      <c r="EI36" s="247"/>
      <c r="EJ36" s="247"/>
      <c r="EK36" s="247"/>
      <c r="EL36" s="247"/>
      <c r="EM36" s="247"/>
      <c r="EN36" s="247"/>
      <c r="EO36" s="247"/>
      <c r="EP36" s="247"/>
      <c r="EQ36" s="247"/>
      <c r="ER36" s="247"/>
      <c r="ES36" s="247"/>
      <c r="ET36" s="247"/>
      <c r="EU36" s="247"/>
      <c r="EV36" s="247"/>
      <c r="EW36" s="247"/>
      <c r="EX36" s="247"/>
      <c r="EY36" s="247"/>
      <c r="EZ36" s="247"/>
      <c r="FA36" s="247"/>
      <c r="FB36" s="247"/>
      <c r="FC36" s="247"/>
      <c r="FD36" s="247"/>
      <c r="FE36" s="247"/>
      <c r="FF36" s="247"/>
      <c r="FG36" s="247"/>
      <c r="FH36" s="247"/>
      <c r="FI36" s="247"/>
      <c r="FJ36" s="247"/>
      <c r="FK36" s="247"/>
      <c r="FL36" s="247"/>
      <c r="FM36" s="247"/>
      <c r="FN36" s="247"/>
      <c r="FO36" s="247"/>
      <c r="FP36" s="247"/>
      <c r="FQ36" s="247"/>
      <c r="FR36" s="247"/>
      <c r="FS36" s="247"/>
      <c r="FT36" s="247"/>
      <c r="FU36" s="247"/>
      <c r="FV36" s="247"/>
      <c r="FW36" s="247"/>
      <c r="FX36" s="247"/>
      <c r="FY36" s="247"/>
      <c r="FZ36" s="247"/>
      <c r="GA36" s="247"/>
      <c r="GB36" s="247"/>
      <c r="GC36" s="247"/>
      <c r="GD36" s="247"/>
      <c r="GE36" s="247"/>
      <c r="GF36" s="247"/>
      <c r="GG36" s="247"/>
      <c r="GH36" s="247"/>
      <c r="GI36" s="247"/>
      <c r="GJ36" s="247"/>
      <c r="GK36" s="247"/>
      <c r="GL36" s="247"/>
      <c r="GM36" s="247"/>
      <c r="GN36" s="247"/>
      <c r="GO36" s="247"/>
      <c r="GP36" s="247"/>
      <c r="GQ36" s="247"/>
    </row>
    <row r="37" spans="1:199" s="128" customFormat="1" ht="33">
      <c r="A37" s="128" t="str">
        <f t="shared" si="37"/>
        <v/>
      </c>
      <c r="B37" s="226">
        <v>18</v>
      </c>
      <c r="C37" s="233" t="s">
        <v>186</v>
      </c>
      <c r="D37" s="234" t="s">
        <v>120</v>
      </c>
      <c r="E37" s="232">
        <v>129</v>
      </c>
      <c r="F37" s="229">
        <v>2993</v>
      </c>
      <c r="G37" s="243">
        <f ca="1">IF(SUM(J37:OFFSET(J37,,I$6-1))&gt;E37+1000,"錯誤",SUM(J37:OFFSET(J37,,I$6-1)))</f>
        <v>0</v>
      </c>
      <c r="H37" s="243">
        <f t="shared" ca="1" si="38"/>
        <v>129</v>
      </c>
      <c r="I37" s="156" t="str">
        <f t="shared" si="39"/>
        <v/>
      </c>
      <c r="J37" s="244"/>
      <c r="K37" s="245"/>
      <c r="L37" s="245"/>
      <c r="M37" s="60"/>
      <c r="N37" s="246"/>
      <c r="O37" s="60"/>
      <c r="P37" s="246"/>
      <c r="Q37" s="246"/>
      <c r="R37" s="246"/>
      <c r="S37" s="246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247"/>
      <c r="BQ37" s="247"/>
      <c r="BR37" s="247"/>
      <c r="BS37" s="247"/>
      <c r="BT37" s="247"/>
      <c r="BU37" s="247"/>
      <c r="BV37" s="247"/>
      <c r="BW37" s="247"/>
      <c r="BX37" s="247"/>
      <c r="BY37" s="247"/>
      <c r="BZ37" s="247"/>
      <c r="CA37" s="247"/>
      <c r="CB37" s="247"/>
      <c r="CC37" s="247"/>
      <c r="CD37" s="247"/>
      <c r="CE37" s="247"/>
      <c r="CF37" s="247"/>
      <c r="CG37" s="247"/>
      <c r="CH37" s="247"/>
      <c r="CI37" s="247"/>
      <c r="CJ37" s="247"/>
      <c r="CK37" s="247"/>
      <c r="CL37" s="247"/>
      <c r="CM37" s="247"/>
      <c r="CN37" s="247"/>
      <c r="CO37" s="247"/>
      <c r="CP37" s="247"/>
      <c r="CQ37" s="247"/>
      <c r="CR37" s="247"/>
      <c r="CS37" s="247"/>
      <c r="CT37" s="247"/>
      <c r="CU37" s="247"/>
      <c r="CV37" s="247"/>
      <c r="CW37" s="247"/>
      <c r="CX37" s="247"/>
      <c r="CY37" s="247"/>
      <c r="CZ37" s="247"/>
      <c r="DA37" s="247"/>
      <c r="DB37" s="247"/>
      <c r="DC37" s="247"/>
      <c r="DD37" s="247"/>
      <c r="DE37" s="247"/>
      <c r="DF37" s="247"/>
      <c r="DG37" s="247"/>
      <c r="DH37" s="247"/>
      <c r="DI37" s="247"/>
      <c r="DJ37" s="247"/>
      <c r="DK37" s="247"/>
      <c r="DL37" s="247"/>
      <c r="DM37" s="247"/>
      <c r="DN37" s="247"/>
      <c r="DO37" s="247"/>
      <c r="DP37" s="247"/>
      <c r="DQ37" s="247"/>
      <c r="DR37" s="247"/>
      <c r="DS37" s="247"/>
      <c r="DT37" s="247"/>
      <c r="DU37" s="247"/>
      <c r="DV37" s="247"/>
      <c r="DW37" s="247"/>
      <c r="DX37" s="247"/>
      <c r="DY37" s="247"/>
      <c r="DZ37" s="247"/>
      <c r="EA37" s="247"/>
      <c r="EB37" s="247"/>
      <c r="EC37" s="247"/>
      <c r="ED37" s="247"/>
      <c r="EE37" s="247"/>
      <c r="EF37" s="247"/>
      <c r="EG37" s="247"/>
      <c r="EH37" s="247"/>
      <c r="EI37" s="247"/>
      <c r="EJ37" s="247"/>
      <c r="EK37" s="247"/>
      <c r="EL37" s="247"/>
      <c r="EM37" s="247"/>
      <c r="EN37" s="247"/>
      <c r="EO37" s="247"/>
      <c r="EP37" s="247"/>
      <c r="EQ37" s="247"/>
      <c r="ER37" s="247"/>
      <c r="ES37" s="247"/>
      <c r="ET37" s="247"/>
      <c r="EU37" s="247"/>
      <c r="EV37" s="247"/>
      <c r="EW37" s="247"/>
      <c r="EX37" s="247"/>
      <c r="EY37" s="247"/>
      <c r="EZ37" s="247"/>
      <c r="FA37" s="247"/>
      <c r="FB37" s="247"/>
      <c r="FC37" s="247"/>
      <c r="FD37" s="247"/>
      <c r="FE37" s="247"/>
      <c r="FF37" s="247"/>
      <c r="FG37" s="247"/>
      <c r="FH37" s="247"/>
      <c r="FI37" s="247"/>
      <c r="FJ37" s="247"/>
      <c r="FK37" s="247"/>
      <c r="FL37" s="247"/>
      <c r="FM37" s="247"/>
      <c r="FN37" s="247"/>
      <c r="FO37" s="247"/>
      <c r="FP37" s="247"/>
      <c r="FQ37" s="247"/>
      <c r="FR37" s="247"/>
      <c r="FS37" s="247"/>
      <c r="FT37" s="247"/>
      <c r="FU37" s="247"/>
      <c r="FV37" s="247"/>
      <c r="FW37" s="247"/>
      <c r="FX37" s="247"/>
      <c r="FY37" s="247"/>
      <c r="FZ37" s="247"/>
      <c r="GA37" s="247"/>
      <c r="GB37" s="247"/>
      <c r="GC37" s="247"/>
      <c r="GD37" s="247"/>
      <c r="GE37" s="247"/>
      <c r="GF37" s="247"/>
      <c r="GG37" s="247"/>
      <c r="GH37" s="247"/>
      <c r="GI37" s="247"/>
      <c r="GJ37" s="247"/>
      <c r="GK37" s="247"/>
      <c r="GL37" s="247"/>
      <c r="GM37" s="247"/>
      <c r="GN37" s="247"/>
      <c r="GO37" s="247"/>
      <c r="GP37" s="247"/>
      <c r="GQ37" s="247"/>
    </row>
    <row r="38" spans="1:199" s="128" customFormat="1">
      <c r="A38" s="128" t="str">
        <f t="shared" si="37"/>
        <v/>
      </c>
      <c r="B38" s="226">
        <v>19</v>
      </c>
      <c r="C38" s="236" t="s">
        <v>187</v>
      </c>
      <c r="D38" s="235" t="s">
        <v>188</v>
      </c>
      <c r="E38" s="232">
        <v>4</v>
      </c>
      <c r="F38" s="229">
        <v>1846</v>
      </c>
      <c r="G38" s="243">
        <f ca="1">IF(SUM(J38:OFFSET(J38,,I$6-1))&gt;E38+1000,"錯誤",SUM(J38:OFFSET(J38,,I$6-1)))</f>
        <v>0</v>
      </c>
      <c r="H38" s="243">
        <f t="shared" ca="1" si="38"/>
        <v>4</v>
      </c>
      <c r="I38" s="156" t="str">
        <f t="shared" si="39"/>
        <v/>
      </c>
      <c r="J38" s="244"/>
      <c r="K38" s="245"/>
      <c r="L38" s="245"/>
      <c r="M38" s="60"/>
      <c r="N38" s="246"/>
      <c r="O38" s="60"/>
      <c r="P38" s="246"/>
      <c r="Q38" s="246"/>
      <c r="R38" s="246"/>
      <c r="S38" s="246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247"/>
      <c r="BQ38" s="247"/>
      <c r="BR38" s="247"/>
      <c r="BS38" s="247"/>
      <c r="BT38" s="247"/>
      <c r="BU38" s="247"/>
      <c r="BV38" s="247"/>
      <c r="BW38" s="247"/>
      <c r="BX38" s="247"/>
      <c r="BY38" s="247"/>
      <c r="BZ38" s="247"/>
      <c r="CA38" s="247"/>
      <c r="CB38" s="247"/>
      <c r="CC38" s="247"/>
      <c r="CD38" s="247"/>
      <c r="CE38" s="247"/>
      <c r="CF38" s="247"/>
      <c r="CG38" s="247"/>
      <c r="CH38" s="247"/>
      <c r="CI38" s="247"/>
      <c r="CJ38" s="247"/>
      <c r="CK38" s="247"/>
      <c r="CL38" s="247"/>
      <c r="CM38" s="247"/>
      <c r="CN38" s="247"/>
      <c r="CO38" s="247"/>
      <c r="CP38" s="247"/>
      <c r="CQ38" s="247"/>
      <c r="CR38" s="247"/>
      <c r="CS38" s="247"/>
      <c r="CT38" s="247"/>
      <c r="CU38" s="247"/>
      <c r="CV38" s="247"/>
      <c r="CW38" s="247"/>
      <c r="CX38" s="247"/>
      <c r="CY38" s="247"/>
      <c r="CZ38" s="247"/>
      <c r="DA38" s="247"/>
      <c r="DB38" s="247"/>
      <c r="DC38" s="247"/>
      <c r="DD38" s="247"/>
      <c r="DE38" s="247"/>
      <c r="DF38" s="247"/>
      <c r="DG38" s="247"/>
      <c r="DH38" s="247"/>
      <c r="DI38" s="247"/>
      <c r="DJ38" s="247"/>
      <c r="DK38" s="247"/>
      <c r="DL38" s="247"/>
      <c r="DM38" s="247"/>
      <c r="DN38" s="247"/>
      <c r="DO38" s="247"/>
      <c r="DP38" s="247"/>
      <c r="DQ38" s="247"/>
      <c r="DR38" s="247"/>
      <c r="DS38" s="247"/>
      <c r="DT38" s="247"/>
      <c r="DU38" s="247"/>
      <c r="DV38" s="247"/>
      <c r="DW38" s="247"/>
      <c r="DX38" s="247"/>
      <c r="DY38" s="247"/>
      <c r="DZ38" s="247"/>
      <c r="EA38" s="247"/>
      <c r="EB38" s="247"/>
      <c r="EC38" s="247"/>
      <c r="ED38" s="247"/>
      <c r="EE38" s="247"/>
      <c r="EF38" s="247"/>
      <c r="EG38" s="247"/>
      <c r="EH38" s="247"/>
      <c r="EI38" s="247"/>
      <c r="EJ38" s="247"/>
      <c r="EK38" s="247"/>
      <c r="EL38" s="247"/>
      <c r="EM38" s="247"/>
      <c r="EN38" s="247"/>
      <c r="EO38" s="247"/>
      <c r="EP38" s="247"/>
      <c r="EQ38" s="247"/>
      <c r="ER38" s="247"/>
      <c r="ES38" s="247"/>
      <c r="ET38" s="247"/>
      <c r="EU38" s="247"/>
      <c r="EV38" s="247"/>
      <c r="EW38" s="247"/>
      <c r="EX38" s="247"/>
      <c r="EY38" s="247"/>
      <c r="EZ38" s="247"/>
      <c r="FA38" s="247"/>
      <c r="FB38" s="247"/>
      <c r="FC38" s="247"/>
      <c r="FD38" s="247"/>
      <c r="FE38" s="247"/>
      <c r="FF38" s="247"/>
      <c r="FG38" s="247"/>
      <c r="FH38" s="247"/>
      <c r="FI38" s="247"/>
      <c r="FJ38" s="247"/>
      <c r="FK38" s="247"/>
      <c r="FL38" s="247"/>
      <c r="FM38" s="247"/>
      <c r="FN38" s="247"/>
      <c r="FO38" s="247"/>
      <c r="FP38" s="247"/>
      <c r="FQ38" s="247"/>
      <c r="FR38" s="247"/>
      <c r="FS38" s="247"/>
      <c r="FT38" s="247"/>
      <c r="FU38" s="247"/>
      <c r="FV38" s="247"/>
      <c r="FW38" s="247"/>
      <c r="FX38" s="247"/>
      <c r="FY38" s="247"/>
      <c r="FZ38" s="247"/>
      <c r="GA38" s="247"/>
      <c r="GB38" s="247"/>
      <c r="GC38" s="247"/>
      <c r="GD38" s="247"/>
      <c r="GE38" s="247"/>
      <c r="GF38" s="247"/>
      <c r="GG38" s="247"/>
      <c r="GH38" s="247"/>
      <c r="GI38" s="247"/>
      <c r="GJ38" s="247"/>
      <c r="GK38" s="247"/>
      <c r="GL38" s="247"/>
      <c r="GM38" s="247"/>
      <c r="GN38" s="247"/>
      <c r="GO38" s="247"/>
      <c r="GP38" s="247"/>
      <c r="GQ38" s="247"/>
    </row>
    <row r="39" spans="1:199" s="128" customFormat="1">
      <c r="A39" s="128" t="str">
        <f t="shared" si="37"/>
        <v/>
      </c>
      <c r="B39" s="226">
        <v>20</v>
      </c>
      <c r="C39" s="233" t="s">
        <v>189</v>
      </c>
      <c r="D39" s="234" t="s">
        <v>190</v>
      </c>
      <c r="E39" s="232">
        <v>22</v>
      </c>
      <c r="F39" s="229">
        <v>798</v>
      </c>
      <c r="G39" s="243">
        <f ca="1">IF(SUM(J39:OFFSET(J39,,I$6-1))&gt;E39+1000,"錯誤",SUM(J39:OFFSET(J39,,I$6-1)))</f>
        <v>0</v>
      </c>
      <c r="H39" s="243">
        <f t="shared" ca="1" si="38"/>
        <v>22</v>
      </c>
      <c r="I39" s="156" t="str">
        <f t="shared" si="39"/>
        <v/>
      </c>
      <c r="J39" s="244"/>
      <c r="K39" s="245"/>
      <c r="L39" s="245"/>
      <c r="M39" s="60"/>
      <c r="N39" s="246"/>
      <c r="O39" s="60"/>
      <c r="P39" s="246"/>
      <c r="Q39" s="246"/>
      <c r="R39" s="246"/>
      <c r="S39" s="246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247"/>
      <c r="BQ39" s="247"/>
      <c r="BR39" s="247"/>
      <c r="BS39" s="247"/>
      <c r="BT39" s="247"/>
      <c r="BU39" s="247"/>
      <c r="BV39" s="247"/>
      <c r="BW39" s="247"/>
      <c r="BX39" s="247"/>
      <c r="BY39" s="247"/>
      <c r="BZ39" s="247"/>
      <c r="CA39" s="247"/>
      <c r="CB39" s="247"/>
      <c r="CC39" s="247"/>
      <c r="CD39" s="247"/>
      <c r="CE39" s="247"/>
      <c r="CF39" s="247"/>
      <c r="CG39" s="247"/>
      <c r="CH39" s="247"/>
      <c r="CI39" s="247"/>
      <c r="CJ39" s="247"/>
      <c r="CK39" s="247"/>
      <c r="CL39" s="247"/>
      <c r="CM39" s="247"/>
      <c r="CN39" s="247"/>
      <c r="CO39" s="247"/>
      <c r="CP39" s="247"/>
      <c r="CQ39" s="247"/>
      <c r="CR39" s="247"/>
      <c r="CS39" s="247"/>
      <c r="CT39" s="247"/>
      <c r="CU39" s="247"/>
      <c r="CV39" s="247"/>
      <c r="CW39" s="247"/>
      <c r="CX39" s="247"/>
      <c r="CY39" s="247"/>
      <c r="CZ39" s="247"/>
      <c r="DA39" s="247"/>
      <c r="DB39" s="247"/>
      <c r="DC39" s="247"/>
      <c r="DD39" s="247"/>
      <c r="DE39" s="247"/>
      <c r="DF39" s="247"/>
      <c r="DG39" s="247"/>
      <c r="DH39" s="247"/>
      <c r="DI39" s="247"/>
      <c r="DJ39" s="247"/>
      <c r="DK39" s="247"/>
      <c r="DL39" s="247"/>
      <c r="DM39" s="247"/>
      <c r="DN39" s="247"/>
      <c r="DO39" s="247"/>
      <c r="DP39" s="247"/>
      <c r="DQ39" s="247"/>
      <c r="DR39" s="247"/>
      <c r="DS39" s="247"/>
      <c r="DT39" s="247"/>
      <c r="DU39" s="247"/>
      <c r="DV39" s="247"/>
      <c r="DW39" s="247"/>
      <c r="DX39" s="247"/>
      <c r="DY39" s="247"/>
      <c r="DZ39" s="247"/>
      <c r="EA39" s="247"/>
      <c r="EB39" s="247"/>
      <c r="EC39" s="247"/>
      <c r="ED39" s="247"/>
      <c r="EE39" s="247"/>
      <c r="EF39" s="247"/>
      <c r="EG39" s="247"/>
      <c r="EH39" s="247"/>
      <c r="EI39" s="247"/>
      <c r="EJ39" s="247"/>
      <c r="EK39" s="247"/>
      <c r="EL39" s="247"/>
      <c r="EM39" s="247"/>
      <c r="EN39" s="247"/>
      <c r="EO39" s="247"/>
      <c r="EP39" s="247"/>
      <c r="EQ39" s="247"/>
      <c r="ER39" s="247"/>
      <c r="ES39" s="247"/>
      <c r="ET39" s="247"/>
      <c r="EU39" s="247"/>
      <c r="EV39" s="247"/>
      <c r="EW39" s="247"/>
      <c r="EX39" s="247"/>
      <c r="EY39" s="247"/>
      <c r="EZ39" s="247"/>
      <c r="FA39" s="247"/>
      <c r="FB39" s="247"/>
      <c r="FC39" s="247"/>
      <c r="FD39" s="247"/>
      <c r="FE39" s="247"/>
      <c r="FF39" s="247"/>
      <c r="FG39" s="247"/>
      <c r="FH39" s="247"/>
      <c r="FI39" s="247"/>
      <c r="FJ39" s="247"/>
      <c r="FK39" s="247"/>
      <c r="FL39" s="247"/>
      <c r="FM39" s="247"/>
      <c r="FN39" s="247"/>
      <c r="FO39" s="247"/>
      <c r="FP39" s="247"/>
      <c r="FQ39" s="247"/>
      <c r="FR39" s="247"/>
      <c r="FS39" s="247"/>
      <c r="FT39" s="247"/>
      <c r="FU39" s="247"/>
      <c r="FV39" s="247"/>
      <c r="FW39" s="247"/>
      <c r="FX39" s="247"/>
      <c r="FY39" s="247"/>
      <c r="FZ39" s="247"/>
      <c r="GA39" s="247"/>
      <c r="GB39" s="247"/>
      <c r="GC39" s="247"/>
      <c r="GD39" s="247"/>
      <c r="GE39" s="247"/>
      <c r="GF39" s="247"/>
      <c r="GG39" s="247"/>
      <c r="GH39" s="247"/>
      <c r="GI39" s="247"/>
      <c r="GJ39" s="247"/>
      <c r="GK39" s="247"/>
      <c r="GL39" s="247"/>
      <c r="GM39" s="247"/>
      <c r="GN39" s="247"/>
      <c r="GO39" s="247"/>
      <c r="GP39" s="247"/>
      <c r="GQ39" s="247"/>
    </row>
    <row r="40" spans="1:199" s="128" customFormat="1">
      <c r="A40" s="128" t="str">
        <f t="shared" si="37"/>
        <v/>
      </c>
      <c r="B40" s="226">
        <v>21</v>
      </c>
      <c r="C40" s="233" t="s">
        <v>191</v>
      </c>
      <c r="D40" s="234" t="s">
        <v>155</v>
      </c>
      <c r="E40" s="232">
        <v>1</v>
      </c>
      <c r="F40" s="229">
        <v>223414</v>
      </c>
      <c r="G40" s="243">
        <f ca="1">IF(SUM(J40:OFFSET(J40,,I$6-1))&gt;E40+1000,"錯誤",SUM(J40:OFFSET(J40,,I$6-1)))</f>
        <v>0</v>
      </c>
      <c r="H40" s="243">
        <f t="shared" ca="1" si="38"/>
        <v>1</v>
      </c>
      <c r="I40" s="156" t="str">
        <f t="shared" si="39"/>
        <v/>
      </c>
      <c r="J40" s="244"/>
      <c r="K40" s="245"/>
      <c r="L40" s="245"/>
      <c r="M40" s="60"/>
      <c r="N40" s="246"/>
      <c r="O40" s="60"/>
      <c r="P40" s="246"/>
      <c r="Q40" s="246"/>
      <c r="R40" s="246"/>
      <c r="S40" s="246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247"/>
      <c r="BQ40" s="247"/>
      <c r="BR40" s="247"/>
      <c r="BS40" s="247"/>
      <c r="BT40" s="247"/>
      <c r="BU40" s="247"/>
      <c r="BV40" s="247"/>
      <c r="BW40" s="247"/>
      <c r="BX40" s="247"/>
      <c r="BY40" s="247"/>
      <c r="BZ40" s="247"/>
      <c r="CA40" s="247"/>
      <c r="CB40" s="247"/>
      <c r="CC40" s="247"/>
      <c r="CD40" s="247"/>
      <c r="CE40" s="247"/>
      <c r="CF40" s="247"/>
      <c r="CG40" s="247"/>
      <c r="CH40" s="247"/>
      <c r="CI40" s="247"/>
      <c r="CJ40" s="247"/>
      <c r="CK40" s="247"/>
      <c r="CL40" s="247"/>
      <c r="CM40" s="247"/>
      <c r="CN40" s="247"/>
      <c r="CO40" s="247"/>
      <c r="CP40" s="247"/>
      <c r="CQ40" s="247"/>
      <c r="CR40" s="247"/>
      <c r="CS40" s="247"/>
      <c r="CT40" s="247"/>
      <c r="CU40" s="247"/>
      <c r="CV40" s="247"/>
      <c r="CW40" s="247"/>
      <c r="CX40" s="247"/>
      <c r="CY40" s="247"/>
      <c r="CZ40" s="247"/>
      <c r="DA40" s="247"/>
      <c r="DB40" s="247"/>
      <c r="DC40" s="247"/>
      <c r="DD40" s="247"/>
      <c r="DE40" s="247"/>
      <c r="DF40" s="247"/>
      <c r="DG40" s="247"/>
      <c r="DH40" s="247"/>
      <c r="DI40" s="247"/>
      <c r="DJ40" s="247"/>
      <c r="DK40" s="247"/>
      <c r="DL40" s="247"/>
      <c r="DM40" s="247"/>
      <c r="DN40" s="247"/>
      <c r="DO40" s="247"/>
      <c r="DP40" s="247"/>
      <c r="DQ40" s="247"/>
      <c r="DR40" s="247"/>
      <c r="DS40" s="247"/>
      <c r="DT40" s="247"/>
      <c r="DU40" s="247"/>
      <c r="DV40" s="247"/>
      <c r="DW40" s="247"/>
      <c r="DX40" s="247"/>
      <c r="DY40" s="247"/>
      <c r="DZ40" s="247"/>
      <c r="EA40" s="247"/>
      <c r="EB40" s="247"/>
      <c r="EC40" s="247"/>
      <c r="ED40" s="247"/>
      <c r="EE40" s="247"/>
      <c r="EF40" s="247"/>
      <c r="EG40" s="247"/>
      <c r="EH40" s="247"/>
      <c r="EI40" s="247"/>
      <c r="EJ40" s="247"/>
      <c r="EK40" s="247"/>
      <c r="EL40" s="247"/>
      <c r="EM40" s="247"/>
      <c r="EN40" s="247"/>
      <c r="EO40" s="247"/>
      <c r="EP40" s="247"/>
      <c r="EQ40" s="247"/>
      <c r="ER40" s="247"/>
      <c r="ES40" s="247"/>
      <c r="ET40" s="247"/>
      <c r="EU40" s="247"/>
      <c r="EV40" s="247"/>
      <c r="EW40" s="247"/>
      <c r="EX40" s="247"/>
      <c r="EY40" s="247"/>
      <c r="EZ40" s="247"/>
      <c r="FA40" s="247"/>
      <c r="FB40" s="247"/>
      <c r="FC40" s="247"/>
      <c r="FD40" s="247"/>
      <c r="FE40" s="247"/>
      <c r="FF40" s="247"/>
      <c r="FG40" s="247"/>
      <c r="FH40" s="247"/>
      <c r="FI40" s="247"/>
      <c r="FJ40" s="247"/>
      <c r="FK40" s="247"/>
      <c r="FL40" s="247"/>
      <c r="FM40" s="247"/>
      <c r="FN40" s="247"/>
      <c r="FO40" s="247"/>
      <c r="FP40" s="247"/>
      <c r="FQ40" s="247"/>
      <c r="FR40" s="247"/>
      <c r="FS40" s="247"/>
      <c r="FT40" s="247"/>
      <c r="FU40" s="247"/>
      <c r="FV40" s="247"/>
      <c r="FW40" s="247"/>
      <c r="FX40" s="247"/>
      <c r="FY40" s="247"/>
      <c r="FZ40" s="247"/>
      <c r="GA40" s="247"/>
      <c r="GB40" s="247"/>
      <c r="GC40" s="247"/>
      <c r="GD40" s="247"/>
      <c r="GE40" s="247"/>
      <c r="GF40" s="247"/>
      <c r="GG40" s="247"/>
      <c r="GH40" s="247"/>
      <c r="GI40" s="247"/>
      <c r="GJ40" s="247"/>
      <c r="GK40" s="247"/>
      <c r="GL40" s="247"/>
      <c r="GM40" s="247"/>
      <c r="GN40" s="247"/>
      <c r="GO40" s="247"/>
      <c r="GP40" s="247"/>
      <c r="GQ40" s="247"/>
    </row>
    <row r="41" spans="1:199" s="128" customFormat="1">
      <c r="A41" s="128" t="str">
        <f t="shared" si="37"/>
        <v/>
      </c>
      <c r="B41" s="226">
        <v>22</v>
      </c>
      <c r="C41" s="233" t="s">
        <v>192</v>
      </c>
      <c r="D41" s="234" t="s">
        <v>193</v>
      </c>
      <c r="E41" s="232">
        <v>23</v>
      </c>
      <c r="F41" s="229">
        <v>549</v>
      </c>
      <c r="G41" s="243">
        <f ca="1">IF(SUM(J41:OFFSET(J41,,I$6-1))&gt;E41+1000,"錯誤",SUM(J41:OFFSET(J41,,I$6-1)))</f>
        <v>0</v>
      </c>
      <c r="H41" s="243">
        <f t="shared" ca="1" si="38"/>
        <v>23</v>
      </c>
      <c r="I41" s="156" t="str">
        <f t="shared" si="39"/>
        <v/>
      </c>
      <c r="J41" s="244"/>
      <c r="K41" s="245"/>
      <c r="L41" s="245"/>
      <c r="M41" s="60"/>
      <c r="N41" s="246"/>
      <c r="O41" s="60"/>
      <c r="P41" s="246"/>
      <c r="Q41" s="246"/>
      <c r="R41" s="246"/>
      <c r="S41" s="246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247"/>
      <c r="BQ41" s="247"/>
      <c r="BR41" s="247"/>
      <c r="BS41" s="247"/>
      <c r="BT41" s="247"/>
      <c r="BU41" s="247"/>
      <c r="BV41" s="247"/>
      <c r="BW41" s="247"/>
      <c r="BX41" s="247"/>
      <c r="BY41" s="247"/>
      <c r="BZ41" s="247"/>
      <c r="CA41" s="247"/>
      <c r="CB41" s="247"/>
      <c r="CC41" s="247"/>
      <c r="CD41" s="247"/>
      <c r="CE41" s="247"/>
      <c r="CF41" s="247"/>
      <c r="CG41" s="247"/>
      <c r="CH41" s="247"/>
      <c r="CI41" s="247"/>
      <c r="CJ41" s="247"/>
      <c r="CK41" s="247"/>
      <c r="CL41" s="247"/>
      <c r="CM41" s="247"/>
      <c r="CN41" s="247"/>
      <c r="CO41" s="247"/>
      <c r="CP41" s="247"/>
      <c r="CQ41" s="247"/>
      <c r="CR41" s="247"/>
      <c r="CS41" s="247"/>
      <c r="CT41" s="247"/>
      <c r="CU41" s="247"/>
      <c r="CV41" s="247"/>
      <c r="CW41" s="247"/>
      <c r="CX41" s="247"/>
      <c r="CY41" s="247"/>
      <c r="CZ41" s="247"/>
      <c r="DA41" s="247"/>
      <c r="DB41" s="247"/>
      <c r="DC41" s="247"/>
      <c r="DD41" s="247"/>
      <c r="DE41" s="247"/>
      <c r="DF41" s="247"/>
      <c r="DG41" s="247"/>
      <c r="DH41" s="247"/>
      <c r="DI41" s="247"/>
      <c r="DJ41" s="247"/>
      <c r="DK41" s="247"/>
      <c r="DL41" s="247"/>
      <c r="DM41" s="247"/>
      <c r="DN41" s="247"/>
      <c r="DO41" s="247"/>
      <c r="DP41" s="247"/>
      <c r="DQ41" s="247"/>
      <c r="DR41" s="247"/>
      <c r="DS41" s="247"/>
      <c r="DT41" s="247"/>
      <c r="DU41" s="247"/>
      <c r="DV41" s="247"/>
      <c r="DW41" s="247"/>
      <c r="DX41" s="247"/>
      <c r="DY41" s="247"/>
      <c r="DZ41" s="247"/>
      <c r="EA41" s="247"/>
      <c r="EB41" s="247"/>
      <c r="EC41" s="247"/>
      <c r="ED41" s="247"/>
      <c r="EE41" s="247"/>
      <c r="EF41" s="247"/>
      <c r="EG41" s="247"/>
      <c r="EH41" s="247"/>
      <c r="EI41" s="247"/>
      <c r="EJ41" s="247"/>
      <c r="EK41" s="247"/>
      <c r="EL41" s="247"/>
      <c r="EM41" s="247"/>
      <c r="EN41" s="247"/>
      <c r="EO41" s="247"/>
      <c r="EP41" s="247"/>
      <c r="EQ41" s="247"/>
      <c r="ER41" s="247"/>
      <c r="ES41" s="247"/>
      <c r="ET41" s="247"/>
      <c r="EU41" s="247"/>
      <c r="EV41" s="247"/>
      <c r="EW41" s="247"/>
      <c r="EX41" s="247"/>
      <c r="EY41" s="247"/>
      <c r="EZ41" s="247"/>
      <c r="FA41" s="247"/>
      <c r="FB41" s="247"/>
      <c r="FC41" s="247"/>
      <c r="FD41" s="247"/>
      <c r="FE41" s="247"/>
      <c r="FF41" s="247"/>
      <c r="FG41" s="247"/>
      <c r="FH41" s="247"/>
      <c r="FI41" s="247"/>
      <c r="FJ41" s="247"/>
      <c r="FK41" s="247"/>
      <c r="FL41" s="247"/>
      <c r="FM41" s="247"/>
      <c r="FN41" s="247"/>
      <c r="FO41" s="247"/>
      <c r="FP41" s="247"/>
      <c r="FQ41" s="247"/>
      <c r="FR41" s="247"/>
      <c r="FS41" s="247"/>
      <c r="FT41" s="247"/>
      <c r="FU41" s="247"/>
      <c r="FV41" s="247"/>
      <c r="FW41" s="247"/>
      <c r="FX41" s="247"/>
      <c r="FY41" s="247"/>
      <c r="FZ41" s="247"/>
      <c r="GA41" s="247"/>
      <c r="GB41" s="247"/>
      <c r="GC41" s="247"/>
      <c r="GD41" s="247"/>
      <c r="GE41" s="247"/>
      <c r="GF41" s="247"/>
      <c r="GG41" s="247"/>
      <c r="GH41" s="247"/>
      <c r="GI41" s="247"/>
      <c r="GJ41" s="247"/>
      <c r="GK41" s="247"/>
      <c r="GL41" s="247"/>
      <c r="GM41" s="247"/>
      <c r="GN41" s="247"/>
      <c r="GO41" s="247"/>
      <c r="GP41" s="247"/>
      <c r="GQ41" s="247"/>
    </row>
    <row r="42" spans="1:199" s="128" customFormat="1" ht="49.5">
      <c r="A42" s="128" t="str">
        <f t="shared" si="37"/>
        <v/>
      </c>
      <c r="B42" s="226">
        <v>23</v>
      </c>
      <c r="C42" s="233" t="s">
        <v>194</v>
      </c>
      <c r="D42" s="234" t="s">
        <v>155</v>
      </c>
      <c r="E42" s="232">
        <v>1</v>
      </c>
      <c r="F42" s="229">
        <v>89265</v>
      </c>
      <c r="G42" s="243">
        <f ca="1">IF(SUM(J42:OFFSET(J42,,I$6-1))&gt;E42+1000,"錯誤",SUM(J42:OFFSET(J42,,I$6-1)))</f>
        <v>0</v>
      </c>
      <c r="H42" s="243">
        <f t="shared" ca="1" si="38"/>
        <v>1</v>
      </c>
      <c r="I42" s="156" t="str">
        <f t="shared" si="39"/>
        <v/>
      </c>
      <c r="J42" s="244"/>
      <c r="K42" s="245"/>
      <c r="L42" s="245"/>
      <c r="M42" s="60"/>
      <c r="N42" s="246"/>
      <c r="O42" s="60"/>
      <c r="P42" s="246"/>
      <c r="Q42" s="246"/>
      <c r="R42" s="246"/>
      <c r="S42" s="246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247"/>
      <c r="BQ42" s="247"/>
      <c r="BR42" s="247"/>
      <c r="BS42" s="247"/>
      <c r="BT42" s="247"/>
      <c r="BU42" s="247"/>
      <c r="BV42" s="247"/>
      <c r="BW42" s="247"/>
      <c r="BX42" s="247"/>
      <c r="BY42" s="247"/>
      <c r="BZ42" s="247"/>
      <c r="CA42" s="247"/>
      <c r="CB42" s="247"/>
      <c r="CC42" s="247"/>
      <c r="CD42" s="247"/>
      <c r="CE42" s="247"/>
      <c r="CF42" s="247"/>
      <c r="CG42" s="247"/>
      <c r="CH42" s="247"/>
      <c r="CI42" s="247"/>
      <c r="CJ42" s="247"/>
      <c r="CK42" s="247"/>
      <c r="CL42" s="247"/>
      <c r="CM42" s="247"/>
      <c r="CN42" s="247"/>
      <c r="CO42" s="247"/>
      <c r="CP42" s="247"/>
      <c r="CQ42" s="247"/>
      <c r="CR42" s="247"/>
      <c r="CS42" s="247"/>
      <c r="CT42" s="247"/>
      <c r="CU42" s="247"/>
      <c r="CV42" s="247"/>
      <c r="CW42" s="247"/>
      <c r="CX42" s="247"/>
      <c r="CY42" s="247"/>
      <c r="CZ42" s="247"/>
      <c r="DA42" s="247"/>
      <c r="DB42" s="247"/>
      <c r="DC42" s="247"/>
      <c r="DD42" s="247"/>
      <c r="DE42" s="247"/>
      <c r="DF42" s="247"/>
      <c r="DG42" s="247"/>
      <c r="DH42" s="247"/>
      <c r="DI42" s="247"/>
      <c r="DJ42" s="247"/>
      <c r="DK42" s="247"/>
      <c r="DL42" s="247"/>
      <c r="DM42" s="247"/>
      <c r="DN42" s="247"/>
      <c r="DO42" s="247"/>
      <c r="DP42" s="247"/>
      <c r="DQ42" s="247"/>
      <c r="DR42" s="247"/>
      <c r="DS42" s="247"/>
      <c r="DT42" s="247"/>
      <c r="DU42" s="247"/>
      <c r="DV42" s="247"/>
      <c r="DW42" s="247"/>
      <c r="DX42" s="247"/>
      <c r="DY42" s="247"/>
      <c r="DZ42" s="247"/>
      <c r="EA42" s="247"/>
      <c r="EB42" s="247"/>
      <c r="EC42" s="247"/>
      <c r="ED42" s="247"/>
      <c r="EE42" s="247"/>
      <c r="EF42" s="247"/>
      <c r="EG42" s="247"/>
      <c r="EH42" s="247"/>
      <c r="EI42" s="247"/>
      <c r="EJ42" s="247"/>
      <c r="EK42" s="247"/>
      <c r="EL42" s="247"/>
      <c r="EM42" s="247"/>
      <c r="EN42" s="247"/>
      <c r="EO42" s="247"/>
      <c r="EP42" s="247"/>
      <c r="EQ42" s="247"/>
      <c r="ER42" s="247"/>
      <c r="ES42" s="247"/>
      <c r="ET42" s="247"/>
      <c r="EU42" s="247"/>
      <c r="EV42" s="247"/>
      <c r="EW42" s="247"/>
      <c r="EX42" s="247"/>
      <c r="EY42" s="247"/>
      <c r="EZ42" s="247"/>
      <c r="FA42" s="247"/>
      <c r="FB42" s="247"/>
      <c r="FC42" s="247"/>
      <c r="FD42" s="247"/>
      <c r="FE42" s="247"/>
      <c r="FF42" s="247"/>
      <c r="FG42" s="247"/>
      <c r="FH42" s="247"/>
      <c r="FI42" s="247"/>
      <c r="FJ42" s="247"/>
      <c r="FK42" s="247"/>
      <c r="FL42" s="247"/>
      <c r="FM42" s="247"/>
      <c r="FN42" s="247"/>
      <c r="FO42" s="247"/>
      <c r="FP42" s="247"/>
      <c r="FQ42" s="247"/>
      <c r="FR42" s="247"/>
      <c r="FS42" s="247"/>
      <c r="FT42" s="247"/>
      <c r="FU42" s="247"/>
      <c r="FV42" s="247"/>
      <c r="FW42" s="247"/>
      <c r="FX42" s="247"/>
      <c r="FY42" s="247"/>
      <c r="FZ42" s="247"/>
      <c r="GA42" s="247"/>
      <c r="GB42" s="247"/>
      <c r="GC42" s="247"/>
      <c r="GD42" s="247"/>
      <c r="GE42" s="247"/>
      <c r="GF42" s="247"/>
      <c r="GG42" s="247"/>
      <c r="GH42" s="247"/>
      <c r="GI42" s="247"/>
      <c r="GJ42" s="247"/>
      <c r="GK42" s="247"/>
      <c r="GL42" s="247"/>
      <c r="GM42" s="247"/>
      <c r="GN42" s="247"/>
      <c r="GO42" s="247"/>
      <c r="GP42" s="247"/>
      <c r="GQ42" s="247"/>
    </row>
    <row r="43" spans="1:199" s="128" customFormat="1">
      <c r="A43" s="128" t="str">
        <f t="shared" si="37"/>
        <v/>
      </c>
      <c r="B43" s="226">
        <v>24</v>
      </c>
      <c r="C43" s="233" t="s">
        <v>195</v>
      </c>
      <c r="D43" s="234" t="s">
        <v>169</v>
      </c>
      <c r="E43" s="232">
        <v>1</v>
      </c>
      <c r="F43" s="229">
        <v>250047</v>
      </c>
      <c r="G43" s="243">
        <f ca="1">IF(SUM(J43:OFFSET(J43,,I$6-1))&gt;E43+1000,"錯誤",SUM(J43:OFFSET(J43,,I$6-1)))</f>
        <v>0</v>
      </c>
      <c r="H43" s="243">
        <f t="shared" ca="1" si="38"/>
        <v>1</v>
      </c>
      <c r="I43" s="156" t="str">
        <f t="shared" si="39"/>
        <v/>
      </c>
      <c r="J43" s="244"/>
      <c r="K43" s="245"/>
      <c r="L43" s="245"/>
      <c r="M43" s="60"/>
      <c r="N43" s="246"/>
      <c r="O43" s="60"/>
      <c r="P43" s="246"/>
      <c r="Q43" s="246"/>
      <c r="R43" s="246"/>
      <c r="S43" s="246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247"/>
      <c r="BQ43" s="247"/>
      <c r="BR43" s="247"/>
      <c r="BS43" s="247"/>
      <c r="BT43" s="247"/>
      <c r="BU43" s="247"/>
      <c r="BV43" s="247"/>
      <c r="BW43" s="247"/>
      <c r="BX43" s="247"/>
      <c r="BY43" s="247"/>
      <c r="BZ43" s="247"/>
      <c r="CA43" s="247"/>
      <c r="CB43" s="247"/>
      <c r="CC43" s="247"/>
      <c r="CD43" s="247"/>
      <c r="CE43" s="247"/>
      <c r="CF43" s="247"/>
      <c r="CG43" s="247"/>
      <c r="CH43" s="247"/>
      <c r="CI43" s="247"/>
      <c r="CJ43" s="247"/>
      <c r="CK43" s="247"/>
      <c r="CL43" s="247"/>
      <c r="CM43" s="247"/>
      <c r="CN43" s="247"/>
      <c r="CO43" s="247"/>
      <c r="CP43" s="247"/>
      <c r="CQ43" s="247"/>
      <c r="CR43" s="247"/>
      <c r="CS43" s="247"/>
      <c r="CT43" s="247"/>
      <c r="CU43" s="247"/>
      <c r="CV43" s="247"/>
      <c r="CW43" s="247"/>
      <c r="CX43" s="247"/>
      <c r="CY43" s="247"/>
      <c r="CZ43" s="247"/>
      <c r="DA43" s="247"/>
      <c r="DB43" s="247"/>
      <c r="DC43" s="247"/>
      <c r="DD43" s="247"/>
      <c r="DE43" s="247"/>
      <c r="DF43" s="247"/>
      <c r="DG43" s="247"/>
      <c r="DH43" s="247"/>
      <c r="DI43" s="247"/>
      <c r="DJ43" s="247"/>
      <c r="DK43" s="247"/>
      <c r="DL43" s="247"/>
      <c r="DM43" s="247"/>
      <c r="DN43" s="247"/>
      <c r="DO43" s="247"/>
      <c r="DP43" s="247"/>
      <c r="DQ43" s="247"/>
      <c r="DR43" s="247"/>
      <c r="DS43" s="247"/>
      <c r="DT43" s="247"/>
      <c r="DU43" s="247"/>
      <c r="DV43" s="247"/>
      <c r="DW43" s="247"/>
      <c r="DX43" s="247"/>
      <c r="DY43" s="247"/>
      <c r="DZ43" s="247"/>
      <c r="EA43" s="247"/>
      <c r="EB43" s="247"/>
      <c r="EC43" s="247"/>
      <c r="ED43" s="247"/>
      <c r="EE43" s="247"/>
      <c r="EF43" s="247"/>
      <c r="EG43" s="247"/>
      <c r="EH43" s="247"/>
      <c r="EI43" s="247"/>
      <c r="EJ43" s="247"/>
      <c r="EK43" s="247"/>
      <c r="EL43" s="247"/>
      <c r="EM43" s="247"/>
      <c r="EN43" s="247"/>
      <c r="EO43" s="247"/>
      <c r="EP43" s="247"/>
      <c r="EQ43" s="247"/>
      <c r="ER43" s="247"/>
      <c r="ES43" s="247"/>
      <c r="ET43" s="247"/>
      <c r="EU43" s="247"/>
      <c r="EV43" s="247"/>
      <c r="EW43" s="247"/>
      <c r="EX43" s="247"/>
      <c r="EY43" s="247"/>
      <c r="EZ43" s="247"/>
      <c r="FA43" s="247"/>
      <c r="FB43" s="247"/>
      <c r="FC43" s="247"/>
      <c r="FD43" s="247"/>
      <c r="FE43" s="247"/>
      <c r="FF43" s="247"/>
      <c r="FG43" s="247"/>
      <c r="FH43" s="247"/>
      <c r="FI43" s="247"/>
      <c r="FJ43" s="247"/>
      <c r="FK43" s="247"/>
      <c r="FL43" s="247"/>
      <c r="FM43" s="247"/>
      <c r="FN43" s="247"/>
      <c r="FO43" s="247"/>
      <c r="FP43" s="247"/>
      <c r="FQ43" s="247"/>
      <c r="FR43" s="247"/>
      <c r="FS43" s="247"/>
      <c r="FT43" s="247"/>
      <c r="FU43" s="247"/>
      <c r="FV43" s="247"/>
      <c r="FW43" s="247"/>
      <c r="FX43" s="247"/>
      <c r="FY43" s="247"/>
      <c r="FZ43" s="247"/>
      <c r="GA43" s="247"/>
      <c r="GB43" s="247"/>
      <c r="GC43" s="247"/>
      <c r="GD43" s="247"/>
      <c r="GE43" s="247"/>
      <c r="GF43" s="247"/>
      <c r="GG43" s="247"/>
      <c r="GH43" s="247"/>
      <c r="GI43" s="247"/>
      <c r="GJ43" s="247"/>
      <c r="GK43" s="247"/>
      <c r="GL43" s="247"/>
      <c r="GM43" s="247"/>
      <c r="GN43" s="247"/>
      <c r="GO43" s="247"/>
      <c r="GP43" s="247"/>
      <c r="GQ43" s="247"/>
    </row>
    <row r="44" spans="1:199" s="128" customFormat="1">
      <c r="A44" s="128" t="str">
        <f t="shared" si="37"/>
        <v/>
      </c>
      <c r="B44" s="226">
        <v>25</v>
      </c>
      <c r="C44" s="233" t="s">
        <v>196</v>
      </c>
      <c r="D44" s="234" t="s">
        <v>169</v>
      </c>
      <c r="E44" s="232">
        <v>1</v>
      </c>
      <c r="F44" s="229">
        <v>93753</v>
      </c>
      <c r="G44" s="243">
        <f ca="1">IF(SUM(J44:OFFSET(J44,,I$6-1))&gt;E44+1000,"錯誤",SUM(J44:OFFSET(J44,,I$6-1)))</f>
        <v>0</v>
      </c>
      <c r="H44" s="243">
        <f t="shared" ca="1" si="38"/>
        <v>1</v>
      </c>
      <c r="I44" s="156" t="str">
        <f t="shared" si="39"/>
        <v/>
      </c>
      <c r="J44" s="244"/>
      <c r="K44" s="245"/>
      <c r="L44" s="245"/>
      <c r="M44" s="60"/>
      <c r="N44" s="246"/>
      <c r="O44" s="60"/>
      <c r="P44" s="246"/>
      <c r="Q44" s="246"/>
      <c r="R44" s="246"/>
      <c r="S44" s="246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247"/>
      <c r="BQ44" s="247"/>
      <c r="BR44" s="247"/>
      <c r="BS44" s="247"/>
      <c r="BT44" s="247"/>
      <c r="BU44" s="247"/>
      <c r="BV44" s="247"/>
      <c r="BW44" s="247"/>
      <c r="BX44" s="247"/>
      <c r="BY44" s="247"/>
      <c r="BZ44" s="247"/>
      <c r="CA44" s="247"/>
      <c r="CB44" s="247"/>
      <c r="CC44" s="247"/>
      <c r="CD44" s="247"/>
      <c r="CE44" s="247"/>
      <c r="CF44" s="247"/>
      <c r="CG44" s="247"/>
      <c r="CH44" s="247"/>
      <c r="CI44" s="247"/>
      <c r="CJ44" s="247"/>
      <c r="CK44" s="247"/>
      <c r="CL44" s="247"/>
      <c r="CM44" s="247"/>
      <c r="CN44" s="247"/>
      <c r="CO44" s="247"/>
      <c r="CP44" s="247"/>
      <c r="CQ44" s="247"/>
      <c r="CR44" s="247"/>
      <c r="CS44" s="247"/>
      <c r="CT44" s="247"/>
      <c r="CU44" s="247"/>
      <c r="CV44" s="247"/>
      <c r="CW44" s="247"/>
      <c r="CX44" s="247"/>
      <c r="CY44" s="247"/>
      <c r="CZ44" s="247"/>
      <c r="DA44" s="247"/>
      <c r="DB44" s="247"/>
      <c r="DC44" s="247"/>
      <c r="DD44" s="247"/>
      <c r="DE44" s="247"/>
      <c r="DF44" s="247"/>
      <c r="DG44" s="247"/>
      <c r="DH44" s="247"/>
      <c r="DI44" s="247"/>
      <c r="DJ44" s="247"/>
      <c r="DK44" s="247"/>
      <c r="DL44" s="247"/>
      <c r="DM44" s="247"/>
      <c r="DN44" s="247"/>
      <c r="DO44" s="247"/>
      <c r="DP44" s="247"/>
      <c r="DQ44" s="247"/>
      <c r="DR44" s="247"/>
      <c r="DS44" s="247"/>
      <c r="DT44" s="247"/>
      <c r="DU44" s="247"/>
      <c r="DV44" s="247"/>
      <c r="DW44" s="247"/>
      <c r="DX44" s="247"/>
      <c r="DY44" s="247"/>
      <c r="DZ44" s="247"/>
      <c r="EA44" s="247"/>
      <c r="EB44" s="247"/>
      <c r="EC44" s="247"/>
      <c r="ED44" s="247"/>
      <c r="EE44" s="247"/>
      <c r="EF44" s="247"/>
      <c r="EG44" s="247"/>
      <c r="EH44" s="247"/>
      <c r="EI44" s="247"/>
      <c r="EJ44" s="247"/>
      <c r="EK44" s="247"/>
      <c r="EL44" s="247"/>
      <c r="EM44" s="247"/>
      <c r="EN44" s="247"/>
      <c r="EO44" s="247"/>
      <c r="EP44" s="247"/>
      <c r="EQ44" s="247"/>
      <c r="ER44" s="247"/>
      <c r="ES44" s="247"/>
      <c r="ET44" s="247"/>
      <c r="EU44" s="247"/>
      <c r="EV44" s="247"/>
      <c r="EW44" s="247"/>
      <c r="EX44" s="247"/>
      <c r="EY44" s="247"/>
      <c r="EZ44" s="247"/>
      <c r="FA44" s="247"/>
      <c r="FB44" s="247"/>
      <c r="FC44" s="247"/>
      <c r="FD44" s="247"/>
      <c r="FE44" s="247"/>
      <c r="FF44" s="247"/>
      <c r="FG44" s="247"/>
      <c r="FH44" s="247"/>
      <c r="FI44" s="247"/>
      <c r="FJ44" s="247"/>
      <c r="FK44" s="247"/>
      <c r="FL44" s="247"/>
      <c r="FM44" s="247"/>
      <c r="FN44" s="247"/>
      <c r="FO44" s="247"/>
      <c r="FP44" s="247"/>
      <c r="FQ44" s="247"/>
      <c r="FR44" s="247"/>
      <c r="FS44" s="247"/>
      <c r="FT44" s="247"/>
      <c r="FU44" s="247"/>
      <c r="FV44" s="247"/>
      <c r="FW44" s="247"/>
      <c r="FX44" s="247"/>
      <c r="FY44" s="247"/>
      <c r="FZ44" s="247"/>
      <c r="GA44" s="247"/>
      <c r="GB44" s="247"/>
      <c r="GC44" s="247"/>
      <c r="GD44" s="247"/>
      <c r="GE44" s="247"/>
      <c r="GF44" s="247"/>
      <c r="GG44" s="247"/>
      <c r="GH44" s="247"/>
      <c r="GI44" s="247"/>
      <c r="GJ44" s="247"/>
      <c r="GK44" s="247"/>
      <c r="GL44" s="247"/>
      <c r="GM44" s="247"/>
      <c r="GN44" s="247"/>
      <c r="GO44" s="247"/>
      <c r="GP44" s="247"/>
      <c r="GQ44" s="247"/>
    </row>
    <row r="45" spans="1:199" s="128" customFormat="1">
      <c r="A45" s="128" t="str">
        <f t="shared" si="37"/>
        <v/>
      </c>
      <c r="B45" s="226">
        <v>26</v>
      </c>
      <c r="C45" s="233" t="s">
        <v>197</v>
      </c>
      <c r="D45" s="234" t="s">
        <v>169</v>
      </c>
      <c r="E45" s="232">
        <v>1</v>
      </c>
      <c r="F45" s="229">
        <v>130657</v>
      </c>
      <c r="G45" s="243">
        <f ca="1">IF(SUM(J45:OFFSET(J45,,I$6-1))&gt;E45+1000,"錯誤",SUM(J45:OFFSET(J45,,I$6-1)))</f>
        <v>0</v>
      </c>
      <c r="H45" s="243">
        <f t="shared" ca="1" si="38"/>
        <v>1</v>
      </c>
      <c r="I45" s="156" t="str">
        <f t="shared" si="39"/>
        <v/>
      </c>
      <c r="J45" s="244"/>
      <c r="K45" s="245"/>
      <c r="L45" s="245"/>
      <c r="M45" s="60"/>
      <c r="N45" s="246"/>
      <c r="O45" s="60"/>
      <c r="P45" s="246"/>
      <c r="Q45" s="246"/>
      <c r="R45" s="246"/>
      <c r="S45" s="246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247"/>
      <c r="BQ45" s="247"/>
      <c r="BR45" s="247"/>
      <c r="BS45" s="247"/>
      <c r="BT45" s="247"/>
      <c r="BU45" s="247"/>
      <c r="BV45" s="247"/>
      <c r="BW45" s="247"/>
      <c r="BX45" s="247"/>
      <c r="BY45" s="247"/>
      <c r="BZ45" s="247"/>
      <c r="CA45" s="247"/>
      <c r="CB45" s="247"/>
      <c r="CC45" s="247"/>
      <c r="CD45" s="247"/>
      <c r="CE45" s="247"/>
      <c r="CF45" s="247"/>
      <c r="CG45" s="247"/>
      <c r="CH45" s="247"/>
      <c r="CI45" s="247"/>
      <c r="CJ45" s="247"/>
      <c r="CK45" s="247"/>
      <c r="CL45" s="247"/>
      <c r="CM45" s="247"/>
      <c r="CN45" s="247"/>
      <c r="CO45" s="247"/>
      <c r="CP45" s="247"/>
      <c r="CQ45" s="247"/>
      <c r="CR45" s="247"/>
      <c r="CS45" s="247"/>
      <c r="CT45" s="247"/>
      <c r="CU45" s="247"/>
      <c r="CV45" s="247"/>
      <c r="CW45" s="247"/>
      <c r="CX45" s="247"/>
      <c r="CY45" s="247"/>
      <c r="CZ45" s="247"/>
      <c r="DA45" s="247"/>
      <c r="DB45" s="247"/>
      <c r="DC45" s="247"/>
      <c r="DD45" s="247"/>
      <c r="DE45" s="247"/>
      <c r="DF45" s="247"/>
      <c r="DG45" s="247"/>
      <c r="DH45" s="247"/>
      <c r="DI45" s="247"/>
      <c r="DJ45" s="247"/>
      <c r="DK45" s="247"/>
      <c r="DL45" s="247"/>
      <c r="DM45" s="247"/>
      <c r="DN45" s="247"/>
      <c r="DO45" s="247"/>
      <c r="DP45" s="247"/>
      <c r="DQ45" s="247"/>
      <c r="DR45" s="247"/>
      <c r="DS45" s="247"/>
      <c r="DT45" s="247"/>
      <c r="DU45" s="247"/>
      <c r="DV45" s="247"/>
      <c r="DW45" s="247"/>
      <c r="DX45" s="247"/>
      <c r="DY45" s="247"/>
      <c r="DZ45" s="247"/>
      <c r="EA45" s="247"/>
      <c r="EB45" s="247"/>
      <c r="EC45" s="247"/>
      <c r="ED45" s="247"/>
      <c r="EE45" s="247"/>
      <c r="EF45" s="247"/>
      <c r="EG45" s="247"/>
      <c r="EH45" s="247"/>
      <c r="EI45" s="247"/>
      <c r="EJ45" s="247"/>
      <c r="EK45" s="247"/>
      <c r="EL45" s="247"/>
      <c r="EM45" s="247"/>
      <c r="EN45" s="247"/>
      <c r="EO45" s="247"/>
      <c r="EP45" s="247"/>
      <c r="EQ45" s="247"/>
      <c r="ER45" s="247"/>
      <c r="ES45" s="247"/>
      <c r="ET45" s="247"/>
      <c r="EU45" s="247"/>
      <c r="EV45" s="247"/>
      <c r="EW45" s="247"/>
      <c r="EX45" s="247"/>
      <c r="EY45" s="247"/>
      <c r="EZ45" s="247"/>
      <c r="FA45" s="247"/>
      <c r="FB45" s="247"/>
      <c r="FC45" s="247"/>
      <c r="FD45" s="247"/>
      <c r="FE45" s="247"/>
      <c r="FF45" s="247"/>
      <c r="FG45" s="247"/>
      <c r="FH45" s="247"/>
      <c r="FI45" s="247"/>
      <c r="FJ45" s="247"/>
      <c r="FK45" s="247"/>
      <c r="FL45" s="247"/>
      <c r="FM45" s="247"/>
      <c r="FN45" s="247"/>
      <c r="FO45" s="247"/>
      <c r="FP45" s="247"/>
      <c r="FQ45" s="247"/>
      <c r="FR45" s="247"/>
      <c r="FS45" s="247"/>
      <c r="FT45" s="247"/>
      <c r="FU45" s="247"/>
      <c r="FV45" s="247"/>
      <c r="FW45" s="247"/>
      <c r="FX45" s="247"/>
      <c r="FY45" s="247"/>
      <c r="FZ45" s="247"/>
      <c r="GA45" s="247"/>
      <c r="GB45" s="247"/>
      <c r="GC45" s="247"/>
      <c r="GD45" s="247"/>
      <c r="GE45" s="247"/>
      <c r="GF45" s="247"/>
      <c r="GG45" s="247"/>
      <c r="GH45" s="247"/>
      <c r="GI45" s="247"/>
      <c r="GJ45" s="247"/>
      <c r="GK45" s="247"/>
      <c r="GL45" s="247"/>
      <c r="GM45" s="247"/>
      <c r="GN45" s="247"/>
      <c r="GO45" s="247"/>
      <c r="GP45" s="247"/>
      <c r="GQ45" s="247"/>
    </row>
    <row r="46" spans="1:199" s="128" customFormat="1" ht="49.5">
      <c r="A46" s="128" t="str">
        <f t="shared" si="37"/>
        <v/>
      </c>
      <c r="B46" s="226">
        <v>27</v>
      </c>
      <c r="C46" s="233" t="s">
        <v>198</v>
      </c>
      <c r="D46" s="234" t="s">
        <v>169</v>
      </c>
      <c r="E46" s="232">
        <v>1</v>
      </c>
      <c r="F46" s="229">
        <v>34909</v>
      </c>
      <c r="G46" s="243">
        <f ca="1">IF(SUM(J46:OFFSET(J46,,I$6-1))&gt;E46+1000,"錯誤",SUM(J46:OFFSET(J46,,I$6-1)))</f>
        <v>0</v>
      </c>
      <c r="H46" s="243">
        <f t="shared" ca="1" si="38"/>
        <v>1</v>
      </c>
      <c r="I46" s="156" t="str">
        <f t="shared" si="39"/>
        <v/>
      </c>
      <c r="J46" s="244"/>
      <c r="K46" s="245"/>
      <c r="L46" s="245"/>
      <c r="M46" s="60"/>
      <c r="N46" s="246"/>
      <c r="O46" s="60"/>
      <c r="P46" s="246"/>
      <c r="Q46" s="246"/>
      <c r="R46" s="246"/>
      <c r="S46" s="246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247"/>
      <c r="BQ46" s="247"/>
      <c r="BR46" s="247"/>
      <c r="BS46" s="247"/>
      <c r="BT46" s="247"/>
      <c r="BU46" s="247"/>
      <c r="BV46" s="247"/>
      <c r="BW46" s="247"/>
      <c r="BX46" s="247"/>
      <c r="BY46" s="247"/>
      <c r="BZ46" s="247"/>
      <c r="CA46" s="247"/>
      <c r="CB46" s="247"/>
      <c r="CC46" s="247"/>
      <c r="CD46" s="247"/>
      <c r="CE46" s="247"/>
      <c r="CF46" s="247"/>
      <c r="CG46" s="247"/>
      <c r="CH46" s="247"/>
      <c r="CI46" s="247"/>
      <c r="CJ46" s="247"/>
      <c r="CK46" s="247"/>
      <c r="CL46" s="247"/>
      <c r="CM46" s="247"/>
      <c r="CN46" s="247"/>
      <c r="CO46" s="247"/>
      <c r="CP46" s="247"/>
      <c r="CQ46" s="247"/>
      <c r="CR46" s="247"/>
      <c r="CS46" s="247"/>
      <c r="CT46" s="247"/>
      <c r="CU46" s="247"/>
      <c r="CV46" s="247"/>
      <c r="CW46" s="247"/>
      <c r="CX46" s="247"/>
      <c r="CY46" s="247"/>
      <c r="CZ46" s="247"/>
      <c r="DA46" s="247"/>
      <c r="DB46" s="247"/>
      <c r="DC46" s="247"/>
      <c r="DD46" s="247"/>
      <c r="DE46" s="247"/>
      <c r="DF46" s="247"/>
      <c r="DG46" s="247"/>
      <c r="DH46" s="247"/>
      <c r="DI46" s="247"/>
      <c r="DJ46" s="247"/>
      <c r="DK46" s="247"/>
      <c r="DL46" s="247"/>
      <c r="DM46" s="247"/>
      <c r="DN46" s="247"/>
      <c r="DO46" s="247"/>
      <c r="DP46" s="247"/>
      <c r="DQ46" s="247"/>
      <c r="DR46" s="247"/>
      <c r="DS46" s="247"/>
      <c r="DT46" s="247"/>
      <c r="DU46" s="247"/>
      <c r="DV46" s="247"/>
      <c r="DW46" s="247"/>
      <c r="DX46" s="247"/>
      <c r="DY46" s="247"/>
      <c r="DZ46" s="247"/>
      <c r="EA46" s="247"/>
      <c r="EB46" s="247"/>
      <c r="EC46" s="247"/>
      <c r="ED46" s="247"/>
      <c r="EE46" s="247"/>
      <c r="EF46" s="247"/>
      <c r="EG46" s="247"/>
      <c r="EH46" s="247"/>
      <c r="EI46" s="247"/>
      <c r="EJ46" s="247"/>
      <c r="EK46" s="247"/>
      <c r="EL46" s="247"/>
      <c r="EM46" s="247"/>
      <c r="EN46" s="247"/>
      <c r="EO46" s="247"/>
      <c r="EP46" s="247"/>
      <c r="EQ46" s="247"/>
      <c r="ER46" s="247"/>
      <c r="ES46" s="247"/>
      <c r="ET46" s="247"/>
      <c r="EU46" s="247"/>
      <c r="EV46" s="247"/>
      <c r="EW46" s="247"/>
      <c r="EX46" s="247"/>
      <c r="EY46" s="247"/>
      <c r="EZ46" s="247"/>
      <c r="FA46" s="247"/>
      <c r="FB46" s="247"/>
      <c r="FC46" s="247"/>
      <c r="FD46" s="247"/>
      <c r="FE46" s="247"/>
      <c r="FF46" s="247"/>
      <c r="FG46" s="247"/>
      <c r="FH46" s="247"/>
      <c r="FI46" s="247"/>
      <c r="FJ46" s="247"/>
      <c r="FK46" s="247"/>
      <c r="FL46" s="247"/>
      <c r="FM46" s="247"/>
      <c r="FN46" s="247"/>
      <c r="FO46" s="247"/>
      <c r="FP46" s="247"/>
      <c r="FQ46" s="247"/>
      <c r="FR46" s="247"/>
      <c r="FS46" s="247"/>
      <c r="FT46" s="247"/>
      <c r="FU46" s="247"/>
      <c r="FV46" s="247"/>
      <c r="FW46" s="247"/>
      <c r="FX46" s="247"/>
      <c r="FY46" s="247"/>
      <c r="FZ46" s="247"/>
      <c r="GA46" s="247"/>
      <c r="GB46" s="247"/>
      <c r="GC46" s="247"/>
      <c r="GD46" s="247"/>
      <c r="GE46" s="247"/>
      <c r="GF46" s="247"/>
      <c r="GG46" s="247"/>
      <c r="GH46" s="247"/>
      <c r="GI46" s="247"/>
      <c r="GJ46" s="247"/>
      <c r="GK46" s="247"/>
      <c r="GL46" s="247"/>
      <c r="GM46" s="247"/>
      <c r="GN46" s="247"/>
      <c r="GO46" s="247"/>
      <c r="GP46" s="247"/>
      <c r="GQ46" s="247"/>
    </row>
    <row r="47" spans="1:199" s="128" customFormat="1">
      <c r="A47" s="128" t="str">
        <f t="shared" si="37"/>
        <v/>
      </c>
      <c r="B47" s="226">
        <v>28</v>
      </c>
      <c r="C47" s="227" t="s">
        <v>199</v>
      </c>
      <c r="D47" s="234" t="s">
        <v>169</v>
      </c>
      <c r="E47" s="232">
        <v>1</v>
      </c>
      <c r="F47" s="229">
        <v>35906</v>
      </c>
      <c r="G47" s="243">
        <f ca="1">IF(SUM(J47:OFFSET(J47,,I$6-1))&gt;E47+1000,"錯誤",SUM(J47:OFFSET(J47,,I$6-1)))</f>
        <v>0</v>
      </c>
      <c r="H47" s="243">
        <f t="shared" ca="1" si="38"/>
        <v>1</v>
      </c>
      <c r="I47" s="156" t="str">
        <f t="shared" si="39"/>
        <v/>
      </c>
      <c r="J47" s="244"/>
      <c r="K47" s="245"/>
      <c r="L47" s="245"/>
      <c r="M47" s="60"/>
      <c r="N47" s="246"/>
      <c r="O47" s="60"/>
      <c r="P47" s="246"/>
      <c r="Q47" s="246"/>
      <c r="R47" s="246"/>
      <c r="S47" s="246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247"/>
      <c r="BQ47" s="247"/>
      <c r="BR47" s="247"/>
      <c r="BS47" s="247"/>
      <c r="BT47" s="247"/>
      <c r="BU47" s="247"/>
      <c r="BV47" s="247"/>
      <c r="BW47" s="247"/>
      <c r="BX47" s="247"/>
      <c r="BY47" s="247"/>
      <c r="BZ47" s="247"/>
      <c r="CA47" s="247"/>
      <c r="CB47" s="247"/>
      <c r="CC47" s="247"/>
      <c r="CD47" s="247"/>
      <c r="CE47" s="247"/>
      <c r="CF47" s="247"/>
      <c r="CG47" s="247"/>
      <c r="CH47" s="247"/>
      <c r="CI47" s="247"/>
      <c r="CJ47" s="247"/>
      <c r="CK47" s="247"/>
      <c r="CL47" s="247"/>
      <c r="CM47" s="247"/>
      <c r="CN47" s="247"/>
      <c r="CO47" s="247"/>
      <c r="CP47" s="247"/>
      <c r="CQ47" s="247"/>
      <c r="CR47" s="247"/>
      <c r="CS47" s="247"/>
      <c r="CT47" s="247"/>
      <c r="CU47" s="247"/>
      <c r="CV47" s="247"/>
      <c r="CW47" s="247"/>
      <c r="CX47" s="247"/>
      <c r="CY47" s="247"/>
      <c r="CZ47" s="247"/>
      <c r="DA47" s="247"/>
      <c r="DB47" s="247"/>
      <c r="DC47" s="247"/>
      <c r="DD47" s="247"/>
      <c r="DE47" s="247"/>
      <c r="DF47" s="247"/>
      <c r="DG47" s="247"/>
      <c r="DH47" s="247"/>
      <c r="DI47" s="247"/>
      <c r="DJ47" s="247"/>
      <c r="DK47" s="247"/>
      <c r="DL47" s="247"/>
      <c r="DM47" s="247"/>
      <c r="DN47" s="247"/>
      <c r="DO47" s="247"/>
      <c r="DP47" s="247"/>
      <c r="DQ47" s="247"/>
      <c r="DR47" s="247"/>
      <c r="DS47" s="247"/>
      <c r="DT47" s="247"/>
      <c r="DU47" s="247"/>
      <c r="DV47" s="247"/>
      <c r="DW47" s="247"/>
      <c r="DX47" s="247"/>
      <c r="DY47" s="247"/>
      <c r="DZ47" s="247"/>
      <c r="EA47" s="247"/>
      <c r="EB47" s="247"/>
      <c r="EC47" s="247"/>
      <c r="ED47" s="247"/>
      <c r="EE47" s="247"/>
      <c r="EF47" s="247"/>
      <c r="EG47" s="247"/>
      <c r="EH47" s="247"/>
      <c r="EI47" s="247"/>
      <c r="EJ47" s="247"/>
      <c r="EK47" s="247"/>
      <c r="EL47" s="247"/>
      <c r="EM47" s="247"/>
      <c r="EN47" s="247"/>
      <c r="EO47" s="247"/>
      <c r="EP47" s="247"/>
      <c r="EQ47" s="247"/>
      <c r="ER47" s="247"/>
      <c r="ES47" s="247"/>
      <c r="ET47" s="247"/>
      <c r="EU47" s="247"/>
      <c r="EV47" s="247"/>
      <c r="EW47" s="247"/>
      <c r="EX47" s="247"/>
      <c r="EY47" s="247"/>
      <c r="EZ47" s="247"/>
      <c r="FA47" s="247"/>
      <c r="FB47" s="247"/>
      <c r="FC47" s="247"/>
      <c r="FD47" s="247"/>
      <c r="FE47" s="247"/>
      <c r="FF47" s="247"/>
      <c r="FG47" s="247"/>
      <c r="FH47" s="247"/>
      <c r="FI47" s="247"/>
      <c r="FJ47" s="247"/>
      <c r="FK47" s="247"/>
      <c r="FL47" s="247"/>
      <c r="FM47" s="247"/>
      <c r="FN47" s="247"/>
      <c r="FO47" s="247"/>
      <c r="FP47" s="247"/>
      <c r="FQ47" s="247"/>
      <c r="FR47" s="247"/>
      <c r="FS47" s="247"/>
      <c r="FT47" s="247"/>
      <c r="FU47" s="247"/>
      <c r="FV47" s="247"/>
      <c r="FW47" s="247"/>
      <c r="FX47" s="247"/>
      <c r="FY47" s="247"/>
      <c r="FZ47" s="247"/>
      <c r="GA47" s="247"/>
      <c r="GB47" s="247"/>
      <c r="GC47" s="247"/>
      <c r="GD47" s="247"/>
      <c r="GE47" s="247"/>
      <c r="GF47" s="247"/>
      <c r="GG47" s="247"/>
      <c r="GH47" s="247"/>
      <c r="GI47" s="247"/>
      <c r="GJ47" s="247"/>
      <c r="GK47" s="247"/>
      <c r="GL47" s="247"/>
      <c r="GM47" s="247"/>
      <c r="GN47" s="247"/>
      <c r="GO47" s="247"/>
      <c r="GP47" s="247"/>
      <c r="GQ47" s="247"/>
    </row>
    <row r="48" spans="1:199" s="128" customFormat="1">
      <c r="A48" s="128" t="str">
        <f t="shared" si="37"/>
        <v/>
      </c>
      <c r="B48" s="226">
        <v>29</v>
      </c>
      <c r="C48" s="227" t="s">
        <v>200</v>
      </c>
      <c r="D48" s="234" t="s">
        <v>169</v>
      </c>
      <c r="E48" s="232">
        <v>1</v>
      </c>
      <c r="F48" s="229">
        <v>11969</v>
      </c>
      <c r="G48" s="243">
        <f ca="1">IF(SUM(J48:OFFSET(J48,,I$6-1))&gt;E48+1000,"錯誤",SUM(J48:OFFSET(J48,,I$6-1)))</f>
        <v>0</v>
      </c>
      <c r="H48" s="243">
        <f t="shared" ca="1" si="38"/>
        <v>1</v>
      </c>
      <c r="I48" s="156" t="str">
        <f t="shared" si="39"/>
        <v/>
      </c>
      <c r="J48" s="244"/>
      <c r="K48" s="245"/>
      <c r="L48" s="245"/>
      <c r="M48" s="60"/>
      <c r="N48" s="246"/>
      <c r="O48" s="60"/>
      <c r="P48" s="246"/>
      <c r="Q48" s="246"/>
      <c r="R48" s="246"/>
      <c r="S48" s="246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247"/>
      <c r="BQ48" s="247"/>
      <c r="BR48" s="247"/>
      <c r="BS48" s="247"/>
      <c r="BT48" s="247"/>
      <c r="BU48" s="247"/>
      <c r="BV48" s="247"/>
      <c r="BW48" s="247"/>
      <c r="BX48" s="247"/>
      <c r="BY48" s="247"/>
      <c r="BZ48" s="247"/>
      <c r="CA48" s="247"/>
      <c r="CB48" s="247"/>
      <c r="CC48" s="247"/>
      <c r="CD48" s="247"/>
      <c r="CE48" s="247"/>
      <c r="CF48" s="247"/>
      <c r="CG48" s="247"/>
      <c r="CH48" s="247"/>
      <c r="CI48" s="247"/>
      <c r="CJ48" s="247"/>
      <c r="CK48" s="247"/>
      <c r="CL48" s="247"/>
      <c r="CM48" s="247"/>
      <c r="CN48" s="247"/>
      <c r="CO48" s="247"/>
      <c r="CP48" s="247"/>
      <c r="CQ48" s="247"/>
      <c r="CR48" s="247"/>
      <c r="CS48" s="247"/>
      <c r="CT48" s="247"/>
      <c r="CU48" s="247"/>
      <c r="CV48" s="247"/>
      <c r="CW48" s="247"/>
      <c r="CX48" s="247"/>
      <c r="CY48" s="247"/>
      <c r="CZ48" s="247"/>
      <c r="DA48" s="247"/>
      <c r="DB48" s="247"/>
      <c r="DC48" s="247"/>
      <c r="DD48" s="247"/>
      <c r="DE48" s="247"/>
      <c r="DF48" s="247"/>
      <c r="DG48" s="247"/>
      <c r="DH48" s="247"/>
      <c r="DI48" s="247"/>
      <c r="DJ48" s="247"/>
      <c r="DK48" s="247"/>
      <c r="DL48" s="247"/>
      <c r="DM48" s="247"/>
      <c r="DN48" s="247"/>
      <c r="DO48" s="247"/>
      <c r="DP48" s="247"/>
      <c r="DQ48" s="247"/>
      <c r="DR48" s="247"/>
      <c r="DS48" s="247"/>
      <c r="DT48" s="247"/>
      <c r="DU48" s="247"/>
      <c r="DV48" s="247"/>
      <c r="DW48" s="247"/>
      <c r="DX48" s="247"/>
      <c r="DY48" s="247"/>
      <c r="DZ48" s="247"/>
      <c r="EA48" s="247"/>
      <c r="EB48" s="247"/>
      <c r="EC48" s="247"/>
      <c r="ED48" s="247"/>
      <c r="EE48" s="247"/>
      <c r="EF48" s="247"/>
      <c r="EG48" s="247"/>
      <c r="EH48" s="247"/>
      <c r="EI48" s="247"/>
      <c r="EJ48" s="247"/>
      <c r="EK48" s="247"/>
      <c r="EL48" s="247"/>
      <c r="EM48" s="247"/>
      <c r="EN48" s="247"/>
      <c r="EO48" s="247"/>
      <c r="EP48" s="247"/>
      <c r="EQ48" s="247"/>
      <c r="ER48" s="247"/>
      <c r="ES48" s="247"/>
      <c r="ET48" s="247"/>
      <c r="EU48" s="247"/>
      <c r="EV48" s="247"/>
      <c r="EW48" s="247"/>
      <c r="EX48" s="247"/>
      <c r="EY48" s="247"/>
      <c r="EZ48" s="247"/>
      <c r="FA48" s="247"/>
      <c r="FB48" s="247"/>
      <c r="FC48" s="247"/>
      <c r="FD48" s="247"/>
      <c r="FE48" s="247"/>
      <c r="FF48" s="247"/>
      <c r="FG48" s="247"/>
      <c r="FH48" s="247"/>
      <c r="FI48" s="247"/>
      <c r="FJ48" s="247"/>
      <c r="FK48" s="247"/>
      <c r="FL48" s="247"/>
      <c r="FM48" s="247"/>
      <c r="FN48" s="247"/>
      <c r="FO48" s="247"/>
      <c r="FP48" s="247"/>
      <c r="FQ48" s="247"/>
      <c r="FR48" s="247"/>
      <c r="FS48" s="247"/>
      <c r="FT48" s="247"/>
      <c r="FU48" s="247"/>
      <c r="FV48" s="247"/>
      <c r="FW48" s="247"/>
      <c r="FX48" s="247"/>
      <c r="FY48" s="247"/>
      <c r="FZ48" s="247"/>
      <c r="GA48" s="247"/>
      <c r="GB48" s="247"/>
      <c r="GC48" s="247"/>
      <c r="GD48" s="247"/>
      <c r="GE48" s="247"/>
      <c r="GF48" s="247"/>
      <c r="GG48" s="247"/>
      <c r="GH48" s="247"/>
      <c r="GI48" s="247"/>
      <c r="GJ48" s="247"/>
      <c r="GK48" s="247"/>
      <c r="GL48" s="247"/>
      <c r="GM48" s="247"/>
      <c r="GN48" s="247"/>
      <c r="GO48" s="247"/>
      <c r="GP48" s="247"/>
      <c r="GQ48" s="247"/>
    </row>
    <row r="49" spans="1:256" s="128" customFormat="1">
      <c r="A49" s="128" t="str">
        <f t="shared" si="37"/>
        <v/>
      </c>
      <c r="B49" s="226">
        <v>30</v>
      </c>
      <c r="C49" s="227" t="s">
        <v>201</v>
      </c>
      <c r="D49" s="234" t="s">
        <v>169</v>
      </c>
      <c r="E49" s="232">
        <v>1</v>
      </c>
      <c r="F49" s="237">
        <v>57748</v>
      </c>
      <c r="G49" s="243">
        <f ca="1">IF(SUM(J49:OFFSET(J49,,I$6-1))&gt;E49+1000,"錯誤",SUM(J49:OFFSET(J49,,I$6-1)))</f>
        <v>0</v>
      </c>
      <c r="H49" s="243">
        <f t="shared" ca="1" si="38"/>
        <v>1</v>
      </c>
      <c r="I49" s="156" t="str">
        <f t="shared" si="39"/>
        <v/>
      </c>
      <c r="J49" s="244"/>
      <c r="K49" s="245"/>
      <c r="L49" s="245"/>
      <c r="M49" s="60"/>
      <c r="N49" s="246"/>
      <c r="O49" s="60"/>
      <c r="P49" s="246"/>
      <c r="Q49" s="246"/>
      <c r="R49" s="246"/>
      <c r="S49" s="246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247"/>
      <c r="BQ49" s="247"/>
      <c r="BR49" s="247"/>
      <c r="BS49" s="247"/>
      <c r="BT49" s="247"/>
      <c r="BU49" s="247"/>
      <c r="BV49" s="247"/>
      <c r="BW49" s="247"/>
      <c r="BX49" s="247"/>
      <c r="BY49" s="247"/>
      <c r="BZ49" s="247"/>
      <c r="CA49" s="247"/>
      <c r="CB49" s="247"/>
      <c r="CC49" s="247"/>
      <c r="CD49" s="247"/>
      <c r="CE49" s="247"/>
      <c r="CF49" s="247"/>
      <c r="CG49" s="247"/>
      <c r="CH49" s="247"/>
      <c r="CI49" s="247"/>
      <c r="CJ49" s="247"/>
      <c r="CK49" s="247"/>
      <c r="CL49" s="247"/>
      <c r="CM49" s="247"/>
      <c r="CN49" s="247"/>
      <c r="CO49" s="247"/>
      <c r="CP49" s="247"/>
      <c r="CQ49" s="247"/>
      <c r="CR49" s="247"/>
      <c r="CS49" s="247"/>
      <c r="CT49" s="247"/>
      <c r="CU49" s="247"/>
      <c r="CV49" s="247"/>
      <c r="CW49" s="247"/>
      <c r="CX49" s="247"/>
      <c r="CY49" s="247"/>
      <c r="CZ49" s="247"/>
      <c r="DA49" s="247"/>
      <c r="DB49" s="247"/>
      <c r="DC49" s="247"/>
      <c r="DD49" s="247"/>
      <c r="DE49" s="247"/>
      <c r="DF49" s="247"/>
      <c r="DG49" s="247"/>
      <c r="DH49" s="247"/>
      <c r="DI49" s="247"/>
      <c r="DJ49" s="247"/>
      <c r="DK49" s="247"/>
      <c r="DL49" s="247"/>
      <c r="DM49" s="247"/>
      <c r="DN49" s="247"/>
      <c r="DO49" s="247"/>
      <c r="DP49" s="247"/>
      <c r="DQ49" s="247"/>
      <c r="DR49" s="247"/>
      <c r="DS49" s="247"/>
      <c r="DT49" s="247"/>
      <c r="DU49" s="247"/>
      <c r="DV49" s="247"/>
      <c r="DW49" s="247"/>
      <c r="DX49" s="247"/>
      <c r="DY49" s="247"/>
      <c r="DZ49" s="247"/>
      <c r="EA49" s="247"/>
      <c r="EB49" s="247"/>
      <c r="EC49" s="247"/>
      <c r="ED49" s="247"/>
      <c r="EE49" s="247"/>
      <c r="EF49" s="247"/>
      <c r="EG49" s="247"/>
      <c r="EH49" s="247"/>
      <c r="EI49" s="247"/>
      <c r="EJ49" s="247"/>
      <c r="EK49" s="247"/>
      <c r="EL49" s="247"/>
      <c r="EM49" s="247"/>
      <c r="EN49" s="247"/>
      <c r="EO49" s="247"/>
      <c r="EP49" s="247"/>
      <c r="EQ49" s="247"/>
      <c r="ER49" s="247"/>
      <c r="ES49" s="247"/>
      <c r="ET49" s="247"/>
      <c r="EU49" s="247"/>
      <c r="EV49" s="247"/>
      <c r="EW49" s="247"/>
      <c r="EX49" s="247"/>
      <c r="EY49" s="247"/>
      <c r="EZ49" s="247"/>
      <c r="FA49" s="247"/>
      <c r="FB49" s="247"/>
      <c r="FC49" s="247"/>
      <c r="FD49" s="247"/>
      <c r="FE49" s="247"/>
      <c r="FF49" s="247"/>
      <c r="FG49" s="247"/>
      <c r="FH49" s="247"/>
      <c r="FI49" s="247"/>
      <c r="FJ49" s="247"/>
      <c r="FK49" s="247"/>
      <c r="FL49" s="247"/>
      <c r="FM49" s="247"/>
      <c r="FN49" s="247"/>
      <c r="FO49" s="247"/>
      <c r="FP49" s="247"/>
      <c r="FQ49" s="247"/>
      <c r="FR49" s="247"/>
      <c r="FS49" s="247"/>
      <c r="FT49" s="247"/>
      <c r="FU49" s="247"/>
      <c r="FV49" s="247"/>
      <c r="FW49" s="247"/>
      <c r="FX49" s="247"/>
      <c r="FY49" s="247"/>
      <c r="FZ49" s="247"/>
      <c r="GA49" s="247"/>
      <c r="GB49" s="247"/>
      <c r="GC49" s="247"/>
      <c r="GD49" s="247"/>
      <c r="GE49" s="247"/>
      <c r="GF49" s="247"/>
      <c r="GG49" s="247"/>
      <c r="GH49" s="247"/>
      <c r="GI49" s="247"/>
      <c r="GJ49" s="247"/>
      <c r="GK49" s="247"/>
      <c r="GL49" s="247"/>
      <c r="GM49" s="247"/>
      <c r="GN49" s="247"/>
      <c r="GO49" s="247"/>
      <c r="GP49" s="247"/>
      <c r="GQ49" s="247"/>
    </row>
    <row r="50" spans="1:256" s="128" customFormat="1" ht="17.100000000000001" customHeight="1">
      <c r="A50" s="128" t="str">
        <f t="shared" si="37"/>
        <v/>
      </c>
      <c r="B50" s="238" t="s">
        <v>202</v>
      </c>
      <c r="C50" s="233" t="s">
        <v>203</v>
      </c>
      <c r="D50" s="238" t="s">
        <v>169</v>
      </c>
      <c r="E50" s="237">
        <v>1</v>
      </c>
      <c r="F50" s="237">
        <v>17472</v>
      </c>
      <c r="G50" s="243">
        <f ca="1">IF(SUM(J50:OFFSET(J50,,I$6-1))&gt;E50+1000,"錯誤",SUM(J50:OFFSET(J50,,I$6-1)))</f>
        <v>0</v>
      </c>
      <c r="H50" s="243">
        <f t="shared" ca="1" si="38"/>
        <v>1</v>
      </c>
      <c r="I50" s="156" t="str">
        <f t="shared" si="39"/>
        <v/>
      </c>
      <c r="J50" s="244"/>
      <c r="K50" s="245"/>
      <c r="L50" s="245"/>
      <c r="M50" s="60"/>
      <c r="N50" s="246"/>
      <c r="O50" s="60"/>
      <c r="P50" s="246"/>
      <c r="Q50" s="246"/>
      <c r="R50" s="246"/>
      <c r="S50" s="246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>
        <v>0.11</v>
      </c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247"/>
      <c r="BQ50" s="247"/>
      <c r="BR50" s="247"/>
      <c r="BS50" s="247"/>
      <c r="BT50" s="247"/>
      <c r="BU50" s="247"/>
      <c r="BV50" s="247"/>
      <c r="BW50" s="247"/>
      <c r="BX50" s="247"/>
      <c r="BY50" s="247"/>
      <c r="BZ50" s="247"/>
      <c r="CA50" s="247"/>
      <c r="CB50" s="247"/>
      <c r="CC50" s="247"/>
      <c r="CD50" s="247"/>
      <c r="CE50" s="247"/>
      <c r="CF50" s="247"/>
      <c r="CG50" s="247"/>
      <c r="CH50" s="247"/>
      <c r="CI50" s="247"/>
      <c r="CJ50" s="247"/>
      <c r="CK50" s="247"/>
      <c r="CL50" s="247"/>
      <c r="CM50" s="247"/>
      <c r="CN50" s="247"/>
      <c r="CO50" s="247"/>
      <c r="CP50" s="247"/>
      <c r="CQ50" s="247"/>
      <c r="CR50" s="247"/>
      <c r="CS50" s="247"/>
      <c r="CT50" s="247"/>
      <c r="CU50" s="247"/>
      <c r="CV50" s="247"/>
      <c r="CW50" s="247"/>
      <c r="CX50" s="247"/>
      <c r="CY50" s="247"/>
      <c r="CZ50" s="247"/>
      <c r="DA50" s="247"/>
      <c r="DB50" s="247"/>
      <c r="DC50" s="247"/>
      <c r="DD50" s="247"/>
      <c r="DE50" s="247"/>
      <c r="DF50" s="247"/>
      <c r="DG50" s="247"/>
      <c r="DH50" s="247"/>
      <c r="DI50" s="247"/>
      <c r="DJ50" s="247"/>
      <c r="DK50" s="247"/>
      <c r="DL50" s="247"/>
      <c r="DM50" s="247"/>
      <c r="DN50" s="247"/>
      <c r="DO50" s="247"/>
      <c r="DP50" s="247"/>
      <c r="DQ50" s="247"/>
      <c r="DR50" s="247"/>
      <c r="DS50" s="247"/>
      <c r="DT50" s="247"/>
      <c r="DU50" s="247"/>
      <c r="DV50" s="247"/>
      <c r="DW50" s="247"/>
      <c r="DX50" s="247"/>
      <c r="DY50" s="247"/>
      <c r="DZ50" s="247"/>
      <c r="EA50" s="247"/>
      <c r="EB50" s="247"/>
      <c r="EC50" s="247"/>
      <c r="ED50" s="247"/>
      <c r="EE50" s="247"/>
      <c r="EF50" s="247"/>
      <c r="EG50" s="247"/>
      <c r="EH50" s="247"/>
      <c r="EI50" s="247"/>
      <c r="EJ50" s="247"/>
      <c r="EK50" s="247"/>
      <c r="EL50" s="247"/>
      <c r="EM50" s="247"/>
      <c r="EN50" s="247"/>
      <c r="EO50" s="247"/>
      <c r="EP50" s="247"/>
      <c r="EQ50" s="247"/>
      <c r="ER50" s="247"/>
      <c r="ES50" s="247"/>
      <c r="ET50" s="247"/>
      <c r="EU50" s="247"/>
      <c r="EV50" s="247"/>
      <c r="EW50" s="247"/>
      <c r="EX50" s="247"/>
      <c r="EY50" s="247"/>
      <c r="EZ50" s="247"/>
      <c r="FA50" s="247"/>
      <c r="FB50" s="247"/>
      <c r="FC50" s="247"/>
      <c r="FD50" s="247"/>
      <c r="FE50" s="247"/>
      <c r="FF50" s="247"/>
      <c r="FG50" s="247"/>
      <c r="FH50" s="247"/>
      <c r="FI50" s="247"/>
      <c r="FJ50" s="247"/>
      <c r="FK50" s="247"/>
      <c r="FL50" s="247"/>
      <c r="FM50" s="247"/>
      <c r="FN50" s="247"/>
      <c r="FO50" s="247"/>
      <c r="FP50" s="247"/>
      <c r="FQ50" s="247"/>
      <c r="FR50" s="247"/>
      <c r="FS50" s="247"/>
      <c r="FT50" s="247"/>
      <c r="FU50" s="247"/>
      <c r="FV50" s="247"/>
      <c r="FW50" s="247"/>
      <c r="FX50" s="247"/>
      <c r="FY50" s="247"/>
      <c r="FZ50" s="247"/>
      <c r="GA50" s="247"/>
      <c r="GB50" s="247"/>
      <c r="GC50" s="247"/>
      <c r="GD50" s="247"/>
      <c r="GE50" s="247"/>
      <c r="GF50" s="247"/>
      <c r="GG50" s="247"/>
      <c r="GH50" s="247"/>
      <c r="GI50" s="247"/>
      <c r="GJ50" s="247"/>
      <c r="GK50" s="247"/>
      <c r="GL50" s="247"/>
      <c r="GM50" s="247"/>
      <c r="GN50" s="247"/>
      <c r="GO50" s="247"/>
      <c r="GP50" s="247"/>
      <c r="GQ50" s="247"/>
    </row>
    <row r="51" spans="1:256" s="128" customFormat="1">
      <c r="A51" s="128" t="str">
        <f t="shared" si="37"/>
        <v/>
      </c>
      <c r="B51" s="238" t="s">
        <v>204</v>
      </c>
      <c r="C51" s="233" t="s">
        <v>205</v>
      </c>
      <c r="D51" s="238" t="s">
        <v>169</v>
      </c>
      <c r="E51" s="237">
        <v>1</v>
      </c>
      <c r="F51" s="237">
        <v>29121</v>
      </c>
      <c r="G51" s="243">
        <f ca="1">IF(SUM(J51:OFFSET(J51,,I$6-1))&gt;E51+1000,"錯誤",SUM(J51:OFFSET(J51,,I$6-1)))</f>
        <v>0</v>
      </c>
      <c r="H51" s="243">
        <f t="shared" ca="1" si="38"/>
        <v>1</v>
      </c>
      <c r="I51" s="156" t="str">
        <f t="shared" si="39"/>
        <v/>
      </c>
      <c r="J51" s="244"/>
      <c r="K51" s="245"/>
      <c r="L51" s="245"/>
      <c r="M51" s="60"/>
      <c r="N51" s="246"/>
      <c r="O51" s="60"/>
      <c r="P51" s="246"/>
      <c r="Q51" s="246"/>
      <c r="R51" s="246"/>
      <c r="S51" s="246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>
        <v>0.11</v>
      </c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247"/>
      <c r="BQ51" s="247"/>
      <c r="BR51" s="247"/>
      <c r="BS51" s="247"/>
      <c r="BT51" s="247"/>
      <c r="BU51" s="247"/>
      <c r="BV51" s="247"/>
      <c r="BW51" s="247"/>
      <c r="BX51" s="247"/>
      <c r="BY51" s="247"/>
      <c r="BZ51" s="247"/>
      <c r="CA51" s="247"/>
      <c r="CB51" s="247"/>
      <c r="CC51" s="247"/>
      <c r="CD51" s="247"/>
      <c r="CE51" s="247"/>
      <c r="CF51" s="247"/>
      <c r="CG51" s="247"/>
      <c r="CH51" s="247"/>
      <c r="CI51" s="247"/>
      <c r="CJ51" s="247"/>
      <c r="CK51" s="247"/>
      <c r="CL51" s="247"/>
      <c r="CM51" s="247"/>
      <c r="CN51" s="247"/>
      <c r="CO51" s="247"/>
      <c r="CP51" s="247"/>
      <c r="CQ51" s="247"/>
      <c r="CR51" s="247"/>
      <c r="CS51" s="247"/>
      <c r="CT51" s="247"/>
      <c r="CU51" s="247"/>
      <c r="CV51" s="247"/>
      <c r="CW51" s="247"/>
      <c r="CX51" s="247"/>
      <c r="CY51" s="247"/>
      <c r="CZ51" s="247"/>
      <c r="DA51" s="247"/>
      <c r="DB51" s="247"/>
      <c r="DC51" s="247"/>
      <c r="DD51" s="247"/>
      <c r="DE51" s="247"/>
      <c r="DF51" s="247"/>
      <c r="DG51" s="247"/>
      <c r="DH51" s="247"/>
      <c r="DI51" s="247"/>
      <c r="DJ51" s="247"/>
      <c r="DK51" s="247"/>
      <c r="DL51" s="247"/>
      <c r="DM51" s="247"/>
      <c r="DN51" s="247"/>
      <c r="DO51" s="247"/>
      <c r="DP51" s="247"/>
      <c r="DQ51" s="247"/>
      <c r="DR51" s="247"/>
      <c r="DS51" s="247"/>
      <c r="DT51" s="247"/>
      <c r="DU51" s="247"/>
      <c r="DV51" s="247"/>
      <c r="DW51" s="247"/>
      <c r="DX51" s="247"/>
      <c r="DY51" s="247"/>
      <c r="DZ51" s="247"/>
      <c r="EA51" s="247"/>
      <c r="EB51" s="247"/>
      <c r="EC51" s="247"/>
      <c r="ED51" s="247"/>
      <c r="EE51" s="247"/>
      <c r="EF51" s="247"/>
      <c r="EG51" s="247"/>
      <c r="EH51" s="247"/>
      <c r="EI51" s="247"/>
      <c r="EJ51" s="247"/>
      <c r="EK51" s="247"/>
      <c r="EL51" s="247"/>
      <c r="EM51" s="247"/>
      <c r="EN51" s="247"/>
      <c r="EO51" s="247"/>
      <c r="EP51" s="247"/>
      <c r="EQ51" s="247"/>
      <c r="ER51" s="247"/>
      <c r="ES51" s="247"/>
      <c r="ET51" s="247"/>
      <c r="EU51" s="247"/>
      <c r="EV51" s="247"/>
      <c r="EW51" s="247"/>
      <c r="EX51" s="247"/>
      <c r="EY51" s="247"/>
      <c r="EZ51" s="247"/>
      <c r="FA51" s="247"/>
      <c r="FB51" s="247"/>
      <c r="FC51" s="247"/>
      <c r="FD51" s="247"/>
      <c r="FE51" s="247"/>
      <c r="FF51" s="247"/>
      <c r="FG51" s="247"/>
      <c r="FH51" s="247"/>
      <c r="FI51" s="247"/>
      <c r="FJ51" s="247"/>
      <c r="FK51" s="247"/>
      <c r="FL51" s="247"/>
      <c r="FM51" s="247"/>
      <c r="FN51" s="247"/>
      <c r="FO51" s="247"/>
      <c r="FP51" s="247"/>
      <c r="FQ51" s="247"/>
      <c r="FR51" s="247"/>
      <c r="FS51" s="247"/>
      <c r="FT51" s="247"/>
      <c r="FU51" s="247"/>
      <c r="FV51" s="247"/>
      <c r="FW51" s="247"/>
      <c r="FX51" s="247"/>
      <c r="FY51" s="247"/>
      <c r="FZ51" s="247"/>
      <c r="GA51" s="247"/>
      <c r="GB51" s="247"/>
      <c r="GC51" s="247"/>
      <c r="GD51" s="247"/>
      <c r="GE51" s="247"/>
      <c r="GF51" s="247"/>
      <c r="GG51" s="247"/>
      <c r="GH51" s="247"/>
      <c r="GI51" s="247"/>
      <c r="GJ51" s="247"/>
      <c r="GK51" s="247"/>
      <c r="GL51" s="247"/>
      <c r="GM51" s="247"/>
      <c r="GN51" s="247"/>
      <c r="GO51" s="247"/>
      <c r="GP51" s="247"/>
      <c r="GQ51" s="247"/>
    </row>
    <row r="52" spans="1:256" s="128" customFormat="1">
      <c r="A52" s="128" t="str">
        <f t="shared" si="37"/>
        <v/>
      </c>
      <c r="B52" s="238" t="s">
        <v>206</v>
      </c>
      <c r="C52" s="233" t="s">
        <v>207</v>
      </c>
      <c r="D52" s="238" t="s">
        <v>169</v>
      </c>
      <c r="E52" s="237">
        <v>1</v>
      </c>
      <c r="F52" s="237">
        <v>203845</v>
      </c>
      <c r="G52" s="243">
        <f ca="1">IF(SUM(J52:OFFSET(J52,,I$6-1))&gt;E52+1000,"錯誤",SUM(J52:OFFSET(J52,,I$6-1)))</f>
        <v>0</v>
      </c>
      <c r="H52" s="243">
        <f t="shared" ca="1" si="38"/>
        <v>1</v>
      </c>
      <c r="I52" s="156" t="str">
        <f t="shared" si="39"/>
        <v/>
      </c>
      <c r="J52" s="244"/>
      <c r="K52" s="245"/>
      <c r="L52" s="245"/>
      <c r="M52" s="60"/>
      <c r="N52" s="246"/>
      <c r="O52" s="60"/>
      <c r="P52" s="246"/>
      <c r="Q52" s="246"/>
      <c r="R52" s="246"/>
      <c r="S52" s="246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>
        <v>0.11</v>
      </c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247"/>
      <c r="BQ52" s="247"/>
      <c r="BR52" s="247"/>
      <c r="BS52" s="247"/>
      <c r="BT52" s="247"/>
      <c r="BU52" s="247"/>
      <c r="BV52" s="247"/>
      <c r="BW52" s="247"/>
      <c r="BX52" s="247"/>
      <c r="BY52" s="247"/>
      <c r="BZ52" s="247"/>
      <c r="CA52" s="247"/>
      <c r="CB52" s="247"/>
      <c r="CC52" s="247"/>
      <c r="CD52" s="247"/>
      <c r="CE52" s="247"/>
      <c r="CF52" s="247"/>
      <c r="CG52" s="247"/>
      <c r="CH52" s="247"/>
      <c r="CI52" s="247"/>
      <c r="CJ52" s="247"/>
      <c r="CK52" s="247"/>
      <c r="CL52" s="247"/>
      <c r="CM52" s="247"/>
      <c r="CN52" s="247"/>
      <c r="CO52" s="247"/>
      <c r="CP52" s="247"/>
      <c r="CQ52" s="247"/>
      <c r="CR52" s="247"/>
      <c r="CS52" s="247"/>
      <c r="CT52" s="247"/>
      <c r="CU52" s="247"/>
      <c r="CV52" s="247"/>
      <c r="CW52" s="247"/>
      <c r="CX52" s="247"/>
      <c r="CY52" s="247"/>
      <c r="CZ52" s="247"/>
      <c r="DA52" s="247"/>
      <c r="DB52" s="247"/>
      <c r="DC52" s="247"/>
      <c r="DD52" s="247"/>
      <c r="DE52" s="247"/>
      <c r="DF52" s="247"/>
      <c r="DG52" s="247"/>
      <c r="DH52" s="247"/>
      <c r="DI52" s="247"/>
      <c r="DJ52" s="247"/>
      <c r="DK52" s="247"/>
      <c r="DL52" s="247"/>
      <c r="DM52" s="247"/>
      <c r="DN52" s="247"/>
      <c r="DO52" s="247"/>
      <c r="DP52" s="247"/>
      <c r="DQ52" s="247"/>
      <c r="DR52" s="247"/>
      <c r="DS52" s="247"/>
      <c r="DT52" s="247"/>
      <c r="DU52" s="247"/>
      <c r="DV52" s="247"/>
      <c r="DW52" s="247"/>
      <c r="DX52" s="247"/>
      <c r="DY52" s="247"/>
      <c r="DZ52" s="247"/>
      <c r="EA52" s="247"/>
      <c r="EB52" s="247"/>
      <c r="EC52" s="247"/>
      <c r="ED52" s="247"/>
      <c r="EE52" s="247"/>
      <c r="EF52" s="247"/>
      <c r="EG52" s="247"/>
      <c r="EH52" s="247"/>
      <c r="EI52" s="247"/>
      <c r="EJ52" s="247"/>
      <c r="EK52" s="247"/>
      <c r="EL52" s="247"/>
      <c r="EM52" s="247"/>
      <c r="EN52" s="247"/>
      <c r="EO52" s="247"/>
      <c r="EP52" s="247"/>
      <c r="EQ52" s="247"/>
      <c r="ER52" s="247"/>
      <c r="ES52" s="247"/>
      <c r="ET52" s="247"/>
      <c r="EU52" s="247"/>
      <c r="EV52" s="247"/>
      <c r="EW52" s="247"/>
      <c r="EX52" s="247"/>
      <c r="EY52" s="247"/>
      <c r="EZ52" s="247"/>
      <c r="FA52" s="247"/>
      <c r="FB52" s="247"/>
      <c r="FC52" s="247"/>
      <c r="FD52" s="247"/>
      <c r="FE52" s="247"/>
      <c r="FF52" s="247"/>
      <c r="FG52" s="247"/>
      <c r="FH52" s="247"/>
      <c r="FI52" s="247"/>
      <c r="FJ52" s="247"/>
      <c r="FK52" s="247"/>
      <c r="FL52" s="247"/>
      <c r="FM52" s="247"/>
      <c r="FN52" s="247"/>
      <c r="FO52" s="247"/>
      <c r="FP52" s="247"/>
      <c r="FQ52" s="247"/>
      <c r="FR52" s="247"/>
      <c r="FS52" s="247"/>
      <c r="FT52" s="247"/>
      <c r="FU52" s="247"/>
      <c r="FV52" s="247"/>
      <c r="FW52" s="247"/>
      <c r="FX52" s="247"/>
      <c r="FY52" s="247"/>
      <c r="FZ52" s="247"/>
      <c r="GA52" s="247"/>
      <c r="GB52" s="247"/>
      <c r="GC52" s="247"/>
      <c r="GD52" s="247"/>
      <c r="GE52" s="247"/>
      <c r="GF52" s="247"/>
      <c r="GG52" s="247"/>
      <c r="GH52" s="247"/>
      <c r="GI52" s="247"/>
      <c r="GJ52" s="247"/>
      <c r="GK52" s="247"/>
      <c r="GL52" s="247"/>
      <c r="GM52" s="247"/>
      <c r="GN52" s="247"/>
      <c r="GO52" s="247"/>
      <c r="GP52" s="247"/>
      <c r="GQ52" s="247"/>
    </row>
    <row r="53" spans="1:256" s="128" customFormat="1">
      <c r="A53" s="128" t="str">
        <f t="shared" ref="A53:A56" si="40">IF(I53="","",B53)</f>
        <v/>
      </c>
      <c r="B53" s="238" t="s">
        <v>208</v>
      </c>
      <c r="C53" s="233" t="s">
        <v>209</v>
      </c>
      <c r="D53" s="238" t="s">
        <v>169</v>
      </c>
      <c r="E53" s="237">
        <v>1</v>
      </c>
      <c r="F53" s="237">
        <v>8921</v>
      </c>
      <c r="G53" s="243">
        <f ca="1">IF(SUM(J53:OFFSET(J53,,I$6-1))&gt;E53+1000,"錯誤",SUM(J53:OFFSET(J53,,I$6-1)))</f>
        <v>1</v>
      </c>
      <c r="H53" s="243">
        <f t="shared" ca="1" si="38"/>
        <v>0</v>
      </c>
      <c r="I53" s="156" t="str">
        <f t="shared" si="39"/>
        <v/>
      </c>
      <c r="J53" s="244">
        <v>1</v>
      </c>
      <c r="K53" s="245"/>
      <c r="L53" s="245"/>
      <c r="M53" s="60"/>
      <c r="N53" s="246"/>
      <c r="O53" s="60"/>
      <c r="P53" s="246"/>
      <c r="Q53" s="246"/>
      <c r="R53" s="246"/>
      <c r="S53" s="246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247"/>
      <c r="BQ53" s="247"/>
      <c r="BR53" s="247"/>
      <c r="BS53" s="247"/>
      <c r="BT53" s="247"/>
      <c r="BU53" s="247"/>
      <c r="BV53" s="247"/>
      <c r="BW53" s="247"/>
      <c r="BX53" s="247"/>
      <c r="BY53" s="247"/>
      <c r="BZ53" s="247"/>
      <c r="CA53" s="247"/>
      <c r="CB53" s="247"/>
      <c r="CC53" s="247"/>
      <c r="CD53" s="247"/>
      <c r="CE53" s="247"/>
      <c r="CF53" s="247"/>
      <c r="CG53" s="247"/>
      <c r="CH53" s="247"/>
      <c r="CI53" s="247"/>
      <c r="CJ53" s="247"/>
      <c r="CK53" s="247"/>
      <c r="CL53" s="247"/>
      <c r="CM53" s="247"/>
      <c r="CN53" s="247"/>
      <c r="CO53" s="247"/>
      <c r="CP53" s="247"/>
      <c r="CQ53" s="247"/>
      <c r="CR53" s="247"/>
      <c r="CS53" s="247"/>
      <c r="CT53" s="247"/>
      <c r="CU53" s="247"/>
      <c r="CV53" s="247"/>
      <c r="CW53" s="247"/>
      <c r="CX53" s="247"/>
      <c r="CY53" s="247"/>
      <c r="CZ53" s="247"/>
      <c r="DA53" s="247"/>
      <c r="DB53" s="247"/>
      <c r="DC53" s="247"/>
      <c r="DD53" s="247"/>
      <c r="DE53" s="247"/>
      <c r="DF53" s="247"/>
      <c r="DG53" s="247"/>
      <c r="DH53" s="247"/>
      <c r="DI53" s="247"/>
      <c r="DJ53" s="247"/>
      <c r="DK53" s="247"/>
      <c r="DL53" s="247"/>
      <c r="DM53" s="247"/>
      <c r="DN53" s="247"/>
      <c r="DO53" s="247"/>
      <c r="DP53" s="247"/>
      <c r="DQ53" s="247"/>
      <c r="DR53" s="247"/>
      <c r="DS53" s="247"/>
      <c r="DT53" s="247"/>
      <c r="DU53" s="247"/>
      <c r="DV53" s="247"/>
      <c r="DW53" s="247"/>
      <c r="DX53" s="247"/>
      <c r="DY53" s="247"/>
      <c r="DZ53" s="247"/>
      <c r="EA53" s="247"/>
      <c r="EB53" s="247"/>
      <c r="EC53" s="247"/>
      <c r="ED53" s="247"/>
      <c r="EE53" s="247"/>
      <c r="EF53" s="247"/>
      <c r="EG53" s="247"/>
      <c r="EH53" s="247"/>
      <c r="EI53" s="247"/>
      <c r="EJ53" s="247"/>
      <c r="EK53" s="247"/>
      <c r="EL53" s="247"/>
      <c r="EM53" s="247"/>
      <c r="EN53" s="247"/>
      <c r="EO53" s="247"/>
      <c r="EP53" s="247"/>
      <c r="EQ53" s="247"/>
      <c r="ER53" s="247"/>
      <c r="ES53" s="247"/>
      <c r="ET53" s="247"/>
      <c r="EU53" s="247"/>
      <c r="EV53" s="247"/>
      <c r="EW53" s="247"/>
      <c r="EX53" s="247"/>
      <c r="EY53" s="247"/>
      <c r="EZ53" s="247"/>
      <c r="FA53" s="247"/>
      <c r="FB53" s="247"/>
      <c r="FC53" s="247"/>
      <c r="FD53" s="247"/>
      <c r="FE53" s="247"/>
      <c r="FF53" s="247"/>
      <c r="FG53" s="247"/>
      <c r="FH53" s="247"/>
      <c r="FI53" s="247"/>
      <c r="FJ53" s="247"/>
      <c r="FK53" s="247"/>
      <c r="FL53" s="247"/>
      <c r="FM53" s="247"/>
      <c r="FN53" s="247"/>
      <c r="FO53" s="247"/>
      <c r="FP53" s="247"/>
      <c r="FQ53" s="247"/>
      <c r="FR53" s="247"/>
      <c r="FS53" s="247"/>
      <c r="FT53" s="247"/>
      <c r="FU53" s="247"/>
      <c r="FV53" s="247"/>
      <c r="FW53" s="247"/>
      <c r="FX53" s="247"/>
      <c r="FY53" s="247"/>
      <c r="FZ53" s="247"/>
      <c r="GA53" s="247"/>
      <c r="GB53" s="247"/>
      <c r="GC53" s="247"/>
      <c r="GD53" s="247"/>
      <c r="GE53" s="247"/>
      <c r="GF53" s="247"/>
      <c r="GG53" s="247"/>
      <c r="GH53" s="247"/>
      <c r="GI53" s="247"/>
      <c r="GJ53" s="247"/>
      <c r="GK53" s="247"/>
      <c r="GL53" s="247"/>
      <c r="GM53" s="247"/>
      <c r="GN53" s="247"/>
      <c r="GO53" s="247"/>
      <c r="GP53" s="247"/>
      <c r="GQ53" s="247"/>
    </row>
    <row r="54" spans="1:256" s="128" customFormat="1">
      <c r="A54" s="128" t="str">
        <f t="shared" si="40"/>
        <v/>
      </c>
      <c r="B54" s="238" t="s">
        <v>210</v>
      </c>
      <c r="C54" s="233" t="s">
        <v>211</v>
      </c>
      <c r="D54" s="238" t="s">
        <v>169</v>
      </c>
      <c r="E54" s="237">
        <v>1</v>
      </c>
      <c r="F54" s="229">
        <v>158571</v>
      </c>
      <c r="G54" s="243">
        <f ca="1">IF(SUM(J54:OFFSET(J54,,I$6-1))&gt;E54+1000,"錯誤",SUM(J54:OFFSET(J54,,I$6-1)))</f>
        <v>0</v>
      </c>
      <c r="H54" s="243">
        <f t="shared" ca="1" si="38"/>
        <v>1</v>
      </c>
      <c r="I54" s="156" t="str">
        <f t="shared" si="39"/>
        <v/>
      </c>
      <c r="J54" s="244"/>
      <c r="K54" s="245"/>
      <c r="L54" s="245"/>
      <c r="M54" s="60"/>
      <c r="N54" s="246"/>
      <c r="O54" s="60"/>
      <c r="P54" s="246"/>
      <c r="Q54" s="246"/>
      <c r="R54" s="246"/>
      <c r="S54" s="246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>
        <v>0.11</v>
      </c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247"/>
      <c r="BQ54" s="247"/>
      <c r="BR54" s="247"/>
      <c r="BS54" s="247"/>
      <c r="BT54" s="247"/>
      <c r="BU54" s="247"/>
      <c r="BV54" s="247"/>
      <c r="BW54" s="247"/>
      <c r="BX54" s="247"/>
      <c r="BY54" s="247"/>
      <c r="BZ54" s="247"/>
      <c r="CA54" s="247"/>
      <c r="CB54" s="247"/>
      <c r="CC54" s="247"/>
      <c r="CD54" s="247"/>
      <c r="CE54" s="247"/>
      <c r="CF54" s="247"/>
      <c r="CG54" s="247"/>
      <c r="CH54" s="247"/>
      <c r="CI54" s="247"/>
      <c r="CJ54" s="247"/>
      <c r="CK54" s="247"/>
      <c r="CL54" s="247"/>
      <c r="CM54" s="247"/>
      <c r="CN54" s="247"/>
      <c r="CO54" s="247"/>
      <c r="CP54" s="247"/>
      <c r="CQ54" s="247"/>
      <c r="CR54" s="247"/>
      <c r="CS54" s="247"/>
      <c r="CT54" s="247"/>
      <c r="CU54" s="247"/>
      <c r="CV54" s="247"/>
      <c r="CW54" s="247"/>
      <c r="CX54" s="247"/>
      <c r="CY54" s="247"/>
      <c r="CZ54" s="247"/>
      <c r="DA54" s="247"/>
      <c r="DB54" s="247"/>
      <c r="DC54" s="247"/>
      <c r="DD54" s="247"/>
      <c r="DE54" s="247"/>
      <c r="DF54" s="247"/>
      <c r="DG54" s="247"/>
      <c r="DH54" s="247"/>
      <c r="DI54" s="247"/>
      <c r="DJ54" s="247"/>
      <c r="DK54" s="247"/>
      <c r="DL54" s="247"/>
      <c r="DM54" s="247"/>
      <c r="DN54" s="247"/>
      <c r="DO54" s="247"/>
      <c r="DP54" s="247"/>
      <c r="DQ54" s="247"/>
      <c r="DR54" s="247"/>
      <c r="DS54" s="247"/>
      <c r="DT54" s="247"/>
      <c r="DU54" s="247"/>
      <c r="DV54" s="247"/>
      <c r="DW54" s="247"/>
      <c r="DX54" s="247"/>
      <c r="DY54" s="247"/>
      <c r="DZ54" s="247"/>
      <c r="EA54" s="247"/>
      <c r="EB54" s="247"/>
      <c r="EC54" s="247"/>
      <c r="ED54" s="247"/>
      <c r="EE54" s="247"/>
      <c r="EF54" s="247"/>
      <c r="EG54" s="247"/>
      <c r="EH54" s="247"/>
      <c r="EI54" s="247"/>
      <c r="EJ54" s="247"/>
      <c r="EK54" s="247"/>
      <c r="EL54" s="247"/>
      <c r="EM54" s="247"/>
      <c r="EN54" s="247"/>
      <c r="EO54" s="247"/>
      <c r="EP54" s="247"/>
      <c r="EQ54" s="247"/>
      <c r="ER54" s="247"/>
      <c r="ES54" s="247"/>
      <c r="ET54" s="247"/>
      <c r="EU54" s="247"/>
      <c r="EV54" s="247"/>
      <c r="EW54" s="247"/>
      <c r="EX54" s="247"/>
      <c r="EY54" s="247"/>
      <c r="EZ54" s="247"/>
      <c r="FA54" s="247"/>
      <c r="FB54" s="247"/>
      <c r="FC54" s="247"/>
      <c r="FD54" s="247"/>
      <c r="FE54" s="247"/>
      <c r="FF54" s="247"/>
      <c r="FG54" s="247"/>
      <c r="FH54" s="247"/>
      <c r="FI54" s="247"/>
      <c r="FJ54" s="247"/>
      <c r="FK54" s="247"/>
      <c r="FL54" s="247"/>
      <c r="FM54" s="247"/>
      <c r="FN54" s="247"/>
      <c r="FO54" s="247"/>
      <c r="FP54" s="247"/>
      <c r="FQ54" s="247"/>
      <c r="FR54" s="247"/>
      <c r="FS54" s="247"/>
      <c r="FT54" s="247"/>
      <c r="FU54" s="247"/>
      <c r="FV54" s="247"/>
      <c r="FW54" s="247"/>
      <c r="FX54" s="247"/>
      <c r="FY54" s="247"/>
      <c r="FZ54" s="247"/>
      <c r="GA54" s="247"/>
      <c r="GB54" s="247"/>
      <c r="GC54" s="247"/>
      <c r="GD54" s="247"/>
      <c r="GE54" s="247"/>
      <c r="GF54" s="247"/>
      <c r="GG54" s="247"/>
      <c r="GH54" s="247"/>
      <c r="GI54" s="247"/>
      <c r="GJ54" s="247"/>
      <c r="GK54" s="247"/>
      <c r="GL54" s="247"/>
      <c r="GM54" s="247"/>
      <c r="GN54" s="247"/>
      <c r="GO54" s="247"/>
      <c r="GP54" s="247"/>
      <c r="GQ54" s="247"/>
    </row>
    <row r="55" spans="1:256" s="128" customFormat="1">
      <c r="A55" s="128" t="str">
        <f t="shared" si="40"/>
        <v/>
      </c>
      <c r="C55" s="192"/>
      <c r="D55" s="192"/>
      <c r="E55" s="192" t="s">
        <v>91</v>
      </c>
      <c r="F55" s="192" t="s">
        <v>91</v>
      </c>
      <c r="G55" s="192" t="s">
        <v>91</v>
      </c>
      <c r="H55" s="192" t="s">
        <v>91</v>
      </c>
      <c r="I55" s="156" t="str">
        <f t="shared" ref="I55:I56" si="41">IF(LOOKUP(I$6,J$6:IU$6,J55:IU55)=0,"",LOOKUP(I$6,J$6:IU$6,J55:AR55))</f>
        <v/>
      </c>
      <c r="J55" s="244"/>
      <c r="K55" s="245"/>
      <c r="L55" s="245"/>
      <c r="M55" s="60"/>
      <c r="N55" s="246"/>
      <c r="O55" s="60"/>
      <c r="P55" s="246"/>
      <c r="Q55" s="246"/>
      <c r="R55" s="246"/>
      <c r="S55" s="246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247"/>
      <c r="BQ55" s="247"/>
      <c r="BR55" s="247"/>
      <c r="BS55" s="247"/>
      <c r="BT55" s="247"/>
      <c r="BU55" s="247"/>
      <c r="BV55" s="247"/>
      <c r="BW55" s="247"/>
      <c r="BX55" s="247"/>
      <c r="BY55" s="247"/>
      <c r="BZ55" s="247"/>
      <c r="CA55" s="247"/>
      <c r="CB55" s="247"/>
      <c r="CC55" s="247"/>
      <c r="CD55" s="247"/>
      <c r="CE55" s="247"/>
      <c r="CF55" s="247"/>
      <c r="CG55" s="247"/>
      <c r="CH55" s="247"/>
      <c r="CI55" s="247"/>
      <c r="CJ55" s="247"/>
      <c r="CK55" s="247"/>
      <c r="CL55" s="247"/>
      <c r="CM55" s="247"/>
      <c r="CN55" s="247"/>
      <c r="CO55" s="247"/>
      <c r="CP55" s="247"/>
      <c r="CQ55" s="247"/>
      <c r="CR55" s="247"/>
      <c r="CS55" s="247"/>
      <c r="CT55" s="247"/>
      <c r="CU55" s="247"/>
      <c r="CV55" s="247"/>
      <c r="CW55" s="247"/>
      <c r="CX55" s="247"/>
      <c r="CY55" s="247"/>
      <c r="CZ55" s="247"/>
      <c r="DA55" s="247"/>
      <c r="DB55" s="247"/>
      <c r="DC55" s="247"/>
      <c r="DD55" s="247"/>
      <c r="DE55" s="247"/>
      <c r="DF55" s="247"/>
      <c r="DG55" s="247"/>
      <c r="DH55" s="247"/>
      <c r="DI55" s="247"/>
      <c r="DJ55" s="247"/>
      <c r="DK55" s="247"/>
      <c r="DL55" s="247"/>
      <c r="DM55" s="247"/>
      <c r="DN55" s="247"/>
      <c r="DO55" s="247"/>
      <c r="DP55" s="247"/>
      <c r="DQ55" s="247"/>
      <c r="DR55" s="247"/>
      <c r="DS55" s="247"/>
      <c r="DT55" s="247"/>
      <c r="DU55" s="247"/>
      <c r="DV55" s="247"/>
      <c r="DW55" s="247"/>
      <c r="DX55" s="247"/>
      <c r="DY55" s="247"/>
      <c r="DZ55" s="247"/>
      <c r="EA55" s="247"/>
      <c r="EB55" s="247"/>
      <c r="EC55" s="247"/>
      <c r="ED55" s="247"/>
      <c r="EE55" s="247"/>
      <c r="EF55" s="247"/>
      <c r="EG55" s="247"/>
      <c r="EH55" s="247"/>
      <c r="EI55" s="247"/>
      <c r="EJ55" s="247"/>
      <c r="EK55" s="247"/>
      <c r="EL55" s="247"/>
      <c r="EM55" s="247"/>
      <c r="EN55" s="247"/>
      <c r="EO55" s="247"/>
      <c r="EP55" s="247"/>
      <c r="EQ55" s="247"/>
      <c r="ER55" s="247"/>
      <c r="ES55" s="247"/>
      <c r="ET55" s="247"/>
      <c r="EU55" s="247"/>
      <c r="EV55" s="247"/>
      <c r="EW55" s="247"/>
      <c r="EX55" s="247"/>
      <c r="EY55" s="247"/>
      <c r="EZ55" s="247"/>
      <c r="FA55" s="247"/>
      <c r="FB55" s="247"/>
      <c r="FC55" s="247"/>
      <c r="FD55" s="247"/>
      <c r="FE55" s="247"/>
      <c r="FF55" s="247"/>
      <c r="FG55" s="247"/>
      <c r="FH55" s="247"/>
      <c r="FI55" s="247"/>
      <c r="FJ55" s="247"/>
      <c r="FK55" s="247"/>
      <c r="FL55" s="247"/>
      <c r="FM55" s="247"/>
      <c r="FN55" s="247"/>
      <c r="FO55" s="247"/>
      <c r="FP55" s="247"/>
      <c r="FQ55" s="247"/>
      <c r="FR55" s="247"/>
      <c r="FS55" s="247"/>
      <c r="FT55" s="247"/>
      <c r="FU55" s="247"/>
      <c r="FV55" s="247"/>
      <c r="FW55" s="247"/>
      <c r="FX55" s="247"/>
      <c r="FY55" s="247"/>
      <c r="FZ55" s="247"/>
      <c r="GA55" s="247"/>
      <c r="GB55" s="247"/>
      <c r="GC55" s="247"/>
      <c r="GD55" s="247"/>
      <c r="GE55" s="247"/>
      <c r="GF55" s="247"/>
      <c r="GG55" s="247"/>
      <c r="GH55" s="247"/>
      <c r="GI55" s="247"/>
      <c r="GJ55" s="247"/>
      <c r="GK55" s="247"/>
      <c r="GL55" s="247"/>
      <c r="GM55" s="247"/>
      <c r="GN55" s="247"/>
      <c r="GO55" s="247"/>
      <c r="GP55" s="247"/>
      <c r="GQ55" s="247"/>
    </row>
    <row r="56" spans="1:256" s="128" customFormat="1">
      <c r="A56" s="128" t="str">
        <f t="shared" si="40"/>
        <v/>
      </c>
      <c r="C56" s="192"/>
      <c r="D56" s="192"/>
      <c r="E56" s="192" t="s">
        <v>91</v>
      </c>
      <c r="F56" s="192" t="s">
        <v>91</v>
      </c>
      <c r="G56" s="192" t="s">
        <v>91</v>
      </c>
      <c r="H56" s="192" t="s">
        <v>91</v>
      </c>
      <c r="I56" s="156" t="str">
        <f t="shared" si="41"/>
        <v/>
      </c>
      <c r="J56" s="244"/>
      <c r="K56" s="245"/>
      <c r="L56" s="245"/>
      <c r="M56" s="60"/>
      <c r="N56" s="246"/>
      <c r="O56" s="60"/>
      <c r="P56" s="246"/>
      <c r="Q56" s="246"/>
      <c r="R56" s="246"/>
      <c r="S56" s="246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247"/>
      <c r="BQ56" s="247"/>
      <c r="BR56" s="247"/>
      <c r="BS56" s="247"/>
      <c r="BT56" s="247"/>
      <c r="BU56" s="247"/>
      <c r="BV56" s="247"/>
      <c r="BW56" s="247"/>
      <c r="BX56" s="247"/>
      <c r="BY56" s="247"/>
      <c r="BZ56" s="247"/>
      <c r="CA56" s="247"/>
      <c r="CB56" s="247"/>
      <c r="CC56" s="247"/>
      <c r="CD56" s="247"/>
      <c r="CE56" s="247"/>
      <c r="CF56" s="247"/>
      <c r="CG56" s="247"/>
      <c r="CH56" s="247"/>
      <c r="CI56" s="247"/>
      <c r="CJ56" s="247"/>
      <c r="CK56" s="247"/>
      <c r="CL56" s="247"/>
      <c r="CM56" s="247"/>
      <c r="CN56" s="247"/>
      <c r="CO56" s="247"/>
      <c r="CP56" s="247"/>
      <c r="CQ56" s="247"/>
      <c r="CR56" s="247"/>
      <c r="CS56" s="247"/>
      <c r="CT56" s="247"/>
      <c r="CU56" s="247"/>
      <c r="CV56" s="247"/>
      <c r="CW56" s="247"/>
      <c r="CX56" s="247"/>
      <c r="CY56" s="247"/>
      <c r="CZ56" s="247"/>
      <c r="DA56" s="247"/>
      <c r="DB56" s="247"/>
      <c r="DC56" s="247"/>
      <c r="DD56" s="247"/>
      <c r="DE56" s="247"/>
      <c r="DF56" s="247"/>
      <c r="DG56" s="247"/>
      <c r="DH56" s="247"/>
      <c r="DI56" s="247"/>
      <c r="DJ56" s="247"/>
      <c r="DK56" s="247"/>
      <c r="DL56" s="247"/>
      <c r="DM56" s="247"/>
      <c r="DN56" s="247"/>
      <c r="DO56" s="247"/>
      <c r="DP56" s="247"/>
      <c r="DQ56" s="247"/>
      <c r="DR56" s="247"/>
      <c r="DS56" s="247"/>
      <c r="DT56" s="247"/>
      <c r="DU56" s="247"/>
      <c r="DV56" s="247"/>
      <c r="DW56" s="247"/>
      <c r="DX56" s="247"/>
      <c r="DY56" s="247"/>
      <c r="DZ56" s="247"/>
      <c r="EA56" s="247"/>
      <c r="EB56" s="247"/>
      <c r="EC56" s="247"/>
      <c r="ED56" s="247"/>
      <c r="EE56" s="247"/>
      <c r="EF56" s="247"/>
      <c r="EG56" s="247"/>
      <c r="EH56" s="247"/>
      <c r="EI56" s="247"/>
      <c r="EJ56" s="247"/>
      <c r="EK56" s="247"/>
      <c r="EL56" s="247"/>
      <c r="EM56" s="247"/>
      <c r="EN56" s="247"/>
      <c r="EO56" s="247"/>
      <c r="EP56" s="247"/>
      <c r="EQ56" s="247"/>
      <c r="ER56" s="247"/>
      <c r="ES56" s="247"/>
      <c r="ET56" s="247"/>
      <c r="EU56" s="247"/>
      <c r="EV56" s="247"/>
      <c r="EW56" s="247"/>
      <c r="EX56" s="247"/>
      <c r="EY56" s="247"/>
      <c r="EZ56" s="247"/>
      <c r="FA56" s="247"/>
      <c r="FB56" s="247"/>
      <c r="FC56" s="247"/>
      <c r="FD56" s="247"/>
      <c r="FE56" s="247"/>
      <c r="FF56" s="247"/>
      <c r="FG56" s="247"/>
      <c r="FH56" s="247"/>
      <c r="FI56" s="247"/>
      <c r="FJ56" s="247"/>
      <c r="FK56" s="247"/>
      <c r="FL56" s="247"/>
      <c r="FM56" s="247"/>
      <c r="FN56" s="247"/>
      <c r="FO56" s="247"/>
      <c r="FP56" s="247"/>
      <c r="FQ56" s="247"/>
      <c r="FR56" s="247"/>
      <c r="FS56" s="247"/>
      <c r="FT56" s="247"/>
      <c r="FU56" s="247"/>
      <c r="FV56" s="247"/>
      <c r="FW56" s="247"/>
      <c r="FX56" s="247"/>
      <c r="FY56" s="247"/>
      <c r="FZ56" s="247"/>
      <c r="GA56" s="247"/>
      <c r="GB56" s="247"/>
      <c r="GC56" s="247"/>
      <c r="GD56" s="247"/>
      <c r="GE56" s="247"/>
      <c r="GF56" s="247"/>
      <c r="GG56" s="247"/>
      <c r="GH56" s="247"/>
      <c r="GI56" s="247"/>
      <c r="GJ56" s="247"/>
      <c r="GK56" s="247"/>
      <c r="GL56" s="247"/>
      <c r="GM56" s="247"/>
      <c r="GN56" s="247"/>
      <c r="GO56" s="247"/>
      <c r="GP56" s="247"/>
      <c r="GQ56" s="247"/>
    </row>
    <row r="57" spans="1:256">
      <c r="A57" s="128" t="str">
        <f t="shared" si="37"/>
        <v/>
      </c>
      <c r="C57" s="128"/>
      <c r="E57" s="157"/>
      <c r="G57" s="123" t="s">
        <v>26</v>
      </c>
      <c r="I57" s="156" t="str">
        <f t="shared" ref="I57:I86" si="42">IF(LOOKUP(I$6,J$6:IU$6,J57:IU57)=0,"",LOOKUP(I$6,J$6:IU$6,J57:AR57))</f>
        <v/>
      </c>
      <c r="J57" s="58"/>
      <c r="K57" s="248"/>
      <c r="L57" s="248"/>
      <c r="M57" s="248"/>
      <c r="N57" s="248"/>
      <c r="O57" s="248"/>
      <c r="P57" s="248"/>
      <c r="Q57" s="248"/>
      <c r="R57" s="248"/>
      <c r="S57" s="248"/>
      <c r="T57" s="248"/>
      <c r="U57" s="248"/>
      <c r="V57" s="248"/>
      <c r="W57" s="248"/>
      <c r="X57" s="248"/>
      <c r="Y57" s="248"/>
      <c r="Z57" s="248"/>
      <c r="AA57" s="248"/>
      <c r="AB57" s="248"/>
      <c r="AC57" s="248"/>
      <c r="AD57" s="248"/>
      <c r="AE57" s="248"/>
      <c r="AF57" s="248"/>
      <c r="AG57" s="248"/>
      <c r="AH57" s="248"/>
      <c r="AI57" s="248"/>
      <c r="AJ57" s="248"/>
      <c r="AK57" s="248"/>
      <c r="AL57" s="248"/>
      <c r="AM57" s="248"/>
      <c r="AN57" s="248"/>
      <c r="AO57" s="248"/>
      <c r="AP57" s="248"/>
      <c r="AQ57" s="248"/>
      <c r="AR57" s="248"/>
      <c r="AS57" s="248"/>
      <c r="AT57" s="248"/>
      <c r="AU57" s="248"/>
      <c r="AV57" s="248"/>
      <c r="AW57" s="248"/>
      <c r="AX57" s="248"/>
      <c r="AY57" s="248"/>
      <c r="AZ57" s="248"/>
      <c r="BA57" s="248"/>
      <c r="BB57" s="248"/>
      <c r="BC57" s="248"/>
      <c r="BD57" s="248"/>
      <c r="BE57" s="248"/>
      <c r="BF57" s="248"/>
      <c r="BG57" s="248"/>
      <c r="BH57" s="248"/>
      <c r="BI57" s="248"/>
      <c r="BJ57" s="248"/>
      <c r="BK57" s="248"/>
      <c r="BL57" s="248"/>
      <c r="BM57" s="248"/>
      <c r="BN57" s="248"/>
      <c r="BO57" s="248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49"/>
      <c r="CB57" s="249"/>
      <c r="CC57" s="249"/>
      <c r="CD57" s="249"/>
      <c r="CE57" s="249"/>
      <c r="CF57" s="249"/>
      <c r="CG57" s="249"/>
      <c r="CH57" s="249"/>
      <c r="CI57" s="249"/>
      <c r="CJ57" s="249"/>
      <c r="CK57" s="249"/>
      <c r="CL57" s="249"/>
      <c r="CM57" s="249"/>
      <c r="CN57" s="249"/>
      <c r="CO57" s="249"/>
      <c r="CP57" s="249"/>
      <c r="CQ57" s="249"/>
      <c r="CR57" s="249"/>
      <c r="CS57" s="249"/>
      <c r="CT57" s="249"/>
      <c r="CU57" s="249"/>
      <c r="CV57" s="249"/>
      <c r="CW57" s="249"/>
      <c r="CX57" s="249"/>
      <c r="CY57" s="249"/>
      <c r="CZ57" s="249"/>
      <c r="DA57" s="249"/>
      <c r="DB57" s="249"/>
      <c r="DC57" s="249"/>
      <c r="DD57" s="249"/>
      <c r="DE57" s="249"/>
      <c r="DF57" s="249"/>
      <c r="DG57" s="249"/>
      <c r="DH57" s="249"/>
      <c r="DI57" s="249"/>
      <c r="DJ57" s="249"/>
      <c r="DK57" s="249"/>
      <c r="DL57" s="249"/>
      <c r="DM57" s="249"/>
      <c r="DN57" s="249"/>
      <c r="DO57" s="249"/>
      <c r="DP57" s="249"/>
      <c r="DQ57" s="249"/>
      <c r="DR57" s="249"/>
      <c r="DS57" s="249"/>
      <c r="DT57" s="249"/>
      <c r="DU57" s="249"/>
      <c r="DV57" s="249"/>
      <c r="DW57" s="249"/>
      <c r="DX57" s="249"/>
      <c r="DY57" s="249"/>
      <c r="DZ57" s="249"/>
      <c r="EA57" s="249"/>
      <c r="EB57" s="249"/>
      <c r="EC57" s="249"/>
      <c r="ED57" s="249"/>
      <c r="EE57" s="249"/>
      <c r="EF57" s="249"/>
      <c r="EG57" s="249"/>
      <c r="EH57" s="249"/>
      <c r="EI57" s="249"/>
      <c r="EJ57" s="249"/>
      <c r="EK57" s="249"/>
      <c r="EL57" s="249"/>
      <c r="EM57" s="249"/>
      <c r="EN57" s="249"/>
      <c r="EO57" s="249"/>
      <c r="EP57" s="249"/>
      <c r="EQ57" s="249"/>
      <c r="ER57" s="249"/>
      <c r="ES57" s="249"/>
      <c r="ET57" s="249"/>
      <c r="EU57" s="249"/>
      <c r="EV57" s="249"/>
      <c r="EW57" s="249"/>
      <c r="EX57" s="249"/>
      <c r="EY57" s="249"/>
      <c r="EZ57" s="249"/>
      <c r="FA57" s="249"/>
      <c r="FB57" s="249"/>
      <c r="FC57" s="249"/>
      <c r="FD57" s="249"/>
      <c r="FE57" s="249"/>
      <c r="FF57" s="249"/>
      <c r="FG57" s="249"/>
      <c r="FH57" s="249"/>
      <c r="FI57" s="249"/>
      <c r="FJ57" s="249"/>
      <c r="FK57" s="249"/>
      <c r="FL57" s="249"/>
      <c r="FM57" s="249"/>
      <c r="FN57" s="249"/>
      <c r="FO57" s="249"/>
      <c r="FP57" s="249"/>
      <c r="FQ57" s="249"/>
      <c r="FR57" s="249"/>
      <c r="FS57" s="249"/>
      <c r="FT57" s="249"/>
      <c r="FU57" s="249"/>
      <c r="FV57" s="249"/>
      <c r="FW57" s="249"/>
      <c r="FX57" s="249"/>
      <c r="FY57" s="249"/>
      <c r="FZ57" s="249"/>
      <c r="GA57" s="249"/>
      <c r="GB57" s="249"/>
      <c r="GC57" s="249"/>
      <c r="GD57" s="249"/>
      <c r="GE57" s="249"/>
      <c r="GF57" s="249"/>
      <c r="GG57" s="250"/>
      <c r="GH57" s="250"/>
      <c r="GI57" s="250"/>
      <c r="GJ57" s="250"/>
      <c r="GK57" s="250"/>
      <c r="GL57" s="250"/>
      <c r="GM57" s="250"/>
      <c r="GN57" s="250"/>
      <c r="GO57" s="250"/>
      <c r="GP57" s="250"/>
      <c r="GQ57" s="250"/>
      <c r="IV57" s="128"/>
    </row>
    <row r="58" spans="1:256">
      <c r="A58" s="128" t="str">
        <f t="shared" si="37"/>
        <v/>
      </c>
      <c r="C58" s="128"/>
      <c r="E58" s="157"/>
      <c r="G58" s="123" t="s">
        <v>70</v>
      </c>
      <c r="I58" s="156" t="str">
        <f t="shared" si="42"/>
        <v/>
      </c>
      <c r="J58" s="58"/>
      <c r="K58" s="251"/>
      <c r="L58" s="251"/>
      <c r="M58" s="251"/>
      <c r="N58" s="251"/>
      <c r="O58" s="251"/>
      <c r="P58" s="251"/>
      <c r="Q58" s="251"/>
      <c r="R58" s="251"/>
      <c r="S58" s="251"/>
      <c r="T58" s="251"/>
      <c r="U58" s="251"/>
      <c r="V58" s="251"/>
      <c r="W58" s="251"/>
      <c r="X58" s="251"/>
      <c r="Y58" s="251"/>
      <c r="Z58" s="251"/>
      <c r="AA58" s="251"/>
      <c r="AB58" s="251"/>
      <c r="AC58" s="251"/>
      <c r="AD58" s="251"/>
      <c r="AE58" s="251"/>
      <c r="AF58" s="251"/>
      <c r="AG58" s="251"/>
      <c r="AH58" s="251"/>
      <c r="AI58" s="252"/>
      <c r="AJ58" s="251"/>
      <c r="AK58" s="251"/>
      <c r="AL58" s="251"/>
      <c r="AM58" s="251"/>
      <c r="AN58" s="251"/>
      <c r="AO58" s="251"/>
      <c r="AP58" s="251"/>
      <c r="AQ58" s="251"/>
      <c r="AR58" s="251"/>
      <c r="AS58" s="251"/>
      <c r="AT58" s="251"/>
      <c r="AU58" s="251"/>
      <c r="AV58" s="251"/>
      <c r="AW58" s="251"/>
      <c r="AX58" s="251"/>
      <c r="AY58" s="251"/>
      <c r="AZ58" s="251"/>
      <c r="BA58" s="251"/>
      <c r="BB58" s="251"/>
      <c r="BC58" s="251"/>
      <c r="BD58" s="251"/>
      <c r="BE58" s="251"/>
      <c r="BF58" s="251"/>
      <c r="BG58" s="251"/>
      <c r="BH58" s="251"/>
      <c r="BI58" s="251"/>
      <c r="BJ58" s="251"/>
      <c r="BK58" s="251"/>
      <c r="BL58" s="251"/>
      <c r="BM58" s="251"/>
      <c r="BN58" s="251"/>
      <c r="BO58" s="251"/>
      <c r="BP58" s="253"/>
      <c r="BQ58" s="253"/>
      <c r="BR58" s="253"/>
      <c r="BS58" s="253"/>
      <c r="BT58" s="253"/>
      <c r="BU58" s="253"/>
      <c r="BV58" s="253"/>
      <c r="BW58" s="253"/>
      <c r="BX58" s="253"/>
      <c r="BY58" s="253"/>
      <c r="BZ58" s="253"/>
      <c r="CA58" s="253"/>
      <c r="CB58" s="253"/>
      <c r="CC58" s="253"/>
      <c r="CD58" s="253"/>
      <c r="CE58" s="253"/>
      <c r="CF58" s="253"/>
      <c r="CG58" s="253"/>
      <c r="CH58" s="253"/>
      <c r="CI58" s="253"/>
      <c r="CJ58" s="253"/>
      <c r="CK58" s="253"/>
      <c r="CL58" s="253"/>
      <c r="CM58" s="253"/>
      <c r="CN58" s="253"/>
      <c r="CO58" s="253"/>
      <c r="CP58" s="253"/>
      <c r="CQ58" s="253"/>
      <c r="CR58" s="253"/>
      <c r="CS58" s="253"/>
      <c r="CT58" s="253"/>
      <c r="CU58" s="253"/>
      <c r="CV58" s="253"/>
      <c r="CW58" s="253"/>
      <c r="CX58" s="253"/>
      <c r="CY58" s="253"/>
      <c r="CZ58" s="253"/>
      <c r="DA58" s="253"/>
      <c r="DB58" s="253"/>
      <c r="DC58" s="253"/>
      <c r="DD58" s="253"/>
      <c r="DE58" s="253"/>
      <c r="DF58" s="253"/>
      <c r="DG58" s="253"/>
      <c r="DH58" s="253"/>
      <c r="DI58" s="253"/>
      <c r="DJ58" s="253"/>
      <c r="DK58" s="253"/>
      <c r="DL58" s="253"/>
      <c r="DM58" s="253"/>
      <c r="DN58" s="253"/>
      <c r="DO58" s="253"/>
      <c r="DP58" s="253"/>
      <c r="DQ58" s="253"/>
      <c r="DR58" s="253"/>
      <c r="DS58" s="253"/>
      <c r="DT58" s="253"/>
      <c r="DU58" s="253"/>
      <c r="DV58" s="253"/>
      <c r="DW58" s="253"/>
      <c r="DX58" s="253"/>
      <c r="DY58" s="253"/>
      <c r="DZ58" s="253"/>
      <c r="EA58" s="253"/>
      <c r="EB58" s="253"/>
      <c r="EC58" s="253"/>
      <c r="ED58" s="253"/>
      <c r="EE58" s="253"/>
      <c r="EF58" s="253"/>
      <c r="EG58" s="253"/>
      <c r="EH58" s="253"/>
      <c r="EI58" s="253"/>
      <c r="EJ58" s="253"/>
      <c r="EK58" s="253"/>
      <c r="EL58" s="253"/>
      <c r="EM58" s="253"/>
      <c r="EN58" s="253"/>
      <c r="EO58" s="253"/>
      <c r="EP58" s="253"/>
      <c r="EQ58" s="253"/>
      <c r="ER58" s="253"/>
      <c r="ES58" s="253"/>
      <c r="ET58" s="253"/>
      <c r="EU58" s="253"/>
      <c r="EV58" s="253"/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0"/>
      <c r="GH58" s="250"/>
      <c r="GI58" s="250"/>
      <c r="GJ58" s="250"/>
      <c r="GK58" s="250"/>
      <c r="GL58" s="250"/>
      <c r="GM58" s="250"/>
      <c r="GN58" s="250"/>
      <c r="GO58" s="250"/>
      <c r="GP58" s="250"/>
      <c r="GQ58" s="250"/>
      <c r="IV58" s="128"/>
    </row>
    <row r="59" spans="1:256" s="159" customFormat="1">
      <c r="A59" s="158">
        <f t="shared" ca="1" si="37"/>
        <v>0</v>
      </c>
      <c r="C59" s="160"/>
      <c r="E59" s="161" t="s">
        <v>101</v>
      </c>
      <c r="F59" s="162" t="s">
        <v>44</v>
      </c>
      <c r="G59" s="159" t="s">
        <v>45</v>
      </c>
      <c r="H59" s="163"/>
      <c r="I59" s="156">
        <f t="shared" ca="1" si="42"/>
        <v>2</v>
      </c>
      <c r="J59" s="254">
        <v>1</v>
      </c>
      <c r="K59" s="254">
        <v>1</v>
      </c>
      <c r="L59" s="254">
        <v>1</v>
      </c>
      <c r="M59" s="254">
        <v>1</v>
      </c>
      <c r="N59" s="254">
        <v>1</v>
      </c>
      <c r="O59" s="254">
        <v>1</v>
      </c>
      <c r="P59" s="254">
        <v>1</v>
      </c>
      <c r="Q59" s="254">
        <v>1</v>
      </c>
      <c r="R59" s="254">
        <v>1</v>
      </c>
      <c r="S59" s="254">
        <v>1</v>
      </c>
      <c r="T59" s="254">
        <v>1</v>
      </c>
      <c r="U59" s="254">
        <v>1</v>
      </c>
      <c r="V59" s="254">
        <v>1</v>
      </c>
      <c r="W59" s="254">
        <v>1</v>
      </c>
      <c r="X59" s="254">
        <v>1</v>
      </c>
      <c r="Y59" s="254">
        <v>1</v>
      </c>
      <c r="Z59" s="254">
        <v>1</v>
      </c>
      <c r="AA59" s="254">
        <v>1</v>
      </c>
      <c r="AB59" s="254">
        <v>1</v>
      </c>
      <c r="AC59" s="254">
        <v>1</v>
      </c>
      <c r="AD59" s="254">
        <v>1</v>
      </c>
      <c r="AE59" s="254">
        <v>1</v>
      </c>
      <c r="AF59" s="254">
        <v>1</v>
      </c>
      <c r="AG59" s="254">
        <v>1</v>
      </c>
      <c r="AH59" s="254">
        <v>2</v>
      </c>
      <c r="AI59" s="254">
        <v>0</v>
      </c>
      <c r="AJ59" s="254">
        <v>0</v>
      </c>
      <c r="AK59" s="254">
        <v>0</v>
      </c>
      <c r="AL59" s="254">
        <v>1</v>
      </c>
      <c r="AM59" s="254">
        <v>2</v>
      </c>
      <c r="AN59" s="254">
        <v>2</v>
      </c>
      <c r="AO59" s="254">
        <v>2</v>
      </c>
      <c r="AP59" s="254">
        <v>2</v>
      </c>
      <c r="AQ59" s="254">
        <v>2</v>
      </c>
      <c r="AR59" s="254"/>
      <c r="AS59" s="254"/>
      <c r="AT59" s="254"/>
      <c r="AU59" s="254"/>
      <c r="AV59" s="254"/>
      <c r="AW59" s="254"/>
      <c r="AX59" s="254"/>
      <c r="AY59" s="254"/>
      <c r="AZ59" s="254"/>
      <c r="BA59" s="254"/>
      <c r="BB59" s="254"/>
      <c r="BC59" s="254"/>
      <c r="BD59" s="254"/>
      <c r="BE59" s="254"/>
      <c r="BF59" s="254"/>
      <c r="BG59" s="254"/>
      <c r="BH59" s="254"/>
      <c r="BI59" s="254"/>
      <c r="BJ59" s="254"/>
      <c r="BK59" s="254"/>
      <c r="BL59" s="254"/>
      <c r="BM59" s="254"/>
      <c r="BN59" s="254"/>
      <c r="BO59" s="254"/>
      <c r="BP59" s="255"/>
      <c r="BQ59" s="250"/>
      <c r="BR59" s="255"/>
      <c r="BS59" s="255"/>
      <c r="BT59" s="255"/>
      <c r="BU59" s="255"/>
      <c r="BV59" s="255"/>
      <c r="BW59" s="255"/>
      <c r="BX59" s="255"/>
      <c r="BY59" s="255"/>
      <c r="BZ59" s="255"/>
      <c r="CA59" s="255"/>
      <c r="CB59" s="255"/>
      <c r="CC59" s="255"/>
      <c r="CD59" s="255"/>
      <c r="CE59" s="255"/>
      <c r="CF59" s="255"/>
      <c r="CG59" s="255"/>
      <c r="CH59" s="255"/>
      <c r="CI59" s="255"/>
      <c r="CJ59" s="255"/>
      <c r="CK59" s="255"/>
      <c r="CL59" s="255"/>
      <c r="CM59" s="255"/>
      <c r="CN59" s="255"/>
      <c r="CO59" s="255"/>
      <c r="CP59" s="255"/>
      <c r="CQ59" s="255"/>
      <c r="CR59" s="255"/>
      <c r="CS59" s="255"/>
      <c r="CT59" s="255"/>
      <c r="CU59" s="255"/>
      <c r="CV59" s="255"/>
      <c r="CW59" s="255"/>
      <c r="CX59" s="255"/>
      <c r="CY59" s="255"/>
      <c r="CZ59" s="255"/>
      <c r="DA59" s="255"/>
      <c r="DB59" s="255"/>
      <c r="DC59" s="255"/>
      <c r="DD59" s="255"/>
      <c r="DE59" s="255"/>
      <c r="DF59" s="255"/>
      <c r="DG59" s="255"/>
      <c r="DH59" s="255"/>
      <c r="DI59" s="255"/>
      <c r="DJ59" s="255"/>
      <c r="DK59" s="255"/>
      <c r="DL59" s="255"/>
      <c r="DM59" s="255"/>
      <c r="DN59" s="255"/>
      <c r="DO59" s="255"/>
      <c r="DP59" s="255"/>
      <c r="DQ59" s="255"/>
      <c r="DR59" s="255"/>
      <c r="DS59" s="255"/>
      <c r="DT59" s="255"/>
      <c r="DU59" s="255"/>
      <c r="DV59" s="255"/>
      <c r="DW59" s="255"/>
      <c r="DX59" s="255"/>
      <c r="DY59" s="255"/>
      <c r="DZ59" s="255"/>
      <c r="EA59" s="255"/>
      <c r="EB59" s="255"/>
      <c r="EC59" s="255"/>
      <c r="ED59" s="255"/>
      <c r="EE59" s="255"/>
      <c r="EF59" s="255"/>
      <c r="EG59" s="255"/>
      <c r="EH59" s="255"/>
      <c r="EI59" s="255"/>
      <c r="EJ59" s="255"/>
      <c r="EK59" s="255"/>
      <c r="EL59" s="255"/>
      <c r="EM59" s="255"/>
      <c r="EN59" s="255"/>
      <c r="EO59" s="255"/>
      <c r="EP59" s="255"/>
      <c r="EQ59" s="255"/>
      <c r="ER59" s="255"/>
      <c r="ES59" s="255"/>
      <c r="ET59" s="255"/>
      <c r="EU59" s="255"/>
      <c r="EV59" s="255"/>
      <c r="EW59" s="255"/>
      <c r="EX59" s="255"/>
      <c r="EY59" s="255"/>
      <c r="EZ59" s="255"/>
      <c r="FA59" s="255"/>
      <c r="FB59" s="255"/>
      <c r="FC59" s="255"/>
      <c r="FD59" s="255"/>
      <c r="FE59" s="255"/>
      <c r="FF59" s="255"/>
      <c r="FG59" s="255"/>
      <c r="FH59" s="255"/>
      <c r="FI59" s="255"/>
      <c r="FJ59" s="255"/>
      <c r="FK59" s="255"/>
      <c r="FL59" s="255"/>
      <c r="FM59" s="255"/>
      <c r="FN59" s="255"/>
      <c r="FO59" s="255"/>
      <c r="FP59" s="255"/>
      <c r="FQ59" s="255"/>
      <c r="FR59" s="255"/>
      <c r="FS59" s="255"/>
      <c r="FT59" s="255"/>
      <c r="FU59" s="255"/>
      <c r="FV59" s="255"/>
      <c r="FW59" s="255"/>
      <c r="FX59" s="255"/>
      <c r="FY59" s="255"/>
      <c r="FZ59" s="255"/>
      <c r="GA59" s="255"/>
      <c r="GB59" s="255"/>
      <c r="GC59" s="255"/>
      <c r="GD59" s="255"/>
      <c r="GE59" s="255"/>
      <c r="GF59" s="255"/>
      <c r="GG59" s="256"/>
      <c r="GH59" s="256"/>
      <c r="GI59" s="256"/>
      <c r="GJ59" s="256"/>
      <c r="GK59" s="256"/>
      <c r="GL59" s="256"/>
      <c r="GM59" s="256"/>
      <c r="GN59" s="256"/>
      <c r="GO59" s="256"/>
      <c r="GP59" s="256"/>
      <c r="GQ59" s="256"/>
      <c r="GR59" s="164"/>
      <c r="GS59" s="164"/>
      <c r="GT59" s="164"/>
      <c r="GU59" s="164"/>
      <c r="GV59" s="164"/>
      <c r="GW59" s="164"/>
      <c r="GX59" s="164"/>
      <c r="GY59" s="164"/>
      <c r="GZ59" s="164"/>
      <c r="HA59" s="164"/>
      <c r="HB59" s="164"/>
      <c r="HC59" s="164"/>
      <c r="HD59" s="164"/>
      <c r="HE59" s="164"/>
      <c r="HF59" s="164"/>
      <c r="HG59" s="164"/>
      <c r="HH59" s="164"/>
      <c r="HI59" s="164"/>
      <c r="HJ59" s="164"/>
      <c r="HK59" s="164"/>
      <c r="HL59" s="164"/>
      <c r="HM59" s="164"/>
      <c r="HN59" s="164"/>
      <c r="HO59" s="164"/>
      <c r="HP59" s="164"/>
      <c r="HQ59" s="164"/>
      <c r="HR59" s="164"/>
      <c r="HS59" s="164"/>
      <c r="HT59" s="164"/>
      <c r="HU59" s="164"/>
      <c r="HV59" s="164"/>
      <c r="HW59" s="164"/>
      <c r="HX59" s="164"/>
      <c r="HY59" s="164"/>
      <c r="HZ59" s="164"/>
      <c r="IA59" s="164"/>
      <c r="IB59" s="164"/>
      <c r="IC59" s="164"/>
      <c r="ID59" s="164"/>
      <c r="IE59" s="164"/>
      <c r="IF59" s="164"/>
      <c r="IG59" s="164"/>
      <c r="IH59" s="164"/>
      <c r="II59" s="164"/>
      <c r="IJ59" s="164"/>
      <c r="IK59" s="164"/>
      <c r="IL59" s="164"/>
      <c r="IM59" s="164"/>
      <c r="IN59" s="164"/>
      <c r="IO59" s="164"/>
      <c r="IP59" s="164"/>
      <c r="IQ59" s="164"/>
      <c r="IR59" s="164"/>
      <c r="IV59" s="165"/>
    </row>
    <row r="60" spans="1:256" s="159" customFormat="1">
      <c r="A60" s="158">
        <f t="shared" ca="1" si="37"/>
        <v>0</v>
      </c>
      <c r="C60" s="160"/>
      <c r="E60" s="161" t="s">
        <v>101</v>
      </c>
      <c r="F60" s="162" t="s">
        <v>44</v>
      </c>
      <c r="G60" s="159" t="s">
        <v>46</v>
      </c>
      <c r="H60" s="163"/>
      <c r="I60" s="156">
        <f t="shared" ca="1" si="42"/>
        <v>2</v>
      </c>
      <c r="J60" s="254">
        <v>1</v>
      </c>
      <c r="K60" s="254">
        <v>1</v>
      </c>
      <c r="L60" s="254">
        <v>1</v>
      </c>
      <c r="M60" s="254">
        <v>1</v>
      </c>
      <c r="N60" s="254">
        <v>1</v>
      </c>
      <c r="O60" s="254">
        <v>1</v>
      </c>
      <c r="P60" s="254">
        <v>1</v>
      </c>
      <c r="Q60" s="254">
        <v>1</v>
      </c>
      <c r="R60" s="254">
        <v>1</v>
      </c>
      <c r="S60" s="254">
        <v>1</v>
      </c>
      <c r="T60" s="254">
        <v>1</v>
      </c>
      <c r="U60" s="254">
        <v>1</v>
      </c>
      <c r="V60" s="254">
        <v>1</v>
      </c>
      <c r="W60" s="254">
        <v>1</v>
      </c>
      <c r="X60" s="254">
        <v>1</v>
      </c>
      <c r="Y60" s="254">
        <v>1</v>
      </c>
      <c r="Z60" s="254">
        <v>1</v>
      </c>
      <c r="AA60" s="254">
        <v>1</v>
      </c>
      <c r="AB60" s="254">
        <v>1</v>
      </c>
      <c r="AC60" s="254">
        <v>1</v>
      </c>
      <c r="AD60" s="254">
        <v>1</v>
      </c>
      <c r="AE60" s="254">
        <v>1</v>
      </c>
      <c r="AF60" s="254">
        <v>2</v>
      </c>
      <c r="AG60" s="254">
        <v>2</v>
      </c>
      <c r="AH60" s="254">
        <v>2</v>
      </c>
      <c r="AI60" s="254">
        <v>0</v>
      </c>
      <c r="AJ60" s="254">
        <v>0</v>
      </c>
      <c r="AK60" s="254">
        <v>0</v>
      </c>
      <c r="AL60" s="254">
        <v>1</v>
      </c>
      <c r="AM60" s="254">
        <v>2</v>
      </c>
      <c r="AN60" s="254">
        <v>2</v>
      </c>
      <c r="AO60" s="254">
        <v>2</v>
      </c>
      <c r="AP60" s="254">
        <v>2</v>
      </c>
      <c r="AQ60" s="254">
        <v>2</v>
      </c>
      <c r="AR60" s="254"/>
      <c r="AS60" s="254"/>
      <c r="AT60" s="254"/>
      <c r="AU60" s="254"/>
      <c r="AV60" s="254"/>
      <c r="AW60" s="254"/>
      <c r="AX60" s="254"/>
      <c r="AY60" s="254"/>
      <c r="AZ60" s="254"/>
      <c r="BA60" s="254"/>
      <c r="BB60" s="254"/>
      <c r="BC60" s="254"/>
      <c r="BD60" s="254"/>
      <c r="BE60" s="254"/>
      <c r="BF60" s="254"/>
      <c r="BG60" s="254"/>
      <c r="BH60" s="254"/>
      <c r="BI60" s="254"/>
      <c r="BJ60" s="254"/>
      <c r="BK60" s="254"/>
      <c r="BL60" s="254"/>
      <c r="BM60" s="254"/>
      <c r="BN60" s="254"/>
      <c r="BO60" s="254"/>
      <c r="BP60" s="255"/>
      <c r="BQ60" s="250"/>
      <c r="BR60" s="255"/>
      <c r="BS60" s="255"/>
      <c r="BT60" s="255"/>
      <c r="BU60" s="255"/>
      <c r="BV60" s="255"/>
      <c r="BW60" s="255"/>
      <c r="BX60" s="255"/>
      <c r="BY60" s="255"/>
      <c r="BZ60" s="255"/>
      <c r="CA60" s="255"/>
      <c r="CB60" s="255"/>
      <c r="CC60" s="255"/>
      <c r="CD60" s="255"/>
      <c r="CE60" s="255"/>
      <c r="CF60" s="255"/>
      <c r="CG60" s="255"/>
      <c r="CH60" s="255"/>
      <c r="CI60" s="255"/>
      <c r="CJ60" s="255"/>
      <c r="CK60" s="255"/>
      <c r="CL60" s="255"/>
      <c r="CM60" s="255"/>
      <c r="CN60" s="255"/>
      <c r="CO60" s="255"/>
      <c r="CP60" s="255"/>
      <c r="CQ60" s="255"/>
      <c r="CR60" s="255"/>
      <c r="CS60" s="255"/>
      <c r="CT60" s="255"/>
      <c r="CU60" s="255"/>
      <c r="CV60" s="255"/>
      <c r="CW60" s="255"/>
      <c r="CX60" s="255"/>
      <c r="CY60" s="255"/>
      <c r="CZ60" s="255"/>
      <c r="DA60" s="255"/>
      <c r="DB60" s="255"/>
      <c r="DC60" s="255"/>
      <c r="DD60" s="255"/>
      <c r="DE60" s="255"/>
      <c r="DF60" s="255"/>
      <c r="DG60" s="255"/>
      <c r="DH60" s="255"/>
      <c r="DI60" s="255"/>
      <c r="DJ60" s="255"/>
      <c r="DK60" s="255"/>
      <c r="DL60" s="255"/>
      <c r="DM60" s="255"/>
      <c r="DN60" s="255"/>
      <c r="DO60" s="255"/>
      <c r="DP60" s="255"/>
      <c r="DQ60" s="255"/>
      <c r="DR60" s="255"/>
      <c r="DS60" s="255"/>
      <c r="DT60" s="255"/>
      <c r="DU60" s="255"/>
      <c r="DV60" s="255"/>
      <c r="DW60" s="255"/>
      <c r="DX60" s="255"/>
      <c r="DY60" s="255"/>
      <c r="DZ60" s="255"/>
      <c r="EA60" s="255"/>
      <c r="EB60" s="255"/>
      <c r="EC60" s="255"/>
      <c r="ED60" s="255"/>
      <c r="EE60" s="255"/>
      <c r="EF60" s="255"/>
      <c r="EG60" s="255"/>
      <c r="EH60" s="255"/>
      <c r="EI60" s="255"/>
      <c r="EJ60" s="255"/>
      <c r="EK60" s="255"/>
      <c r="EL60" s="255"/>
      <c r="EM60" s="255"/>
      <c r="EN60" s="255"/>
      <c r="EO60" s="255"/>
      <c r="EP60" s="255"/>
      <c r="EQ60" s="255"/>
      <c r="ER60" s="255"/>
      <c r="ES60" s="255"/>
      <c r="ET60" s="255"/>
      <c r="EU60" s="255"/>
      <c r="EV60" s="255"/>
      <c r="EW60" s="255"/>
      <c r="EX60" s="255"/>
      <c r="EY60" s="255"/>
      <c r="EZ60" s="255"/>
      <c r="FA60" s="255"/>
      <c r="FB60" s="255"/>
      <c r="FC60" s="255"/>
      <c r="FD60" s="255"/>
      <c r="FE60" s="255"/>
      <c r="FF60" s="255"/>
      <c r="FG60" s="255"/>
      <c r="FH60" s="255"/>
      <c r="FI60" s="255"/>
      <c r="FJ60" s="255"/>
      <c r="FK60" s="255"/>
      <c r="FL60" s="255"/>
      <c r="FM60" s="255"/>
      <c r="FN60" s="255"/>
      <c r="FO60" s="255"/>
      <c r="FP60" s="255"/>
      <c r="FQ60" s="255"/>
      <c r="FR60" s="255"/>
      <c r="FS60" s="255"/>
      <c r="FT60" s="255"/>
      <c r="FU60" s="255"/>
      <c r="FV60" s="255"/>
      <c r="FW60" s="255"/>
      <c r="FX60" s="255"/>
      <c r="FY60" s="255"/>
      <c r="FZ60" s="255"/>
      <c r="GA60" s="255"/>
      <c r="GB60" s="255"/>
      <c r="GC60" s="255"/>
      <c r="GD60" s="255"/>
      <c r="GE60" s="255"/>
      <c r="GF60" s="255"/>
      <c r="GG60" s="256"/>
      <c r="GH60" s="256"/>
      <c r="GI60" s="256"/>
      <c r="GJ60" s="256"/>
      <c r="GK60" s="256"/>
      <c r="GL60" s="256"/>
      <c r="GM60" s="256"/>
      <c r="GN60" s="256"/>
      <c r="GO60" s="256"/>
      <c r="GP60" s="256"/>
      <c r="GQ60" s="256"/>
      <c r="GR60" s="164"/>
      <c r="GS60" s="164"/>
      <c r="GT60" s="164"/>
      <c r="GU60" s="164"/>
      <c r="GV60" s="164"/>
      <c r="GW60" s="164"/>
      <c r="GX60" s="164"/>
      <c r="GY60" s="164"/>
      <c r="GZ60" s="164"/>
      <c r="HA60" s="164"/>
      <c r="HB60" s="164"/>
      <c r="HC60" s="164"/>
      <c r="HD60" s="164"/>
      <c r="HE60" s="164"/>
      <c r="HF60" s="164"/>
      <c r="HG60" s="164"/>
      <c r="HH60" s="164"/>
      <c r="HI60" s="164"/>
      <c r="HJ60" s="164"/>
      <c r="HK60" s="164"/>
      <c r="HL60" s="164"/>
      <c r="HM60" s="164"/>
      <c r="HN60" s="164"/>
      <c r="HO60" s="164"/>
      <c r="HP60" s="164"/>
      <c r="HQ60" s="164"/>
      <c r="HR60" s="164"/>
      <c r="HS60" s="164"/>
      <c r="HT60" s="164"/>
      <c r="HU60" s="164"/>
      <c r="HV60" s="164"/>
      <c r="HW60" s="164"/>
      <c r="HX60" s="164"/>
      <c r="HY60" s="164"/>
      <c r="HZ60" s="164"/>
      <c r="IA60" s="164"/>
      <c r="IB60" s="164"/>
      <c r="IC60" s="164"/>
      <c r="ID60" s="164"/>
      <c r="IE60" s="164"/>
      <c r="IF60" s="164"/>
      <c r="IG60" s="164"/>
      <c r="IH60" s="164"/>
      <c r="II60" s="164"/>
      <c r="IJ60" s="164"/>
      <c r="IK60" s="164"/>
      <c r="IL60" s="164"/>
      <c r="IM60" s="164"/>
      <c r="IN60" s="164"/>
      <c r="IO60" s="164"/>
      <c r="IP60" s="164"/>
      <c r="IQ60" s="164"/>
      <c r="IR60" s="164"/>
      <c r="IV60" s="165"/>
    </row>
    <row r="61" spans="1:256">
      <c r="A61" s="128" t="str">
        <f t="shared" si="37"/>
        <v/>
      </c>
      <c r="C61" s="128"/>
      <c r="E61" s="157"/>
      <c r="F61" s="123" t="s">
        <v>15</v>
      </c>
      <c r="I61" s="156" t="str">
        <f t="shared" si="42"/>
        <v/>
      </c>
      <c r="J61" s="58"/>
      <c r="K61" s="252"/>
      <c r="L61" s="252"/>
      <c r="M61" s="252"/>
      <c r="N61" s="252"/>
      <c r="O61" s="252"/>
      <c r="P61" s="252"/>
      <c r="Q61" s="252"/>
      <c r="R61" s="252"/>
      <c r="S61" s="252"/>
      <c r="T61" s="252"/>
      <c r="U61" s="252"/>
      <c r="V61" s="252"/>
      <c r="W61" s="252"/>
      <c r="X61" s="252"/>
      <c r="Y61" s="252"/>
      <c r="Z61" s="252"/>
      <c r="AA61" s="252"/>
      <c r="AB61" s="252"/>
      <c r="AC61" s="252"/>
      <c r="AD61" s="252"/>
      <c r="AE61" s="252"/>
      <c r="AF61" s="252"/>
      <c r="AG61" s="252"/>
      <c r="AH61" s="252"/>
      <c r="AI61" s="252"/>
      <c r="AJ61" s="252"/>
      <c r="AK61" s="252"/>
      <c r="AL61" s="252"/>
      <c r="AM61" s="252"/>
      <c r="AN61" s="252"/>
      <c r="AO61" s="252"/>
      <c r="AP61" s="252"/>
      <c r="AQ61" s="252"/>
      <c r="AR61" s="252"/>
      <c r="AS61" s="252"/>
      <c r="AT61" s="252"/>
      <c r="AU61" s="252"/>
      <c r="AV61" s="252"/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7"/>
      <c r="BQ61" s="257"/>
      <c r="BR61" s="257"/>
      <c r="BS61" s="257"/>
      <c r="BT61" s="257"/>
      <c r="BU61" s="257"/>
      <c r="BV61" s="257"/>
      <c r="BW61" s="257"/>
      <c r="BX61" s="257"/>
      <c r="BY61" s="257"/>
      <c r="BZ61" s="257"/>
      <c r="CA61" s="257"/>
      <c r="CB61" s="257"/>
      <c r="CC61" s="257"/>
      <c r="CD61" s="257"/>
      <c r="CE61" s="257"/>
      <c r="CF61" s="257"/>
      <c r="CG61" s="257"/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  <c r="DI61" s="257"/>
      <c r="DJ61" s="257"/>
      <c r="DK61" s="257"/>
      <c r="DL61" s="257"/>
      <c r="DM61" s="257"/>
      <c r="DN61" s="257"/>
      <c r="DO61" s="257"/>
      <c r="DP61" s="257"/>
      <c r="DQ61" s="257"/>
      <c r="DR61" s="257"/>
      <c r="DS61" s="257"/>
      <c r="DT61" s="257"/>
      <c r="DU61" s="257"/>
      <c r="DV61" s="257"/>
      <c r="DW61" s="257"/>
      <c r="DX61" s="257"/>
      <c r="DY61" s="257"/>
      <c r="DZ61" s="257"/>
      <c r="EA61" s="257"/>
      <c r="EB61" s="257"/>
      <c r="EC61" s="257"/>
      <c r="ED61" s="257"/>
      <c r="EE61" s="257"/>
      <c r="EF61" s="257"/>
      <c r="EG61" s="257"/>
      <c r="EH61" s="257"/>
      <c r="EI61" s="257"/>
      <c r="EJ61" s="257"/>
      <c r="EK61" s="257"/>
      <c r="EL61" s="257"/>
      <c r="EM61" s="257"/>
      <c r="EN61" s="257"/>
      <c r="EO61" s="257"/>
      <c r="EP61" s="257"/>
      <c r="EQ61" s="257"/>
      <c r="ER61" s="257"/>
      <c r="ES61" s="257"/>
      <c r="ET61" s="257"/>
      <c r="EU61" s="257"/>
      <c r="EV61" s="257"/>
      <c r="EW61" s="257"/>
      <c r="EX61" s="257"/>
      <c r="EY61" s="257"/>
      <c r="EZ61" s="257"/>
      <c r="FA61" s="257"/>
      <c r="FB61" s="257"/>
      <c r="FC61" s="257"/>
      <c r="FD61" s="257"/>
      <c r="FE61" s="257"/>
      <c r="FF61" s="257"/>
      <c r="FG61" s="257"/>
      <c r="FH61" s="257"/>
      <c r="FI61" s="257"/>
      <c r="FJ61" s="257"/>
      <c r="FK61" s="257"/>
      <c r="FL61" s="257"/>
      <c r="FM61" s="257"/>
      <c r="FN61" s="257"/>
      <c r="FO61" s="257"/>
      <c r="FP61" s="257"/>
      <c r="FQ61" s="257"/>
      <c r="FR61" s="257"/>
      <c r="FS61" s="257"/>
      <c r="FT61" s="257"/>
      <c r="FU61" s="257"/>
      <c r="FV61" s="257"/>
      <c r="FW61" s="257"/>
      <c r="FX61" s="257"/>
      <c r="FY61" s="257"/>
      <c r="FZ61" s="257"/>
      <c r="GA61" s="257"/>
      <c r="GB61" s="257"/>
      <c r="GC61" s="257"/>
      <c r="GD61" s="257"/>
      <c r="GE61" s="257"/>
      <c r="GF61" s="257"/>
      <c r="GG61" s="257"/>
      <c r="GH61" s="257"/>
      <c r="GI61" s="257"/>
      <c r="GJ61" s="257"/>
      <c r="GK61" s="257"/>
      <c r="GL61" s="257"/>
      <c r="GM61" s="257"/>
      <c r="GN61" s="257"/>
      <c r="GO61" s="257"/>
      <c r="GP61" s="257"/>
      <c r="GQ61" s="257"/>
      <c r="GR61" s="124"/>
      <c r="GS61" s="124"/>
      <c r="GT61" s="124"/>
      <c r="GU61" s="124"/>
      <c r="GV61" s="124"/>
      <c r="GW61" s="124"/>
      <c r="GX61" s="124"/>
      <c r="GY61" s="124"/>
      <c r="GZ61" s="124"/>
      <c r="HA61" s="124"/>
      <c r="HB61" s="124"/>
      <c r="HC61" s="124"/>
      <c r="HD61" s="124"/>
      <c r="HE61" s="124"/>
      <c r="HF61" s="124"/>
      <c r="HG61" s="124"/>
      <c r="HH61" s="124"/>
      <c r="HI61" s="124"/>
      <c r="HJ61" s="124"/>
      <c r="HK61" s="124"/>
      <c r="HL61" s="124"/>
      <c r="HM61" s="124"/>
      <c r="HN61" s="124"/>
      <c r="HO61" s="124"/>
      <c r="HP61" s="124"/>
      <c r="HQ61" s="124"/>
      <c r="HR61" s="124"/>
      <c r="HS61" s="124"/>
      <c r="HT61" s="124"/>
      <c r="HU61" s="124"/>
      <c r="HV61" s="124"/>
      <c r="HW61" s="124"/>
      <c r="HX61" s="124"/>
      <c r="HY61" s="124"/>
      <c r="HZ61" s="124"/>
      <c r="IA61" s="124"/>
      <c r="IB61" s="124"/>
      <c r="IC61" s="124"/>
      <c r="ID61" s="124"/>
      <c r="IE61" s="124"/>
      <c r="IF61" s="124"/>
      <c r="IG61" s="124"/>
      <c r="IH61" s="124"/>
      <c r="II61" s="124"/>
      <c r="IJ61" s="124"/>
      <c r="IK61" s="124"/>
      <c r="IL61" s="124"/>
      <c r="IM61" s="124"/>
      <c r="IN61" s="124"/>
      <c r="IO61" s="124"/>
      <c r="IP61" s="124"/>
      <c r="IQ61" s="124"/>
      <c r="IR61" s="124"/>
      <c r="IV61" s="128"/>
    </row>
    <row r="62" spans="1:256" s="128" customFormat="1">
      <c r="A62" s="128" t="str">
        <f t="shared" si="37"/>
        <v/>
      </c>
      <c r="B62" s="128">
        <v>1</v>
      </c>
      <c r="D62" s="123"/>
      <c r="E62" s="157"/>
      <c r="F62" s="166"/>
      <c r="G62" s="123">
        <f ca="1">SUM(J62:OFFSET(J62,,I$6-1))</f>
        <v>5</v>
      </c>
      <c r="H62" s="167" t="s">
        <v>71</v>
      </c>
      <c r="I62" s="156" t="str">
        <f t="shared" si="42"/>
        <v/>
      </c>
      <c r="J62" s="60">
        <v>1</v>
      </c>
      <c r="K62" s="60">
        <v>1</v>
      </c>
      <c r="L62" s="60">
        <v>1</v>
      </c>
      <c r="M62" s="60"/>
      <c r="N62" s="60"/>
      <c r="O62" s="60">
        <v>1</v>
      </c>
      <c r="P62" s="60">
        <v>1</v>
      </c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258"/>
      <c r="BQ62" s="258"/>
      <c r="BR62" s="258"/>
      <c r="BS62" s="258"/>
      <c r="BT62" s="258"/>
      <c r="BU62" s="258"/>
      <c r="BV62" s="258"/>
      <c r="BW62" s="258"/>
      <c r="BX62" s="258"/>
      <c r="BY62" s="258"/>
      <c r="BZ62" s="258"/>
      <c r="CA62" s="258"/>
      <c r="CB62" s="258"/>
      <c r="CC62" s="258"/>
      <c r="CD62" s="258"/>
      <c r="CE62" s="258"/>
      <c r="CF62" s="258"/>
      <c r="CG62" s="258"/>
      <c r="CH62" s="258"/>
      <c r="CI62" s="258"/>
      <c r="CJ62" s="258"/>
      <c r="CK62" s="258"/>
      <c r="CL62" s="258"/>
      <c r="CM62" s="258"/>
      <c r="CN62" s="258"/>
      <c r="CO62" s="258"/>
      <c r="CP62" s="258"/>
      <c r="CQ62" s="258"/>
      <c r="CR62" s="258"/>
      <c r="CS62" s="258"/>
      <c r="CT62" s="258"/>
      <c r="CU62" s="258"/>
      <c r="CV62" s="258"/>
      <c r="CW62" s="258"/>
      <c r="CX62" s="258"/>
      <c r="CY62" s="258"/>
      <c r="CZ62" s="258"/>
      <c r="DA62" s="258"/>
      <c r="DB62" s="258"/>
      <c r="DC62" s="258"/>
      <c r="DD62" s="258"/>
      <c r="DE62" s="258"/>
      <c r="DF62" s="258"/>
      <c r="DG62" s="258"/>
      <c r="DH62" s="258"/>
      <c r="DI62" s="258"/>
      <c r="DJ62" s="258"/>
      <c r="DK62" s="258"/>
      <c r="DL62" s="258"/>
      <c r="DM62" s="258"/>
      <c r="DN62" s="258"/>
      <c r="DO62" s="258"/>
      <c r="DP62" s="258"/>
      <c r="DQ62" s="258"/>
      <c r="DR62" s="258"/>
      <c r="DS62" s="258"/>
      <c r="DT62" s="258"/>
      <c r="DU62" s="258"/>
      <c r="DV62" s="258"/>
      <c r="DW62" s="258"/>
      <c r="DX62" s="258"/>
      <c r="DY62" s="258"/>
      <c r="DZ62" s="258"/>
      <c r="EA62" s="258"/>
      <c r="EB62" s="258"/>
      <c r="EC62" s="258"/>
      <c r="ED62" s="258"/>
      <c r="EE62" s="258"/>
      <c r="EF62" s="258"/>
      <c r="EG62" s="258"/>
      <c r="EH62" s="258"/>
      <c r="EI62" s="258"/>
      <c r="EJ62" s="258"/>
      <c r="EK62" s="258"/>
      <c r="EL62" s="258"/>
      <c r="EM62" s="258"/>
      <c r="EN62" s="258"/>
      <c r="EO62" s="258"/>
      <c r="EP62" s="258"/>
      <c r="EQ62" s="258"/>
      <c r="ER62" s="258"/>
      <c r="ES62" s="258"/>
      <c r="ET62" s="258"/>
      <c r="EU62" s="258"/>
      <c r="EV62" s="258"/>
      <c r="EW62" s="258"/>
      <c r="EX62" s="258"/>
      <c r="EY62" s="258"/>
      <c r="EZ62" s="258"/>
      <c r="FA62" s="258"/>
      <c r="FB62" s="258"/>
      <c r="FC62" s="258"/>
      <c r="FD62" s="258"/>
      <c r="FE62" s="258"/>
      <c r="FF62" s="258"/>
      <c r="FG62" s="258"/>
      <c r="FH62" s="258"/>
      <c r="FI62" s="258"/>
      <c r="FJ62" s="258"/>
      <c r="FK62" s="258"/>
      <c r="FL62" s="258"/>
      <c r="FM62" s="258"/>
      <c r="FN62" s="258"/>
      <c r="FO62" s="258"/>
      <c r="FP62" s="258"/>
      <c r="FQ62" s="258"/>
      <c r="FR62" s="258"/>
      <c r="FS62" s="258"/>
      <c r="FT62" s="258"/>
      <c r="FU62" s="258"/>
      <c r="FV62" s="258"/>
      <c r="FW62" s="258"/>
      <c r="FX62" s="258"/>
      <c r="FY62" s="258"/>
      <c r="FZ62" s="258"/>
      <c r="GA62" s="258"/>
      <c r="GB62" s="258"/>
      <c r="GC62" s="258"/>
      <c r="GD62" s="258"/>
      <c r="GE62" s="258"/>
      <c r="GF62" s="258"/>
      <c r="GG62" s="247"/>
      <c r="GH62" s="247"/>
      <c r="GI62" s="247"/>
      <c r="GJ62" s="247"/>
      <c r="GK62" s="247"/>
      <c r="GL62" s="247"/>
      <c r="GM62" s="247"/>
      <c r="GN62" s="247"/>
      <c r="GO62" s="247"/>
      <c r="GP62" s="247"/>
      <c r="GQ62" s="247"/>
    </row>
    <row r="63" spans="1:256" s="128" customFormat="1">
      <c r="A63" s="128" t="str">
        <f t="shared" si="37"/>
        <v/>
      </c>
      <c r="B63" s="128">
        <v>2</v>
      </c>
      <c r="D63" s="123"/>
      <c r="E63" s="157"/>
      <c r="F63" s="166"/>
      <c r="G63" s="123">
        <f ca="1">SUM(J63:OFFSET(J63,,I$6-1))</f>
        <v>40</v>
      </c>
      <c r="H63" s="167" t="s">
        <v>85</v>
      </c>
      <c r="I63" s="156" t="str">
        <f t="shared" si="42"/>
        <v/>
      </c>
      <c r="J63" s="60">
        <v>4</v>
      </c>
      <c r="K63" s="60">
        <v>4</v>
      </c>
      <c r="L63" s="60">
        <v>3</v>
      </c>
      <c r="M63" s="246"/>
      <c r="N63" s="60"/>
      <c r="O63" s="60">
        <v>4</v>
      </c>
      <c r="P63" s="60">
        <v>3</v>
      </c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>
        <v>2</v>
      </c>
      <c r="AE63" s="60">
        <v>2</v>
      </c>
      <c r="AF63" s="60">
        <v>2</v>
      </c>
      <c r="AG63" s="60">
        <v>4</v>
      </c>
      <c r="AH63" s="60"/>
      <c r="AI63" s="60"/>
      <c r="AJ63" s="60">
        <v>4</v>
      </c>
      <c r="AK63" s="60"/>
      <c r="AL63" s="60"/>
      <c r="AM63" s="60">
        <v>4</v>
      </c>
      <c r="AN63" s="60">
        <v>4</v>
      </c>
      <c r="AO63" s="60"/>
      <c r="AP63" s="60"/>
      <c r="AQ63" s="60">
        <v>4</v>
      </c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258"/>
      <c r="BQ63" s="258"/>
      <c r="BR63" s="258"/>
      <c r="BS63" s="258"/>
      <c r="BT63" s="258"/>
      <c r="BU63" s="258"/>
      <c r="BV63" s="258"/>
      <c r="BW63" s="258"/>
      <c r="BX63" s="258"/>
      <c r="BY63" s="258"/>
      <c r="BZ63" s="258"/>
      <c r="CA63" s="258"/>
      <c r="CB63" s="258"/>
      <c r="CC63" s="258"/>
      <c r="CD63" s="258"/>
      <c r="CE63" s="258"/>
      <c r="CF63" s="258"/>
      <c r="CG63" s="258"/>
      <c r="CH63" s="258"/>
      <c r="CI63" s="258"/>
      <c r="CJ63" s="258"/>
      <c r="CK63" s="258"/>
      <c r="CL63" s="258"/>
      <c r="CM63" s="258"/>
      <c r="CN63" s="258"/>
      <c r="CO63" s="258"/>
      <c r="CP63" s="258"/>
      <c r="CQ63" s="258"/>
      <c r="CR63" s="258"/>
      <c r="CS63" s="258"/>
      <c r="CT63" s="258"/>
      <c r="CU63" s="258"/>
      <c r="CV63" s="258"/>
      <c r="CW63" s="258"/>
      <c r="CX63" s="258"/>
      <c r="CY63" s="258"/>
      <c r="CZ63" s="258"/>
      <c r="DA63" s="258"/>
      <c r="DB63" s="258"/>
      <c r="DC63" s="258"/>
      <c r="DD63" s="258"/>
      <c r="DE63" s="258"/>
      <c r="DF63" s="258"/>
      <c r="DG63" s="258"/>
      <c r="DH63" s="258"/>
      <c r="DI63" s="258"/>
      <c r="DJ63" s="258"/>
      <c r="DK63" s="258"/>
      <c r="DL63" s="258"/>
      <c r="DM63" s="258"/>
      <c r="DN63" s="258"/>
      <c r="DO63" s="258"/>
      <c r="DP63" s="258"/>
      <c r="DQ63" s="258"/>
      <c r="DR63" s="258"/>
      <c r="DS63" s="258"/>
      <c r="DT63" s="258"/>
      <c r="DU63" s="258"/>
      <c r="DV63" s="258"/>
      <c r="DW63" s="258"/>
      <c r="DX63" s="258"/>
      <c r="DY63" s="258"/>
      <c r="DZ63" s="258"/>
      <c r="EA63" s="258"/>
      <c r="EB63" s="258"/>
      <c r="EC63" s="258"/>
      <c r="ED63" s="258"/>
      <c r="EE63" s="258"/>
      <c r="EF63" s="258"/>
      <c r="EG63" s="258"/>
      <c r="EH63" s="258"/>
      <c r="EI63" s="258"/>
      <c r="EJ63" s="258"/>
      <c r="EK63" s="258"/>
      <c r="EL63" s="258"/>
      <c r="EM63" s="258"/>
      <c r="EN63" s="258"/>
      <c r="EO63" s="258"/>
      <c r="EP63" s="258"/>
      <c r="EQ63" s="258"/>
      <c r="ER63" s="258"/>
      <c r="ES63" s="258"/>
      <c r="ET63" s="258"/>
      <c r="EU63" s="258"/>
      <c r="EV63" s="258"/>
      <c r="EW63" s="258"/>
      <c r="EX63" s="258"/>
      <c r="EY63" s="258"/>
      <c r="EZ63" s="258"/>
      <c r="FA63" s="258"/>
      <c r="FB63" s="258"/>
      <c r="FC63" s="258"/>
      <c r="FD63" s="258"/>
      <c r="FE63" s="258"/>
      <c r="FF63" s="258"/>
      <c r="FG63" s="258"/>
      <c r="FH63" s="258"/>
      <c r="FI63" s="258"/>
      <c r="FJ63" s="258"/>
      <c r="FK63" s="258"/>
      <c r="FL63" s="258"/>
      <c r="FM63" s="258"/>
      <c r="FN63" s="258"/>
      <c r="FO63" s="258"/>
      <c r="FP63" s="258"/>
      <c r="FQ63" s="258"/>
      <c r="FR63" s="258"/>
      <c r="FS63" s="258"/>
      <c r="FT63" s="258"/>
      <c r="FU63" s="258"/>
      <c r="FV63" s="258"/>
      <c r="FW63" s="258"/>
      <c r="FX63" s="258"/>
      <c r="FY63" s="258"/>
      <c r="FZ63" s="258"/>
      <c r="GA63" s="258"/>
      <c r="GB63" s="258"/>
      <c r="GC63" s="258"/>
      <c r="GD63" s="258"/>
      <c r="GE63" s="258"/>
      <c r="GF63" s="258"/>
      <c r="GG63" s="247"/>
      <c r="GH63" s="247"/>
      <c r="GI63" s="247"/>
      <c r="GJ63" s="247"/>
      <c r="GK63" s="247"/>
      <c r="GL63" s="247"/>
      <c r="GM63" s="247"/>
      <c r="GN63" s="247"/>
      <c r="GO63" s="247"/>
      <c r="GP63" s="247"/>
      <c r="GQ63" s="247"/>
    </row>
    <row r="64" spans="1:256" s="128" customFormat="1">
      <c r="A64" s="128" t="str">
        <f t="shared" si="37"/>
        <v/>
      </c>
      <c r="B64" s="128">
        <v>3</v>
      </c>
      <c r="C64" s="168"/>
      <c r="D64" s="169"/>
      <c r="E64" s="170"/>
      <c r="F64" s="166"/>
      <c r="G64" s="123">
        <f ca="1">SUM(J64:OFFSET(J64,,I$6-1))</f>
        <v>0</v>
      </c>
      <c r="H64" s="167" t="s">
        <v>10</v>
      </c>
      <c r="I64" s="156" t="str">
        <f t="shared" si="42"/>
        <v/>
      </c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258"/>
      <c r="BQ64" s="258"/>
      <c r="BR64" s="258"/>
      <c r="BS64" s="258"/>
      <c r="BT64" s="258"/>
      <c r="BU64" s="258"/>
      <c r="BV64" s="258"/>
      <c r="BW64" s="258"/>
      <c r="BX64" s="258"/>
      <c r="BY64" s="258"/>
      <c r="BZ64" s="258"/>
      <c r="CA64" s="258"/>
      <c r="CB64" s="258"/>
      <c r="CC64" s="258"/>
      <c r="CD64" s="258"/>
      <c r="CE64" s="258"/>
      <c r="CF64" s="258"/>
      <c r="CG64" s="258"/>
      <c r="CH64" s="258"/>
      <c r="CI64" s="258"/>
      <c r="CJ64" s="258"/>
      <c r="CK64" s="258"/>
      <c r="CL64" s="258"/>
      <c r="CM64" s="258"/>
      <c r="CN64" s="258"/>
      <c r="CO64" s="258"/>
      <c r="CP64" s="258"/>
      <c r="CQ64" s="258"/>
      <c r="CR64" s="258"/>
      <c r="CS64" s="258"/>
      <c r="CT64" s="258"/>
      <c r="CU64" s="258"/>
      <c r="CV64" s="258"/>
      <c r="CW64" s="258"/>
      <c r="CX64" s="258"/>
      <c r="CY64" s="258"/>
      <c r="CZ64" s="258"/>
      <c r="DA64" s="258"/>
      <c r="DB64" s="258"/>
      <c r="DC64" s="258"/>
      <c r="DD64" s="258"/>
      <c r="DE64" s="258"/>
      <c r="DF64" s="258"/>
      <c r="DG64" s="258"/>
      <c r="DH64" s="258"/>
      <c r="DI64" s="258"/>
      <c r="DJ64" s="258"/>
      <c r="DK64" s="258"/>
      <c r="DL64" s="258"/>
      <c r="DM64" s="258"/>
      <c r="DN64" s="258"/>
      <c r="DO64" s="258"/>
      <c r="DP64" s="258"/>
      <c r="DQ64" s="258"/>
      <c r="DR64" s="258"/>
      <c r="DS64" s="258"/>
      <c r="DT64" s="258"/>
      <c r="DU64" s="258"/>
      <c r="DV64" s="258"/>
      <c r="DW64" s="258"/>
      <c r="DX64" s="258"/>
      <c r="DY64" s="258"/>
      <c r="DZ64" s="258"/>
      <c r="EA64" s="258"/>
      <c r="EB64" s="258"/>
      <c r="EC64" s="258"/>
      <c r="ED64" s="258"/>
      <c r="EE64" s="258"/>
      <c r="EF64" s="258"/>
      <c r="EG64" s="258"/>
      <c r="EH64" s="258"/>
      <c r="EI64" s="258"/>
      <c r="EJ64" s="258"/>
      <c r="EK64" s="258"/>
      <c r="EL64" s="258"/>
      <c r="EM64" s="258"/>
      <c r="EN64" s="258"/>
      <c r="EO64" s="258"/>
      <c r="EP64" s="258"/>
      <c r="EQ64" s="258"/>
      <c r="ER64" s="258"/>
      <c r="ES64" s="258"/>
      <c r="ET64" s="258"/>
      <c r="EU64" s="258"/>
      <c r="EV64" s="258"/>
      <c r="EW64" s="258"/>
      <c r="EX64" s="258"/>
      <c r="EY64" s="258"/>
      <c r="EZ64" s="258"/>
      <c r="FA64" s="258"/>
      <c r="FB64" s="258"/>
      <c r="FC64" s="258"/>
      <c r="FD64" s="258"/>
      <c r="FE64" s="258"/>
      <c r="FF64" s="258"/>
      <c r="FG64" s="258"/>
      <c r="FH64" s="258"/>
      <c r="FI64" s="258"/>
      <c r="FJ64" s="258"/>
      <c r="FK64" s="258"/>
      <c r="FL64" s="258"/>
      <c r="FM64" s="258"/>
      <c r="FN64" s="258"/>
      <c r="FO64" s="258"/>
      <c r="FP64" s="258"/>
      <c r="FQ64" s="258"/>
      <c r="FR64" s="258"/>
      <c r="FS64" s="258"/>
      <c r="FT64" s="258"/>
      <c r="FU64" s="258"/>
      <c r="FV64" s="258"/>
      <c r="FW64" s="258"/>
      <c r="FX64" s="258"/>
      <c r="FY64" s="258"/>
      <c r="FZ64" s="258"/>
      <c r="GA64" s="258"/>
      <c r="GB64" s="258"/>
      <c r="GC64" s="258"/>
      <c r="GD64" s="258"/>
      <c r="GE64" s="258"/>
      <c r="GF64" s="258"/>
      <c r="GG64" s="247"/>
      <c r="GH64" s="247"/>
      <c r="GI64" s="247"/>
      <c r="GJ64" s="247"/>
      <c r="GK64" s="247"/>
      <c r="GL64" s="247"/>
      <c r="GM64" s="247"/>
      <c r="GN64" s="247"/>
      <c r="GO64" s="247"/>
      <c r="GP64" s="247"/>
      <c r="GQ64" s="247"/>
    </row>
    <row r="65" spans="1:256" s="128" customFormat="1">
      <c r="A65" s="128" t="str">
        <f t="shared" si="37"/>
        <v/>
      </c>
      <c r="B65" s="128">
        <v>4</v>
      </c>
      <c r="C65" s="123"/>
      <c r="D65" s="123"/>
      <c r="E65" s="157"/>
      <c r="F65" s="166"/>
      <c r="G65" s="123">
        <f ca="1">SUM(J65:OFFSET(J65,,I$6-1))</f>
        <v>0</v>
      </c>
      <c r="H65" s="167" t="s">
        <v>72</v>
      </c>
      <c r="I65" s="156" t="str">
        <f t="shared" si="42"/>
        <v/>
      </c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258"/>
      <c r="BQ65" s="258"/>
      <c r="BR65" s="258"/>
      <c r="BS65" s="258"/>
      <c r="BT65" s="258"/>
      <c r="BU65" s="258"/>
      <c r="BV65" s="258"/>
      <c r="BW65" s="258"/>
      <c r="BX65" s="258"/>
      <c r="BY65" s="258"/>
      <c r="BZ65" s="258"/>
      <c r="CA65" s="258"/>
      <c r="CB65" s="258"/>
      <c r="CC65" s="258"/>
      <c r="CD65" s="258"/>
      <c r="CE65" s="258"/>
      <c r="CF65" s="258"/>
      <c r="CG65" s="258"/>
      <c r="CH65" s="258"/>
      <c r="CI65" s="258"/>
      <c r="CJ65" s="258"/>
      <c r="CK65" s="258"/>
      <c r="CL65" s="258"/>
      <c r="CM65" s="258"/>
      <c r="CN65" s="258"/>
      <c r="CO65" s="258"/>
      <c r="CP65" s="258"/>
      <c r="CQ65" s="258"/>
      <c r="CR65" s="258"/>
      <c r="CS65" s="258"/>
      <c r="CT65" s="258"/>
      <c r="CU65" s="258"/>
      <c r="CV65" s="258"/>
      <c r="CW65" s="258"/>
      <c r="CX65" s="258"/>
      <c r="CY65" s="258"/>
      <c r="CZ65" s="258"/>
      <c r="DA65" s="258"/>
      <c r="DB65" s="258"/>
      <c r="DC65" s="258"/>
      <c r="DD65" s="258"/>
      <c r="DE65" s="258"/>
      <c r="DF65" s="258"/>
      <c r="DG65" s="258"/>
      <c r="DH65" s="258"/>
      <c r="DI65" s="258"/>
      <c r="DJ65" s="258"/>
      <c r="DK65" s="258"/>
      <c r="DL65" s="258"/>
      <c r="DM65" s="258"/>
      <c r="DN65" s="258"/>
      <c r="DO65" s="258"/>
      <c r="DP65" s="258"/>
      <c r="DQ65" s="258"/>
      <c r="DR65" s="258"/>
      <c r="DS65" s="258"/>
      <c r="DT65" s="258"/>
      <c r="DU65" s="258"/>
      <c r="DV65" s="258"/>
      <c r="DW65" s="258"/>
      <c r="DX65" s="258"/>
      <c r="DY65" s="258"/>
      <c r="DZ65" s="258"/>
      <c r="EA65" s="258"/>
      <c r="EB65" s="258"/>
      <c r="EC65" s="258"/>
      <c r="ED65" s="258"/>
      <c r="EE65" s="258"/>
      <c r="EF65" s="258"/>
      <c r="EG65" s="258"/>
      <c r="EH65" s="258"/>
      <c r="EI65" s="258"/>
      <c r="EJ65" s="258"/>
      <c r="EK65" s="258"/>
      <c r="EL65" s="258"/>
      <c r="EM65" s="258"/>
      <c r="EN65" s="258"/>
      <c r="EO65" s="258"/>
      <c r="EP65" s="258"/>
      <c r="EQ65" s="258"/>
      <c r="ER65" s="258"/>
      <c r="ES65" s="258"/>
      <c r="ET65" s="258"/>
      <c r="EU65" s="258"/>
      <c r="EV65" s="258"/>
      <c r="EW65" s="258"/>
      <c r="EX65" s="258"/>
      <c r="EY65" s="258"/>
      <c r="EZ65" s="258"/>
      <c r="FA65" s="258"/>
      <c r="FB65" s="258"/>
      <c r="FC65" s="258"/>
      <c r="FD65" s="258"/>
      <c r="FE65" s="258"/>
      <c r="FF65" s="258"/>
      <c r="FG65" s="258"/>
      <c r="FH65" s="258"/>
      <c r="FI65" s="258"/>
      <c r="FJ65" s="258"/>
      <c r="FK65" s="258"/>
      <c r="FL65" s="258"/>
      <c r="FM65" s="258"/>
      <c r="FN65" s="258"/>
      <c r="FO65" s="258"/>
      <c r="FP65" s="258"/>
      <c r="FQ65" s="258"/>
      <c r="FR65" s="258"/>
      <c r="FS65" s="258"/>
      <c r="FT65" s="258"/>
      <c r="FU65" s="258"/>
      <c r="FV65" s="258"/>
      <c r="FW65" s="258"/>
      <c r="FX65" s="258"/>
      <c r="FY65" s="258"/>
      <c r="FZ65" s="258"/>
      <c r="GA65" s="258"/>
      <c r="GB65" s="258"/>
      <c r="GC65" s="258"/>
      <c r="GD65" s="258"/>
      <c r="GE65" s="258"/>
      <c r="GF65" s="258"/>
      <c r="GG65" s="247"/>
      <c r="GH65" s="247"/>
      <c r="GI65" s="247"/>
      <c r="GJ65" s="247"/>
      <c r="GK65" s="247"/>
      <c r="GL65" s="247"/>
      <c r="GM65" s="247"/>
      <c r="GN65" s="247"/>
      <c r="GO65" s="247"/>
      <c r="GP65" s="247"/>
      <c r="GQ65" s="247"/>
    </row>
    <row r="66" spans="1:256" s="128" customFormat="1">
      <c r="A66" s="128" t="str">
        <f t="shared" si="37"/>
        <v/>
      </c>
      <c r="B66" s="128">
        <v>5</v>
      </c>
      <c r="C66" s="123"/>
      <c r="D66" s="123"/>
      <c r="E66" s="157"/>
      <c r="F66" s="123"/>
      <c r="G66" s="123">
        <f ca="1">SUM(J66:OFFSET(J66,,I$6-1))</f>
        <v>19</v>
      </c>
      <c r="H66" s="167" t="s">
        <v>86</v>
      </c>
      <c r="I66" s="156" t="str">
        <f t="shared" si="42"/>
        <v/>
      </c>
      <c r="J66" s="60">
        <v>2</v>
      </c>
      <c r="K66" s="60">
        <v>2</v>
      </c>
      <c r="L66" s="60">
        <v>2</v>
      </c>
      <c r="M66" s="246"/>
      <c r="N66" s="60"/>
      <c r="O66" s="60">
        <v>2</v>
      </c>
      <c r="P66" s="60">
        <v>2</v>
      </c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>
        <v>1</v>
      </c>
      <c r="AE66" s="60">
        <v>1</v>
      </c>
      <c r="AF66" s="60">
        <v>1</v>
      </c>
      <c r="AG66" s="60">
        <v>1</v>
      </c>
      <c r="AH66" s="60"/>
      <c r="AI66" s="60"/>
      <c r="AJ66" s="60">
        <v>1</v>
      </c>
      <c r="AK66" s="60"/>
      <c r="AL66" s="60"/>
      <c r="AM66" s="60">
        <v>2</v>
      </c>
      <c r="AN66" s="60">
        <v>2</v>
      </c>
      <c r="AO66" s="60"/>
      <c r="AP66" s="60"/>
      <c r="AQ66" s="60">
        <v>2</v>
      </c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259"/>
      <c r="BQ66" s="258"/>
      <c r="BR66" s="258"/>
      <c r="BS66" s="258"/>
      <c r="BT66" s="258"/>
      <c r="BU66" s="258"/>
      <c r="BV66" s="258"/>
      <c r="BW66" s="258"/>
      <c r="BX66" s="258"/>
      <c r="BY66" s="258"/>
      <c r="BZ66" s="258"/>
      <c r="CA66" s="258"/>
      <c r="CB66" s="258"/>
      <c r="CC66" s="258"/>
      <c r="CD66" s="258"/>
      <c r="CE66" s="258"/>
      <c r="CF66" s="258"/>
      <c r="CG66" s="258"/>
      <c r="CH66" s="258"/>
      <c r="CI66" s="258"/>
      <c r="CJ66" s="258"/>
      <c r="CK66" s="258"/>
      <c r="CL66" s="258"/>
      <c r="CM66" s="258"/>
      <c r="CN66" s="258"/>
      <c r="CO66" s="258"/>
      <c r="CP66" s="258"/>
      <c r="CQ66" s="258"/>
      <c r="CR66" s="258"/>
      <c r="CS66" s="258"/>
      <c r="CT66" s="258"/>
      <c r="CU66" s="258"/>
      <c r="CV66" s="258"/>
      <c r="CW66" s="258"/>
      <c r="CX66" s="258"/>
      <c r="CY66" s="258"/>
      <c r="CZ66" s="258"/>
      <c r="DA66" s="258"/>
      <c r="DB66" s="258"/>
      <c r="DC66" s="258"/>
      <c r="DD66" s="258"/>
      <c r="DE66" s="258"/>
      <c r="DF66" s="258"/>
      <c r="DG66" s="258"/>
      <c r="DH66" s="258"/>
      <c r="DI66" s="258"/>
      <c r="DJ66" s="258"/>
      <c r="DK66" s="258"/>
      <c r="DL66" s="258"/>
      <c r="DM66" s="258"/>
      <c r="DN66" s="258"/>
      <c r="DO66" s="258"/>
      <c r="DP66" s="258"/>
      <c r="DQ66" s="258"/>
      <c r="DR66" s="258"/>
      <c r="DS66" s="258"/>
      <c r="DT66" s="258"/>
      <c r="DU66" s="258"/>
      <c r="DV66" s="258"/>
      <c r="DW66" s="258"/>
      <c r="DX66" s="258"/>
      <c r="DY66" s="258"/>
      <c r="DZ66" s="258"/>
      <c r="EA66" s="258"/>
      <c r="EB66" s="258"/>
      <c r="EC66" s="258"/>
      <c r="ED66" s="258"/>
      <c r="EE66" s="258"/>
      <c r="EF66" s="258"/>
      <c r="EG66" s="258"/>
      <c r="EH66" s="258"/>
      <c r="EI66" s="258"/>
      <c r="EJ66" s="258"/>
      <c r="EK66" s="258"/>
      <c r="EL66" s="258"/>
      <c r="EM66" s="258"/>
      <c r="EN66" s="258"/>
      <c r="EO66" s="258"/>
      <c r="EP66" s="258"/>
      <c r="EQ66" s="258"/>
      <c r="ER66" s="258"/>
      <c r="ES66" s="258"/>
      <c r="ET66" s="258"/>
      <c r="EU66" s="258"/>
      <c r="EV66" s="258"/>
      <c r="EW66" s="258"/>
      <c r="EX66" s="258"/>
      <c r="EY66" s="258"/>
      <c r="EZ66" s="258"/>
      <c r="FA66" s="258"/>
      <c r="FB66" s="258"/>
      <c r="FC66" s="258"/>
      <c r="FD66" s="258"/>
      <c r="FE66" s="258"/>
      <c r="FF66" s="258"/>
      <c r="FG66" s="258"/>
      <c r="FH66" s="258"/>
      <c r="FI66" s="258"/>
      <c r="FJ66" s="258"/>
      <c r="FK66" s="258"/>
      <c r="FL66" s="258"/>
      <c r="FM66" s="258"/>
      <c r="FN66" s="258"/>
      <c r="FO66" s="258"/>
      <c r="FP66" s="258"/>
      <c r="FQ66" s="258"/>
      <c r="FR66" s="258"/>
      <c r="FS66" s="258"/>
      <c r="FT66" s="258"/>
      <c r="FU66" s="258"/>
      <c r="FV66" s="258"/>
      <c r="FW66" s="258"/>
      <c r="FX66" s="258"/>
      <c r="FY66" s="258"/>
      <c r="FZ66" s="258"/>
      <c r="GA66" s="258"/>
      <c r="GB66" s="258"/>
      <c r="GC66" s="258"/>
      <c r="GD66" s="258"/>
      <c r="GE66" s="258"/>
      <c r="GF66" s="258"/>
      <c r="GG66" s="247"/>
      <c r="GH66" s="247"/>
      <c r="GI66" s="247"/>
      <c r="GJ66" s="247"/>
      <c r="GK66" s="247"/>
      <c r="GL66" s="247"/>
      <c r="GM66" s="247"/>
      <c r="GN66" s="247"/>
      <c r="GO66" s="247"/>
      <c r="GP66" s="247"/>
      <c r="GQ66" s="247"/>
    </row>
    <row r="67" spans="1:256" s="128" customFormat="1">
      <c r="A67" s="128" t="str">
        <f t="shared" si="37"/>
        <v/>
      </c>
      <c r="C67" s="123"/>
      <c r="D67" s="123"/>
      <c r="E67" s="157"/>
      <c r="F67" s="123"/>
      <c r="G67" s="123"/>
      <c r="I67" s="156" t="str">
        <f t="shared" si="42"/>
        <v/>
      </c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258"/>
      <c r="BQ67" s="258"/>
      <c r="BR67" s="258"/>
      <c r="BS67" s="258"/>
      <c r="BT67" s="258"/>
      <c r="BU67" s="258"/>
      <c r="BV67" s="258"/>
      <c r="BW67" s="258"/>
      <c r="BX67" s="258"/>
      <c r="BY67" s="258"/>
      <c r="BZ67" s="258"/>
      <c r="CA67" s="258"/>
      <c r="CB67" s="258"/>
      <c r="CC67" s="258"/>
      <c r="CD67" s="258"/>
      <c r="CE67" s="258"/>
      <c r="CF67" s="258"/>
      <c r="CG67" s="258"/>
      <c r="CH67" s="258"/>
      <c r="CI67" s="258"/>
      <c r="CJ67" s="258"/>
      <c r="CK67" s="258"/>
      <c r="CL67" s="258"/>
      <c r="CM67" s="258"/>
      <c r="CN67" s="258"/>
      <c r="CO67" s="258"/>
      <c r="CP67" s="258"/>
      <c r="CQ67" s="258"/>
      <c r="CR67" s="258"/>
      <c r="CS67" s="258"/>
      <c r="CT67" s="258"/>
      <c r="CU67" s="258"/>
      <c r="CV67" s="258"/>
      <c r="CW67" s="258"/>
      <c r="CX67" s="258"/>
      <c r="CY67" s="258"/>
      <c r="CZ67" s="258"/>
      <c r="DA67" s="258"/>
      <c r="DB67" s="258"/>
      <c r="DC67" s="258"/>
      <c r="DD67" s="258"/>
      <c r="DE67" s="258"/>
      <c r="DF67" s="258"/>
      <c r="DG67" s="258"/>
      <c r="DH67" s="258"/>
      <c r="DI67" s="258"/>
      <c r="DJ67" s="258"/>
      <c r="DK67" s="258"/>
      <c r="DL67" s="258"/>
      <c r="DM67" s="258"/>
      <c r="DN67" s="258"/>
      <c r="DO67" s="258"/>
      <c r="DP67" s="258"/>
      <c r="DQ67" s="258"/>
      <c r="DR67" s="258"/>
      <c r="DS67" s="258"/>
      <c r="DT67" s="258"/>
      <c r="DU67" s="258"/>
      <c r="DV67" s="258"/>
      <c r="DW67" s="258"/>
      <c r="DX67" s="258"/>
      <c r="DY67" s="258"/>
      <c r="DZ67" s="258"/>
      <c r="EA67" s="258"/>
      <c r="EB67" s="258"/>
      <c r="EC67" s="258"/>
      <c r="ED67" s="258"/>
      <c r="EE67" s="258"/>
      <c r="EF67" s="258"/>
      <c r="EG67" s="258"/>
      <c r="EH67" s="258"/>
      <c r="EI67" s="258"/>
      <c r="EJ67" s="258"/>
      <c r="EK67" s="258"/>
      <c r="EL67" s="258"/>
      <c r="EM67" s="258"/>
      <c r="EN67" s="258"/>
      <c r="EO67" s="258"/>
      <c r="EP67" s="258"/>
      <c r="EQ67" s="258"/>
      <c r="ER67" s="258"/>
      <c r="ES67" s="258"/>
      <c r="ET67" s="258"/>
      <c r="EU67" s="258"/>
      <c r="EV67" s="258"/>
      <c r="EW67" s="258"/>
      <c r="EX67" s="258"/>
      <c r="EY67" s="258"/>
      <c r="EZ67" s="258"/>
      <c r="FA67" s="258"/>
      <c r="FB67" s="258"/>
      <c r="FC67" s="258"/>
      <c r="FD67" s="258"/>
      <c r="FE67" s="258"/>
      <c r="FF67" s="258"/>
      <c r="FG67" s="258"/>
      <c r="FH67" s="258"/>
      <c r="FI67" s="258"/>
      <c r="FJ67" s="258"/>
      <c r="FK67" s="258"/>
      <c r="FL67" s="258"/>
      <c r="FM67" s="258"/>
      <c r="FN67" s="258"/>
      <c r="FO67" s="258"/>
      <c r="FP67" s="258"/>
      <c r="FQ67" s="258"/>
      <c r="FR67" s="258"/>
      <c r="FS67" s="258"/>
      <c r="FT67" s="258"/>
      <c r="FU67" s="258"/>
      <c r="FV67" s="258"/>
      <c r="FW67" s="258"/>
      <c r="FX67" s="258"/>
      <c r="FY67" s="258"/>
      <c r="FZ67" s="258"/>
      <c r="GA67" s="258"/>
      <c r="GB67" s="258"/>
      <c r="GC67" s="258"/>
      <c r="GD67" s="258"/>
      <c r="GE67" s="258"/>
      <c r="GF67" s="258"/>
      <c r="GG67" s="247"/>
      <c r="GH67" s="247"/>
      <c r="GI67" s="247"/>
      <c r="GJ67" s="247"/>
      <c r="GK67" s="247"/>
      <c r="GL67" s="247"/>
      <c r="GM67" s="247"/>
      <c r="GN67" s="247"/>
      <c r="GO67" s="247"/>
      <c r="GP67" s="247"/>
      <c r="GQ67" s="247"/>
    </row>
    <row r="68" spans="1:256" s="128" customFormat="1">
      <c r="A68" s="128" t="str">
        <f t="shared" si="37"/>
        <v/>
      </c>
      <c r="C68" s="123"/>
      <c r="D68" s="123"/>
      <c r="E68" s="157"/>
      <c r="F68" s="123"/>
      <c r="G68" s="123"/>
      <c r="I68" s="156" t="str">
        <f t="shared" si="42"/>
        <v/>
      </c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258"/>
      <c r="BQ68" s="258"/>
      <c r="BR68" s="258"/>
      <c r="BS68" s="258"/>
      <c r="BT68" s="258"/>
      <c r="BU68" s="258"/>
      <c r="BV68" s="258"/>
      <c r="BW68" s="258"/>
      <c r="BX68" s="258"/>
      <c r="BY68" s="258"/>
      <c r="BZ68" s="258"/>
      <c r="CA68" s="258"/>
      <c r="CB68" s="258"/>
      <c r="CC68" s="258"/>
      <c r="CD68" s="258"/>
      <c r="CE68" s="258"/>
      <c r="CF68" s="258"/>
      <c r="CG68" s="258"/>
      <c r="CH68" s="258"/>
      <c r="CI68" s="258"/>
      <c r="CJ68" s="258"/>
      <c r="CK68" s="258"/>
      <c r="CL68" s="258"/>
      <c r="CM68" s="258"/>
      <c r="CN68" s="258"/>
      <c r="CO68" s="258"/>
      <c r="CP68" s="258"/>
      <c r="CQ68" s="258"/>
      <c r="CR68" s="258"/>
      <c r="CS68" s="258"/>
      <c r="CT68" s="258"/>
      <c r="CU68" s="258"/>
      <c r="CV68" s="258"/>
      <c r="CW68" s="258"/>
      <c r="CX68" s="258"/>
      <c r="CY68" s="258"/>
      <c r="CZ68" s="258"/>
      <c r="DA68" s="258"/>
      <c r="DB68" s="258"/>
      <c r="DC68" s="258"/>
      <c r="DD68" s="258"/>
      <c r="DE68" s="258"/>
      <c r="DF68" s="258"/>
      <c r="DG68" s="258"/>
      <c r="DH68" s="258"/>
      <c r="DI68" s="258"/>
      <c r="DJ68" s="258"/>
      <c r="DK68" s="258"/>
      <c r="DL68" s="258"/>
      <c r="DM68" s="258"/>
      <c r="DN68" s="258"/>
      <c r="DO68" s="258"/>
      <c r="DP68" s="258"/>
      <c r="DQ68" s="258"/>
      <c r="DR68" s="258"/>
      <c r="DS68" s="258"/>
      <c r="DT68" s="258"/>
      <c r="DU68" s="258"/>
      <c r="DV68" s="258"/>
      <c r="DW68" s="258"/>
      <c r="DX68" s="258"/>
      <c r="DY68" s="258"/>
      <c r="DZ68" s="258"/>
      <c r="EA68" s="258"/>
      <c r="EB68" s="258"/>
      <c r="EC68" s="258"/>
      <c r="ED68" s="258"/>
      <c r="EE68" s="258"/>
      <c r="EF68" s="258"/>
      <c r="EG68" s="258"/>
      <c r="EH68" s="258"/>
      <c r="EI68" s="258"/>
      <c r="EJ68" s="258"/>
      <c r="EK68" s="258"/>
      <c r="EL68" s="258"/>
      <c r="EM68" s="258"/>
      <c r="EN68" s="258"/>
      <c r="EO68" s="258"/>
      <c r="EP68" s="258"/>
      <c r="EQ68" s="258"/>
      <c r="ER68" s="258"/>
      <c r="ES68" s="258"/>
      <c r="ET68" s="258"/>
      <c r="EU68" s="258"/>
      <c r="EV68" s="258"/>
      <c r="EW68" s="258"/>
      <c r="EX68" s="258"/>
      <c r="EY68" s="258"/>
      <c r="EZ68" s="258"/>
      <c r="FA68" s="258"/>
      <c r="FB68" s="258"/>
      <c r="FC68" s="258"/>
      <c r="FD68" s="258"/>
      <c r="FE68" s="258"/>
      <c r="FF68" s="258"/>
      <c r="FG68" s="258"/>
      <c r="FH68" s="258"/>
      <c r="FI68" s="258"/>
      <c r="FJ68" s="258"/>
      <c r="FK68" s="258"/>
      <c r="FL68" s="258"/>
      <c r="FM68" s="258"/>
      <c r="FN68" s="258"/>
      <c r="FO68" s="258"/>
      <c r="FP68" s="258"/>
      <c r="FQ68" s="258"/>
      <c r="FR68" s="258"/>
      <c r="FS68" s="258"/>
      <c r="FT68" s="258"/>
      <c r="FU68" s="258"/>
      <c r="FV68" s="258"/>
      <c r="FW68" s="258"/>
      <c r="FX68" s="258"/>
      <c r="FY68" s="258"/>
      <c r="FZ68" s="258"/>
      <c r="GA68" s="258"/>
      <c r="GB68" s="258"/>
      <c r="GC68" s="258"/>
      <c r="GD68" s="258"/>
      <c r="GE68" s="258"/>
      <c r="GF68" s="258"/>
      <c r="GG68" s="247"/>
      <c r="GH68" s="247"/>
      <c r="GI68" s="247"/>
      <c r="GJ68" s="247"/>
      <c r="GK68" s="247"/>
      <c r="GL68" s="247"/>
      <c r="GM68" s="247"/>
      <c r="GN68" s="247"/>
      <c r="GO68" s="247"/>
      <c r="GP68" s="247"/>
      <c r="GQ68" s="247"/>
    </row>
    <row r="69" spans="1:256" s="128" customFormat="1">
      <c r="A69" s="128" t="str">
        <f t="shared" si="37"/>
        <v/>
      </c>
      <c r="B69" s="128">
        <v>1</v>
      </c>
      <c r="C69" s="123"/>
      <c r="D69" s="123"/>
      <c r="E69" s="157"/>
      <c r="F69" s="123"/>
      <c r="G69" s="123">
        <f ca="1">SUM(J69:OFFSET(J69,,I$6-1))</f>
        <v>5</v>
      </c>
      <c r="H69" s="171" t="s">
        <v>117</v>
      </c>
      <c r="I69" s="156" t="str">
        <f t="shared" si="42"/>
        <v/>
      </c>
      <c r="J69" s="60">
        <v>1</v>
      </c>
      <c r="K69" s="246">
        <v>1</v>
      </c>
      <c r="L69" s="246">
        <v>1</v>
      </c>
      <c r="M69" s="246"/>
      <c r="N69" s="246"/>
      <c r="O69" s="246">
        <v>1</v>
      </c>
      <c r="P69" s="246">
        <v>1</v>
      </c>
      <c r="Q69" s="246"/>
      <c r="R69" s="246"/>
      <c r="S69" s="246"/>
      <c r="T69" s="246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259"/>
      <c r="BQ69" s="258"/>
      <c r="BR69" s="258"/>
      <c r="BS69" s="258"/>
      <c r="BT69" s="258"/>
      <c r="BU69" s="258"/>
      <c r="BV69" s="258"/>
      <c r="BW69" s="258"/>
      <c r="BX69" s="258"/>
      <c r="BY69" s="258"/>
      <c r="BZ69" s="258"/>
      <c r="CA69" s="258"/>
      <c r="CB69" s="258"/>
      <c r="CC69" s="258"/>
      <c r="CD69" s="258"/>
      <c r="CE69" s="258"/>
      <c r="CF69" s="258"/>
      <c r="CG69" s="258"/>
      <c r="CH69" s="258"/>
      <c r="CI69" s="258"/>
      <c r="CJ69" s="258"/>
      <c r="CK69" s="258"/>
      <c r="CL69" s="258"/>
      <c r="CM69" s="258"/>
      <c r="CN69" s="258"/>
      <c r="CO69" s="258"/>
      <c r="CP69" s="258"/>
      <c r="CQ69" s="258"/>
      <c r="CR69" s="258"/>
      <c r="CS69" s="258"/>
      <c r="CT69" s="258"/>
      <c r="CU69" s="258"/>
      <c r="CV69" s="258"/>
      <c r="CW69" s="258"/>
      <c r="CX69" s="258"/>
      <c r="CY69" s="258"/>
      <c r="CZ69" s="258"/>
      <c r="DA69" s="258"/>
      <c r="DB69" s="258"/>
      <c r="DC69" s="258"/>
      <c r="DD69" s="258"/>
      <c r="DE69" s="258"/>
      <c r="DF69" s="258"/>
      <c r="DG69" s="258"/>
      <c r="DH69" s="258"/>
      <c r="DI69" s="258"/>
      <c r="DJ69" s="258"/>
      <c r="DK69" s="258"/>
      <c r="DL69" s="258"/>
      <c r="DM69" s="258"/>
      <c r="DN69" s="258"/>
      <c r="DO69" s="258"/>
      <c r="DP69" s="258"/>
      <c r="DQ69" s="258"/>
      <c r="DR69" s="258"/>
      <c r="DS69" s="258"/>
      <c r="DT69" s="258"/>
      <c r="DU69" s="258"/>
      <c r="DV69" s="258"/>
      <c r="DW69" s="258"/>
      <c r="DX69" s="258"/>
      <c r="DY69" s="258"/>
      <c r="DZ69" s="258"/>
      <c r="EA69" s="258"/>
      <c r="EB69" s="258"/>
      <c r="EC69" s="258"/>
      <c r="ED69" s="258"/>
      <c r="EE69" s="258"/>
      <c r="EF69" s="258"/>
      <c r="EG69" s="258"/>
      <c r="EH69" s="258"/>
      <c r="EI69" s="258"/>
      <c r="EJ69" s="258"/>
      <c r="EK69" s="258"/>
      <c r="EL69" s="258"/>
      <c r="EM69" s="258"/>
      <c r="EN69" s="258"/>
      <c r="EO69" s="258"/>
      <c r="EP69" s="258"/>
      <c r="EQ69" s="258"/>
      <c r="ER69" s="258"/>
      <c r="ES69" s="258"/>
      <c r="ET69" s="258"/>
      <c r="EU69" s="258"/>
      <c r="EV69" s="258"/>
      <c r="EW69" s="258"/>
      <c r="EX69" s="258"/>
      <c r="EY69" s="258"/>
      <c r="EZ69" s="258"/>
      <c r="FA69" s="258"/>
      <c r="FB69" s="258"/>
      <c r="FC69" s="258"/>
      <c r="FD69" s="258"/>
      <c r="FE69" s="258"/>
      <c r="FF69" s="258"/>
      <c r="FG69" s="258"/>
      <c r="FH69" s="258"/>
      <c r="FI69" s="258"/>
      <c r="FJ69" s="258"/>
      <c r="FK69" s="258"/>
      <c r="FL69" s="258"/>
      <c r="FM69" s="258"/>
      <c r="FN69" s="258"/>
      <c r="FO69" s="258"/>
      <c r="FP69" s="258"/>
      <c r="FQ69" s="258"/>
      <c r="FR69" s="258"/>
      <c r="FS69" s="258"/>
      <c r="FT69" s="258"/>
      <c r="FU69" s="258"/>
      <c r="FV69" s="258"/>
      <c r="FW69" s="258"/>
      <c r="FX69" s="258"/>
      <c r="FY69" s="258"/>
      <c r="FZ69" s="258"/>
      <c r="GA69" s="258"/>
      <c r="GB69" s="258"/>
      <c r="GC69" s="258"/>
      <c r="GD69" s="258"/>
      <c r="GE69" s="258"/>
      <c r="GF69" s="258"/>
      <c r="GG69" s="247"/>
      <c r="GH69" s="247"/>
      <c r="GI69" s="247"/>
      <c r="GJ69" s="247"/>
      <c r="GK69" s="247"/>
      <c r="GL69" s="247"/>
      <c r="GM69" s="247"/>
      <c r="GN69" s="247"/>
      <c r="GO69" s="247"/>
      <c r="GP69" s="247"/>
      <c r="GQ69" s="247"/>
    </row>
    <row r="70" spans="1:256" s="128" customFormat="1">
      <c r="A70" s="128" t="str">
        <f t="shared" si="37"/>
        <v/>
      </c>
      <c r="B70" s="128">
        <v>2</v>
      </c>
      <c r="C70" s="123"/>
      <c r="D70" s="123"/>
      <c r="E70" s="157"/>
      <c r="F70" s="123"/>
      <c r="G70" s="123">
        <f ca="1">SUM(J70:OFFSET(J70,,I$6-1))</f>
        <v>0</v>
      </c>
      <c r="H70" s="172" t="s">
        <v>118</v>
      </c>
      <c r="I70" s="156" t="str">
        <f t="shared" si="42"/>
        <v/>
      </c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258"/>
      <c r="BQ70" s="258"/>
      <c r="BR70" s="258"/>
      <c r="BS70" s="258"/>
      <c r="BT70" s="258"/>
      <c r="BU70" s="258"/>
      <c r="BV70" s="258"/>
      <c r="BW70" s="258"/>
      <c r="BX70" s="258"/>
      <c r="BY70" s="258"/>
      <c r="BZ70" s="258"/>
      <c r="CA70" s="258"/>
      <c r="CB70" s="258"/>
      <c r="CC70" s="258"/>
      <c r="CD70" s="258"/>
      <c r="CE70" s="258"/>
      <c r="CF70" s="258"/>
      <c r="CG70" s="258"/>
      <c r="CH70" s="258"/>
      <c r="CI70" s="258"/>
      <c r="CJ70" s="258"/>
      <c r="CK70" s="258"/>
      <c r="CL70" s="258"/>
      <c r="CM70" s="258"/>
      <c r="CN70" s="258"/>
      <c r="CO70" s="258"/>
      <c r="CP70" s="258"/>
      <c r="CQ70" s="258"/>
      <c r="CR70" s="258"/>
      <c r="CS70" s="258"/>
      <c r="CT70" s="258"/>
      <c r="CU70" s="258"/>
      <c r="CV70" s="258"/>
      <c r="CW70" s="258"/>
      <c r="CX70" s="258"/>
      <c r="CY70" s="258"/>
      <c r="CZ70" s="258"/>
      <c r="DA70" s="258"/>
      <c r="DB70" s="258"/>
      <c r="DC70" s="258"/>
      <c r="DD70" s="258"/>
      <c r="DE70" s="258"/>
      <c r="DF70" s="258"/>
      <c r="DG70" s="258"/>
      <c r="DH70" s="258"/>
      <c r="DI70" s="258"/>
      <c r="DJ70" s="258"/>
      <c r="DK70" s="258"/>
      <c r="DL70" s="258"/>
      <c r="DM70" s="258"/>
      <c r="DN70" s="258"/>
      <c r="DO70" s="258"/>
      <c r="DP70" s="258"/>
      <c r="DQ70" s="258"/>
      <c r="DR70" s="258"/>
      <c r="DS70" s="258"/>
      <c r="DT70" s="258"/>
      <c r="DU70" s="258"/>
      <c r="DV70" s="258"/>
      <c r="DW70" s="258"/>
      <c r="DX70" s="258"/>
      <c r="DY70" s="258"/>
      <c r="DZ70" s="258"/>
      <c r="EA70" s="258"/>
      <c r="EB70" s="258"/>
      <c r="EC70" s="258"/>
      <c r="ED70" s="258"/>
      <c r="EE70" s="258"/>
      <c r="EF70" s="258"/>
      <c r="EG70" s="258"/>
      <c r="EH70" s="258"/>
      <c r="EI70" s="258"/>
      <c r="EJ70" s="258"/>
      <c r="EK70" s="258"/>
      <c r="EL70" s="258"/>
      <c r="EM70" s="258"/>
      <c r="EN70" s="258"/>
      <c r="EO70" s="258"/>
      <c r="EP70" s="258"/>
      <c r="EQ70" s="258"/>
      <c r="ER70" s="258"/>
      <c r="ES70" s="258"/>
      <c r="ET70" s="258"/>
      <c r="EU70" s="258"/>
      <c r="EV70" s="258"/>
      <c r="EW70" s="258"/>
      <c r="EX70" s="258"/>
      <c r="EY70" s="258"/>
      <c r="EZ70" s="258"/>
      <c r="FA70" s="258"/>
      <c r="FB70" s="258"/>
      <c r="FC70" s="258"/>
      <c r="FD70" s="258"/>
      <c r="FE70" s="258"/>
      <c r="FF70" s="258"/>
      <c r="FG70" s="258"/>
      <c r="FH70" s="258"/>
      <c r="FI70" s="258"/>
      <c r="FJ70" s="258"/>
      <c r="FK70" s="258"/>
      <c r="FL70" s="258"/>
      <c r="FM70" s="258"/>
      <c r="FN70" s="258"/>
      <c r="FO70" s="258"/>
      <c r="FP70" s="258"/>
      <c r="FQ70" s="258"/>
      <c r="FR70" s="258"/>
      <c r="FS70" s="258"/>
      <c r="FT70" s="258"/>
      <c r="FU70" s="258"/>
      <c r="FV70" s="258"/>
      <c r="FW70" s="258"/>
      <c r="FX70" s="258"/>
      <c r="FY70" s="258"/>
      <c r="FZ70" s="258"/>
      <c r="GA70" s="258"/>
      <c r="GB70" s="258"/>
      <c r="GC70" s="258"/>
      <c r="GD70" s="258"/>
      <c r="GE70" s="258"/>
      <c r="GF70" s="258"/>
      <c r="GG70" s="247"/>
      <c r="GH70" s="247"/>
      <c r="GI70" s="247"/>
      <c r="GJ70" s="247"/>
      <c r="GK70" s="247"/>
      <c r="GL70" s="247"/>
      <c r="GM70" s="247"/>
      <c r="GN70" s="247"/>
      <c r="GO70" s="247"/>
      <c r="GP70" s="247"/>
      <c r="GQ70" s="247"/>
    </row>
    <row r="71" spans="1:256" s="128" customFormat="1">
      <c r="A71" s="128" t="str">
        <f t="shared" si="37"/>
        <v/>
      </c>
      <c r="B71" s="128">
        <v>3</v>
      </c>
      <c r="C71" s="123"/>
      <c r="D71" s="123"/>
      <c r="E71" s="157"/>
      <c r="F71" s="123"/>
      <c r="G71" s="123">
        <f ca="1">SUM(J71:OFFSET(J71,,I$6-1))</f>
        <v>0</v>
      </c>
      <c r="H71" s="171" t="s">
        <v>74</v>
      </c>
      <c r="I71" s="156" t="str">
        <f t="shared" si="42"/>
        <v/>
      </c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258"/>
      <c r="BQ71" s="258"/>
      <c r="BR71" s="258"/>
      <c r="BS71" s="258"/>
      <c r="BT71" s="258"/>
      <c r="BU71" s="258"/>
      <c r="BV71" s="258"/>
      <c r="BW71" s="258"/>
      <c r="BX71" s="258"/>
      <c r="BY71" s="258"/>
      <c r="BZ71" s="258"/>
      <c r="CA71" s="258"/>
      <c r="CB71" s="258"/>
      <c r="CC71" s="258"/>
      <c r="CD71" s="258"/>
      <c r="CE71" s="258"/>
      <c r="CF71" s="258"/>
      <c r="CG71" s="258"/>
      <c r="CH71" s="258"/>
      <c r="CI71" s="258"/>
      <c r="CJ71" s="258"/>
      <c r="CK71" s="258"/>
      <c r="CL71" s="258"/>
      <c r="CM71" s="258"/>
      <c r="CN71" s="258"/>
      <c r="CO71" s="258"/>
      <c r="CP71" s="258"/>
      <c r="CQ71" s="258"/>
      <c r="CR71" s="258"/>
      <c r="CS71" s="258"/>
      <c r="CT71" s="258"/>
      <c r="CU71" s="258"/>
      <c r="CV71" s="258"/>
      <c r="CW71" s="258"/>
      <c r="CX71" s="258"/>
      <c r="CY71" s="258"/>
      <c r="CZ71" s="258"/>
      <c r="DA71" s="258"/>
      <c r="DB71" s="258"/>
      <c r="DC71" s="258"/>
      <c r="DD71" s="258"/>
      <c r="DE71" s="258"/>
      <c r="DF71" s="258"/>
      <c r="DG71" s="258"/>
      <c r="DH71" s="258"/>
      <c r="DI71" s="258"/>
      <c r="DJ71" s="258"/>
      <c r="DK71" s="258"/>
      <c r="DL71" s="258"/>
      <c r="DM71" s="258"/>
      <c r="DN71" s="258"/>
      <c r="DO71" s="258"/>
      <c r="DP71" s="258"/>
      <c r="DQ71" s="258"/>
      <c r="DR71" s="258"/>
      <c r="DS71" s="258"/>
      <c r="DT71" s="258"/>
      <c r="DU71" s="258"/>
      <c r="DV71" s="258"/>
      <c r="DW71" s="258"/>
      <c r="DX71" s="258"/>
      <c r="DY71" s="258"/>
      <c r="DZ71" s="258"/>
      <c r="EA71" s="258"/>
      <c r="EB71" s="258"/>
      <c r="EC71" s="258"/>
      <c r="ED71" s="258"/>
      <c r="EE71" s="258"/>
      <c r="EF71" s="258"/>
      <c r="EG71" s="258"/>
      <c r="EH71" s="258"/>
      <c r="EI71" s="258"/>
      <c r="EJ71" s="258"/>
      <c r="EK71" s="258"/>
      <c r="EL71" s="258"/>
      <c r="EM71" s="258"/>
      <c r="EN71" s="258"/>
      <c r="EO71" s="258"/>
      <c r="EP71" s="258"/>
      <c r="EQ71" s="258"/>
      <c r="ER71" s="258"/>
      <c r="ES71" s="258"/>
      <c r="ET71" s="258"/>
      <c r="EU71" s="258"/>
      <c r="EV71" s="258"/>
      <c r="EW71" s="258"/>
      <c r="EX71" s="258"/>
      <c r="EY71" s="258"/>
      <c r="EZ71" s="258"/>
      <c r="FA71" s="258"/>
      <c r="FB71" s="258"/>
      <c r="FC71" s="258"/>
      <c r="FD71" s="258"/>
      <c r="FE71" s="258"/>
      <c r="FF71" s="258"/>
      <c r="FG71" s="258"/>
      <c r="FH71" s="258"/>
      <c r="FI71" s="258"/>
      <c r="FJ71" s="258"/>
      <c r="FK71" s="258"/>
      <c r="FL71" s="258"/>
      <c r="FM71" s="258"/>
      <c r="FN71" s="258"/>
      <c r="FO71" s="258"/>
      <c r="FP71" s="258"/>
      <c r="FQ71" s="258"/>
      <c r="FR71" s="258"/>
      <c r="FS71" s="258"/>
      <c r="FT71" s="258"/>
      <c r="FU71" s="258"/>
      <c r="FV71" s="258"/>
      <c r="FW71" s="258"/>
      <c r="FX71" s="258"/>
      <c r="FY71" s="258"/>
      <c r="FZ71" s="258"/>
      <c r="GA71" s="258"/>
      <c r="GB71" s="258"/>
      <c r="GC71" s="258"/>
      <c r="GD71" s="258"/>
      <c r="GE71" s="258"/>
      <c r="GF71" s="258"/>
      <c r="GG71" s="247"/>
      <c r="GH71" s="247"/>
      <c r="GI71" s="247"/>
      <c r="GJ71" s="247"/>
      <c r="GK71" s="247"/>
      <c r="GL71" s="247"/>
      <c r="GM71" s="247"/>
      <c r="GN71" s="247"/>
      <c r="GO71" s="247"/>
      <c r="GP71" s="247"/>
      <c r="GQ71" s="247"/>
    </row>
    <row r="72" spans="1:256" s="128" customFormat="1">
      <c r="A72" s="128" t="str">
        <f t="shared" si="37"/>
        <v/>
      </c>
      <c r="B72" s="128">
        <v>4</v>
      </c>
      <c r="C72" s="123"/>
      <c r="D72" s="123"/>
      <c r="E72" s="157"/>
      <c r="F72" s="123"/>
      <c r="G72" s="123">
        <f ca="1">SUM(J72:OFFSET(J72,,I$6-1))</f>
        <v>0</v>
      </c>
      <c r="H72" s="171" t="s">
        <v>76</v>
      </c>
      <c r="I72" s="156" t="str">
        <f t="shared" si="42"/>
        <v/>
      </c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258"/>
      <c r="BQ72" s="258"/>
      <c r="BR72" s="258"/>
      <c r="BS72" s="258"/>
      <c r="BT72" s="258"/>
      <c r="BU72" s="258"/>
      <c r="BV72" s="258"/>
      <c r="BW72" s="258"/>
      <c r="BX72" s="258"/>
      <c r="BY72" s="258"/>
      <c r="BZ72" s="258"/>
      <c r="CA72" s="258"/>
      <c r="CB72" s="258"/>
      <c r="CC72" s="258"/>
      <c r="CD72" s="258"/>
      <c r="CE72" s="258"/>
      <c r="CF72" s="258"/>
      <c r="CG72" s="258"/>
      <c r="CH72" s="258"/>
      <c r="CI72" s="258"/>
      <c r="CJ72" s="258"/>
      <c r="CK72" s="258"/>
      <c r="CL72" s="258"/>
      <c r="CM72" s="258"/>
      <c r="CN72" s="258"/>
      <c r="CO72" s="258"/>
      <c r="CP72" s="258"/>
      <c r="CQ72" s="258"/>
      <c r="CR72" s="258"/>
      <c r="CS72" s="258"/>
      <c r="CT72" s="258"/>
      <c r="CU72" s="258"/>
      <c r="CV72" s="258"/>
      <c r="CW72" s="258"/>
      <c r="CX72" s="258"/>
      <c r="CY72" s="258"/>
      <c r="CZ72" s="258"/>
      <c r="DA72" s="258"/>
      <c r="DB72" s="258"/>
      <c r="DC72" s="258"/>
      <c r="DD72" s="258"/>
      <c r="DE72" s="258"/>
      <c r="DF72" s="258"/>
      <c r="DG72" s="258"/>
      <c r="DH72" s="258"/>
      <c r="DI72" s="258"/>
      <c r="DJ72" s="258"/>
      <c r="DK72" s="258"/>
      <c r="DL72" s="258"/>
      <c r="DM72" s="258"/>
      <c r="DN72" s="258"/>
      <c r="DO72" s="258"/>
      <c r="DP72" s="258"/>
      <c r="DQ72" s="258"/>
      <c r="DR72" s="258"/>
      <c r="DS72" s="258"/>
      <c r="DT72" s="258"/>
      <c r="DU72" s="258"/>
      <c r="DV72" s="258"/>
      <c r="DW72" s="258"/>
      <c r="DX72" s="258"/>
      <c r="DY72" s="258"/>
      <c r="DZ72" s="258"/>
      <c r="EA72" s="258"/>
      <c r="EB72" s="258"/>
      <c r="EC72" s="258"/>
      <c r="ED72" s="258"/>
      <c r="EE72" s="258"/>
      <c r="EF72" s="258"/>
      <c r="EG72" s="258"/>
      <c r="EH72" s="258"/>
      <c r="EI72" s="258"/>
      <c r="EJ72" s="258"/>
      <c r="EK72" s="258"/>
      <c r="EL72" s="258"/>
      <c r="EM72" s="258"/>
      <c r="EN72" s="258"/>
      <c r="EO72" s="258"/>
      <c r="EP72" s="258"/>
      <c r="EQ72" s="258"/>
      <c r="ER72" s="258"/>
      <c r="ES72" s="258"/>
      <c r="ET72" s="258"/>
      <c r="EU72" s="258"/>
      <c r="EV72" s="258"/>
      <c r="EW72" s="258"/>
      <c r="EX72" s="258"/>
      <c r="EY72" s="258"/>
      <c r="EZ72" s="258"/>
      <c r="FA72" s="258"/>
      <c r="FB72" s="258"/>
      <c r="FC72" s="258"/>
      <c r="FD72" s="258"/>
      <c r="FE72" s="258"/>
      <c r="FF72" s="258"/>
      <c r="FG72" s="258"/>
      <c r="FH72" s="258"/>
      <c r="FI72" s="258"/>
      <c r="FJ72" s="258"/>
      <c r="FK72" s="258"/>
      <c r="FL72" s="258"/>
      <c r="FM72" s="258"/>
      <c r="FN72" s="258"/>
      <c r="FO72" s="258"/>
      <c r="FP72" s="258"/>
      <c r="FQ72" s="258"/>
      <c r="FR72" s="258"/>
      <c r="FS72" s="258"/>
      <c r="FT72" s="258"/>
      <c r="FU72" s="258"/>
      <c r="FV72" s="258"/>
      <c r="FW72" s="258"/>
      <c r="FX72" s="258"/>
      <c r="FY72" s="258"/>
      <c r="FZ72" s="258"/>
      <c r="GA72" s="258"/>
      <c r="GB72" s="258"/>
      <c r="GC72" s="258"/>
      <c r="GD72" s="258"/>
      <c r="GE72" s="258"/>
      <c r="GF72" s="258"/>
      <c r="GG72" s="247"/>
      <c r="GH72" s="247"/>
      <c r="GI72" s="247"/>
      <c r="GJ72" s="247"/>
      <c r="GK72" s="247"/>
      <c r="GL72" s="247"/>
      <c r="GM72" s="247"/>
      <c r="GN72" s="247"/>
      <c r="GO72" s="247"/>
      <c r="GP72" s="247"/>
      <c r="GQ72" s="247"/>
    </row>
    <row r="73" spans="1:256" s="128" customFormat="1">
      <c r="A73" s="128" t="str">
        <f t="shared" si="37"/>
        <v/>
      </c>
      <c r="B73" s="128">
        <v>5</v>
      </c>
      <c r="C73" s="123"/>
      <c r="D73" s="123"/>
      <c r="E73" s="157"/>
      <c r="F73" s="123"/>
      <c r="G73" s="123">
        <f ca="1">SUM(J73:OFFSET(J73,,I$6-1))</f>
        <v>0</v>
      </c>
      <c r="H73" s="171" t="s">
        <v>75</v>
      </c>
      <c r="I73" s="156" t="str">
        <f t="shared" si="42"/>
        <v/>
      </c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259"/>
      <c r="BQ73" s="258"/>
      <c r="BR73" s="258"/>
      <c r="BS73" s="258"/>
      <c r="BT73" s="258"/>
      <c r="BU73" s="258"/>
      <c r="BV73" s="258"/>
      <c r="BW73" s="258"/>
      <c r="BX73" s="258"/>
      <c r="BY73" s="258"/>
      <c r="BZ73" s="258"/>
      <c r="CA73" s="258"/>
      <c r="CB73" s="258"/>
      <c r="CC73" s="258"/>
      <c r="CD73" s="258"/>
      <c r="CE73" s="258"/>
      <c r="CF73" s="258"/>
      <c r="CG73" s="258"/>
      <c r="CH73" s="258"/>
      <c r="CI73" s="258"/>
      <c r="CJ73" s="258"/>
      <c r="CK73" s="258"/>
      <c r="CL73" s="258"/>
      <c r="CM73" s="258"/>
      <c r="CN73" s="258"/>
      <c r="CO73" s="258"/>
      <c r="CP73" s="258"/>
      <c r="CQ73" s="258"/>
      <c r="CR73" s="258"/>
      <c r="CS73" s="258"/>
      <c r="CT73" s="258"/>
      <c r="CU73" s="258"/>
      <c r="CV73" s="258"/>
      <c r="CW73" s="258"/>
      <c r="CX73" s="258"/>
      <c r="CY73" s="258"/>
      <c r="CZ73" s="258"/>
      <c r="DA73" s="258"/>
      <c r="DB73" s="258"/>
      <c r="DC73" s="258"/>
      <c r="DD73" s="258"/>
      <c r="DE73" s="258"/>
      <c r="DF73" s="258"/>
      <c r="DG73" s="258"/>
      <c r="DH73" s="258"/>
      <c r="DI73" s="258"/>
      <c r="DJ73" s="258"/>
      <c r="DK73" s="258"/>
      <c r="DL73" s="258"/>
      <c r="DM73" s="258"/>
      <c r="DN73" s="258"/>
      <c r="DO73" s="258"/>
      <c r="DP73" s="258"/>
      <c r="DQ73" s="258"/>
      <c r="DR73" s="258"/>
      <c r="DS73" s="258"/>
      <c r="DT73" s="258"/>
      <c r="DU73" s="258"/>
      <c r="DV73" s="258"/>
      <c r="DW73" s="258"/>
      <c r="DX73" s="258"/>
      <c r="DY73" s="258"/>
      <c r="DZ73" s="258"/>
      <c r="EA73" s="258"/>
      <c r="EB73" s="258"/>
      <c r="EC73" s="258"/>
      <c r="ED73" s="258"/>
      <c r="EE73" s="258"/>
      <c r="EF73" s="258"/>
      <c r="EG73" s="258"/>
      <c r="EH73" s="258"/>
      <c r="EI73" s="258"/>
      <c r="EJ73" s="258"/>
      <c r="EK73" s="258"/>
      <c r="EL73" s="258"/>
      <c r="EM73" s="258"/>
      <c r="EN73" s="258"/>
      <c r="EO73" s="258"/>
      <c r="EP73" s="258"/>
      <c r="EQ73" s="258"/>
      <c r="ER73" s="258"/>
      <c r="ES73" s="258"/>
      <c r="ET73" s="258"/>
      <c r="EU73" s="258"/>
      <c r="EV73" s="258"/>
      <c r="EW73" s="258"/>
      <c r="EX73" s="258"/>
      <c r="EY73" s="258"/>
      <c r="EZ73" s="258"/>
      <c r="FA73" s="258"/>
      <c r="FB73" s="258"/>
      <c r="FC73" s="258"/>
      <c r="FD73" s="258"/>
      <c r="FE73" s="258"/>
      <c r="FF73" s="258"/>
      <c r="FG73" s="258"/>
      <c r="FH73" s="258"/>
      <c r="FI73" s="258"/>
      <c r="FJ73" s="258"/>
      <c r="FK73" s="258"/>
      <c r="FL73" s="258"/>
      <c r="FM73" s="258"/>
      <c r="FN73" s="258"/>
      <c r="FO73" s="258"/>
      <c r="FP73" s="258"/>
      <c r="FQ73" s="258"/>
      <c r="FR73" s="258"/>
      <c r="FS73" s="258"/>
      <c r="FT73" s="258"/>
      <c r="FU73" s="258"/>
      <c r="FV73" s="258"/>
      <c r="FW73" s="258"/>
      <c r="FX73" s="258"/>
      <c r="FY73" s="258"/>
      <c r="FZ73" s="258"/>
      <c r="GA73" s="258"/>
      <c r="GB73" s="258"/>
      <c r="GC73" s="258"/>
      <c r="GD73" s="258"/>
      <c r="GE73" s="258"/>
      <c r="GF73" s="258"/>
      <c r="GG73" s="247"/>
      <c r="GH73" s="247"/>
      <c r="GI73" s="247"/>
      <c r="GJ73" s="247"/>
      <c r="GK73" s="247"/>
      <c r="GL73" s="247"/>
      <c r="GM73" s="247"/>
      <c r="GN73" s="247"/>
      <c r="GO73" s="247"/>
      <c r="GP73" s="247"/>
      <c r="GQ73" s="247"/>
    </row>
    <row r="74" spans="1:256" s="173" customFormat="1" ht="64.5" customHeight="1">
      <c r="A74" s="128" t="str">
        <f t="shared" ref="A74:A84" si="43">IF(I74="","",B74)</f>
        <v/>
      </c>
      <c r="C74" s="123"/>
      <c r="E74" s="157"/>
      <c r="H74" s="174" t="s">
        <v>21</v>
      </c>
      <c r="I74" s="156" t="str">
        <f t="shared" si="42"/>
        <v/>
      </c>
      <c r="J74" s="260"/>
      <c r="K74" s="261"/>
      <c r="L74" s="262"/>
      <c r="M74" s="263"/>
      <c r="N74" s="263"/>
      <c r="O74" s="263"/>
      <c r="P74" s="260"/>
      <c r="Q74" s="263"/>
      <c r="R74" s="260"/>
      <c r="S74" s="260"/>
      <c r="T74" s="260"/>
      <c r="U74" s="260"/>
      <c r="V74" s="264"/>
      <c r="W74" s="260"/>
      <c r="X74" s="260"/>
      <c r="Y74" s="260"/>
      <c r="Z74" s="260"/>
      <c r="AA74" s="263"/>
      <c r="AB74" s="265"/>
      <c r="AC74" s="266"/>
      <c r="AD74" s="266"/>
      <c r="AE74" s="265"/>
      <c r="AF74" s="260"/>
      <c r="AG74" s="266"/>
      <c r="AH74" s="267"/>
      <c r="AI74" s="265"/>
      <c r="AJ74" s="263"/>
      <c r="AK74" s="241"/>
      <c r="AL74" s="260"/>
      <c r="AM74" s="263"/>
      <c r="AN74" s="263"/>
      <c r="AO74" s="263"/>
      <c r="AP74" s="263"/>
      <c r="AQ74" s="266"/>
      <c r="AR74" s="268"/>
      <c r="AS74" s="268"/>
      <c r="AT74" s="269"/>
      <c r="AU74" s="270"/>
      <c r="AV74" s="268"/>
      <c r="AW74" s="265"/>
      <c r="AX74" s="268"/>
      <c r="AY74" s="266"/>
      <c r="AZ74" s="265"/>
      <c r="BA74" s="260"/>
      <c r="BB74" s="266"/>
      <c r="BC74" s="270"/>
      <c r="BD74" s="265"/>
      <c r="BE74" s="266"/>
      <c r="BF74" s="241"/>
      <c r="BG74" s="263"/>
      <c r="BH74" s="263"/>
      <c r="BI74" s="263"/>
      <c r="BJ74" s="263"/>
      <c r="BK74" s="263"/>
      <c r="BL74" s="266"/>
      <c r="BM74" s="266"/>
      <c r="BN74" s="268"/>
      <c r="BO74" s="266"/>
      <c r="BP74" s="247"/>
      <c r="BQ74" s="271"/>
      <c r="BR74" s="190"/>
      <c r="BS74" s="271"/>
      <c r="BT74" s="271"/>
      <c r="BU74" s="271"/>
      <c r="BV74" s="271"/>
      <c r="BW74" s="271"/>
      <c r="BX74" s="271"/>
      <c r="BY74" s="271"/>
      <c r="BZ74" s="271"/>
      <c r="CA74" s="190"/>
      <c r="CB74" s="271"/>
      <c r="CC74" s="271"/>
      <c r="CD74" s="271"/>
      <c r="CE74" s="271"/>
      <c r="CF74" s="271"/>
      <c r="CG74" s="271"/>
      <c r="CH74" s="271"/>
      <c r="CI74" s="271"/>
      <c r="CJ74" s="271"/>
      <c r="CK74" s="271"/>
      <c r="CL74" s="271"/>
      <c r="CM74" s="271"/>
      <c r="CN74" s="271"/>
      <c r="CO74" s="271"/>
      <c r="CP74" s="271"/>
      <c r="CQ74" s="271"/>
      <c r="CR74" s="271"/>
      <c r="CS74" s="271"/>
      <c r="CT74" s="271"/>
      <c r="CU74" s="271"/>
      <c r="CV74" s="271"/>
      <c r="CW74" s="271"/>
      <c r="CX74" s="271"/>
      <c r="CY74" s="271"/>
      <c r="CZ74" s="271"/>
      <c r="DA74" s="271"/>
      <c r="DB74" s="271"/>
      <c r="DC74" s="271"/>
      <c r="DD74" s="271"/>
      <c r="DE74" s="271"/>
      <c r="DF74" s="271"/>
      <c r="DG74" s="271"/>
      <c r="DH74" s="271"/>
      <c r="DI74" s="271"/>
      <c r="DJ74" s="271"/>
      <c r="DK74" s="271"/>
      <c r="DL74" s="271"/>
      <c r="DM74" s="271"/>
      <c r="DN74" s="271"/>
      <c r="DO74" s="271"/>
      <c r="DP74" s="271"/>
      <c r="DQ74" s="271"/>
      <c r="DR74" s="271"/>
      <c r="DS74" s="271"/>
      <c r="DT74" s="271"/>
      <c r="DU74" s="271"/>
      <c r="DV74" s="271"/>
      <c r="DW74" s="271"/>
      <c r="DX74" s="271"/>
      <c r="DY74" s="271"/>
      <c r="DZ74" s="271"/>
      <c r="EA74" s="271"/>
      <c r="EB74" s="271"/>
      <c r="EC74" s="271"/>
      <c r="ED74" s="271"/>
      <c r="EE74" s="271"/>
      <c r="EF74" s="271"/>
      <c r="EG74" s="271"/>
      <c r="EH74" s="271"/>
      <c r="EI74" s="271"/>
      <c r="EJ74" s="271"/>
      <c r="EK74" s="271"/>
      <c r="EL74" s="271"/>
      <c r="EM74" s="271"/>
      <c r="EN74" s="271"/>
      <c r="EO74" s="271"/>
      <c r="EP74" s="271"/>
      <c r="EQ74" s="271"/>
      <c r="ER74" s="271"/>
      <c r="ES74" s="271"/>
      <c r="ET74" s="271"/>
      <c r="EU74" s="271"/>
      <c r="EV74" s="271"/>
      <c r="EW74" s="271"/>
      <c r="EX74" s="271"/>
      <c r="EY74" s="271"/>
      <c r="EZ74" s="271"/>
      <c r="FA74" s="271"/>
      <c r="FB74" s="271"/>
      <c r="FC74" s="271"/>
      <c r="FD74" s="271"/>
      <c r="FE74" s="271"/>
      <c r="FF74" s="271"/>
      <c r="FG74" s="271"/>
      <c r="FH74" s="271"/>
      <c r="FI74" s="271"/>
      <c r="FJ74" s="271"/>
      <c r="FK74" s="271"/>
      <c r="FL74" s="271"/>
      <c r="FM74" s="271"/>
      <c r="FN74" s="271"/>
      <c r="FO74" s="271"/>
      <c r="FP74" s="271"/>
      <c r="FQ74" s="271"/>
      <c r="FR74" s="271"/>
      <c r="FS74" s="271"/>
      <c r="FT74" s="271"/>
      <c r="FU74" s="271"/>
      <c r="FV74" s="271"/>
      <c r="FW74" s="271"/>
      <c r="FX74" s="271"/>
      <c r="FY74" s="271"/>
      <c r="FZ74" s="271"/>
      <c r="GA74" s="271"/>
      <c r="GB74" s="271"/>
      <c r="GC74" s="271"/>
      <c r="GD74" s="271"/>
      <c r="GE74" s="271"/>
      <c r="GF74" s="271"/>
      <c r="GG74" s="271"/>
      <c r="GH74" s="271"/>
      <c r="GI74" s="271"/>
      <c r="GJ74" s="271"/>
      <c r="GK74" s="271"/>
      <c r="GL74" s="271"/>
      <c r="GM74" s="271"/>
      <c r="GN74" s="271"/>
      <c r="GO74" s="271"/>
      <c r="GP74" s="271"/>
      <c r="GQ74" s="271"/>
      <c r="GR74" s="177"/>
      <c r="GS74" s="177"/>
      <c r="GT74" s="177"/>
      <c r="GU74" s="177"/>
      <c r="GV74" s="177"/>
      <c r="GW74" s="177"/>
      <c r="GX74" s="177"/>
      <c r="GY74" s="177"/>
      <c r="GZ74" s="177"/>
      <c r="HA74" s="177"/>
      <c r="HB74" s="177"/>
      <c r="HC74" s="177"/>
      <c r="HD74" s="177"/>
      <c r="HE74" s="177"/>
      <c r="HF74" s="177"/>
      <c r="HG74" s="177"/>
      <c r="HH74" s="177"/>
      <c r="HI74" s="177"/>
      <c r="HJ74" s="177"/>
      <c r="HK74" s="177"/>
      <c r="HL74" s="177"/>
      <c r="HM74" s="177"/>
      <c r="HN74" s="177"/>
      <c r="HO74" s="177"/>
      <c r="HP74" s="177"/>
      <c r="HQ74" s="177"/>
      <c r="HR74" s="177"/>
      <c r="HS74" s="177"/>
      <c r="HT74" s="177"/>
      <c r="HU74" s="177"/>
      <c r="HV74" s="177"/>
      <c r="HW74" s="177"/>
      <c r="HX74" s="177"/>
      <c r="HY74" s="177"/>
      <c r="HZ74" s="177"/>
      <c r="IA74" s="177"/>
      <c r="IB74" s="177"/>
      <c r="IC74" s="177"/>
      <c r="ID74" s="177"/>
      <c r="IE74" s="177"/>
      <c r="IF74" s="177"/>
      <c r="IG74" s="177"/>
      <c r="IH74" s="177"/>
      <c r="II74" s="177"/>
      <c r="IJ74" s="177"/>
      <c r="IK74" s="177"/>
      <c r="IL74" s="177"/>
      <c r="IM74" s="177"/>
      <c r="IN74" s="177"/>
      <c r="IO74" s="177"/>
      <c r="IP74" s="177"/>
      <c r="IQ74" s="177"/>
      <c r="IR74" s="177"/>
      <c r="IV74" s="128"/>
    </row>
    <row r="75" spans="1:256" s="173" customFormat="1" ht="64.5" customHeight="1">
      <c r="A75" s="128" t="str">
        <f t="shared" si="43"/>
        <v/>
      </c>
      <c r="C75" s="123"/>
      <c r="E75" s="157"/>
      <c r="H75" s="178" t="s">
        <v>73</v>
      </c>
      <c r="I75" s="156" t="str">
        <f t="shared" si="42"/>
        <v/>
      </c>
      <c r="J75" s="260"/>
      <c r="K75" s="268"/>
      <c r="L75" s="260"/>
      <c r="M75" s="268"/>
      <c r="N75" s="260"/>
      <c r="O75" s="260"/>
      <c r="P75" s="270"/>
      <c r="Q75" s="260"/>
      <c r="R75" s="241"/>
      <c r="S75" s="260"/>
      <c r="T75" s="270"/>
      <c r="U75" s="270"/>
      <c r="V75" s="270"/>
      <c r="W75" s="270"/>
      <c r="X75" s="270"/>
      <c r="Y75" s="266"/>
      <c r="Z75" s="263"/>
      <c r="AA75" s="266"/>
      <c r="AB75" s="265"/>
      <c r="AC75" s="266"/>
      <c r="AD75" s="266"/>
      <c r="AE75" s="265"/>
      <c r="AF75" s="260"/>
      <c r="AG75" s="266"/>
      <c r="AH75" s="270"/>
      <c r="AI75" s="265"/>
      <c r="AJ75" s="266"/>
      <c r="AK75" s="241"/>
      <c r="AL75" s="263"/>
      <c r="AM75" s="263"/>
      <c r="AN75" s="263"/>
      <c r="AO75" s="263"/>
      <c r="AP75" s="274"/>
      <c r="AQ75" s="266"/>
      <c r="AR75" s="268"/>
      <c r="AS75" s="268"/>
      <c r="AT75" s="266"/>
      <c r="AU75" s="270"/>
      <c r="AV75" s="268"/>
      <c r="AW75" s="265"/>
      <c r="AX75" s="266"/>
      <c r="AY75" s="266"/>
      <c r="AZ75" s="265"/>
      <c r="BA75" s="260"/>
      <c r="BB75" s="260"/>
      <c r="BC75" s="270"/>
      <c r="BD75" s="265"/>
      <c r="BE75" s="260"/>
      <c r="BF75" s="241"/>
      <c r="BG75" s="263"/>
      <c r="BH75" s="263"/>
      <c r="BI75" s="263"/>
      <c r="BJ75" s="263"/>
      <c r="BK75" s="263"/>
      <c r="BL75" s="266"/>
      <c r="BM75" s="268"/>
      <c r="BN75" s="268"/>
      <c r="BO75" s="266"/>
      <c r="BP75" s="247"/>
      <c r="BQ75" s="271"/>
      <c r="BR75" s="271"/>
      <c r="BS75" s="271"/>
      <c r="BT75" s="271"/>
      <c r="BU75" s="271"/>
      <c r="BV75" s="271"/>
      <c r="BW75" s="271"/>
      <c r="BX75" s="271"/>
      <c r="BY75" s="271"/>
      <c r="BZ75" s="271"/>
      <c r="CA75" s="271"/>
      <c r="CB75" s="271"/>
      <c r="CC75" s="271"/>
      <c r="CD75" s="271"/>
      <c r="CE75" s="271"/>
      <c r="CF75" s="271"/>
      <c r="CG75" s="271"/>
      <c r="CH75" s="271"/>
      <c r="CI75" s="271"/>
      <c r="CJ75" s="271"/>
      <c r="CK75" s="271"/>
      <c r="CL75" s="271"/>
      <c r="CM75" s="271"/>
      <c r="CN75" s="271"/>
      <c r="CO75" s="271"/>
      <c r="CP75" s="271"/>
      <c r="CQ75" s="271"/>
      <c r="CR75" s="271"/>
      <c r="CS75" s="271"/>
      <c r="CT75" s="271"/>
      <c r="CU75" s="271"/>
      <c r="CV75" s="271"/>
      <c r="CW75" s="271"/>
      <c r="CX75" s="271"/>
      <c r="CY75" s="271"/>
      <c r="CZ75" s="271"/>
      <c r="DA75" s="271"/>
      <c r="DB75" s="271"/>
      <c r="DC75" s="271"/>
      <c r="DD75" s="271"/>
      <c r="DE75" s="271"/>
      <c r="DF75" s="271"/>
      <c r="DG75" s="271"/>
      <c r="DH75" s="271"/>
      <c r="DI75" s="271"/>
      <c r="DJ75" s="271"/>
      <c r="DK75" s="271"/>
      <c r="DL75" s="271"/>
      <c r="DM75" s="271"/>
      <c r="DN75" s="271"/>
      <c r="DO75" s="271"/>
      <c r="DP75" s="271"/>
      <c r="DQ75" s="271"/>
      <c r="DR75" s="271"/>
      <c r="DS75" s="271"/>
      <c r="DT75" s="271"/>
      <c r="DU75" s="271"/>
      <c r="DV75" s="271"/>
      <c r="DW75" s="271"/>
      <c r="DX75" s="271"/>
      <c r="DY75" s="271"/>
      <c r="DZ75" s="271"/>
      <c r="EA75" s="271"/>
      <c r="EB75" s="271"/>
      <c r="EC75" s="271"/>
      <c r="ED75" s="271"/>
      <c r="EE75" s="271"/>
      <c r="EF75" s="271"/>
      <c r="EG75" s="271"/>
      <c r="EH75" s="271"/>
      <c r="EI75" s="271"/>
      <c r="EJ75" s="271"/>
      <c r="EK75" s="271"/>
      <c r="EL75" s="271"/>
      <c r="EM75" s="271"/>
      <c r="EN75" s="271"/>
      <c r="EO75" s="271"/>
      <c r="EP75" s="271"/>
      <c r="EQ75" s="271"/>
      <c r="ER75" s="271"/>
      <c r="ES75" s="271"/>
      <c r="ET75" s="271"/>
      <c r="EU75" s="271"/>
      <c r="EV75" s="271"/>
      <c r="EW75" s="271"/>
      <c r="EX75" s="271"/>
      <c r="EY75" s="271"/>
      <c r="EZ75" s="271"/>
      <c r="FA75" s="271"/>
      <c r="FB75" s="271"/>
      <c r="FC75" s="271"/>
      <c r="FD75" s="271"/>
      <c r="FE75" s="271"/>
      <c r="FF75" s="271"/>
      <c r="FG75" s="271"/>
      <c r="FH75" s="271"/>
      <c r="FI75" s="271"/>
      <c r="FJ75" s="271"/>
      <c r="FK75" s="271"/>
      <c r="FL75" s="271"/>
      <c r="FM75" s="271"/>
      <c r="FN75" s="271"/>
      <c r="FO75" s="271"/>
      <c r="FP75" s="271"/>
      <c r="FQ75" s="271"/>
      <c r="FR75" s="271"/>
      <c r="FS75" s="271"/>
      <c r="FT75" s="271"/>
      <c r="FU75" s="271"/>
      <c r="FV75" s="271"/>
      <c r="FW75" s="271"/>
      <c r="FX75" s="271"/>
      <c r="FY75" s="271"/>
      <c r="FZ75" s="271"/>
      <c r="GA75" s="271"/>
      <c r="GB75" s="271"/>
      <c r="GC75" s="271"/>
      <c r="GD75" s="271"/>
      <c r="GE75" s="271"/>
      <c r="GF75" s="271"/>
      <c r="GG75" s="271"/>
      <c r="GH75" s="271"/>
      <c r="GI75" s="271"/>
      <c r="GJ75" s="271"/>
      <c r="GK75" s="271"/>
      <c r="GL75" s="271"/>
      <c r="GM75" s="271"/>
      <c r="GN75" s="271"/>
      <c r="GO75" s="271"/>
      <c r="GP75" s="271"/>
      <c r="GQ75" s="271"/>
      <c r="GR75" s="177"/>
      <c r="GS75" s="177"/>
      <c r="GT75" s="177"/>
      <c r="GU75" s="177"/>
      <c r="GV75" s="177"/>
      <c r="GW75" s="177"/>
      <c r="GX75" s="177"/>
      <c r="GY75" s="177"/>
      <c r="GZ75" s="177"/>
      <c r="HA75" s="177"/>
      <c r="HB75" s="177"/>
      <c r="HC75" s="177"/>
      <c r="HD75" s="177"/>
      <c r="HE75" s="177"/>
      <c r="HF75" s="177"/>
      <c r="HG75" s="177"/>
      <c r="HH75" s="177"/>
      <c r="HI75" s="177"/>
      <c r="HJ75" s="177"/>
      <c r="HK75" s="177"/>
      <c r="HL75" s="177"/>
      <c r="HM75" s="177"/>
      <c r="HN75" s="177"/>
      <c r="HO75" s="177"/>
      <c r="HP75" s="177"/>
      <c r="HQ75" s="177"/>
      <c r="HR75" s="177"/>
      <c r="HS75" s="177"/>
      <c r="HT75" s="177"/>
      <c r="HU75" s="177"/>
      <c r="HV75" s="177"/>
      <c r="HW75" s="177"/>
      <c r="HX75" s="177"/>
      <c r="HY75" s="177"/>
      <c r="HZ75" s="177"/>
      <c r="IA75" s="177"/>
      <c r="IB75" s="177"/>
      <c r="IC75" s="177"/>
      <c r="ID75" s="177"/>
      <c r="IE75" s="177"/>
      <c r="IF75" s="177"/>
      <c r="IG75" s="177"/>
      <c r="IH75" s="177"/>
      <c r="II75" s="177"/>
      <c r="IJ75" s="177"/>
      <c r="IK75" s="177"/>
      <c r="IL75" s="177"/>
      <c r="IM75" s="177"/>
      <c r="IN75" s="177"/>
      <c r="IO75" s="177"/>
      <c r="IP75" s="177"/>
      <c r="IQ75" s="177"/>
      <c r="IR75" s="177"/>
      <c r="IV75" s="128"/>
    </row>
    <row r="76" spans="1:256" s="173" customFormat="1" ht="81" customHeight="1">
      <c r="A76" s="128" t="str">
        <f t="shared" si="43"/>
        <v/>
      </c>
      <c r="C76" s="123"/>
      <c r="E76" s="157"/>
      <c r="H76" s="179" t="s">
        <v>152</v>
      </c>
      <c r="I76" s="156" t="str">
        <f t="shared" si="42"/>
        <v/>
      </c>
      <c r="J76" s="260"/>
      <c r="K76" s="275"/>
      <c r="L76" s="275"/>
      <c r="M76" s="275"/>
      <c r="N76" s="275"/>
      <c r="O76" s="275"/>
      <c r="P76" s="275"/>
      <c r="Q76" s="275"/>
      <c r="R76" s="275"/>
      <c r="S76" s="263"/>
      <c r="T76" s="275"/>
      <c r="U76" s="265"/>
      <c r="V76" s="275"/>
      <c r="W76" s="275"/>
      <c r="X76" s="275"/>
      <c r="Y76" s="275"/>
      <c r="Z76" s="275"/>
      <c r="AA76" s="275"/>
      <c r="AB76" s="275"/>
      <c r="AC76" s="275"/>
      <c r="AD76" s="275"/>
      <c r="AE76" s="265"/>
      <c r="AF76" s="275"/>
      <c r="AG76" s="275"/>
      <c r="AH76" s="275"/>
      <c r="AI76" s="275"/>
      <c r="AJ76" s="275"/>
      <c r="AK76" s="241"/>
      <c r="AL76" s="275"/>
      <c r="AM76" s="275"/>
      <c r="AN76" s="275"/>
      <c r="AO76" s="275"/>
      <c r="AP76" s="275"/>
      <c r="AQ76" s="275"/>
      <c r="AR76" s="275"/>
      <c r="AS76" s="275"/>
      <c r="AT76" s="275"/>
      <c r="AU76" s="275"/>
      <c r="AV76" s="275"/>
      <c r="AW76" s="275"/>
      <c r="AX76" s="275"/>
      <c r="AY76" s="275"/>
      <c r="AZ76" s="265"/>
      <c r="BA76" s="275"/>
      <c r="BB76" s="275"/>
      <c r="BC76" s="275"/>
      <c r="BD76" s="275"/>
      <c r="BE76" s="275"/>
      <c r="BF76" s="241"/>
      <c r="BG76" s="275"/>
      <c r="BH76" s="275"/>
      <c r="BI76" s="275"/>
      <c r="BJ76" s="275"/>
      <c r="BK76" s="275"/>
      <c r="BL76" s="275"/>
      <c r="BM76" s="275"/>
      <c r="BN76" s="275"/>
      <c r="BO76" s="275"/>
      <c r="BP76" s="247"/>
      <c r="BQ76" s="273"/>
      <c r="BR76" s="190"/>
      <c r="BS76" s="190"/>
      <c r="BT76" s="190"/>
      <c r="BU76" s="190"/>
      <c r="BV76" s="190"/>
      <c r="BW76" s="190"/>
      <c r="BX76" s="190"/>
      <c r="BY76" s="190"/>
      <c r="BZ76" s="190"/>
      <c r="CA76" s="190"/>
      <c r="CB76" s="190"/>
      <c r="CC76" s="190"/>
      <c r="CD76" s="190"/>
      <c r="CE76" s="190"/>
      <c r="CF76" s="190"/>
      <c r="CG76" s="190"/>
      <c r="CH76" s="190"/>
      <c r="CI76" s="273"/>
      <c r="CJ76" s="190"/>
      <c r="CK76" s="190"/>
      <c r="CL76" s="190"/>
      <c r="CM76" s="190"/>
      <c r="CN76" s="190"/>
      <c r="CO76" s="190"/>
      <c r="CP76" s="190"/>
      <c r="CQ76" s="190"/>
      <c r="CR76" s="190"/>
      <c r="CS76" s="190"/>
      <c r="CT76" s="190"/>
      <c r="CU76" s="190"/>
      <c r="CV76" s="190"/>
      <c r="CW76" s="190"/>
      <c r="CX76" s="190"/>
      <c r="CY76" s="190"/>
      <c r="CZ76" s="190"/>
      <c r="DA76" s="190"/>
      <c r="DB76" s="190"/>
      <c r="DC76" s="190"/>
      <c r="DD76" s="190"/>
      <c r="DE76" s="190"/>
      <c r="DF76" s="190"/>
      <c r="DG76" s="190"/>
      <c r="DH76" s="190"/>
      <c r="DI76" s="190"/>
      <c r="DJ76" s="190"/>
      <c r="DK76" s="190"/>
      <c r="DL76" s="190"/>
      <c r="DM76" s="190"/>
      <c r="DN76" s="190"/>
      <c r="DO76" s="190"/>
      <c r="DP76" s="190"/>
      <c r="DQ76" s="190"/>
      <c r="DR76" s="190"/>
      <c r="DS76" s="190"/>
      <c r="DT76" s="190"/>
      <c r="DU76" s="190"/>
      <c r="DV76" s="190"/>
      <c r="DW76" s="190"/>
      <c r="DX76" s="190"/>
      <c r="DY76" s="190"/>
      <c r="DZ76" s="190"/>
      <c r="EA76" s="190"/>
      <c r="EB76" s="190"/>
      <c r="EC76" s="190"/>
      <c r="ED76" s="190"/>
      <c r="EE76" s="190"/>
      <c r="EF76" s="190"/>
      <c r="EG76" s="190"/>
      <c r="EH76" s="190"/>
      <c r="EI76" s="190"/>
      <c r="EJ76" s="190"/>
      <c r="EK76" s="190"/>
      <c r="EL76" s="190"/>
      <c r="EM76" s="190"/>
      <c r="EN76" s="190"/>
      <c r="EO76" s="190"/>
      <c r="EP76" s="190"/>
      <c r="EQ76" s="190"/>
      <c r="ER76" s="190"/>
      <c r="ES76" s="190"/>
      <c r="ET76" s="190"/>
      <c r="EU76" s="190"/>
      <c r="EV76" s="190"/>
      <c r="EW76" s="190"/>
      <c r="EX76" s="190"/>
      <c r="EY76" s="190"/>
      <c r="EZ76" s="190"/>
      <c r="FA76" s="190"/>
      <c r="FB76" s="190"/>
      <c r="FC76" s="190"/>
      <c r="FD76" s="190"/>
      <c r="FE76" s="190"/>
      <c r="FF76" s="190"/>
      <c r="FG76" s="190"/>
      <c r="FH76" s="190"/>
      <c r="FI76" s="190"/>
      <c r="FJ76" s="190"/>
      <c r="FK76" s="190"/>
      <c r="FL76" s="190"/>
      <c r="FM76" s="190"/>
      <c r="FN76" s="190"/>
      <c r="FO76" s="190"/>
      <c r="FP76" s="190"/>
      <c r="FQ76" s="190"/>
      <c r="FR76" s="190"/>
      <c r="FS76" s="190"/>
      <c r="FT76" s="190"/>
      <c r="FU76" s="190"/>
      <c r="FV76" s="190"/>
      <c r="FW76" s="190"/>
      <c r="FX76" s="190"/>
      <c r="FY76" s="190"/>
      <c r="FZ76" s="190"/>
      <c r="GA76" s="190"/>
      <c r="GB76" s="190"/>
      <c r="GC76" s="190"/>
      <c r="GD76" s="190"/>
      <c r="GE76" s="190"/>
      <c r="GF76" s="190"/>
      <c r="GG76" s="257"/>
      <c r="GH76" s="257"/>
      <c r="GI76" s="257"/>
      <c r="GJ76" s="257"/>
      <c r="GK76" s="257"/>
      <c r="GL76" s="257"/>
      <c r="GM76" s="257"/>
      <c r="GN76" s="257"/>
      <c r="GO76" s="257"/>
      <c r="GP76" s="257"/>
      <c r="GQ76" s="257"/>
      <c r="GR76" s="175"/>
      <c r="GS76" s="175"/>
      <c r="GT76" s="175"/>
      <c r="GU76" s="175"/>
      <c r="GV76" s="175"/>
      <c r="GW76" s="175"/>
      <c r="GX76" s="175"/>
      <c r="GY76" s="175"/>
      <c r="GZ76" s="175"/>
      <c r="HA76" s="175"/>
      <c r="HB76" s="175"/>
      <c r="HC76" s="175"/>
      <c r="HD76" s="175"/>
      <c r="HE76" s="175"/>
      <c r="HF76" s="175"/>
      <c r="HG76" s="175"/>
      <c r="HH76" s="175"/>
      <c r="HI76" s="175"/>
      <c r="HJ76" s="175"/>
      <c r="HK76" s="175"/>
      <c r="HL76" s="175"/>
      <c r="HM76" s="175"/>
      <c r="HN76" s="175"/>
      <c r="HO76" s="175"/>
      <c r="HP76" s="175"/>
      <c r="HQ76" s="175"/>
      <c r="HR76" s="175"/>
      <c r="HS76" s="175"/>
      <c r="HT76" s="175"/>
      <c r="HU76" s="175"/>
      <c r="HV76" s="175"/>
      <c r="HW76" s="175"/>
      <c r="HX76" s="175"/>
      <c r="HY76" s="175"/>
      <c r="HZ76" s="175"/>
      <c r="IA76" s="175"/>
      <c r="IB76" s="175"/>
      <c r="IC76" s="175"/>
      <c r="ID76" s="175"/>
      <c r="IE76" s="175"/>
      <c r="IF76" s="175"/>
      <c r="IG76" s="175"/>
      <c r="IH76" s="175"/>
      <c r="II76" s="175"/>
      <c r="IJ76" s="175"/>
      <c r="IK76" s="175"/>
      <c r="IL76" s="175"/>
      <c r="IM76" s="175"/>
      <c r="IN76" s="175"/>
      <c r="IO76" s="175"/>
      <c r="IP76" s="175"/>
      <c r="IQ76" s="175"/>
      <c r="IR76" s="175"/>
      <c r="IV76" s="128"/>
    </row>
    <row r="77" spans="1:256" s="176" customFormat="1" ht="93.2" customHeight="1">
      <c r="A77" s="128">
        <f t="shared" ca="1" si="43"/>
        <v>0</v>
      </c>
      <c r="C77" s="123"/>
      <c r="E77" s="157"/>
      <c r="H77" s="180" t="s">
        <v>161</v>
      </c>
      <c r="I77" s="156" t="str">
        <f t="shared" ca="1" si="42"/>
        <v>本日無施工</v>
      </c>
      <c r="J77" s="289" t="s">
        <v>224</v>
      </c>
      <c r="K77" s="289" t="s">
        <v>213</v>
      </c>
      <c r="L77" s="289" t="s">
        <v>213</v>
      </c>
      <c r="M77" s="290"/>
      <c r="N77" s="290"/>
      <c r="O77" s="289" t="s">
        <v>218</v>
      </c>
      <c r="P77" s="289" t="s">
        <v>218</v>
      </c>
      <c r="Q77" s="289" t="s">
        <v>220</v>
      </c>
      <c r="R77" s="289" t="s">
        <v>219</v>
      </c>
      <c r="S77" s="289" t="s">
        <v>220</v>
      </c>
      <c r="T77" s="290"/>
      <c r="U77" s="290"/>
      <c r="V77" s="290" t="s">
        <v>221</v>
      </c>
      <c r="W77" s="290" t="s">
        <v>221</v>
      </c>
      <c r="X77" s="290" t="s">
        <v>221</v>
      </c>
      <c r="Y77" s="290" t="s">
        <v>221</v>
      </c>
      <c r="Z77" s="290" t="s">
        <v>221</v>
      </c>
      <c r="AA77" s="290" t="s">
        <v>225</v>
      </c>
      <c r="AB77" s="290" t="s">
        <v>225</v>
      </c>
      <c r="AC77" s="290" t="s">
        <v>220</v>
      </c>
      <c r="AD77" s="289" t="s">
        <v>223</v>
      </c>
      <c r="AE77" s="290" t="s">
        <v>222</v>
      </c>
      <c r="AF77" s="290" t="s">
        <v>226</v>
      </c>
      <c r="AG77" s="290" t="s">
        <v>230</v>
      </c>
      <c r="AH77" s="290" t="s">
        <v>227</v>
      </c>
      <c r="AI77" s="290" t="s">
        <v>227</v>
      </c>
      <c r="AJ77" s="290" t="s">
        <v>229</v>
      </c>
      <c r="AK77" s="290" t="s">
        <v>220</v>
      </c>
      <c r="AL77" s="290" t="s">
        <v>228</v>
      </c>
      <c r="AM77" s="290" t="s">
        <v>231</v>
      </c>
      <c r="AN77" s="290" t="s">
        <v>232</v>
      </c>
      <c r="AO77" s="290" t="s">
        <v>219</v>
      </c>
      <c r="AP77" s="290" t="s">
        <v>219</v>
      </c>
      <c r="AQ77" s="290" t="s">
        <v>233</v>
      </c>
      <c r="AR77" s="290"/>
      <c r="AS77" s="290"/>
      <c r="AT77" s="290"/>
      <c r="AU77" s="290"/>
      <c r="AV77" s="289"/>
      <c r="AW77" s="290"/>
      <c r="AX77" s="290"/>
      <c r="AY77" s="290"/>
      <c r="AZ77" s="290"/>
      <c r="BA77" s="290"/>
      <c r="BB77" s="290"/>
      <c r="BC77" s="290"/>
      <c r="BD77" s="290"/>
      <c r="BE77" s="290"/>
      <c r="BF77" s="290"/>
      <c r="BG77" s="290"/>
      <c r="BH77" s="290"/>
      <c r="BI77" s="290"/>
      <c r="BJ77" s="290"/>
      <c r="BK77" s="290"/>
      <c r="BL77" s="290"/>
      <c r="BM77" s="290"/>
      <c r="BN77" s="290"/>
      <c r="BO77" s="290"/>
      <c r="BP77" s="291"/>
      <c r="BQ77" s="290"/>
      <c r="BR77" s="290"/>
      <c r="BS77" s="290"/>
      <c r="BT77" s="290"/>
      <c r="BU77" s="289"/>
      <c r="BV77" s="289"/>
      <c r="BW77" s="289"/>
      <c r="BX77" s="289"/>
      <c r="BY77" s="289"/>
      <c r="BZ77" s="289"/>
      <c r="CA77" s="289"/>
      <c r="CB77" s="289"/>
      <c r="CC77" s="289"/>
      <c r="CD77" s="289"/>
      <c r="CE77" s="289"/>
      <c r="CF77" s="289"/>
      <c r="CG77" s="289"/>
      <c r="CH77" s="289"/>
      <c r="CI77" s="289"/>
      <c r="CJ77" s="289"/>
      <c r="CK77" s="289"/>
      <c r="CL77" s="289"/>
      <c r="CM77" s="289"/>
      <c r="CN77" s="289"/>
      <c r="CO77" s="289"/>
      <c r="CP77" s="289"/>
      <c r="CQ77" s="289"/>
      <c r="CR77" s="289"/>
      <c r="CS77" s="289"/>
      <c r="CT77" s="289"/>
      <c r="CU77" s="289"/>
      <c r="CV77" s="289"/>
      <c r="CW77" s="289"/>
      <c r="CX77" s="289"/>
      <c r="CY77" s="289"/>
      <c r="CZ77" s="289"/>
      <c r="DA77" s="289"/>
      <c r="DB77" s="289"/>
      <c r="DC77" s="289"/>
      <c r="DD77" s="289"/>
      <c r="DE77" s="289"/>
      <c r="DF77" s="289"/>
      <c r="DG77" s="289"/>
      <c r="DH77" s="289"/>
      <c r="DI77" s="289"/>
      <c r="DJ77" s="289"/>
      <c r="DK77" s="289"/>
      <c r="DL77" s="289"/>
      <c r="DM77" s="289"/>
      <c r="DN77" s="289"/>
      <c r="DO77" s="289"/>
      <c r="DP77" s="289"/>
      <c r="DQ77" s="289"/>
      <c r="DR77" s="289"/>
      <c r="DS77" s="289"/>
      <c r="DT77" s="289"/>
      <c r="DU77" s="289"/>
      <c r="DV77" s="289"/>
      <c r="DW77" s="289"/>
      <c r="DX77" s="289"/>
      <c r="DY77" s="289"/>
      <c r="DZ77" s="289"/>
      <c r="EA77" s="289"/>
      <c r="EB77" s="289"/>
      <c r="EC77" s="289"/>
      <c r="ED77" s="289"/>
      <c r="EE77" s="289"/>
      <c r="EF77" s="289"/>
      <c r="EG77" s="289"/>
      <c r="EH77" s="289"/>
      <c r="EI77" s="289"/>
      <c r="EJ77" s="289"/>
      <c r="EK77" s="289"/>
      <c r="EL77" s="289"/>
      <c r="EM77" s="289"/>
      <c r="EN77" s="289"/>
      <c r="EO77" s="289"/>
      <c r="EP77" s="289"/>
      <c r="EQ77" s="289"/>
      <c r="ER77" s="289"/>
      <c r="ES77" s="289"/>
      <c r="ET77" s="289"/>
      <c r="EU77" s="289"/>
      <c r="EV77" s="289"/>
      <c r="EW77" s="289"/>
      <c r="EX77" s="289"/>
      <c r="EY77" s="289"/>
      <c r="EZ77" s="289"/>
      <c r="FA77" s="289"/>
      <c r="FB77" s="289"/>
      <c r="FC77" s="289"/>
      <c r="FD77" s="289"/>
      <c r="FE77" s="289"/>
      <c r="FF77" s="289"/>
      <c r="FG77" s="289"/>
      <c r="FH77" s="289"/>
      <c r="FI77" s="289"/>
      <c r="FJ77" s="289"/>
      <c r="FK77" s="289"/>
      <c r="FL77" s="289"/>
      <c r="FM77" s="289"/>
      <c r="FN77" s="289"/>
      <c r="FO77" s="289"/>
      <c r="FP77" s="289"/>
      <c r="FQ77" s="289"/>
      <c r="FR77" s="289"/>
      <c r="FS77" s="289"/>
      <c r="FT77" s="289"/>
      <c r="FU77" s="289"/>
      <c r="FV77" s="289"/>
      <c r="FW77" s="289"/>
      <c r="FX77" s="289"/>
      <c r="FY77" s="289"/>
      <c r="FZ77" s="289"/>
      <c r="GA77" s="289"/>
      <c r="GB77" s="289"/>
      <c r="GC77" s="289"/>
      <c r="GD77" s="289"/>
      <c r="GE77" s="289"/>
      <c r="GF77" s="289"/>
      <c r="GG77" s="289"/>
      <c r="GH77" s="289"/>
      <c r="GI77" s="289"/>
      <c r="GJ77" s="289"/>
      <c r="GK77" s="289"/>
      <c r="GL77" s="289"/>
      <c r="GM77" s="272"/>
      <c r="GN77" s="272"/>
      <c r="GO77" s="272"/>
      <c r="GP77" s="272"/>
      <c r="GQ77" s="272"/>
      <c r="IV77" s="181"/>
    </row>
    <row r="78" spans="1:256" s="176" customFormat="1" ht="63" customHeight="1">
      <c r="A78" s="128" t="str">
        <f t="shared" si="43"/>
        <v/>
      </c>
      <c r="C78" s="123"/>
      <c r="E78" s="157"/>
      <c r="H78" s="180" t="s">
        <v>89</v>
      </c>
      <c r="I78" s="156" t="str">
        <f t="shared" si="42"/>
        <v/>
      </c>
      <c r="J78" s="262"/>
      <c r="K78" s="262"/>
      <c r="L78" s="262"/>
      <c r="M78" s="262"/>
      <c r="N78" s="262"/>
      <c r="O78" s="262"/>
      <c r="P78" s="262"/>
      <c r="Q78" s="262"/>
      <c r="R78" s="242"/>
      <c r="S78" s="242"/>
      <c r="T78" s="262"/>
      <c r="U78" s="262"/>
      <c r="V78" s="262"/>
      <c r="W78" s="262"/>
      <c r="X78" s="242"/>
      <c r="Y78" s="242"/>
      <c r="Z78" s="262"/>
      <c r="AA78" s="262"/>
      <c r="AB78" s="262"/>
      <c r="AC78" s="262"/>
      <c r="AD78" s="262"/>
      <c r="AE78" s="262"/>
      <c r="AF78" s="262"/>
      <c r="AG78" s="262"/>
      <c r="AH78" s="262"/>
      <c r="AI78" s="262"/>
      <c r="AJ78" s="276"/>
      <c r="AK78" s="276"/>
      <c r="AL78" s="276"/>
      <c r="AM78" s="276"/>
      <c r="AN78" s="276"/>
      <c r="AO78" s="276"/>
      <c r="AP78" s="276"/>
      <c r="AQ78" s="276"/>
      <c r="AR78" s="276"/>
      <c r="AS78" s="276"/>
      <c r="AT78" s="276"/>
      <c r="AU78" s="276"/>
      <c r="AV78" s="276"/>
      <c r="AW78" s="276"/>
      <c r="AX78" s="276"/>
      <c r="AY78" s="260"/>
      <c r="AZ78" s="276"/>
      <c r="BA78" s="276"/>
      <c r="BB78" s="276"/>
      <c r="BC78" s="276"/>
      <c r="BD78" s="276"/>
      <c r="BE78" s="276"/>
      <c r="BF78" s="276"/>
      <c r="BG78" s="276"/>
      <c r="BH78" s="276"/>
      <c r="BI78" s="276"/>
      <c r="BJ78" s="276"/>
      <c r="BK78" s="276"/>
      <c r="BL78" s="276"/>
      <c r="BM78" s="276"/>
      <c r="BN78" s="276"/>
      <c r="BO78" s="276"/>
      <c r="BP78" s="247"/>
      <c r="BQ78" s="277"/>
      <c r="BR78" s="277"/>
      <c r="BS78" s="277"/>
      <c r="BT78" s="277"/>
      <c r="BU78" s="272"/>
      <c r="BV78" s="272"/>
      <c r="BW78" s="272"/>
      <c r="BX78" s="272"/>
      <c r="BY78" s="272"/>
      <c r="BZ78" s="272"/>
      <c r="CA78" s="272"/>
      <c r="CB78" s="272"/>
      <c r="CC78" s="272"/>
      <c r="CD78" s="272"/>
      <c r="CE78" s="272"/>
      <c r="CF78" s="272"/>
      <c r="CG78" s="272"/>
      <c r="CH78" s="272"/>
      <c r="CI78" s="272"/>
      <c r="CJ78" s="272"/>
      <c r="CK78" s="272"/>
      <c r="CL78" s="272"/>
      <c r="CM78" s="272"/>
      <c r="CN78" s="272"/>
      <c r="CO78" s="272"/>
      <c r="CP78" s="272"/>
      <c r="CQ78" s="272"/>
      <c r="CR78" s="272"/>
      <c r="CS78" s="272"/>
      <c r="CT78" s="272"/>
      <c r="CU78" s="272"/>
      <c r="CV78" s="272"/>
      <c r="CW78" s="272"/>
      <c r="CX78" s="272"/>
      <c r="CY78" s="272"/>
      <c r="CZ78" s="272"/>
      <c r="DA78" s="272"/>
      <c r="DB78" s="272"/>
      <c r="DC78" s="272"/>
      <c r="DD78" s="272"/>
      <c r="DE78" s="272"/>
      <c r="DF78" s="272"/>
      <c r="DG78" s="272"/>
      <c r="DH78" s="272"/>
      <c r="DI78" s="272"/>
      <c r="DJ78" s="272"/>
      <c r="DK78" s="272"/>
      <c r="DL78" s="272"/>
      <c r="DM78" s="272"/>
      <c r="DN78" s="272"/>
      <c r="DO78" s="272"/>
      <c r="DP78" s="272"/>
      <c r="DQ78" s="272"/>
      <c r="DR78" s="272"/>
      <c r="DS78" s="272"/>
      <c r="DT78" s="272"/>
      <c r="DU78" s="272"/>
      <c r="DV78" s="272"/>
      <c r="DW78" s="272"/>
      <c r="DX78" s="272"/>
      <c r="DY78" s="272"/>
      <c r="DZ78" s="272"/>
      <c r="EA78" s="272"/>
      <c r="EB78" s="272"/>
      <c r="EC78" s="272"/>
      <c r="ED78" s="272"/>
      <c r="EE78" s="272"/>
      <c r="EF78" s="272"/>
      <c r="EG78" s="272"/>
      <c r="EH78" s="272"/>
      <c r="EI78" s="272"/>
      <c r="EJ78" s="272"/>
      <c r="EK78" s="272"/>
      <c r="EL78" s="272"/>
      <c r="EM78" s="272"/>
      <c r="EN78" s="272"/>
      <c r="EO78" s="272"/>
      <c r="EP78" s="272"/>
      <c r="EQ78" s="272"/>
      <c r="ER78" s="272"/>
      <c r="ES78" s="272"/>
      <c r="ET78" s="272"/>
      <c r="EU78" s="272"/>
      <c r="EV78" s="272"/>
      <c r="EW78" s="272"/>
      <c r="EX78" s="272"/>
      <c r="EY78" s="272"/>
      <c r="EZ78" s="272"/>
      <c r="FA78" s="272"/>
      <c r="FB78" s="272"/>
      <c r="FC78" s="272"/>
      <c r="FD78" s="272"/>
      <c r="FE78" s="272"/>
      <c r="FF78" s="272"/>
      <c r="FG78" s="272"/>
      <c r="FH78" s="272"/>
      <c r="FI78" s="272"/>
      <c r="FJ78" s="272"/>
      <c r="FK78" s="272"/>
      <c r="FL78" s="272"/>
      <c r="FM78" s="272"/>
      <c r="FN78" s="272"/>
      <c r="FO78" s="272"/>
      <c r="FP78" s="272"/>
      <c r="FQ78" s="272"/>
      <c r="FR78" s="272"/>
      <c r="FS78" s="272"/>
      <c r="FT78" s="272"/>
      <c r="FU78" s="272"/>
      <c r="FV78" s="272"/>
      <c r="FW78" s="272"/>
      <c r="FX78" s="272"/>
      <c r="FY78" s="272"/>
      <c r="FZ78" s="272"/>
      <c r="GA78" s="272"/>
      <c r="GB78" s="272"/>
      <c r="GC78" s="272"/>
      <c r="GD78" s="272"/>
      <c r="GE78" s="272"/>
      <c r="GF78" s="272"/>
      <c r="GG78" s="272"/>
      <c r="GH78" s="272"/>
      <c r="GI78" s="272"/>
      <c r="GJ78" s="272"/>
      <c r="GK78" s="272"/>
      <c r="GL78" s="272"/>
      <c r="GM78" s="272"/>
      <c r="GN78" s="272"/>
      <c r="GO78" s="272"/>
      <c r="GP78" s="272"/>
      <c r="GQ78" s="272"/>
      <c r="IV78" s="181"/>
    </row>
    <row r="79" spans="1:256" ht="63" customHeight="1">
      <c r="A79" s="128" t="str">
        <f t="shared" si="43"/>
        <v/>
      </c>
      <c r="E79" s="157"/>
      <c r="H79" s="179" t="s">
        <v>31</v>
      </c>
      <c r="I79" s="156" t="str">
        <f t="shared" si="42"/>
        <v/>
      </c>
      <c r="J79" s="265"/>
      <c r="K79" s="263"/>
      <c r="L79" s="263"/>
      <c r="M79" s="263"/>
      <c r="N79" s="263"/>
      <c r="O79" s="263"/>
      <c r="P79" s="263"/>
      <c r="Q79" s="263"/>
      <c r="R79" s="263"/>
      <c r="S79" s="263"/>
      <c r="T79" s="263"/>
      <c r="U79" s="263"/>
      <c r="V79" s="263"/>
      <c r="W79" s="263"/>
      <c r="X79" s="263"/>
      <c r="Y79" s="263"/>
      <c r="Z79" s="263"/>
      <c r="AA79" s="263"/>
      <c r="AB79" s="263"/>
      <c r="AC79" s="263"/>
      <c r="AD79" s="263"/>
      <c r="AE79" s="263"/>
      <c r="AF79" s="263"/>
      <c r="AG79" s="263"/>
      <c r="AH79" s="263"/>
      <c r="AI79" s="263"/>
      <c r="AJ79" s="263"/>
      <c r="AK79" s="263"/>
      <c r="AL79" s="263"/>
      <c r="AM79" s="263"/>
      <c r="AN79" s="265"/>
      <c r="AO79" s="265"/>
      <c r="AP79" s="263"/>
      <c r="AQ79" s="265"/>
      <c r="AR79" s="265"/>
      <c r="AS79" s="265"/>
      <c r="AT79" s="263"/>
      <c r="AU79" s="263"/>
      <c r="AV79" s="263"/>
      <c r="AW79" s="263"/>
      <c r="AX79" s="263"/>
      <c r="AY79" s="263"/>
      <c r="AZ79" s="263"/>
      <c r="BA79" s="263"/>
      <c r="BB79" s="263"/>
      <c r="BC79" s="263"/>
      <c r="BD79" s="263"/>
      <c r="BE79" s="263"/>
      <c r="BF79" s="263"/>
      <c r="BG79" s="263"/>
      <c r="BH79" s="263"/>
      <c r="BI79" s="265"/>
      <c r="BJ79" s="265"/>
      <c r="BK79" s="263"/>
      <c r="BL79" s="265"/>
      <c r="BM79" s="265"/>
      <c r="BN79" s="265"/>
      <c r="BO79" s="263"/>
      <c r="BP79" s="247"/>
      <c r="BQ79" s="272"/>
      <c r="BR79" s="272"/>
      <c r="BS79" s="272"/>
      <c r="BT79" s="272"/>
      <c r="BU79" s="272"/>
      <c r="BV79" s="272"/>
      <c r="BW79" s="272"/>
      <c r="BX79" s="272"/>
      <c r="BY79" s="272"/>
      <c r="BZ79" s="272"/>
      <c r="CA79" s="272"/>
      <c r="CB79" s="272"/>
      <c r="CC79" s="272"/>
      <c r="CD79" s="272"/>
      <c r="CE79" s="272"/>
      <c r="CF79" s="272"/>
      <c r="CG79" s="272"/>
      <c r="CH79" s="272"/>
      <c r="CI79" s="272"/>
      <c r="CJ79" s="272"/>
      <c r="CK79" s="272"/>
      <c r="CL79" s="272"/>
      <c r="CM79" s="272"/>
      <c r="CN79" s="272"/>
      <c r="CO79" s="272"/>
      <c r="CP79" s="272"/>
      <c r="CQ79" s="272"/>
      <c r="CR79" s="272"/>
      <c r="CS79" s="272"/>
      <c r="CT79" s="272"/>
      <c r="CU79" s="272"/>
      <c r="CV79" s="272"/>
      <c r="CW79" s="272"/>
      <c r="CX79" s="272"/>
      <c r="CY79" s="272"/>
      <c r="CZ79" s="272"/>
      <c r="DA79" s="272"/>
      <c r="DB79" s="272"/>
      <c r="DC79" s="272"/>
      <c r="DD79" s="272"/>
      <c r="DE79" s="272"/>
      <c r="DF79" s="272"/>
      <c r="DG79" s="272"/>
      <c r="DH79" s="272"/>
      <c r="DI79" s="272"/>
      <c r="DJ79" s="272"/>
      <c r="DK79" s="272"/>
      <c r="DL79" s="272"/>
      <c r="DM79" s="272"/>
      <c r="DN79" s="272"/>
      <c r="DO79" s="272"/>
      <c r="DP79" s="272"/>
      <c r="DQ79" s="272"/>
      <c r="DR79" s="272"/>
      <c r="DS79" s="272"/>
      <c r="DT79" s="272"/>
      <c r="DU79" s="272"/>
      <c r="DV79" s="272"/>
      <c r="DW79" s="272"/>
      <c r="DX79" s="272"/>
      <c r="DY79" s="272"/>
      <c r="DZ79" s="272"/>
      <c r="EA79" s="272"/>
      <c r="EB79" s="272"/>
      <c r="EC79" s="272"/>
      <c r="ED79" s="272"/>
      <c r="EE79" s="272"/>
      <c r="EF79" s="272"/>
      <c r="EG79" s="272"/>
      <c r="EH79" s="272"/>
      <c r="EI79" s="272"/>
      <c r="EJ79" s="272"/>
      <c r="EK79" s="272"/>
      <c r="EL79" s="272"/>
      <c r="EM79" s="272"/>
      <c r="EN79" s="272"/>
      <c r="EO79" s="272"/>
      <c r="EP79" s="272"/>
      <c r="EQ79" s="272"/>
      <c r="ER79" s="272"/>
      <c r="ES79" s="272"/>
      <c r="ET79" s="272"/>
      <c r="EU79" s="272"/>
      <c r="EV79" s="272"/>
      <c r="EW79" s="272"/>
      <c r="EX79" s="272"/>
      <c r="EY79" s="272"/>
      <c r="EZ79" s="272"/>
      <c r="FA79" s="272"/>
      <c r="FB79" s="272"/>
      <c r="FC79" s="272"/>
      <c r="FD79" s="272"/>
      <c r="FE79" s="272"/>
      <c r="FF79" s="272"/>
      <c r="FG79" s="272"/>
      <c r="FH79" s="272"/>
      <c r="FI79" s="272"/>
      <c r="FJ79" s="272"/>
      <c r="FK79" s="272"/>
      <c r="FL79" s="272"/>
      <c r="FM79" s="272"/>
      <c r="FN79" s="272"/>
      <c r="FO79" s="272"/>
      <c r="FP79" s="272"/>
      <c r="FQ79" s="272"/>
      <c r="FR79" s="272"/>
      <c r="FS79" s="272"/>
      <c r="FT79" s="272"/>
      <c r="FU79" s="272"/>
      <c r="FV79" s="272"/>
      <c r="FW79" s="272"/>
      <c r="FX79" s="272"/>
      <c r="FY79" s="272"/>
      <c r="FZ79" s="272"/>
      <c r="GA79" s="272"/>
      <c r="GB79" s="272"/>
      <c r="GC79" s="272"/>
      <c r="GD79" s="272"/>
      <c r="GE79" s="272"/>
      <c r="GF79" s="272"/>
      <c r="GG79" s="257"/>
      <c r="GH79" s="257"/>
      <c r="GI79" s="257"/>
      <c r="GJ79" s="257"/>
      <c r="GK79" s="257"/>
      <c r="GL79" s="257"/>
      <c r="GM79" s="257"/>
      <c r="GN79" s="257"/>
      <c r="GO79" s="257"/>
      <c r="GP79" s="257"/>
      <c r="GQ79" s="257"/>
      <c r="GR79" s="124"/>
      <c r="GS79" s="124"/>
      <c r="GT79" s="124"/>
      <c r="GU79" s="124"/>
      <c r="GV79" s="124"/>
      <c r="GW79" s="124"/>
      <c r="GX79" s="124"/>
      <c r="GY79" s="124"/>
      <c r="GZ79" s="124"/>
      <c r="HA79" s="124"/>
      <c r="HB79" s="124"/>
      <c r="HC79" s="124"/>
      <c r="HD79" s="124"/>
      <c r="HE79" s="124"/>
      <c r="HF79" s="124"/>
      <c r="HG79" s="124"/>
      <c r="HH79" s="124"/>
      <c r="HI79" s="124"/>
      <c r="HJ79" s="124"/>
      <c r="HK79" s="124"/>
      <c r="HL79" s="124"/>
      <c r="HM79" s="124"/>
      <c r="HN79" s="124"/>
      <c r="HO79" s="124"/>
      <c r="HP79" s="124"/>
      <c r="HQ79" s="124"/>
      <c r="HR79" s="124"/>
      <c r="HS79" s="124"/>
      <c r="HT79" s="124"/>
      <c r="HU79" s="124"/>
      <c r="HV79" s="124"/>
      <c r="HW79" s="124"/>
      <c r="HX79" s="124"/>
      <c r="HY79" s="124"/>
      <c r="HZ79" s="124"/>
      <c r="IA79" s="124"/>
      <c r="IB79" s="124"/>
      <c r="IC79" s="124"/>
      <c r="ID79" s="124"/>
      <c r="IE79" s="124"/>
      <c r="IF79" s="124"/>
      <c r="IG79" s="124"/>
      <c r="IH79" s="124"/>
      <c r="II79" s="124"/>
      <c r="IJ79" s="124"/>
      <c r="IK79" s="124"/>
      <c r="IL79" s="124"/>
      <c r="IM79" s="124"/>
      <c r="IN79" s="124"/>
      <c r="IO79" s="124"/>
      <c r="IP79" s="124"/>
      <c r="IQ79" s="124"/>
      <c r="IR79" s="124"/>
      <c r="IT79" s="182"/>
      <c r="IV79" s="128"/>
    </row>
    <row r="80" spans="1:256" ht="17.45" customHeight="1" thickBot="1">
      <c r="A80" s="128" t="str">
        <f t="shared" si="43"/>
        <v/>
      </c>
      <c r="E80" s="157"/>
      <c r="I80" s="156" t="str">
        <f t="shared" si="42"/>
        <v/>
      </c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  <c r="AP80" s="252"/>
      <c r="AQ80" s="252"/>
      <c r="AR80" s="252"/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47"/>
      <c r="BQ80" s="257"/>
      <c r="BR80" s="257"/>
      <c r="BS80" s="257"/>
      <c r="BT80" s="257"/>
      <c r="BU80" s="257"/>
      <c r="BV80" s="257"/>
      <c r="BW80" s="257"/>
      <c r="BX80" s="257"/>
      <c r="BY80" s="257"/>
      <c r="BZ80" s="257"/>
      <c r="CA80" s="257"/>
      <c r="CB80" s="257"/>
      <c r="CC80" s="257"/>
      <c r="CD80" s="257"/>
      <c r="CE80" s="257"/>
      <c r="CF80" s="257"/>
      <c r="CG80" s="257"/>
      <c r="CH80" s="257"/>
      <c r="CI80" s="257"/>
      <c r="CJ80" s="257"/>
      <c r="CK80" s="257"/>
      <c r="CL80" s="257"/>
      <c r="CM80" s="257"/>
      <c r="CN80" s="257"/>
      <c r="CO80" s="257"/>
      <c r="CP80" s="257"/>
      <c r="CQ80" s="257"/>
      <c r="CR80" s="257"/>
      <c r="CS80" s="257"/>
      <c r="CT80" s="257"/>
      <c r="CU80" s="257"/>
      <c r="CV80" s="257"/>
      <c r="CW80" s="257"/>
      <c r="CX80" s="257"/>
      <c r="CY80" s="257"/>
      <c r="CZ80" s="257"/>
      <c r="DA80" s="257"/>
      <c r="DB80" s="257"/>
      <c r="DC80" s="257"/>
      <c r="DD80" s="257"/>
      <c r="DE80" s="257"/>
      <c r="DF80" s="257"/>
      <c r="DG80" s="257"/>
      <c r="DH80" s="257"/>
      <c r="DI80" s="257"/>
      <c r="DJ80" s="257"/>
      <c r="DK80" s="257"/>
      <c r="DL80" s="257"/>
      <c r="DM80" s="257"/>
      <c r="DN80" s="257"/>
      <c r="DO80" s="257"/>
      <c r="DP80" s="257"/>
      <c r="DQ80" s="257"/>
      <c r="DR80" s="257"/>
      <c r="DS80" s="257"/>
      <c r="DT80" s="257"/>
      <c r="DU80" s="257"/>
      <c r="DV80" s="257"/>
      <c r="DW80" s="257"/>
      <c r="DX80" s="257"/>
      <c r="DY80" s="257"/>
      <c r="DZ80" s="257"/>
      <c r="EA80" s="257"/>
      <c r="EB80" s="257"/>
      <c r="EC80" s="257"/>
      <c r="ED80" s="257"/>
      <c r="EE80" s="257"/>
      <c r="EF80" s="257"/>
      <c r="EG80" s="257"/>
      <c r="EH80" s="257"/>
      <c r="EI80" s="257"/>
      <c r="EJ80" s="257"/>
      <c r="EK80" s="257"/>
      <c r="EL80" s="257"/>
      <c r="EM80" s="257"/>
      <c r="EN80" s="257"/>
      <c r="EO80" s="257"/>
      <c r="EP80" s="257"/>
      <c r="EQ80" s="257"/>
      <c r="ER80" s="257"/>
      <c r="ES80" s="257"/>
      <c r="ET80" s="257"/>
      <c r="EU80" s="257"/>
      <c r="EV80" s="257"/>
      <c r="EW80" s="257"/>
      <c r="EX80" s="257"/>
      <c r="EY80" s="257"/>
      <c r="EZ80" s="257"/>
      <c r="FA80" s="257"/>
      <c r="FB80" s="257"/>
      <c r="FC80" s="257"/>
      <c r="FD80" s="257"/>
      <c r="FE80" s="257"/>
      <c r="FF80" s="257"/>
      <c r="FG80" s="257"/>
      <c r="FH80" s="257"/>
      <c r="FI80" s="257"/>
      <c r="FJ80" s="257"/>
      <c r="FK80" s="257"/>
      <c r="FL80" s="257"/>
      <c r="FM80" s="257"/>
      <c r="FN80" s="257"/>
      <c r="FO80" s="257"/>
      <c r="FP80" s="257"/>
      <c r="FQ80" s="257"/>
      <c r="FR80" s="257"/>
      <c r="FS80" s="257"/>
      <c r="FT80" s="257"/>
      <c r="FU80" s="257"/>
      <c r="FV80" s="257"/>
      <c r="FW80" s="257"/>
      <c r="FX80" s="257"/>
      <c r="FY80" s="257"/>
      <c r="FZ80" s="257"/>
      <c r="GA80" s="257"/>
      <c r="GB80" s="257"/>
      <c r="GC80" s="257"/>
      <c r="GD80" s="257"/>
      <c r="GE80" s="257"/>
      <c r="GF80" s="257"/>
      <c r="GG80" s="257"/>
      <c r="GH80" s="257"/>
      <c r="GI80" s="257"/>
      <c r="GJ80" s="257"/>
      <c r="GK80" s="257"/>
      <c r="GL80" s="257"/>
      <c r="GM80" s="257"/>
      <c r="GN80" s="257"/>
      <c r="GO80" s="257"/>
      <c r="GP80" s="257"/>
      <c r="GQ80" s="257"/>
      <c r="GR80" s="124"/>
      <c r="GS80" s="124"/>
      <c r="GT80" s="124"/>
      <c r="GU80" s="124"/>
      <c r="GV80" s="124"/>
      <c r="GW80" s="124"/>
      <c r="GX80" s="124"/>
      <c r="GY80" s="124"/>
      <c r="GZ80" s="124"/>
      <c r="HA80" s="124"/>
      <c r="HB80" s="124"/>
      <c r="HC80" s="124"/>
      <c r="HD80" s="124"/>
      <c r="HE80" s="124"/>
      <c r="HF80" s="124"/>
      <c r="HG80" s="124"/>
      <c r="HH80" s="124"/>
      <c r="HI80" s="124"/>
      <c r="HJ80" s="124"/>
      <c r="HK80" s="124"/>
      <c r="HL80" s="124"/>
      <c r="HM80" s="124"/>
      <c r="HN80" s="124"/>
      <c r="HO80" s="124"/>
      <c r="HP80" s="124"/>
      <c r="HQ80" s="124"/>
      <c r="HR80" s="124"/>
      <c r="HS80" s="124"/>
      <c r="HT80" s="124"/>
      <c r="HU80" s="124"/>
      <c r="HV80" s="124"/>
      <c r="HW80" s="124"/>
      <c r="HX80" s="124"/>
      <c r="HY80" s="124"/>
      <c r="HZ80" s="124"/>
      <c r="IA80" s="124"/>
      <c r="IB80" s="124"/>
      <c r="IC80" s="124"/>
      <c r="ID80" s="124"/>
      <c r="IE80" s="124"/>
      <c r="IF80" s="124"/>
      <c r="IG80" s="124"/>
      <c r="IH80" s="124"/>
      <c r="II80" s="124"/>
      <c r="IJ80" s="124"/>
      <c r="IK80" s="124"/>
      <c r="IL80" s="124"/>
      <c r="IM80" s="124"/>
      <c r="IN80" s="124"/>
      <c r="IO80" s="124"/>
      <c r="IP80" s="124"/>
      <c r="IQ80" s="124"/>
      <c r="IR80" s="124"/>
      <c r="IV80" s="128"/>
    </row>
    <row r="81" spans="1:252" ht="16.5" customHeight="1">
      <c r="A81" s="128" t="str">
        <f t="shared" si="43"/>
        <v/>
      </c>
      <c r="E81" s="428" t="s">
        <v>1</v>
      </c>
      <c r="F81" s="183" t="s">
        <v>2</v>
      </c>
      <c r="G81" s="184"/>
      <c r="H81" s="185"/>
      <c r="I81" s="156" t="str">
        <f t="shared" si="42"/>
        <v/>
      </c>
      <c r="J81" s="278"/>
      <c r="K81" s="278"/>
      <c r="L81" s="278"/>
      <c r="M81" s="278"/>
      <c r="N81" s="278"/>
      <c r="O81" s="278"/>
      <c r="P81" s="278"/>
      <c r="Q81" s="278"/>
      <c r="R81" s="278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2"/>
      <c r="AP81" s="252"/>
      <c r="AQ81" s="252"/>
      <c r="AR81" s="252"/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47"/>
      <c r="BQ81" s="257"/>
      <c r="BR81" s="257"/>
      <c r="BS81" s="257"/>
      <c r="BT81" s="257"/>
      <c r="BU81" s="257"/>
      <c r="BV81" s="257"/>
      <c r="BW81" s="257"/>
      <c r="BX81" s="257"/>
      <c r="BY81" s="257"/>
      <c r="BZ81" s="257"/>
      <c r="CA81" s="257"/>
      <c r="CB81" s="257"/>
      <c r="CC81" s="257"/>
      <c r="CD81" s="257"/>
      <c r="CE81" s="257"/>
      <c r="CF81" s="257"/>
      <c r="CG81" s="257"/>
      <c r="CH81" s="257"/>
      <c r="CI81" s="257"/>
      <c r="CJ81" s="257"/>
      <c r="CK81" s="257"/>
      <c r="CL81" s="257"/>
      <c r="CM81" s="257"/>
      <c r="CN81" s="257"/>
      <c r="CO81" s="257"/>
      <c r="CP81" s="257"/>
      <c r="CQ81" s="257"/>
      <c r="CR81" s="257"/>
      <c r="CS81" s="257"/>
      <c r="CT81" s="257"/>
      <c r="CU81" s="257"/>
      <c r="CV81" s="257"/>
      <c r="CW81" s="257"/>
      <c r="CX81" s="257"/>
      <c r="CY81" s="257"/>
      <c r="CZ81" s="257"/>
      <c r="DA81" s="257"/>
      <c r="DB81" s="257"/>
      <c r="DC81" s="257"/>
      <c r="DD81" s="257"/>
      <c r="DE81" s="257"/>
      <c r="DF81" s="257"/>
      <c r="DG81" s="257"/>
      <c r="DH81" s="257"/>
      <c r="DI81" s="257"/>
      <c r="DJ81" s="257"/>
      <c r="DK81" s="257"/>
      <c r="DL81" s="257"/>
      <c r="DM81" s="257"/>
      <c r="DN81" s="257"/>
      <c r="DO81" s="257"/>
      <c r="DP81" s="257"/>
      <c r="DQ81" s="257"/>
      <c r="DR81" s="257"/>
      <c r="DS81" s="257"/>
      <c r="DT81" s="257"/>
      <c r="DU81" s="257"/>
      <c r="DV81" s="257"/>
      <c r="DW81" s="257"/>
      <c r="DX81" s="257"/>
      <c r="DY81" s="257"/>
      <c r="DZ81" s="257"/>
      <c r="EA81" s="257"/>
      <c r="EB81" s="257"/>
      <c r="EC81" s="257"/>
      <c r="ED81" s="257"/>
      <c r="EE81" s="257"/>
      <c r="EF81" s="257"/>
      <c r="EG81" s="257"/>
      <c r="EH81" s="257"/>
      <c r="EI81" s="257"/>
      <c r="EJ81" s="257"/>
      <c r="EK81" s="257"/>
      <c r="EL81" s="257"/>
      <c r="EM81" s="257"/>
      <c r="EN81" s="257"/>
      <c r="EO81" s="257"/>
      <c r="EP81" s="257"/>
      <c r="EQ81" s="257"/>
      <c r="ER81" s="257"/>
      <c r="ES81" s="257"/>
      <c r="ET81" s="257"/>
      <c r="EU81" s="257"/>
      <c r="EV81" s="257"/>
      <c r="EW81" s="257"/>
      <c r="EX81" s="257"/>
      <c r="EY81" s="257"/>
      <c r="EZ81" s="257"/>
      <c r="FA81" s="257"/>
      <c r="FB81" s="257"/>
      <c r="FC81" s="257"/>
      <c r="FD81" s="257"/>
      <c r="FE81" s="257"/>
      <c r="FF81" s="257"/>
      <c r="FG81" s="257"/>
      <c r="FH81" s="257"/>
      <c r="FI81" s="257"/>
      <c r="FJ81" s="257"/>
      <c r="FK81" s="257"/>
      <c r="FL81" s="257"/>
      <c r="FM81" s="257"/>
      <c r="FN81" s="257"/>
      <c r="FO81" s="257"/>
      <c r="FP81" s="257"/>
      <c r="FQ81" s="257"/>
      <c r="FR81" s="257"/>
      <c r="FS81" s="257"/>
      <c r="FT81" s="257"/>
      <c r="FU81" s="257"/>
      <c r="FV81" s="257"/>
      <c r="FW81" s="257"/>
      <c r="FX81" s="257"/>
      <c r="FY81" s="257"/>
      <c r="FZ81" s="257"/>
      <c r="GA81" s="257"/>
      <c r="GB81" s="257"/>
      <c r="GC81" s="257"/>
      <c r="GD81" s="257"/>
      <c r="GE81" s="257"/>
      <c r="GF81" s="257"/>
      <c r="GG81" s="257"/>
      <c r="GH81" s="257"/>
      <c r="GI81" s="257"/>
      <c r="GJ81" s="257"/>
      <c r="GK81" s="257"/>
      <c r="GL81" s="257"/>
      <c r="GM81" s="257"/>
      <c r="GN81" s="257"/>
      <c r="GO81" s="257"/>
      <c r="GP81" s="257"/>
      <c r="GQ81" s="257"/>
      <c r="GR81" s="124"/>
      <c r="GS81" s="124"/>
      <c r="GT81" s="124"/>
      <c r="GU81" s="124"/>
      <c r="GV81" s="124"/>
      <c r="GW81" s="124"/>
      <c r="GX81" s="124"/>
      <c r="GY81" s="124"/>
      <c r="GZ81" s="124"/>
      <c r="HA81" s="124"/>
      <c r="HB81" s="124"/>
      <c r="HC81" s="124"/>
      <c r="HD81" s="124"/>
      <c r="HE81" s="124"/>
      <c r="HF81" s="124"/>
      <c r="HG81" s="124"/>
      <c r="HH81" s="124"/>
      <c r="HI81" s="124"/>
      <c r="HJ81" s="124"/>
      <c r="HK81" s="124"/>
      <c r="HL81" s="124"/>
      <c r="HM81" s="124"/>
      <c r="HN81" s="124"/>
      <c r="HO81" s="124"/>
      <c r="HP81" s="124"/>
      <c r="HQ81" s="124"/>
      <c r="HR81" s="124"/>
      <c r="HS81" s="124"/>
      <c r="HT81" s="124"/>
      <c r="HU81" s="124"/>
      <c r="HV81" s="124"/>
      <c r="HW81" s="124"/>
      <c r="HX81" s="124"/>
      <c r="HY81" s="124"/>
      <c r="HZ81" s="124"/>
      <c r="IA81" s="124"/>
      <c r="IB81" s="124"/>
      <c r="IC81" s="124"/>
      <c r="ID81" s="124"/>
      <c r="IE81" s="124"/>
      <c r="IF81" s="124"/>
      <c r="IG81" s="124"/>
      <c r="IH81" s="124"/>
      <c r="II81" s="124"/>
      <c r="IJ81" s="124"/>
      <c r="IK81" s="124"/>
      <c r="IL81" s="124"/>
      <c r="IM81" s="124"/>
      <c r="IN81" s="124"/>
      <c r="IO81" s="124"/>
      <c r="IP81" s="124"/>
      <c r="IQ81" s="124"/>
      <c r="IR81" s="124"/>
    </row>
    <row r="82" spans="1:252">
      <c r="A82" s="128" t="str">
        <f t="shared" si="43"/>
        <v/>
      </c>
      <c r="C82" s="173"/>
      <c r="E82" s="429"/>
      <c r="F82" s="124" t="s">
        <v>3</v>
      </c>
      <c r="I82" s="156" t="str">
        <f t="shared" si="42"/>
        <v/>
      </c>
      <c r="J82" s="273"/>
      <c r="K82" s="257"/>
      <c r="L82" s="257"/>
      <c r="M82" s="257"/>
      <c r="N82" s="257"/>
      <c r="O82" s="257"/>
      <c r="P82" s="257"/>
      <c r="Q82" s="257"/>
      <c r="R82" s="257"/>
      <c r="S82" s="257"/>
      <c r="T82" s="257"/>
      <c r="U82" s="257"/>
      <c r="V82" s="257"/>
      <c r="W82" s="257"/>
      <c r="X82" s="257"/>
      <c r="Y82" s="257"/>
      <c r="Z82" s="257"/>
      <c r="AA82" s="257"/>
      <c r="AB82" s="257"/>
      <c r="AC82" s="257"/>
      <c r="AD82" s="257"/>
      <c r="AE82" s="257"/>
      <c r="AF82" s="257"/>
      <c r="AG82" s="257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  <c r="AR82" s="257"/>
      <c r="AS82" s="257"/>
      <c r="AT82" s="257"/>
      <c r="AU82" s="257"/>
      <c r="AV82" s="257"/>
      <c r="AW82" s="257"/>
      <c r="AX82" s="257"/>
      <c r="AY82" s="257"/>
      <c r="AZ82" s="257"/>
      <c r="BA82" s="257"/>
      <c r="BB82" s="257"/>
      <c r="BC82" s="257"/>
      <c r="BD82" s="257"/>
      <c r="BE82" s="257"/>
      <c r="BF82" s="257"/>
      <c r="BG82" s="279"/>
      <c r="BH82" s="257"/>
      <c r="BI82" s="257"/>
      <c r="BJ82" s="257"/>
      <c r="BK82" s="257"/>
      <c r="BL82" s="257"/>
      <c r="BM82" s="257"/>
      <c r="BN82" s="257"/>
      <c r="BO82" s="257"/>
      <c r="BP82" s="257"/>
      <c r="BQ82" s="257"/>
      <c r="BR82" s="257"/>
      <c r="BS82" s="257"/>
      <c r="BT82" s="257"/>
      <c r="BU82" s="257"/>
      <c r="BV82" s="257"/>
      <c r="BW82" s="257"/>
      <c r="BX82" s="257"/>
      <c r="BY82" s="257"/>
      <c r="BZ82" s="257"/>
      <c r="CA82" s="257"/>
      <c r="CB82" s="257"/>
      <c r="CC82" s="257"/>
      <c r="CD82" s="257"/>
      <c r="CE82" s="257"/>
      <c r="CF82" s="257"/>
      <c r="CG82" s="257"/>
      <c r="CH82" s="257"/>
      <c r="CI82" s="257"/>
      <c r="CJ82" s="257"/>
      <c r="CK82" s="257"/>
      <c r="CL82" s="257"/>
      <c r="CM82" s="257"/>
      <c r="CN82" s="257"/>
      <c r="CO82" s="257"/>
      <c r="CP82" s="257"/>
      <c r="CQ82" s="257"/>
      <c r="CR82" s="257"/>
      <c r="CS82" s="257"/>
      <c r="CT82" s="257"/>
      <c r="CU82" s="257"/>
      <c r="CV82" s="257"/>
      <c r="CW82" s="257"/>
      <c r="CX82" s="257"/>
      <c r="CY82" s="257"/>
      <c r="CZ82" s="257"/>
      <c r="DA82" s="257"/>
      <c r="DB82" s="257"/>
      <c r="DC82" s="257"/>
      <c r="DD82" s="257"/>
      <c r="DE82" s="257"/>
      <c r="DF82" s="257"/>
      <c r="DG82" s="257"/>
      <c r="DH82" s="257"/>
      <c r="DI82" s="257"/>
      <c r="DJ82" s="257"/>
      <c r="DK82" s="257"/>
      <c r="DL82" s="257"/>
      <c r="DM82" s="257"/>
      <c r="DN82" s="257"/>
      <c r="DO82" s="257"/>
      <c r="DP82" s="257"/>
      <c r="DQ82" s="257"/>
      <c r="DR82" s="257"/>
      <c r="DS82" s="257"/>
      <c r="DT82" s="257"/>
      <c r="DU82" s="257"/>
      <c r="DV82" s="257"/>
      <c r="DW82" s="257"/>
      <c r="DX82" s="257"/>
      <c r="DY82" s="257"/>
      <c r="DZ82" s="257"/>
      <c r="EA82" s="257"/>
      <c r="EB82" s="257"/>
      <c r="EC82" s="257"/>
      <c r="ED82" s="257"/>
      <c r="EE82" s="257"/>
      <c r="EF82" s="257"/>
      <c r="EG82" s="257"/>
      <c r="EH82" s="257"/>
      <c r="EI82" s="257"/>
      <c r="EJ82" s="257"/>
      <c r="EK82" s="257"/>
      <c r="EL82" s="257"/>
      <c r="EM82" s="257"/>
      <c r="EN82" s="257"/>
      <c r="EO82" s="257"/>
      <c r="EP82" s="257"/>
      <c r="EQ82" s="257"/>
      <c r="ER82" s="257"/>
      <c r="ES82" s="257"/>
      <c r="ET82" s="257"/>
      <c r="EU82" s="257"/>
      <c r="EV82" s="257"/>
      <c r="EW82" s="257"/>
      <c r="EX82" s="257"/>
      <c r="EY82" s="257"/>
      <c r="EZ82" s="257"/>
      <c r="FA82" s="257"/>
      <c r="FB82" s="257"/>
      <c r="FC82" s="257"/>
      <c r="FD82" s="257"/>
      <c r="FE82" s="257"/>
      <c r="FF82" s="257"/>
      <c r="FG82" s="257"/>
      <c r="FH82" s="257"/>
      <c r="FI82" s="257"/>
      <c r="FJ82" s="257"/>
      <c r="FK82" s="257"/>
      <c r="FL82" s="257"/>
      <c r="FM82" s="257"/>
      <c r="FN82" s="257"/>
      <c r="FO82" s="257"/>
      <c r="FP82" s="257"/>
      <c r="FQ82" s="257"/>
      <c r="FR82" s="257"/>
      <c r="FS82" s="257"/>
      <c r="FT82" s="257"/>
      <c r="FU82" s="257"/>
      <c r="FV82" s="257"/>
      <c r="FW82" s="257"/>
      <c r="FX82" s="257"/>
      <c r="FY82" s="257"/>
      <c r="FZ82" s="257"/>
      <c r="GA82" s="257"/>
      <c r="GB82" s="257"/>
      <c r="GC82" s="257"/>
      <c r="GD82" s="257"/>
      <c r="GE82" s="257"/>
      <c r="GF82" s="257"/>
      <c r="GG82" s="257"/>
      <c r="GH82" s="257"/>
      <c r="GI82" s="257"/>
      <c r="GJ82" s="257"/>
      <c r="GK82" s="257"/>
      <c r="GL82" s="257"/>
      <c r="GM82" s="257"/>
      <c r="GN82" s="257"/>
      <c r="GO82" s="257"/>
      <c r="GP82" s="257"/>
      <c r="GQ82" s="257"/>
      <c r="GR82" s="124"/>
      <c r="GS82" s="124"/>
      <c r="GT82" s="124"/>
      <c r="GU82" s="124"/>
      <c r="GV82" s="124"/>
      <c r="GW82" s="124"/>
      <c r="GX82" s="124"/>
      <c r="GY82" s="124"/>
      <c r="GZ82" s="124"/>
      <c r="HA82" s="124"/>
      <c r="HB82" s="124"/>
      <c r="HC82" s="124"/>
      <c r="HD82" s="124"/>
      <c r="HE82" s="124"/>
      <c r="HF82" s="124"/>
      <c r="HG82" s="124"/>
      <c r="HH82" s="124"/>
      <c r="HI82" s="124"/>
      <c r="HJ82" s="124"/>
      <c r="HK82" s="124"/>
      <c r="HL82" s="124"/>
      <c r="HM82" s="124"/>
      <c r="HN82" s="124"/>
      <c r="HO82" s="124"/>
      <c r="HP82" s="124"/>
      <c r="HQ82" s="124"/>
      <c r="HR82" s="124"/>
      <c r="HS82" s="124"/>
      <c r="HT82" s="124"/>
      <c r="HU82" s="124"/>
      <c r="HV82" s="124"/>
      <c r="HW82" s="124"/>
      <c r="HX82" s="124"/>
      <c r="HY82" s="124"/>
      <c r="HZ82" s="124"/>
      <c r="IA82" s="124"/>
      <c r="IB82" s="124"/>
      <c r="IC82" s="124"/>
      <c r="ID82" s="124"/>
      <c r="IE82" s="124"/>
      <c r="IF82" s="124"/>
      <c r="IG82" s="124"/>
      <c r="IH82" s="124"/>
      <c r="II82" s="124"/>
      <c r="IJ82" s="124"/>
      <c r="IK82" s="124"/>
      <c r="IL82" s="124"/>
      <c r="IM82" s="124"/>
      <c r="IN82" s="124"/>
      <c r="IO82" s="124"/>
      <c r="IP82" s="124"/>
      <c r="IQ82" s="124"/>
      <c r="IR82" s="124"/>
    </row>
    <row r="83" spans="1:252" ht="16.5" customHeight="1">
      <c r="A83" s="128" t="str">
        <f t="shared" si="43"/>
        <v/>
      </c>
      <c r="C83" s="173"/>
      <c r="E83" s="429"/>
      <c r="F83" s="124" t="s">
        <v>4</v>
      </c>
      <c r="I83" s="156" t="str">
        <f t="shared" si="42"/>
        <v/>
      </c>
      <c r="J83" s="273"/>
      <c r="K83" s="257"/>
      <c r="L83" s="257"/>
      <c r="M83" s="257"/>
      <c r="N83" s="257"/>
      <c r="O83" s="257"/>
      <c r="P83" s="257"/>
      <c r="Q83" s="257"/>
      <c r="R83" s="257"/>
      <c r="S83" s="257"/>
      <c r="T83" s="257"/>
      <c r="U83" s="257"/>
      <c r="V83" s="257"/>
      <c r="W83" s="257"/>
      <c r="X83" s="257"/>
      <c r="Y83" s="257"/>
      <c r="Z83" s="257"/>
      <c r="AA83" s="257"/>
      <c r="AB83" s="257"/>
      <c r="AC83" s="257"/>
      <c r="AD83" s="257"/>
      <c r="AE83" s="257"/>
      <c r="AF83" s="257"/>
      <c r="AG83" s="257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  <c r="AR83" s="257"/>
      <c r="AS83" s="257"/>
      <c r="AT83" s="257"/>
      <c r="AU83" s="257"/>
      <c r="AV83" s="257"/>
      <c r="AW83" s="257"/>
      <c r="AX83" s="257"/>
      <c r="AY83" s="257"/>
      <c r="AZ83" s="257"/>
      <c r="BA83" s="257"/>
      <c r="BB83" s="257"/>
      <c r="BC83" s="257"/>
      <c r="BD83" s="257"/>
      <c r="BE83" s="257"/>
      <c r="BF83" s="257"/>
      <c r="BG83" s="279"/>
      <c r="BH83" s="257"/>
      <c r="BI83" s="257"/>
      <c r="BJ83" s="257"/>
      <c r="BK83" s="257"/>
      <c r="BL83" s="257"/>
      <c r="BM83" s="257"/>
      <c r="BN83" s="257"/>
      <c r="BO83" s="257"/>
      <c r="BP83" s="257"/>
      <c r="BQ83" s="257"/>
      <c r="BR83" s="257"/>
      <c r="BS83" s="257"/>
      <c r="BT83" s="257"/>
      <c r="BU83" s="257"/>
      <c r="BV83" s="257"/>
      <c r="BW83" s="257"/>
      <c r="BX83" s="257"/>
      <c r="BY83" s="257"/>
      <c r="BZ83" s="257"/>
      <c r="CA83" s="257"/>
      <c r="CB83" s="257"/>
      <c r="CC83" s="257"/>
      <c r="CD83" s="257"/>
      <c r="CE83" s="257"/>
      <c r="CF83" s="257"/>
      <c r="CG83" s="257"/>
      <c r="CH83" s="257"/>
      <c r="CI83" s="257"/>
      <c r="CJ83" s="257"/>
      <c r="CK83" s="257"/>
      <c r="CL83" s="257"/>
      <c r="CM83" s="257"/>
      <c r="CN83" s="257"/>
      <c r="CO83" s="257"/>
      <c r="CP83" s="257"/>
      <c r="CQ83" s="257"/>
      <c r="CR83" s="257"/>
      <c r="CS83" s="257"/>
      <c r="CT83" s="257"/>
      <c r="CU83" s="257"/>
      <c r="CV83" s="257"/>
      <c r="CW83" s="257"/>
      <c r="CX83" s="257"/>
      <c r="CY83" s="257"/>
      <c r="CZ83" s="257"/>
      <c r="DA83" s="257"/>
      <c r="DB83" s="257"/>
      <c r="DC83" s="257"/>
      <c r="DD83" s="257"/>
      <c r="DE83" s="257"/>
      <c r="DF83" s="257"/>
      <c r="DG83" s="257"/>
      <c r="DH83" s="257"/>
      <c r="DI83" s="257"/>
      <c r="DJ83" s="257"/>
      <c r="DK83" s="257"/>
      <c r="DL83" s="257"/>
      <c r="DM83" s="257"/>
      <c r="DN83" s="257"/>
      <c r="DO83" s="257"/>
      <c r="DP83" s="257"/>
      <c r="DQ83" s="257"/>
      <c r="DR83" s="257"/>
      <c r="DS83" s="257"/>
      <c r="DT83" s="257"/>
      <c r="DU83" s="257"/>
      <c r="DV83" s="257"/>
      <c r="DW83" s="257"/>
      <c r="DX83" s="257"/>
      <c r="DY83" s="257"/>
      <c r="DZ83" s="257"/>
      <c r="EA83" s="257"/>
      <c r="EB83" s="257"/>
      <c r="EC83" s="257"/>
      <c r="ED83" s="257"/>
      <c r="EE83" s="257"/>
      <c r="EF83" s="257"/>
      <c r="EG83" s="257"/>
      <c r="EH83" s="257"/>
      <c r="EI83" s="257"/>
      <c r="EJ83" s="257"/>
      <c r="EK83" s="257"/>
      <c r="EL83" s="257"/>
      <c r="EM83" s="257"/>
      <c r="EN83" s="257"/>
      <c r="EO83" s="257"/>
      <c r="EP83" s="257"/>
      <c r="EQ83" s="257"/>
      <c r="ER83" s="257"/>
      <c r="ES83" s="257"/>
      <c r="ET83" s="257"/>
      <c r="EU83" s="257"/>
      <c r="EV83" s="257"/>
      <c r="EW83" s="257"/>
      <c r="EX83" s="257"/>
      <c r="EY83" s="257"/>
      <c r="EZ83" s="257"/>
      <c r="FA83" s="257"/>
      <c r="FB83" s="257"/>
      <c r="FC83" s="257"/>
      <c r="FD83" s="257"/>
      <c r="FE83" s="257"/>
      <c r="FF83" s="257"/>
      <c r="FG83" s="257"/>
      <c r="FH83" s="257"/>
      <c r="FI83" s="257"/>
      <c r="FJ83" s="257"/>
      <c r="FK83" s="257"/>
      <c r="FL83" s="257"/>
      <c r="FM83" s="257"/>
      <c r="FN83" s="257"/>
      <c r="FO83" s="257"/>
      <c r="FP83" s="257"/>
      <c r="FQ83" s="257"/>
      <c r="FR83" s="257"/>
      <c r="FS83" s="257"/>
      <c r="FT83" s="257"/>
      <c r="FU83" s="257"/>
      <c r="FV83" s="257"/>
      <c r="FW83" s="257"/>
      <c r="FX83" s="257"/>
      <c r="FY83" s="257"/>
      <c r="FZ83" s="257"/>
      <c r="GA83" s="257"/>
      <c r="GB83" s="257"/>
      <c r="GC83" s="257"/>
      <c r="GD83" s="257"/>
      <c r="GE83" s="257"/>
      <c r="GF83" s="257"/>
      <c r="GG83" s="257"/>
      <c r="GH83" s="257"/>
      <c r="GI83" s="257"/>
      <c r="GJ83" s="257"/>
      <c r="GK83" s="257"/>
      <c r="GL83" s="257"/>
      <c r="GM83" s="257"/>
      <c r="GN83" s="257"/>
      <c r="GO83" s="257"/>
      <c r="GP83" s="257"/>
      <c r="GQ83" s="257"/>
      <c r="GR83" s="124"/>
      <c r="GS83" s="124"/>
      <c r="GT83" s="124"/>
      <c r="GU83" s="124"/>
      <c r="GV83" s="124"/>
      <c r="GW83" s="124"/>
      <c r="GX83" s="124"/>
      <c r="GY83" s="124"/>
      <c r="GZ83" s="124"/>
      <c r="HA83" s="124"/>
      <c r="HB83" s="124"/>
      <c r="HC83" s="124"/>
      <c r="HD83" s="124"/>
      <c r="HE83" s="124"/>
      <c r="HF83" s="124"/>
      <c r="HG83" s="124"/>
      <c r="HH83" s="124"/>
      <c r="HI83" s="124"/>
      <c r="HJ83" s="124"/>
      <c r="HK83" s="124"/>
      <c r="HL83" s="124"/>
      <c r="HM83" s="124"/>
      <c r="HN83" s="124"/>
      <c r="HO83" s="124"/>
      <c r="HP83" s="124"/>
      <c r="HQ83" s="124"/>
      <c r="HR83" s="124"/>
      <c r="HS83" s="124"/>
      <c r="HT83" s="124"/>
      <c r="HU83" s="124"/>
      <c r="HV83" s="124"/>
      <c r="HW83" s="124"/>
      <c r="HX83" s="124"/>
      <c r="HY83" s="124"/>
      <c r="HZ83" s="124"/>
      <c r="IA83" s="124"/>
      <c r="IB83" s="124"/>
      <c r="IC83" s="124"/>
      <c r="ID83" s="124"/>
      <c r="IE83" s="124"/>
      <c r="IF83" s="124"/>
      <c r="IG83" s="124"/>
      <c r="IH83" s="124"/>
      <c r="II83" s="124"/>
      <c r="IJ83" s="124"/>
      <c r="IK83" s="124"/>
      <c r="IL83" s="124"/>
      <c r="IM83" s="124"/>
      <c r="IN83" s="124"/>
      <c r="IO83" s="124"/>
      <c r="IP83" s="124"/>
      <c r="IQ83" s="124"/>
      <c r="IR83" s="124"/>
    </row>
    <row r="84" spans="1:252" ht="16.5" customHeight="1">
      <c r="A84" s="128" t="str">
        <f t="shared" si="43"/>
        <v/>
      </c>
      <c r="C84" s="173"/>
      <c r="E84" s="429"/>
      <c r="F84" s="124" t="s">
        <v>5</v>
      </c>
      <c r="I84" s="156" t="str">
        <f t="shared" si="42"/>
        <v/>
      </c>
      <c r="J84" s="273"/>
      <c r="K84" s="257"/>
      <c r="L84" s="257"/>
      <c r="M84" s="257"/>
      <c r="N84" s="257"/>
      <c r="O84" s="257"/>
      <c r="P84" s="257"/>
      <c r="Q84" s="257"/>
      <c r="R84" s="257"/>
      <c r="S84" s="257"/>
      <c r="T84" s="257"/>
      <c r="U84" s="257"/>
      <c r="V84" s="257"/>
      <c r="W84" s="257"/>
      <c r="X84" s="257"/>
      <c r="Y84" s="257"/>
      <c r="Z84" s="257"/>
      <c r="AA84" s="257"/>
      <c r="AB84" s="257"/>
      <c r="AC84" s="257"/>
      <c r="AD84" s="257"/>
      <c r="AE84" s="257"/>
      <c r="AF84" s="257"/>
      <c r="AG84" s="257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  <c r="AR84" s="257"/>
      <c r="AS84" s="257"/>
      <c r="AT84" s="257"/>
      <c r="AU84" s="257"/>
      <c r="AV84" s="257"/>
      <c r="AW84" s="257"/>
      <c r="AX84" s="257"/>
      <c r="AY84" s="257"/>
      <c r="AZ84" s="257"/>
      <c r="BA84" s="257"/>
      <c r="BB84" s="257"/>
      <c r="BC84" s="257"/>
      <c r="BD84" s="257"/>
      <c r="BE84" s="257"/>
      <c r="BF84" s="257"/>
      <c r="BG84" s="279"/>
      <c r="BH84" s="257"/>
      <c r="BI84" s="257"/>
      <c r="BJ84" s="257"/>
      <c r="BK84" s="257"/>
      <c r="BL84" s="257"/>
      <c r="BM84" s="257"/>
      <c r="BN84" s="257"/>
      <c r="BO84" s="257"/>
      <c r="BP84" s="257"/>
      <c r="BQ84" s="257"/>
      <c r="BR84" s="257"/>
      <c r="BS84" s="257"/>
      <c r="BT84" s="257"/>
      <c r="BU84" s="257"/>
      <c r="BV84" s="257"/>
      <c r="BW84" s="257"/>
      <c r="BX84" s="257"/>
      <c r="BY84" s="257"/>
      <c r="BZ84" s="257"/>
      <c r="CA84" s="257"/>
      <c r="CB84" s="257"/>
      <c r="CC84" s="257"/>
      <c r="CD84" s="257"/>
      <c r="CE84" s="257"/>
      <c r="CF84" s="257"/>
      <c r="CG84" s="257"/>
      <c r="CH84" s="257"/>
      <c r="CI84" s="257"/>
      <c r="CJ84" s="257"/>
      <c r="CK84" s="257"/>
      <c r="CL84" s="257"/>
      <c r="CM84" s="257"/>
      <c r="CN84" s="257"/>
      <c r="CO84" s="257"/>
      <c r="CP84" s="257"/>
      <c r="CQ84" s="257"/>
      <c r="CR84" s="257"/>
      <c r="CS84" s="257"/>
      <c r="CT84" s="257"/>
      <c r="CU84" s="257"/>
      <c r="CV84" s="257"/>
      <c r="CW84" s="257"/>
      <c r="CX84" s="257"/>
      <c r="CY84" s="257"/>
      <c r="CZ84" s="257"/>
      <c r="DA84" s="257"/>
      <c r="DB84" s="257"/>
      <c r="DC84" s="257"/>
      <c r="DD84" s="257"/>
      <c r="DE84" s="257"/>
      <c r="DF84" s="257"/>
      <c r="DG84" s="257"/>
      <c r="DH84" s="257"/>
      <c r="DI84" s="257"/>
      <c r="DJ84" s="257"/>
      <c r="DK84" s="257"/>
      <c r="DL84" s="257"/>
      <c r="DM84" s="257"/>
      <c r="DN84" s="257"/>
      <c r="DO84" s="257"/>
      <c r="DP84" s="257"/>
      <c r="DQ84" s="257"/>
      <c r="DR84" s="257"/>
      <c r="DS84" s="257"/>
      <c r="DT84" s="257"/>
      <c r="DU84" s="257"/>
      <c r="DV84" s="257"/>
      <c r="DW84" s="257"/>
      <c r="DX84" s="257"/>
      <c r="DY84" s="257"/>
      <c r="DZ84" s="257"/>
      <c r="EA84" s="257"/>
      <c r="EB84" s="257"/>
      <c r="EC84" s="257"/>
      <c r="ED84" s="257"/>
      <c r="EE84" s="257"/>
      <c r="EF84" s="257"/>
      <c r="EG84" s="257"/>
      <c r="EH84" s="257"/>
      <c r="EI84" s="257"/>
      <c r="EJ84" s="257"/>
      <c r="EK84" s="257"/>
      <c r="EL84" s="257"/>
      <c r="EM84" s="257"/>
      <c r="EN84" s="257"/>
      <c r="EO84" s="257"/>
      <c r="EP84" s="257"/>
      <c r="EQ84" s="257"/>
      <c r="ER84" s="257"/>
      <c r="ES84" s="257"/>
      <c r="ET84" s="257"/>
      <c r="EU84" s="257"/>
      <c r="EV84" s="257"/>
      <c r="EW84" s="257"/>
      <c r="EX84" s="257"/>
      <c r="EY84" s="257"/>
      <c r="EZ84" s="257"/>
      <c r="FA84" s="257"/>
      <c r="FB84" s="257"/>
      <c r="FC84" s="257"/>
      <c r="FD84" s="257"/>
      <c r="FE84" s="257"/>
      <c r="FF84" s="257"/>
      <c r="FG84" s="257"/>
      <c r="FH84" s="257"/>
      <c r="FI84" s="257"/>
      <c r="FJ84" s="257"/>
      <c r="FK84" s="257"/>
      <c r="FL84" s="257"/>
      <c r="FM84" s="257"/>
      <c r="FN84" s="257"/>
      <c r="FO84" s="257"/>
      <c r="FP84" s="257"/>
      <c r="FQ84" s="257"/>
      <c r="FR84" s="257"/>
      <c r="FS84" s="257"/>
      <c r="FT84" s="257"/>
      <c r="FU84" s="257"/>
      <c r="FV84" s="257"/>
      <c r="FW84" s="257"/>
      <c r="FX84" s="257"/>
      <c r="FY84" s="257"/>
      <c r="FZ84" s="257"/>
      <c r="GA84" s="257"/>
      <c r="GB84" s="257"/>
      <c r="GC84" s="257"/>
      <c r="GD84" s="257"/>
      <c r="GE84" s="257"/>
      <c r="GF84" s="257"/>
      <c r="GG84" s="257"/>
      <c r="GH84" s="257"/>
      <c r="GI84" s="257"/>
      <c r="GJ84" s="257"/>
      <c r="GK84" s="257"/>
      <c r="GL84" s="257"/>
      <c r="GM84" s="257"/>
      <c r="GN84" s="257"/>
      <c r="GO84" s="257"/>
      <c r="GP84" s="257"/>
      <c r="GQ84" s="257"/>
      <c r="GR84" s="124"/>
      <c r="GS84" s="124"/>
      <c r="GT84" s="124"/>
      <c r="GU84" s="124"/>
      <c r="GV84" s="124"/>
      <c r="GW84" s="124"/>
      <c r="GX84" s="124"/>
      <c r="GY84" s="124"/>
      <c r="GZ84" s="124"/>
      <c r="HA84" s="124"/>
      <c r="HB84" s="124"/>
      <c r="HC84" s="124"/>
      <c r="HD84" s="124"/>
      <c r="HE84" s="124"/>
      <c r="HF84" s="124"/>
      <c r="HG84" s="124"/>
      <c r="HH84" s="124"/>
      <c r="HI84" s="124"/>
      <c r="HJ84" s="124"/>
      <c r="HK84" s="124"/>
      <c r="HL84" s="124"/>
      <c r="HM84" s="124"/>
      <c r="HN84" s="124"/>
      <c r="HO84" s="124"/>
      <c r="HP84" s="124"/>
      <c r="HQ84" s="124"/>
      <c r="HR84" s="124"/>
      <c r="HS84" s="124"/>
      <c r="HT84" s="124"/>
      <c r="HU84" s="124"/>
      <c r="HV84" s="124"/>
      <c r="HW84" s="124"/>
      <c r="HX84" s="124"/>
      <c r="HY84" s="124"/>
      <c r="HZ84" s="124"/>
      <c r="IA84" s="124"/>
      <c r="IB84" s="124"/>
      <c r="IC84" s="124"/>
      <c r="ID84" s="124"/>
      <c r="IE84" s="124"/>
      <c r="IF84" s="124"/>
      <c r="IG84" s="124"/>
      <c r="IH84" s="124"/>
      <c r="II84" s="124"/>
      <c r="IJ84" s="124"/>
      <c r="IK84" s="124"/>
      <c r="IL84" s="124"/>
      <c r="IM84" s="124"/>
      <c r="IN84" s="124"/>
      <c r="IO84" s="124"/>
      <c r="IP84" s="124"/>
      <c r="IQ84" s="124"/>
      <c r="IR84" s="124"/>
    </row>
    <row r="85" spans="1:252" ht="16.5" customHeight="1">
      <c r="A85" s="154"/>
      <c r="C85" s="176"/>
      <c r="E85" s="429"/>
      <c r="F85" s="124" t="s">
        <v>6</v>
      </c>
      <c r="I85" s="156" t="str">
        <f t="shared" si="42"/>
        <v/>
      </c>
      <c r="J85" s="257"/>
      <c r="K85" s="257"/>
      <c r="L85" s="257"/>
      <c r="M85" s="257"/>
      <c r="N85" s="257"/>
      <c r="O85" s="257"/>
      <c r="P85" s="257"/>
      <c r="Q85" s="257"/>
      <c r="R85" s="257"/>
      <c r="S85" s="257"/>
      <c r="T85" s="257"/>
      <c r="U85" s="257"/>
      <c r="V85" s="257"/>
      <c r="W85" s="257"/>
      <c r="X85" s="257"/>
      <c r="Y85" s="257"/>
      <c r="Z85" s="257"/>
      <c r="AA85" s="257"/>
      <c r="AB85" s="257"/>
      <c r="AC85" s="257"/>
      <c r="AD85" s="257"/>
      <c r="AE85" s="257"/>
      <c r="AF85" s="257"/>
      <c r="AG85" s="257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  <c r="AR85" s="257"/>
      <c r="AS85" s="257"/>
      <c r="AT85" s="257"/>
      <c r="AU85" s="257"/>
      <c r="AV85" s="257"/>
      <c r="AW85" s="257"/>
      <c r="AX85" s="257"/>
      <c r="AY85" s="257"/>
      <c r="AZ85" s="257"/>
      <c r="BA85" s="257"/>
      <c r="BB85" s="257"/>
      <c r="BC85" s="257"/>
      <c r="BD85" s="257"/>
      <c r="BE85" s="257"/>
      <c r="BF85" s="257"/>
      <c r="BG85" s="279"/>
      <c r="BH85" s="257"/>
      <c r="BI85" s="257"/>
      <c r="BJ85" s="257"/>
      <c r="BK85" s="257"/>
      <c r="BL85" s="257"/>
      <c r="BM85" s="257"/>
      <c r="BN85" s="257"/>
      <c r="BO85" s="257"/>
      <c r="BP85" s="257"/>
      <c r="BQ85" s="257"/>
      <c r="BR85" s="257"/>
      <c r="BS85" s="257"/>
      <c r="BT85" s="257"/>
      <c r="BU85" s="257"/>
      <c r="BV85" s="257"/>
      <c r="BW85" s="257"/>
      <c r="BX85" s="257"/>
      <c r="BY85" s="257"/>
      <c r="BZ85" s="257"/>
      <c r="CA85" s="257"/>
      <c r="CB85" s="257"/>
      <c r="CC85" s="257"/>
      <c r="CD85" s="257"/>
      <c r="CE85" s="257"/>
      <c r="CF85" s="257"/>
      <c r="CG85" s="257"/>
      <c r="CH85" s="257"/>
      <c r="CI85" s="257"/>
      <c r="CJ85" s="257"/>
      <c r="CK85" s="257"/>
      <c r="CL85" s="257"/>
      <c r="CM85" s="257"/>
      <c r="CN85" s="257"/>
      <c r="CO85" s="257"/>
      <c r="CP85" s="257"/>
      <c r="CQ85" s="257"/>
      <c r="CR85" s="257"/>
      <c r="CS85" s="257"/>
      <c r="CT85" s="257"/>
      <c r="CU85" s="257"/>
      <c r="CV85" s="257"/>
      <c r="CW85" s="257"/>
      <c r="CX85" s="257"/>
      <c r="CY85" s="257"/>
      <c r="CZ85" s="257"/>
      <c r="DA85" s="257"/>
      <c r="DB85" s="257"/>
      <c r="DC85" s="257"/>
      <c r="DD85" s="257"/>
      <c r="DE85" s="257"/>
      <c r="DF85" s="257"/>
      <c r="DG85" s="257"/>
      <c r="DH85" s="257"/>
      <c r="DI85" s="257"/>
      <c r="DJ85" s="257"/>
      <c r="DK85" s="257"/>
      <c r="DL85" s="257"/>
      <c r="DM85" s="257"/>
      <c r="DN85" s="257"/>
      <c r="DO85" s="257"/>
      <c r="DP85" s="257"/>
      <c r="DQ85" s="257"/>
      <c r="DR85" s="257"/>
      <c r="DS85" s="257"/>
      <c r="DT85" s="257"/>
      <c r="DU85" s="257"/>
      <c r="DV85" s="257"/>
      <c r="DW85" s="257"/>
      <c r="DX85" s="257"/>
      <c r="DY85" s="257"/>
      <c r="DZ85" s="257"/>
      <c r="EA85" s="257"/>
      <c r="EB85" s="257"/>
      <c r="EC85" s="257"/>
      <c r="ED85" s="257"/>
      <c r="EE85" s="257"/>
      <c r="EF85" s="257"/>
      <c r="EG85" s="257"/>
      <c r="EH85" s="257"/>
      <c r="EI85" s="257"/>
      <c r="EJ85" s="257"/>
      <c r="EK85" s="257"/>
      <c r="EL85" s="257"/>
      <c r="EM85" s="257"/>
      <c r="EN85" s="257"/>
      <c r="EO85" s="257"/>
      <c r="EP85" s="257"/>
      <c r="EQ85" s="257"/>
      <c r="ER85" s="257"/>
      <c r="ES85" s="257"/>
      <c r="ET85" s="257"/>
      <c r="EU85" s="257"/>
      <c r="EV85" s="257"/>
      <c r="EW85" s="257"/>
      <c r="EX85" s="257"/>
      <c r="EY85" s="257"/>
      <c r="EZ85" s="257"/>
      <c r="FA85" s="257"/>
      <c r="FB85" s="257"/>
      <c r="FC85" s="257"/>
      <c r="FD85" s="257"/>
      <c r="FE85" s="257"/>
      <c r="FF85" s="257"/>
      <c r="FG85" s="257"/>
      <c r="FH85" s="257"/>
      <c r="FI85" s="257"/>
      <c r="FJ85" s="257"/>
      <c r="FK85" s="257"/>
      <c r="FL85" s="257"/>
      <c r="FM85" s="257"/>
      <c r="FN85" s="257"/>
      <c r="FO85" s="257"/>
      <c r="FP85" s="257"/>
      <c r="FQ85" s="257"/>
      <c r="FR85" s="257"/>
      <c r="FS85" s="257"/>
      <c r="FT85" s="257"/>
      <c r="FU85" s="257"/>
      <c r="FV85" s="257"/>
      <c r="FW85" s="257"/>
      <c r="FX85" s="257"/>
      <c r="FY85" s="257"/>
      <c r="FZ85" s="257"/>
      <c r="GA85" s="257"/>
      <c r="GB85" s="257"/>
      <c r="GC85" s="257"/>
      <c r="GD85" s="257"/>
      <c r="GE85" s="257"/>
      <c r="GF85" s="257"/>
      <c r="GG85" s="257"/>
      <c r="GH85" s="257"/>
      <c r="GI85" s="257"/>
      <c r="GJ85" s="257"/>
      <c r="GK85" s="257"/>
      <c r="GL85" s="257"/>
      <c r="GM85" s="257"/>
      <c r="GN85" s="257"/>
      <c r="GO85" s="257"/>
      <c r="GP85" s="257"/>
      <c r="GQ85" s="257"/>
      <c r="GR85" s="124"/>
      <c r="GS85" s="124"/>
      <c r="GT85" s="124"/>
      <c r="GU85" s="124"/>
      <c r="GV85" s="124"/>
      <c r="GW85" s="124"/>
      <c r="GX85" s="124"/>
      <c r="GY85" s="124"/>
      <c r="GZ85" s="124"/>
      <c r="HA85" s="124"/>
      <c r="HB85" s="124"/>
      <c r="HC85" s="124"/>
      <c r="HD85" s="124"/>
      <c r="HE85" s="124"/>
      <c r="HF85" s="124"/>
      <c r="HG85" s="124"/>
      <c r="HH85" s="124"/>
      <c r="HI85" s="124"/>
      <c r="HJ85" s="124"/>
      <c r="HK85" s="124"/>
      <c r="HL85" s="124"/>
      <c r="HM85" s="124"/>
      <c r="HN85" s="124"/>
      <c r="HO85" s="124"/>
      <c r="HP85" s="124"/>
      <c r="HQ85" s="124"/>
      <c r="HR85" s="124"/>
      <c r="HS85" s="124"/>
      <c r="HT85" s="124"/>
      <c r="HU85" s="124"/>
      <c r="HV85" s="124"/>
      <c r="HW85" s="124"/>
      <c r="HX85" s="124"/>
      <c r="HY85" s="124"/>
      <c r="HZ85" s="124"/>
      <c r="IA85" s="124"/>
      <c r="IB85" s="124"/>
      <c r="IC85" s="124"/>
      <c r="ID85" s="124"/>
      <c r="IE85" s="124"/>
      <c r="IF85" s="124"/>
      <c r="IG85" s="124"/>
      <c r="IH85" s="124"/>
      <c r="II85" s="124"/>
      <c r="IJ85" s="124"/>
      <c r="IK85" s="124"/>
      <c r="IL85" s="124"/>
      <c r="IM85" s="124"/>
      <c r="IN85" s="124"/>
      <c r="IO85" s="124"/>
      <c r="IP85" s="124"/>
      <c r="IQ85" s="124"/>
      <c r="IR85" s="124"/>
    </row>
    <row r="86" spans="1:252" ht="17.45" customHeight="1" thickBot="1">
      <c r="A86" s="154"/>
      <c r="C86" s="176"/>
      <c r="E86" s="430"/>
      <c r="F86" s="186" t="s">
        <v>7</v>
      </c>
      <c r="G86" s="187"/>
      <c r="H86" s="188"/>
      <c r="I86" s="156" t="str">
        <f t="shared" si="42"/>
        <v/>
      </c>
      <c r="J86" s="257"/>
      <c r="K86" s="257"/>
      <c r="L86" s="257"/>
      <c r="M86" s="257"/>
      <c r="N86" s="257"/>
      <c r="O86" s="257"/>
      <c r="P86" s="257"/>
      <c r="Q86" s="257"/>
      <c r="R86" s="257"/>
      <c r="S86" s="257"/>
      <c r="T86" s="257"/>
      <c r="U86" s="257"/>
      <c r="V86" s="257"/>
      <c r="W86" s="257"/>
      <c r="X86" s="257"/>
      <c r="Y86" s="257"/>
      <c r="Z86" s="257"/>
      <c r="AA86" s="257"/>
      <c r="AB86" s="257"/>
      <c r="AC86" s="257"/>
      <c r="AD86" s="257"/>
      <c r="AE86" s="257"/>
      <c r="AF86" s="257"/>
      <c r="AG86" s="257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  <c r="AR86" s="257"/>
      <c r="AS86" s="257"/>
      <c r="AT86" s="257"/>
      <c r="AU86" s="257"/>
      <c r="AV86" s="257"/>
      <c r="AW86" s="257"/>
      <c r="AX86" s="257"/>
      <c r="AY86" s="257"/>
      <c r="AZ86" s="257"/>
      <c r="BA86" s="257"/>
      <c r="BB86" s="257"/>
      <c r="BC86" s="257"/>
      <c r="BD86" s="257"/>
      <c r="BE86" s="257"/>
      <c r="BF86" s="257"/>
      <c r="BG86" s="279"/>
      <c r="BH86" s="257"/>
      <c r="BI86" s="257"/>
      <c r="BJ86" s="257"/>
      <c r="BK86" s="257"/>
      <c r="BL86" s="257"/>
      <c r="BM86" s="257"/>
      <c r="BN86" s="257"/>
      <c r="BO86" s="257"/>
      <c r="BP86" s="257"/>
      <c r="BQ86" s="257"/>
      <c r="BR86" s="257"/>
      <c r="BS86" s="257"/>
      <c r="BT86" s="257"/>
      <c r="BU86" s="257"/>
      <c r="BV86" s="257"/>
      <c r="BW86" s="257"/>
      <c r="BX86" s="257"/>
      <c r="BY86" s="257"/>
      <c r="BZ86" s="257"/>
      <c r="CA86" s="257"/>
      <c r="CB86" s="257"/>
      <c r="CC86" s="257"/>
      <c r="CD86" s="257"/>
      <c r="CE86" s="257"/>
      <c r="CF86" s="257"/>
      <c r="CG86" s="257"/>
      <c r="CH86" s="257"/>
      <c r="CI86" s="257"/>
      <c r="CJ86" s="257"/>
      <c r="CK86" s="257"/>
      <c r="CL86" s="257"/>
      <c r="CM86" s="257"/>
      <c r="CN86" s="257"/>
      <c r="CO86" s="257"/>
      <c r="CP86" s="257"/>
      <c r="CQ86" s="257"/>
      <c r="CR86" s="257"/>
      <c r="CS86" s="257"/>
      <c r="CT86" s="257"/>
      <c r="CU86" s="257"/>
      <c r="CV86" s="257"/>
      <c r="CW86" s="257"/>
      <c r="CX86" s="257"/>
      <c r="CY86" s="257"/>
      <c r="CZ86" s="257"/>
      <c r="DA86" s="257"/>
      <c r="DB86" s="257"/>
      <c r="DC86" s="257"/>
      <c r="DD86" s="257"/>
      <c r="DE86" s="257"/>
      <c r="DF86" s="257"/>
      <c r="DG86" s="257"/>
      <c r="DH86" s="257"/>
      <c r="DI86" s="257"/>
      <c r="DJ86" s="257"/>
      <c r="DK86" s="257"/>
      <c r="DL86" s="257"/>
      <c r="DM86" s="257"/>
      <c r="DN86" s="257"/>
      <c r="DO86" s="257"/>
      <c r="DP86" s="257"/>
      <c r="DQ86" s="257"/>
      <c r="DR86" s="257"/>
      <c r="DS86" s="257"/>
      <c r="DT86" s="257"/>
      <c r="DU86" s="257"/>
      <c r="DV86" s="257"/>
      <c r="DW86" s="257"/>
      <c r="DX86" s="257"/>
      <c r="DY86" s="257"/>
      <c r="DZ86" s="257"/>
      <c r="EA86" s="257"/>
      <c r="EB86" s="257"/>
      <c r="EC86" s="257"/>
      <c r="ED86" s="257"/>
      <c r="EE86" s="257"/>
      <c r="EF86" s="257"/>
      <c r="EG86" s="257"/>
      <c r="EH86" s="257"/>
      <c r="EI86" s="257"/>
      <c r="EJ86" s="257"/>
      <c r="EK86" s="257"/>
      <c r="EL86" s="257"/>
      <c r="EM86" s="257"/>
      <c r="EN86" s="257"/>
      <c r="EO86" s="257"/>
      <c r="EP86" s="257"/>
      <c r="EQ86" s="257"/>
      <c r="ER86" s="257"/>
      <c r="ES86" s="257"/>
      <c r="ET86" s="257"/>
      <c r="EU86" s="257"/>
      <c r="EV86" s="257"/>
      <c r="EW86" s="257"/>
      <c r="EX86" s="257"/>
      <c r="EY86" s="257"/>
      <c r="EZ86" s="257"/>
      <c r="FA86" s="257"/>
      <c r="FB86" s="257"/>
      <c r="FC86" s="257"/>
      <c r="FD86" s="257"/>
      <c r="FE86" s="257"/>
      <c r="FF86" s="257"/>
      <c r="FG86" s="257"/>
      <c r="FH86" s="257"/>
      <c r="FI86" s="257"/>
      <c r="FJ86" s="257"/>
      <c r="FK86" s="257"/>
      <c r="FL86" s="257"/>
      <c r="FM86" s="257"/>
      <c r="FN86" s="257"/>
      <c r="FO86" s="257"/>
      <c r="FP86" s="257"/>
      <c r="FQ86" s="257"/>
      <c r="FR86" s="257"/>
      <c r="FS86" s="257"/>
      <c r="FT86" s="257"/>
      <c r="FU86" s="257"/>
      <c r="FV86" s="257"/>
      <c r="FW86" s="257"/>
      <c r="FX86" s="257"/>
      <c r="FY86" s="257"/>
      <c r="FZ86" s="257"/>
      <c r="GA86" s="257"/>
      <c r="GB86" s="257"/>
      <c r="GC86" s="257"/>
      <c r="GD86" s="257"/>
      <c r="GE86" s="257"/>
      <c r="GF86" s="257"/>
      <c r="GG86" s="257"/>
      <c r="GH86" s="257"/>
      <c r="GI86" s="257"/>
      <c r="GJ86" s="257"/>
      <c r="GK86" s="257"/>
      <c r="GL86" s="257"/>
      <c r="GM86" s="257"/>
      <c r="GN86" s="257"/>
      <c r="GO86" s="257"/>
      <c r="GP86" s="257"/>
      <c r="GQ86" s="257"/>
      <c r="GR86" s="124"/>
      <c r="GS86" s="124"/>
      <c r="GT86" s="124"/>
      <c r="GU86" s="124"/>
      <c r="GV86" s="124"/>
      <c r="GW86" s="124"/>
      <c r="GX86" s="124"/>
      <c r="GY86" s="124"/>
      <c r="GZ86" s="124"/>
      <c r="HA86" s="124"/>
      <c r="HB86" s="124"/>
      <c r="HC86" s="124"/>
      <c r="HD86" s="124"/>
      <c r="HE86" s="124"/>
      <c r="HF86" s="124"/>
      <c r="HG86" s="124"/>
      <c r="HH86" s="124"/>
      <c r="HI86" s="124"/>
      <c r="HJ86" s="124"/>
      <c r="HK86" s="124"/>
      <c r="HL86" s="124"/>
      <c r="HM86" s="124"/>
      <c r="HN86" s="124"/>
      <c r="HO86" s="124"/>
      <c r="HP86" s="124"/>
      <c r="HQ86" s="124"/>
      <c r="HR86" s="124"/>
      <c r="HS86" s="124"/>
      <c r="HT86" s="124"/>
      <c r="HU86" s="124"/>
      <c r="HV86" s="124"/>
      <c r="HW86" s="124"/>
      <c r="HX86" s="124"/>
      <c r="HY86" s="124"/>
      <c r="HZ86" s="124"/>
      <c r="IA86" s="124"/>
      <c r="IB86" s="124"/>
      <c r="IC86" s="124"/>
      <c r="ID86" s="124"/>
      <c r="IE86" s="124"/>
      <c r="IF86" s="124"/>
      <c r="IG86" s="124"/>
      <c r="IH86" s="124"/>
      <c r="II86" s="124"/>
      <c r="IJ86" s="124"/>
      <c r="IK86" s="124"/>
      <c r="IL86" s="124"/>
      <c r="IM86" s="124"/>
      <c r="IN86" s="124"/>
      <c r="IO86" s="124"/>
      <c r="IP86" s="124"/>
      <c r="IQ86" s="124"/>
      <c r="IR86" s="124"/>
    </row>
    <row r="87" spans="1:252" ht="17.45" customHeight="1" thickBot="1">
      <c r="A87" s="154"/>
      <c r="E87" s="124"/>
      <c r="F87" s="124"/>
      <c r="I87" s="156" t="str">
        <f t="shared" ref="I87:I88" si="44">IF(LOOKUP(I$6,J$6:IU$6,J87:IU87)=0,"",LOOKUP(I$6,J$6:IU$6,J87:AR87))</f>
        <v/>
      </c>
      <c r="J87" s="257"/>
      <c r="K87" s="257"/>
      <c r="L87" s="257"/>
      <c r="M87" s="257"/>
      <c r="N87" s="257"/>
      <c r="O87" s="257"/>
      <c r="P87" s="257"/>
      <c r="Q87" s="257"/>
      <c r="R87" s="257"/>
      <c r="S87" s="257"/>
      <c r="T87" s="257"/>
      <c r="U87" s="257"/>
      <c r="V87" s="257"/>
      <c r="W87" s="257"/>
      <c r="X87" s="257"/>
      <c r="Y87" s="257"/>
      <c r="Z87" s="257"/>
      <c r="AA87" s="257"/>
      <c r="AB87" s="257"/>
      <c r="AC87" s="257"/>
      <c r="AD87" s="257"/>
      <c r="AE87" s="257"/>
      <c r="AF87" s="257"/>
      <c r="AG87" s="257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  <c r="AR87" s="257"/>
      <c r="AS87" s="257"/>
      <c r="AT87" s="257"/>
      <c r="AU87" s="257"/>
      <c r="AV87" s="257"/>
      <c r="AW87" s="257"/>
      <c r="AX87" s="257"/>
      <c r="AY87" s="257"/>
      <c r="AZ87" s="257"/>
      <c r="BA87" s="257"/>
      <c r="BB87" s="257"/>
      <c r="BC87" s="257"/>
      <c r="BD87" s="257"/>
      <c r="BE87" s="257"/>
      <c r="BF87" s="257"/>
      <c r="BG87" s="279"/>
      <c r="BH87" s="257"/>
      <c r="BI87" s="257"/>
      <c r="BJ87" s="257"/>
      <c r="BK87" s="257"/>
      <c r="BL87" s="257"/>
      <c r="BM87" s="257"/>
      <c r="BN87" s="257"/>
      <c r="BO87" s="257"/>
      <c r="BP87" s="257"/>
      <c r="BQ87" s="257"/>
      <c r="BR87" s="257"/>
      <c r="BS87" s="257"/>
      <c r="BT87" s="257"/>
      <c r="BU87" s="257"/>
      <c r="BV87" s="257"/>
      <c r="BW87" s="257"/>
      <c r="BX87" s="257"/>
      <c r="BY87" s="257"/>
      <c r="BZ87" s="257"/>
      <c r="CA87" s="257"/>
      <c r="CB87" s="257"/>
      <c r="CC87" s="257"/>
      <c r="CD87" s="257"/>
      <c r="CE87" s="257"/>
      <c r="CF87" s="257"/>
      <c r="CG87" s="257"/>
      <c r="CH87" s="257"/>
      <c r="CI87" s="257"/>
      <c r="CJ87" s="257"/>
      <c r="CK87" s="257"/>
      <c r="CL87" s="257"/>
      <c r="CM87" s="257"/>
      <c r="CN87" s="257"/>
      <c r="CO87" s="257"/>
      <c r="CP87" s="257"/>
      <c r="CQ87" s="257"/>
      <c r="CR87" s="257"/>
      <c r="CS87" s="257"/>
      <c r="CT87" s="257"/>
      <c r="CU87" s="257"/>
      <c r="CV87" s="257"/>
      <c r="CW87" s="257"/>
      <c r="CX87" s="257"/>
      <c r="CY87" s="257"/>
      <c r="CZ87" s="257"/>
      <c r="DA87" s="257"/>
      <c r="DB87" s="257"/>
      <c r="DC87" s="257"/>
      <c r="DD87" s="257"/>
      <c r="DE87" s="257"/>
      <c r="DF87" s="257"/>
      <c r="DG87" s="257"/>
      <c r="DH87" s="257"/>
      <c r="DI87" s="257"/>
      <c r="DJ87" s="257"/>
      <c r="DK87" s="257"/>
      <c r="DL87" s="257"/>
      <c r="DM87" s="257"/>
      <c r="DN87" s="257"/>
      <c r="DO87" s="257"/>
      <c r="DP87" s="257"/>
      <c r="DQ87" s="257"/>
      <c r="DR87" s="257"/>
      <c r="DS87" s="257"/>
      <c r="DT87" s="257"/>
      <c r="DU87" s="257"/>
      <c r="DV87" s="257"/>
      <c r="DW87" s="257"/>
      <c r="DX87" s="257"/>
      <c r="DY87" s="257"/>
      <c r="DZ87" s="257"/>
      <c r="EA87" s="257"/>
      <c r="EB87" s="257"/>
      <c r="EC87" s="257"/>
      <c r="ED87" s="257"/>
      <c r="EE87" s="257"/>
      <c r="EF87" s="257"/>
      <c r="EG87" s="257"/>
      <c r="EH87" s="257"/>
      <c r="EI87" s="257"/>
      <c r="EJ87" s="257"/>
      <c r="EK87" s="257"/>
      <c r="EL87" s="257"/>
      <c r="EM87" s="257"/>
      <c r="EN87" s="257"/>
      <c r="EO87" s="257"/>
      <c r="EP87" s="257"/>
      <c r="EQ87" s="257"/>
      <c r="ER87" s="257"/>
      <c r="ES87" s="257"/>
      <c r="ET87" s="257"/>
      <c r="EU87" s="257"/>
      <c r="EV87" s="257"/>
      <c r="EW87" s="257"/>
      <c r="EX87" s="257"/>
      <c r="EY87" s="257"/>
      <c r="EZ87" s="257"/>
      <c r="FA87" s="257"/>
      <c r="FB87" s="257"/>
      <c r="FC87" s="257"/>
      <c r="FD87" s="257"/>
      <c r="FE87" s="257"/>
      <c r="FF87" s="257"/>
      <c r="FG87" s="257"/>
      <c r="FH87" s="257"/>
      <c r="FI87" s="257"/>
      <c r="FJ87" s="257"/>
      <c r="FK87" s="257"/>
      <c r="FL87" s="257"/>
      <c r="FM87" s="257"/>
      <c r="FN87" s="257"/>
      <c r="FO87" s="257"/>
      <c r="FP87" s="257"/>
      <c r="FQ87" s="257"/>
      <c r="FR87" s="257"/>
      <c r="FS87" s="257"/>
      <c r="FT87" s="257"/>
      <c r="FU87" s="257"/>
      <c r="FV87" s="257"/>
      <c r="FW87" s="257"/>
      <c r="FX87" s="257"/>
      <c r="FY87" s="257"/>
      <c r="FZ87" s="257"/>
      <c r="GA87" s="257"/>
      <c r="GB87" s="257"/>
      <c r="GC87" s="257"/>
      <c r="GD87" s="257"/>
      <c r="GE87" s="257"/>
      <c r="GF87" s="257"/>
      <c r="GG87" s="257"/>
      <c r="GH87" s="257"/>
      <c r="GI87" s="257"/>
      <c r="GJ87" s="257"/>
      <c r="GK87" s="257"/>
      <c r="GL87" s="257"/>
      <c r="GM87" s="257"/>
      <c r="GN87" s="257"/>
      <c r="GO87" s="257"/>
      <c r="GP87" s="257"/>
      <c r="GQ87" s="257"/>
      <c r="GR87" s="124"/>
      <c r="GS87" s="124"/>
      <c r="GT87" s="124"/>
      <c r="GU87" s="124"/>
      <c r="GV87" s="124"/>
      <c r="GW87" s="124"/>
      <c r="GX87" s="124"/>
      <c r="GY87" s="124"/>
      <c r="GZ87" s="124"/>
      <c r="HA87" s="124"/>
      <c r="HB87" s="124"/>
      <c r="HC87" s="124"/>
      <c r="HD87" s="124"/>
      <c r="HE87" s="124"/>
      <c r="HF87" s="124"/>
      <c r="HG87" s="124"/>
      <c r="HH87" s="124"/>
      <c r="HI87" s="124"/>
      <c r="HJ87" s="124"/>
      <c r="HK87" s="124"/>
      <c r="HL87" s="124"/>
      <c r="HM87" s="124"/>
      <c r="HN87" s="124"/>
      <c r="HO87" s="124"/>
      <c r="HP87" s="124"/>
      <c r="HQ87" s="124"/>
      <c r="HR87" s="124"/>
      <c r="HS87" s="124"/>
      <c r="HT87" s="124"/>
      <c r="HU87" s="124"/>
      <c r="HV87" s="124"/>
      <c r="HW87" s="124"/>
      <c r="HX87" s="124"/>
      <c r="HY87" s="124"/>
      <c r="HZ87" s="124"/>
      <c r="IA87" s="124"/>
      <c r="IB87" s="124"/>
      <c r="IC87" s="124"/>
      <c r="ID87" s="124"/>
      <c r="IE87" s="124"/>
      <c r="IF87" s="124"/>
      <c r="IG87" s="124"/>
      <c r="IH87" s="124"/>
      <c r="II87" s="124"/>
      <c r="IJ87" s="124"/>
      <c r="IK87" s="124"/>
      <c r="IL87" s="124"/>
      <c r="IM87" s="124"/>
      <c r="IN87" s="124"/>
      <c r="IO87" s="124"/>
      <c r="IP87" s="124"/>
      <c r="IQ87" s="124"/>
      <c r="IR87" s="124"/>
    </row>
    <row r="88" spans="1:252" ht="16.5" customHeight="1">
      <c r="A88" s="154"/>
      <c r="E88" s="428" t="s">
        <v>8</v>
      </c>
      <c r="F88" s="183" t="s">
        <v>2</v>
      </c>
      <c r="G88" s="184"/>
      <c r="H88" s="185"/>
      <c r="I88" s="156" t="str">
        <f t="shared" si="44"/>
        <v/>
      </c>
      <c r="J88" s="257"/>
      <c r="K88" s="257"/>
      <c r="L88" s="257"/>
      <c r="M88" s="257"/>
      <c r="N88" s="257"/>
      <c r="O88" s="257"/>
      <c r="P88" s="257"/>
      <c r="Q88" s="257"/>
      <c r="R88" s="257"/>
      <c r="S88" s="257"/>
      <c r="T88" s="257"/>
      <c r="U88" s="257"/>
      <c r="V88" s="257"/>
      <c r="W88" s="257"/>
      <c r="X88" s="257"/>
      <c r="Y88" s="257"/>
      <c r="Z88" s="257"/>
      <c r="AA88" s="257"/>
      <c r="AB88" s="257"/>
      <c r="AC88" s="257"/>
      <c r="AD88" s="257"/>
      <c r="AE88" s="257"/>
      <c r="AF88" s="257"/>
      <c r="AG88" s="257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  <c r="AR88" s="257"/>
      <c r="AS88" s="257"/>
      <c r="AT88" s="257"/>
      <c r="AU88" s="257"/>
      <c r="AV88" s="257"/>
      <c r="AW88" s="257"/>
      <c r="AX88" s="257"/>
      <c r="AY88" s="257"/>
      <c r="AZ88" s="257"/>
      <c r="BA88" s="257"/>
      <c r="BB88" s="257"/>
      <c r="BC88" s="257"/>
      <c r="BD88" s="257"/>
      <c r="BE88" s="257"/>
      <c r="BF88" s="257"/>
      <c r="BG88" s="279"/>
      <c r="BH88" s="257"/>
      <c r="BI88" s="257"/>
      <c r="BJ88" s="257"/>
      <c r="BK88" s="257"/>
      <c r="BL88" s="257"/>
      <c r="BM88" s="257"/>
      <c r="BN88" s="257"/>
      <c r="BO88" s="257"/>
      <c r="BP88" s="257"/>
      <c r="BQ88" s="257"/>
      <c r="BR88" s="257"/>
      <c r="BS88" s="257"/>
      <c r="BT88" s="257"/>
      <c r="BU88" s="257"/>
      <c r="BV88" s="257"/>
      <c r="BW88" s="257"/>
      <c r="BX88" s="257"/>
      <c r="BY88" s="257"/>
      <c r="BZ88" s="257"/>
      <c r="CA88" s="257"/>
      <c r="CB88" s="257"/>
      <c r="CC88" s="257"/>
      <c r="CD88" s="257"/>
      <c r="CE88" s="257"/>
      <c r="CF88" s="257"/>
      <c r="CG88" s="257"/>
      <c r="CH88" s="257"/>
      <c r="CI88" s="257"/>
      <c r="CJ88" s="257"/>
      <c r="CK88" s="257"/>
      <c r="CL88" s="257"/>
      <c r="CM88" s="257"/>
      <c r="CN88" s="257"/>
      <c r="CO88" s="257"/>
      <c r="CP88" s="257"/>
      <c r="CQ88" s="257"/>
      <c r="CR88" s="257"/>
      <c r="CS88" s="257"/>
      <c r="CT88" s="257"/>
      <c r="CU88" s="257"/>
      <c r="CV88" s="257"/>
      <c r="CW88" s="257"/>
      <c r="CX88" s="257"/>
      <c r="CY88" s="257"/>
      <c r="CZ88" s="257"/>
      <c r="DA88" s="257"/>
      <c r="DB88" s="257"/>
      <c r="DC88" s="257"/>
      <c r="DD88" s="257"/>
      <c r="DE88" s="257"/>
      <c r="DF88" s="257"/>
      <c r="DG88" s="257"/>
      <c r="DH88" s="257"/>
      <c r="DI88" s="257"/>
      <c r="DJ88" s="257"/>
      <c r="DK88" s="257"/>
      <c r="DL88" s="257"/>
      <c r="DM88" s="257"/>
      <c r="DN88" s="257"/>
      <c r="DO88" s="257"/>
      <c r="DP88" s="257"/>
      <c r="DQ88" s="257"/>
      <c r="DR88" s="257"/>
      <c r="DS88" s="257"/>
      <c r="DT88" s="257"/>
      <c r="DU88" s="257"/>
      <c r="DV88" s="257"/>
      <c r="DW88" s="257"/>
      <c r="DX88" s="257"/>
      <c r="DY88" s="257"/>
      <c r="DZ88" s="257"/>
      <c r="EA88" s="257"/>
      <c r="EB88" s="257"/>
      <c r="EC88" s="257"/>
      <c r="ED88" s="257"/>
      <c r="EE88" s="257"/>
      <c r="EF88" s="257"/>
      <c r="EG88" s="257"/>
      <c r="EH88" s="257"/>
      <c r="EI88" s="257"/>
      <c r="EJ88" s="257"/>
      <c r="EK88" s="257"/>
      <c r="EL88" s="257"/>
      <c r="EM88" s="257"/>
      <c r="EN88" s="257"/>
      <c r="EO88" s="257"/>
      <c r="EP88" s="257"/>
      <c r="EQ88" s="257"/>
      <c r="ER88" s="257"/>
      <c r="ES88" s="257"/>
      <c r="ET88" s="257"/>
      <c r="EU88" s="257"/>
      <c r="EV88" s="257"/>
      <c r="EW88" s="257"/>
      <c r="EX88" s="257"/>
      <c r="EY88" s="257"/>
      <c r="EZ88" s="257"/>
      <c r="FA88" s="257"/>
      <c r="FB88" s="257"/>
      <c r="FC88" s="257"/>
      <c r="FD88" s="257"/>
      <c r="FE88" s="257"/>
      <c r="FF88" s="257"/>
      <c r="FG88" s="257"/>
      <c r="FH88" s="257"/>
      <c r="FI88" s="257"/>
      <c r="FJ88" s="257"/>
      <c r="FK88" s="257"/>
      <c r="FL88" s="257"/>
      <c r="FM88" s="257"/>
      <c r="FN88" s="257"/>
      <c r="FO88" s="257"/>
      <c r="FP88" s="257"/>
      <c r="FQ88" s="257"/>
      <c r="FR88" s="257"/>
      <c r="FS88" s="257"/>
      <c r="FT88" s="257"/>
      <c r="FU88" s="257"/>
      <c r="FV88" s="257"/>
      <c r="FW88" s="257"/>
      <c r="FX88" s="257"/>
      <c r="FY88" s="257"/>
      <c r="FZ88" s="257"/>
      <c r="GA88" s="257"/>
      <c r="GB88" s="257"/>
      <c r="GC88" s="257"/>
      <c r="GD88" s="257"/>
      <c r="GE88" s="257"/>
      <c r="GF88" s="257"/>
      <c r="GG88" s="257"/>
      <c r="GH88" s="257"/>
      <c r="GI88" s="257"/>
      <c r="GJ88" s="257"/>
      <c r="GK88" s="257"/>
      <c r="GL88" s="257"/>
      <c r="GM88" s="257"/>
      <c r="GN88" s="257"/>
      <c r="GO88" s="257"/>
      <c r="GP88" s="257"/>
      <c r="GQ88" s="257"/>
      <c r="GR88" s="124"/>
      <c r="GS88" s="124"/>
      <c r="GT88" s="124"/>
      <c r="GU88" s="124"/>
      <c r="GV88" s="124"/>
      <c r="GW88" s="124"/>
      <c r="GX88" s="124"/>
      <c r="GY88" s="124"/>
      <c r="GZ88" s="124"/>
      <c r="HA88" s="124"/>
      <c r="HB88" s="124"/>
      <c r="HC88" s="124"/>
      <c r="HD88" s="124"/>
      <c r="HE88" s="124"/>
      <c r="HF88" s="124"/>
      <c r="HG88" s="124"/>
      <c r="HH88" s="124"/>
      <c r="HI88" s="124"/>
      <c r="HJ88" s="124"/>
      <c r="HK88" s="124"/>
      <c r="HL88" s="124"/>
      <c r="HM88" s="124"/>
      <c r="HN88" s="124"/>
      <c r="HO88" s="124"/>
      <c r="HP88" s="124"/>
      <c r="HQ88" s="124"/>
      <c r="HR88" s="124"/>
      <c r="HS88" s="124"/>
      <c r="HT88" s="124"/>
      <c r="HU88" s="124"/>
      <c r="HV88" s="124"/>
      <c r="HW88" s="124"/>
      <c r="HX88" s="124"/>
      <c r="HY88" s="124"/>
      <c r="HZ88" s="124"/>
      <c r="IA88" s="124"/>
      <c r="IB88" s="124"/>
      <c r="IC88" s="124"/>
      <c r="ID88" s="124"/>
      <c r="IE88" s="124"/>
      <c r="IF88" s="124"/>
      <c r="IG88" s="124"/>
      <c r="IH88" s="124"/>
      <c r="II88" s="124"/>
      <c r="IJ88" s="124"/>
      <c r="IK88" s="124"/>
      <c r="IL88" s="124"/>
      <c r="IM88" s="124"/>
      <c r="IN88" s="124"/>
      <c r="IO88" s="124"/>
      <c r="IP88" s="124"/>
      <c r="IQ88" s="124"/>
      <c r="IR88" s="124"/>
    </row>
    <row r="89" spans="1:252">
      <c r="A89" s="154"/>
      <c r="E89" s="429"/>
      <c r="F89" s="124" t="s">
        <v>3</v>
      </c>
      <c r="I89" s="156" t="str">
        <f t="shared" ref="I89:I125" si="45">IF(LOOKUP(I$6,J$6:IU$6,J89:IU89)=0,"",LOOKUP(I$6,J$6:IU$6,J89:AR89))</f>
        <v/>
      </c>
      <c r="J89" s="257"/>
      <c r="K89" s="257"/>
      <c r="L89" s="257"/>
      <c r="M89" s="257"/>
      <c r="N89" s="257"/>
      <c r="O89" s="257"/>
      <c r="P89" s="257"/>
      <c r="Q89" s="257"/>
      <c r="R89" s="257"/>
      <c r="S89" s="257"/>
      <c r="T89" s="257"/>
      <c r="U89" s="257"/>
      <c r="V89" s="257"/>
      <c r="W89" s="257"/>
      <c r="X89" s="257"/>
      <c r="Y89" s="257"/>
      <c r="Z89" s="257"/>
      <c r="AA89" s="257"/>
      <c r="AB89" s="257"/>
      <c r="AC89" s="257"/>
      <c r="AD89" s="257"/>
      <c r="AE89" s="257"/>
      <c r="AF89" s="257"/>
      <c r="AG89" s="257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  <c r="AR89" s="257"/>
      <c r="AS89" s="257"/>
      <c r="AT89" s="257"/>
      <c r="AU89" s="257"/>
      <c r="AV89" s="257"/>
      <c r="AW89" s="257"/>
      <c r="AX89" s="257"/>
      <c r="AY89" s="257"/>
      <c r="AZ89" s="257"/>
      <c r="BA89" s="257"/>
      <c r="BB89" s="257"/>
      <c r="BC89" s="257"/>
      <c r="BD89" s="257"/>
      <c r="BE89" s="257"/>
      <c r="BF89" s="257"/>
      <c r="BG89" s="279"/>
      <c r="BH89" s="257"/>
      <c r="BI89" s="257"/>
      <c r="BJ89" s="257"/>
      <c r="BK89" s="257"/>
      <c r="BL89" s="257"/>
      <c r="BM89" s="257"/>
      <c r="BN89" s="257"/>
      <c r="BO89" s="257"/>
      <c r="BP89" s="257"/>
      <c r="BQ89" s="257"/>
      <c r="BR89" s="257"/>
      <c r="BS89" s="257"/>
      <c r="BT89" s="257"/>
      <c r="BU89" s="257"/>
      <c r="BV89" s="257"/>
      <c r="BW89" s="257"/>
      <c r="BX89" s="257"/>
      <c r="BY89" s="257"/>
      <c r="BZ89" s="257"/>
      <c r="CA89" s="257"/>
      <c r="CB89" s="257"/>
      <c r="CC89" s="257"/>
      <c r="CD89" s="257"/>
      <c r="CE89" s="257"/>
      <c r="CF89" s="257"/>
      <c r="CG89" s="257"/>
      <c r="CH89" s="257"/>
      <c r="CI89" s="257"/>
      <c r="CJ89" s="257"/>
      <c r="CK89" s="257"/>
      <c r="CL89" s="257"/>
      <c r="CM89" s="257"/>
      <c r="CN89" s="257"/>
      <c r="CO89" s="257"/>
      <c r="CP89" s="257"/>
      <c r="CQ89" s="257"/>
      <c r="CR89" s="257"/>
      <c r="CS89" s="257"/>
      <c r="CT89" s="257"/>
      <c r="CU89" s="257"/>
      <c r="CV89" s="257"/>
      <c r="CW89" s="257"/>
      <c r="CX89" s="257"/>
      <c r="CY89" s="257"/>
      <c r="CZ89" s="257"/>
      <c r="DA89" s="257"/>
      <c r="DB89" s="257"/>
      <c r="DC89" s="257"/>
      <c r="DD89" s="257"/>
      <c r="DE89" s="257"/>
      <c r="DF89" s="257"/>
      <c r="DG89" s="257"/>
      <c r="DH89" s="257"/>
      <c r="DI89" s="257"/>
      <c r="DJ89" s="257"/>
      <c r="DK89" s="257"/>
      <c r="DL89" s="257"/>
      <c r="DM89" s="257"/>
      <c r="DN89" s="257"/>
      <c r="DO89" s="257"/>
      <c r="DP89" s="257"/>
      <c r="DQ89" s="257"/>
      <c r="DR89" s="257"/>
      <c r="DS89" s="257"/>
      <c r="DT89" s="257"/>
      <c r="DU89" s="257"/>
      <c r="DV89" s="257"/>
      <c r="DW89" s="257"/>
      <c r="DX89" s="257"/>
      <c r="DY89" s="257"/>
      <c r="DZ89" s="257"/>
      <c r="EA89" s="257"/>
      <c r="EB89" s="257"/>
      <c r="EC89" s="257"/>
      <c r="ED89" s="257"/>
      <c r="EE89" s="257"/>
      <c r="EF89" s="257"/>
      <c r="EG89" s="257"/>
      <c r="EH89" s="257"/>
      <c r="EI89" s="257"/>
      <c r="EJ89" s="257"/>
      <c r="EK89" s="257"/>
      <c r="EL89" s="257"/>
      <c r="EM89" s="257"/>
      <c r="EN89" s="257"/>
      <c r="EO89" s="257"/>
      <c r="EP89" s="257"/>
      <c r="EQ89" s="257"/>
      <c r="ER89" s="257"/>
      <c r="ES89" s="257"/>
      <c r="ET89" s="257"/>
      <c r="EU89" s="257"/>
      <c r="EV89" s="257"/>
      <c r="EW89" s="257"/>
      <c r="EX89" s="257"/>
      <c r="EY89" s="257"/>
      <c r="EZ89" s="257"/>
      <c r="FA89" s="257"/>
      <c r="FB89" s="257"/>
      <c r="FC89" s="257"/>
      <c r="FD89" s="257"/>
      <c r="FE89" s="257"/>
      <c r="FF89" s="257"/>
      <c r="FG89" s="257"/>
      <c r="FH89" s="257"/>
      <c r="FI89" s="257"/>
      <c r="FJ89" s="257"/>
      <c r="FK89" s="257"/>
      <c r="FL89" s="257"/>
      <c r="FM89" s="257"/>
      <c r="FN89" s="257"/>
      <c r="FO89" s="257"/>
      <c r="FP89" s="257"/>
      <c r="FQ89" s="257"/>
      <c r="FR89" s="257"/>
      <c r="FS89" s="257"/>
      <c r="FT89" s="257"/>
      <c r="FU89" s="257"/>
      <c r="FV89" s="257"/>
      <c r="FW89" s="257"/>
      <c r="FX89" s="257"/>
      <c r="FY89" s="257"/>
      <c r="FZ89" s="257"/>
      <c r="GA89" s="257"/>
      <c r="GB89" s="257"/>
      <c r="GC89" s="257"/>
      <c r="GD89" s="257"/>
      <c r="GE89" s="257"/>
      <c r="GF89" s="257"/>
      <c r="GG89" s="257"/>
      <c r="GH89" s="257"/>
      <c r="GI89" s="257"/>
      <c r="GJ89" s="257"/>
      <c r="GK89" s="257"/>
      <c r="GL89" s="257"/>
      <c r="GM89" s="257"/>
      <c r="GN89" s="257"/>
      <c r="GO89" s="257"/>
      <c r="GP89" s="257"/>
      <c r="GQ89" s="257"/>
      <c r="GR89" s="124"/>
      <c r="GS89" s="124"/>
      <c r="GT89" s="124"/>
      <c r="GU89" s="124"/>
      <c r="GV89" s="124"/>
      <c r="GW89" s="124"/>
      <c r="GX89" s="124"/>
      <c r="GY89" s="124"/>
      <c r="GZ89" s="124"/>
      <c r="HA89" s="124"/>
      <c r="HB89" s="124"/>
      <c r="HC89" s="124"/>
      <c r="HD89" s="124"/>
      <c r="HE89" s="124"/>
      <c r="HF89" s="124"/>
      <c r="HG89" s="124"/>
      <c r="HH89" s="124"/>
      <c r="HI89" s="124"/>
      <c r="HJ89" s="124"/>
      <c r="HK89" s="124"/>
      <c r="HL89" s="124"/>
      <c r="HM89" s="124"/>
      <c r="HN89" s="124"/>
      <c r="HO89" s="124"/>
      <c r="HP89" s="124"/>
      <c r="HQ89" s="124"/>
      <c r="HR89" s="124"/>
      <c r="HS89" s="124"/>
      <c r="HT89" s="124"/>
      <c r="HU89" s="124"/>
      <c r="HV89" s="124"/>
      <c r="HW89" s="124"/>
      <c r="HX89" s="124"/>
      <c r="HY89" s="124"/>
      <c r="HZ89" s="124"/>
      <c r="IA89" s="124"/>
      <c r="IB89" s="124"/>
      <c r="IC89" s="124"/>
      <c r="ID89" s="124"/>
      <c r="IE89" s="124"/>
      <c r="IF89" s="124"/>
      <c r="IG89" s="124"/>
      <c r="IH89" s="124"/>
      <c r="II89" s="124"/>
      <c r="IJ89" s="124"/>
      <c r="IK89" s="124"/>
      <c r="IL89" s="124"/>
      <c r="IM89" s="124"/>
      <c r="IN89" s="124"/>
      <c r="IO89" s="124"/>
      <c r="IP89" s="124"/>
      <c r="IQ89" s="124"/>
      <c r="IR89" s="124"/>
    </row>
    <row r="90" spans="1:252" ht="16.5" customHeight="1">
      <c r="A90" s="154"/>
      <c r="E90" s="429"/>
      <c r="F90" s="124" t="s">
        <v>4</v>
      </c>
      <c r="I90" s="156" t="str">
        <f t="shared" si="45"/>
        <v/>
      </c>
      <c r="J90" s="257"/>
      <c r="K90" s="257"/>
      <c r="L90" s="257"/>
      <c r="M90" s="257"/>
      <c r="N90" s="257"/>
      <c r="O90" s="257"/>
      <c r="P90" s="257"/>
      <c r="Q90" s="257"/>
      <c r="R90" s="257"/>
      <c r="S90" s="257"/>
      <c r="T90" s="257"/>
      <c r="U90" s="257"/>
      <c r="V90" s="257"/>
      <c r="W90" s="257"/>
      <c r="X90" s="257"/>
      <c r="Y90" s="257"/>
      <c r="Z90" s="257"/>
      <c r="AA90" s="257"/>
      <c r="AB90" s="257"/>
      <c r="AC90" s="257"/>
      <c r="AD90" s="257"/>
      <c r="AE90" s="257"/>
      <c r="AF90" s="257"/>
      <c r="AG90" s="257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  <c r="AR90" s="257"/>
      <c r="AS90" s="257"/>
      <c r="AT90" s="257"/>
      <c r="AU90" s="257"/>
      <c r="AV90" s="257"/>
      <c r="AW90" s="257"/>
      <c r="AX90" s="257"/>
      <c r="AY90" s="257"/>
      <c r="AZ90" s="257"/>
      <c r="BA90" s="257"/>
      <c r="BB90" s="257"/>
      <c r="BC90" s="257"/>
      <c r="BD90" s="257"/>
      <c r="BE90" s="257"/>
      <c r="BF90" s="257"/>
      <c r="BG90" s="279"/>
      <c r="BH90" s="257"/>
      <c r="BI90" s="257"/>
      <c r="BJ90" s="257"/>
      <c r="BK90" s="257"/>
      <c r="BL90" s="257"/>
      <c r="BM90" s="257"/>
      <c r="BN90" s="257"/>
      <c r="BO90" s="257"/>
      <c r="BP90" s="257"/>
      <c r="BQ90" s="257"/>
      <c r="BR90" s="257"/>
      <c r="BS90" s="257"/>
      <c r="BT90" s="257"/>
      <c r="BU90" s="257"/>
      <c r="BV90" s="257"/>
      <c r="BW90" s="257"/>
      <c r="BX90" s="257"/>
      <c r="BY90" s="257"/>
      <c r="BZ90" s="257"/>
      <c r="CA90" s="257"/>
      <c r="CB90" s="257"/>
      <c r="CC90" s="257"/>
      <c r="CD90" s="257"/>
      <c r="CE90" s="257"/>
      <c r="CF90" s="257"/>
      <c r="CG90" s="257"/>
      <c r="CH90" s="257"/>
      <c r="CI90" s="257"/>
      <c r="CJ90" s="257"/>
      <c r="CK90" s="257"/>
      <c r="CL90" s="257"/>
      <c r="CM90" s="257"/>
      <c r="CN90" s="257"/>
      <c r="CO90" s="257"/>
      <c r="CP90" s="257"/>
      <c r="CQ90" s="257"/>
      <c r="CR90" s="257"/>
      <c r="CS90" s="257"/>
      <c r="CT90" s="257"/>
      <c r="CU90" s="257"/>
      <c r="CV90" s="257"/>
      <c r="CW90" s="257"/>
      <c r="CX90" s="257"/>
      <c r="CY90" s="257"/>
      <c r="CZ90" s="257"/>
      <c r="DA90" s="257"/>
      <c r="DB90" s="257"/>
      <c r="DC90" s="257"/>
      <c r="DD90" s="257"/>
      <c r="DE90" s="257"/>
      <c r="DF90" s="257"/>
      <c r="DG90" s="257"/>
      <c r="DH90" s="257"/>
      <c r="DI90" s="257"/>
      <c r="DJ90" s="257"/>
      <c r="DK90" s="257"/>
      <c r="DL90" s="257"/>
      <c r="DM90" s="257"/>
      <c r="DN90" s="257"/>
      <c r="DO90" s="257"/>
      <c r="DP90" s="257"/>
      <c r="DQ90" s="257"/>
      <c r="DR90" s="257"/>
      <c r="DS90" s="257"/>
      <c r="DT90" s="257"/>
      <c r="DU90" s="257"/>
      <c r="DV90" s="257"/>
      <c r="DW90" s="257"/>
      <c r="DX90" s="257"/>
      <c r="DY90" s="257"/>
      <c r="DZ90" s="257"/>
      <c r="EA90" s="257"/>
      <c r="EB90" s="257"/>
      <c r="EC90" s="257"/>
      <c r="ED90" s="257"/>
      <c r="EE90" s="257"/>
      <c r="EF90" s="257"/>
      <c r="EG90" s="257"/>
      <c r="EH90" s="257"/>
      <c r="EI90" s="257"/>
      <c r="EJ90" s="257"/>
      <c r="EK90" s="257"/>
      <c r="EL90" s="257"/>
      <c r="EM90" s="257"/>
      <c r="EN90" s="257"/>
      <c r="EO90" s="257"/>
      <c r="EP90" s="257"/>
      <c r="EQ90" s="257"/>
      <c r="ER90" s="257"/>
      <c r="ES90" s="257"/>
      <c r="ET90" s="257"/>
      <c r="EU90" s="257"/>
      <c r="EV90" s="257"/>
      <c r="EW90" s="257"/>
      <c r="EX90" s="257"/>
      <c r="EY90" s="257"/>
      <c r="EZ90" s="257"/>
      <c r="FA90" s="257"/>
      <c r="FB90" s="257"/>
      <c r="FC90" s="257"/>
      <c r="FD90" s="257"/>
      <c r="FE90" s="257"/>
      <c r="FF90" s="257"/>
      <c r="FG90" s="257"/>
      <c r="FH90" s="257"/>
      <c r="FI90" s="257"/>
      <c r="FJ90" s="257"/>
      <c r="FK90" s="257"/>
      <c r="FL90" s="257"/>
      <c r="FM90" s="257"/>
      <c r="FN90" s="257"/>
      <c r="FO90" s="257"/>
      <c r="FP90" s="257"/>
      <c r="FQ90" s="257"/>
      <c r="FR90" s="257"/>
      <c r="FS90" s="257"/>
      <c r="FT90" s="257"/>
      <c r="FU90" s="257"/>
      <c r="FV90" s="257"/>
      <c r="FW90" s="257"/>
      <c r="FX90" s="257"/>
      <c r="FY90" s="257"/>
      <c r="FZ90" s="257"/>
      <c r="GA90" s="257"/>
      <c r="GB90" s="257"/>
      <c r="GC90" s="257"/>
      <c r="GD90" s="257"/>
      <c r="GE90" s="257"/>
      <c r="GF90" s="257"/>
      <c r="GG90" s="257"/>
      <c r="GH90" s="257"/>
      <c r="GI90" s="257"/>
      <c r="GJ90" s="257"/>
      <c r="GK90" s="257"/>
      <c r="GL90" s="257"/>
      <c r="GM90" s="257"/>
      <c r="GN90" s="257"/>
      <c r="GO90" s="257"/>
      <c r="GP90" s="257"/>
      <c r="GQ90" s="257"/>
      <c r="GR90" s="124"/>
      <c r="GS90" s="124"/>
      <c r="GT90" s="124"/>
      <c r="GU90" s="124"/>
      <c r="GV90" s="124"/>
      <c r="GW90" s="124"/>
      <c r="GX90" s="124"/>
      <c r="GY90" s="124"/>
      <c r="GZ90" s="124"/>
      <c r="HA90" s="124"/>
      <c r="HB90" s="124"/>
      <c r="HC90" s="124"/>
      <c r="HD90" s="124"/>
      <c r="HE90" s="124"/>
      <c r="HF90" s="124"/>
      <c r="HG90" s="124"/>
      <c r="HH90" s="124"/>
      <c r="HI90" s="124"/>
      <c r="HJ90" s="124"/>
      <c r="HK90" s="124"/>
      <c r="HL90" s="124"/>
      <c r="HM90" s="124"/>
      <c r="HN90" s="124"/>
      <c r="HO90" s="124"/>
      <c r="HP90" s="124"/>
      <c r="HQ90" s="124"/>
      <c r="HR90" s="124"/>
      <c r="HS90" s="124"/>
      <c r="HT90" s="124"/>
      <c r="HU90" s="124"/>
      <c r="HV90" s="124"/>
      <c r="HW90" s="124"/>
      <c r="HX90" s="124"/>
      <c r="HY90" s="124"/>
      <c r="HZ90" s="124"/>
      <c r="IA90" s="124"/>
      <c r="IB90" s="124"/>
      <c r="IC90" s="124"/>
      <c r="ID90" s="124"/>
      <c r="IE90" s="124"/>
      <c r="IF90" s="124"/>
      <c r="IG90" s="124"/>
      <c r="IH90" s="124"/>
      <c r="II90" s="124"/>
      <c r="IJ90" s="124"/>
      <c r="IK90" s="124"/>
      <c r="IL90" s="124"/>
      <c r="IM90" s="124"/>
      <c r="IN90" s="124"/>
      <c r="IO90" s="124"/>
      <c r="IP90" s="124"/>
      <c r="IQ90" s="124"/>
      <c r="IR90" s="124"/>
    </row>
    <row r="91" spans="1:252" ht="16.5" customHeight="1">
      <c r="A91" s="154"/>
      <c r="E91" s="429"/>
      <c r="F91" s="124" t="s">
        <v>5</v>
      </c>
      <c r="I91" s="156" t="str">
        <f t="shared" si="45"/>
        <v/>
      </c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57"/>
      <c r="AE91" s="257"/>
      <c r="AF91" s="257"/>
      <c r="AG91" s="257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  <c r="AR91" s="257"/>
      <c r="AS91" s="257"/>
      <c r="AT91" s="257"/>
      <c r="AU91" s="257"/>
      <c r="AV91" s="257"/>
      <c r="AW91" s="257"/>
      <c r="AX91" s="257"/>
      <c r="AY91" s="257"/>
      <c r="AZ91" s="257"/>
      <c r="BA91" s="257"/>
      <c r="BB91" s="257"/>
      <c r="BC91" s="257"/>
      <c r="BD91" s="257"/>
      <c r="BE91" s="257"/>
      <c r="BF91" s="257"/>
      <c r="BG91" s="279"/>
      <c r="BH91" s="257"/>
      <c r="BI91" s="257"/>
      <c r="BJ91" s="257"/>
      <c r="BK91" s="257"/>
      <c r="BL91" s="257"/>
      <c r="BM91" s="257"/>
      <c r="BN91" s="257"/>
      <c r="BO91" s="257"/>
      <c r="BP91" s="257"/>
      <c r="BQ91" s="257"/>
      <c r="BR91" s="257"/>
      <c r="BS91" s="257"/>
      <c r="BT91" s="257"/>
      <c r="BU91" s="257"/>
      <c r="BV91" s="257"/>
      <c r="BW91" s="257"/>
      <c r="BX91" s="257"/>
      <c r="BY91" s="257"/>
      <c r="BZ91" s="257"/>
      <c r="CA91" s="257"/>
      <c r="CB91" s="257"/>
      <c r="CC91" s="257"/>
      <c r="CD91" s="257"/>
      <c r="CE91" s="257"/>
      <c r="CF91" s="257"/>
      <c r="CG91" s="257"/>
      <c r="CH91" s="257"/>
      <c r="CI91" s="257"/>
      <c r="CJ91" s="257"/>
      <c r="CK91" s="257"/>
      <c r="CL91" s="257"/>
      <c r="CM91" s="257"/>
      <c r="CN91" s="257"/>
      <c r="CO91" s="257"/>
      <c r="CP91" s="257"/>
      <c r="CQ91" s="257"/>
      <c r="CR91" s="257"/>
      <c r="CS91" s="257"/>
      <c r="CT91" s="257"/>
      <c r="CU91" s="257"/>
      <c r="CV91" s="257"/>
      <c r="CW91" s="257"/>
      <c r="CX91" s="257"/>
      <c r="CY91" s="257"/>
      <c r="CZ91" s="257"/>
      <c r="DA91" s="257"/>
      <c r="DB91" s="257"/>
      <c r="DC91" s="257"/>
      <c r="DD91" s="257"/>
      <c r="DE91" s="257"/>
      <c r="DF91" s="257"/>
      <c r="DG91" s="257"/>
      <c r="DH91" s="257"/>
      <c r="DI91" s="257"/>
      <c r="DJ91" s="257"/>
      <c r="DK91" s="257"/>
      <c r="DL91" s="257"/>
      <c r="DM91" s="257"/>
      <c r="DN91" s="257"/>
      <c r="DO91" s="257"/>
      <c r="DP91" s="257"/>
      <c r="DQ91" s="257"/>
      <c r="DR91" s="257"/>
      <c r="DS91" s="257"/>
      <c r="DT91" s="257"/>
      <c r="DU91" s="257"/>
      <c r="DV91" s="257"/>
      <c r="DW91" s="257"/>
      <c r="DX91" s="257"/>
      <c r="DY91" s="257"/>
      <c r="DZ91" s="257"/>
      <c r="EA91" s="257"/>
      <c r="EB91" s="257"/>
      <c r="EC91" s="257"/>
      <c r="ED91" s="257"/>
      <c r="EE91" s="257"/>
      <c r="EF91" s="257"/>
      <c r="EG91" s="257"/>
      <c r="EH91" s="257"/>
      <c r="EI91" s="257"/>
      <c r="EJ91" s="257"/>
      <c r="EK91" s="257"/>
      <c r="EL91" s="257"/>
      <c r="EM91" s="257"/>
      <c r="EN91" s="257"/>
      <c r="EO91" s="257"/>
      <c r="EP91" s="257"/>
      <c r="EQ91" s="257"/>
      <c r="ER91" s="257"/>
      <c r="ES91" s="257"/>
      <c r="ET91" s="257"/>
      <c r="EU91" s="257"/>
      <c r="EV91" s="257"/>
      <c r="EW91" s="257"/>
      <c r="EX91" s="257"/>
      <c r="EY91" s="257"/>
      <c r="EZ91" s="257"/>
      <c r="FA91" s="257"/>
      <c r="FB91" s="257"/>
      <c r="FC91" s="257"/>
      <c r="FD91" s="257"/>
      <c r="FE91" s="257"/>
      <c r="FF91" s="257"/>
      <c r="FG91" s="257"/>
      <c r="FH91" s="257"/>
      <c r="FI91" s="257"/>
      <c r="FJ91" s="257"/>
      <c r="FK91" s="257"/>
      <c r="FL91" s="257"/>
      <c r="FM91" s="257"/>
      <c r="FN91" s="257"/>
      <c r="FO91" s="257"/>
      <c r="FP91" s="257"/>
      <c r="FQ91" s="257"/>
      <c r="FR91" s="257"/>
      <c r="FS91" s="257"/>
      <c r="FT91" s="257"/>
      <c r="FU91" s="257"/>
      <c r="FV91" s="257"/>
      <c r="FW91" s="257"/>
      <c r="FX91" s="257"/>
      <c r="FY91" s="257"/>
      <c r="FZ91" s="257"/>
      <c r="GA91" s="257"/>
      <c r="GB91" s="257"/>
      <c r="GC91" s="257"/>
      <c r="GD91" s="257"/>
      <c r="GE91" s="257"/>
      <c r="GF91" s="257"/>
      <c r="GG91" s="257"/>
      <c r="GH91" s="257"/>
      <c r="GI91" s="257"/>
      <c r="GJ91" s="257"/>
      <c r="GK91" s="257"/>
      <c r="GL91" s="257"/>
      <c r="GM91" s="257"/>
      <c r="GN91" s="257"/>
      <c r="GO91" s="257"/>
      <c r="GP91" s="257"/>
      <c r="GQ91" s="257"/>
      <c r="GR91" s="124"/>
      <c r="GS91" s="124"/>
      <c r="GT91" s="124"/>
      <c r="GU91" s="124"/>
      <c r="GV91" s="124"/>
      <c r="GW91" s="124"/>
      <c r="GX91" s="124"/>
      <c r="GY91" s="124"/>
      <c r="GZ91" s="124"/>
      <c r="HA91" s="124"/>
      <c r="HB91" s="124"/>
      <c r="HC91" s="124"/>
      <c r="HD91" s="124"/>
      <c r="HE91" s="124"/>
      <c r="HF91" s="124"/>
      <c r="HG91" s="124"/>
      <c r="HH91" s="124"/>
      <c r="HI91" s="124"/>
      <c r="HJ91" s="124"/>
      <c r="HK91" s="124"/>
      <c r="HL91" s="124"/>
      <c r="HM91" s="124"/>
      <c r="HN91" s="124"/>
      <c r="HO91" s="124"/>
      <c r="HP91" s="124"/>
      <c r="HQ91" s="124"/>
      <c r="HR91" s="124"/>
      <c r="HS91" s="124"/>
      <c r="HT91" s="124"/>
      <c r="HU91" s="124"/>
      <c r="HV91" s="124"/>
      <c r="HW91" s="124"/>
      <c r="HX91" s="124"/>
      <c r="HY91" s="124"/>
      <c r="HZ91" s="124"/>
      <c r="IA91" s="124"/>
      <c r="IB91" s="124"/>
      <c r="IC91" s="124"/>
      <c r="ID91" s="124"/>
      <c r="IE91" s="124"/>
      <c r="IF91" s="124"/>
      <c r="IG91" s="124"/>
      <c r="IH91" s="124"/>
      <c r="II91" s="124"/>
      <c r="IJ91" s="124"/>
      <c r="IK91" s="124"/>
      <c r="IL91" s="124"/>
      <c r="IM91" s="124"/>
      <c r="IN91" s="124"/>
      <c r="IO91" s="124"/>
      <c r="IP91" s="124"/>
      <c r="IQ91" s="124"/>
      <c r="IR91" s="124"/>
    </row>
    <row r="92" spans="1:252" ht="16.5" customHeight="1">
      <c r="A92" s="154"/>
      <c r="E92" s="429"/>
      <c r="F92" s="124" t="s">
        <v>6</v>
      </c>
      <c r="I92" s="156" t="str">
        <f t="shared" si="45"/>
        <v/>
      </c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7"/>
      <c r="AA92" s="257"/>
      <c r="AB92" s="257"/>
      <c r="AC92" s="257"/>
      <c r="AD92" s="257"/>
      <c r="AE92" s="257"/>
      <c r="AF92" s="257"/>
      <c r="AG92" s="257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  <c r="AR92" s="257"/>
      <c r="AS92" s="257"/>
      <c r="AT92" s="257"/>
      <c r="AU92" s="257"/>
      <c r="AV92" s="257"/>
      <c r="AW92" s="257"/>
      <c r="AX92" s="257"/>
      <c r="AY92" s="257"/>
      <c r="AZ92" s="257"/>
      <c r="BA92" s="257"/>
      <c r="BB92" s="257"/>
      <c r="BC92" s="257"/>
      <c r="BD92" s="257"/>
      <c r="BE92" s="257"/>
      <c r="BF92" s="257"/>
      <c r="BG92" s="279"/>
      <c r="BH92" s="257"/>
      <c r="BI92" s="257"/>
      <c r="BJ92" s="257"/>
      <c r="BK92" s="257"/>
      <c r="BL92" s="257"/>
      <c r="BM92" s="257"/>
      <c r="BN92" s="257"/>
      <c r="BO92" s="257"/>
      <c r="BP92" s="257"/>
      <c r="BQ92" s="257"/>
      <c r="BR92" s="257"/>
      <c r="BS92" s="257"/>
      <c r="BT92" s="257"/>
      <c r="BU92" s="257"/>
      <c r="BV92" s="257"/>
      <c r="BW92" s="257"/>
      <c r="BX92" s="257"/>
      <c r="BY92" s="257"/>
      <c r="BZ92" s="257"/>
      <c r="CA92" s="257"/>
      <c r="CB92" s="257"/>
      <c r="CC92" s="257"/>
      <c r="CD92" s="257"/>
      <c r="CE92" s="257"/>
      <c r="CF92" s="257"/>
      <c r="CG92" s="257"/>
      <c r="CH92" s="257"/>
      <c r="CI92" s="257"/>
      <c r="CJ92" s="257"/>
      <c r="CK92" s="257"/>
      <c r="CL92" s="257"/>
      <c r="CM92" s="257"/>
      <c r="CN92" s="257"/>
      <c r="CO92" s="257"/>
      <c r="CP92" s="257"/>
      <c r="CQ92" s="257"/>
      <c r="CR92" s="257"/>
      <c r="CS92" s="257"/>
      <c r="CT92" s="257"/>
      <c r="CU92" s="257"/>
      <c r="CV92" s="257"/>
      <c r="CW92" s="257"/>
      <c r="CX92" s="257"/>
      <c r="CY92" s="257"/>
      <c r="CZ92" s="257"/>
      <c r="DA92" s="257"/>
      <c r="DB92" s="257"/>
      <c r="DC92" s="257"/>
      <c r="DD92" s="257"/>
      <c r="DE92" s="257"/>
      <c r="DF92" s="257"/>
      <c r="DG92" s="257"/>
      <c r="DH92" s="257"/>
      <c r="DI92" s="257"/>
      <c r="DJ92" s="257"/>
      <c r="DK92" s="257"/>
      <c r="DL92" s="257"/>
      <c r="DM92" s="257"/>
      <c r="DN92" s="257"/>
      <c r="DO92" s="257"/>
      <c r="DP92" s="257"/>
      <c r="DQ92" s="257"/>
      <c r="DR92" s="257"/>
      <c r="DS92" s="257"/>
      <c r="DT92" s="257"/>
      <c r="DU92" s="257"/>
      <c r="DV92" s="257"/>
      <c r="DW92" s="257"/>
      <c r="DX92" s="257"/>
      <c r="DY92" s="257"/>
      <c r="DZ92" s="257"/>
      <c r="EA92" s="257"/>
      <c r="EB92" s="257"/>
      <c r="EC92" s="257"/>
      <c r="ED92" s="257"/>
      <c r="EE92" s="257"/>
      <c r="EF92" s="257"/>
      <c r="EG92" s="257"/>
      <c r="EH92" s="257"/>
      <c r="EI92" s="257"/>
      <c r="EJ92" s="257"/>
      <c r="EK92" s="257"/>
      <c r="EL92" s="257"/>
      <c r="EM92" s="257"/>
      <c r="EN92" s="257"/>
      <c r="EO92" s="257"/>
      <c r="EP92" s="257"/>
      <c r="EQ92" s="257"/>
      <c r="ER92" s="257"/>
      <c r="ES92" s="257"/>
      <c r="ET92" s="257"/>
      <c r="EU92" s="257"/>
      <c r="EV92" s="257"/>
      <c r="EW92" s="257"/>
      <c r="EX92" s="257"/>
      <c r="EY92" s="257"/>
      <c r="EZ92" s="257"/>
      <c r="FA92" s="257"/>
      <c r="FB92" s="257"/>
      <c r="FC92" s="257"/>
      <c r="FD92" s="257"/>
      <c r="FE92" s="257"/>
      <c r="FF92" s="257"/>
      <c r="FG92" s="257"/>
      <c r="FH92" s="257"/>
      <c r="FI92" s="257"/>
      <c r="FJ92" s="257"/>
      <c r="FK92" s="257"/>
      <c r="FL92" s="257"/>
      <c r="FM92" s="257"/>
      <c r="FN92" s="257"/>
      <c r="FO92" s="257"/>
      <c r="FP92" s="257"/>
      <c r="FQ92" s="257"/>
      <c r="FR92" s="257"/>
      <c r="FS92" s="257"/>
      <c r="FT92" s="257"/>
      <c r="FU92" s="257"/>
      <c r="FV92" s="257"/>
      <c r="FW92" s="257"/>
      <c r="FX92" s="257"/>
      <c r="FY92" s="257"/>
      <c r="FZ92" s="257"/>
      <c r="GA92" s="257"/>
      <c r="GB92" s="257"/>
      <c r="GC92" s="257"/>
      <c r="GD92" s="257"/>
      <c r="GE92" s="257"/>
      <c r="GF92" s="257"/>
      <c r="GG92" s="257"/>
      <c r="GH92" s="257"/>
      <c r="GI92" s="257"/>
      <c r="GJ92" s="257"/>
      <c r="GK92" s="257"/>
      <c r="GL92" s="257"/>
      <c r="GM92" s="257"/>
      <c r="GN92" s="257"/>
      <c r="GO92" s="257"/>
      <c r="GP92" s="257"/>
      <c r="GQ92" s="257"/>
      <c r="GR92" s="124"/>
      <c r="GS92" s="124"/>
      <c r="GT92" s="124"/>
      <c r="GU92" s="124"/>
      <c r="GV92" s="124"/>
      <c r="GW92" s="124"/>
      <c r="GX92" s="124"/>
      <c r="GY92" s="124"/>
      <c r="GZ92" s="124"/>
      <c r="HA92" s="124"/>
      <c r="HB92" s="124"/>
      <c r="HC92" s="124"/>
      <c r="HD92" s="124"/>
      <c r="HE92" s="124"/>
      <c r="HF92" s="124"/>
      <c r="HG92" s="124"/>
      <c r="HH92" s="124"/>
      <c r="HI92" s="124"/>
      <c r="HJ92" s="124"/>
      <c r="HK92" s="124"/>
      <c r="HL92" s="124"/>
      <c r="HM92" s="124"/>
      <c r="HN92" s="124"/>
      <c r="HO92" s="124"/>
      <c r="HP92" s="124"/>
      <c r="HQ92" s="124"/>
      <c r="HR92" s="124"/>
      <c r="HS92" s="124"/>
      <c r="HT92" s="124"/>
      <c r="HU92" s="124"/>
      <c r="HV92" s="124"/>
      <c r="HW92" s="124"/>
      <c r="HX92" s="124"/>
      <c r="HY92" s="124"/>
      <c r="HZ92" s="124"/>
      <c r="IA92" s="124"/>
      <c r="IB92" s="124"/>
      <c r="IC92" s="124"/>
      <c r="ID92" s="124"/>
      <c r="IE92" s="124"/>
      <c r="IF92" s="124"/>
      <c r="IG92" s="124"/>
      <c r="IH92" s="124"/>
      <c r="II92" s="124"/>
      <c r="IJ92" s="124"/>
      <c r="IK92" s="124"/>
      <c r="IL92" s="124"/>
      <c r="IM92" s="124"/>
      <c r="IN92" s="124"/>
      <c r="IO92" s="124"/>
      <c r="IP92" s="124"/>
      <c r="IQ92" s="124"/>
      <c r="IR92" s="124"/>
    </row>
    <row r="93" spans="1:252" ht="17.45" customHeight="1" thickBot="1">
      <c r="A93" s="154"/>
      <c r="E93" s="430"/>
      <c r="F93" s="186" t="s">
        <v>7</v>
      </c>
      <c r="G93" s="187"/>
      <c r="H93" s="188"/>
      <c r="I93" s="156" t="str">
        <f t="shared" si="45"/>
        <v/>
      </c>
      <c r="J93" s="257"/>
      <c r="K93" s="257"/>
      <c r="L93" s="257"/>
      <c r="M93" s="257"/>
      <c r="N93" s="257"/>
      <c r="O93" s="257"/>
      <c r="P93" s="257"/>
      <c r="Q93" s="257"/>
      <c r="R93" s="257"/>
      <c r="S93" s="257"/>
      <c r="T93" s="257"/>
      <c r="U93" s="257"/>
      <c r="V93" s="257"/>
      <c r="W93" s="257"/>
      <c r="X93" s="257"/>
      <c r="Y93" s="257"/>
      <c r="Z93" s="257"/>
      <c r="AA93" s="257"/>
      <c r="AB93" s="257"/>
      <c r="AC93" s="257"/>
      <c r="AD93" s="257"/>
      <c r="AE93" s="257"/>
      <c r="AF93" s="257"/>
      <c r="AG93" s="257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  <c r="AR93" s="257"/>
      <c r="AS93" s="257"/>
      <c r="AT93" s="257"/>
      <c r="AU93" s="250"/>
      <c r="AV93" s="257"/>
      <c r="AW93" s="257"/>
      <c r="AX93" s="257"/>
      <c r="AY93" s="257"/>
      <c r="AZ93" s="257"/>
      <c r="BA93" s="257"/>
      <c r="BB93" s="257"/>
      <c r="BC93" s="257"/>
      <c r="BD93" s="257"/>
      <c r="BE93" s="257"/>
      <c r="BF93" s="257"/>
      <c r="BG93" s="279"/>
      <c r="BH93" s="257"/>
      <c r="BI93" s="257"/>
      <c r="BJ93" s="257"/>
      <c r="BK93" s="257"/>
      <c r="BL93" s="257"/>
      <c r="BM93" s="257"/>
      <c r="BN93" s="257"/>
      <c r="BO93" s="257"/>
      <c r="BP93" s="257"/>
      <c r="BQ93" s="257"/>
      <c r="BR93" s="257"/>
      <c r="BS93" s="257"/>
      <c r="BT93" s="257"/>
      <c r="BU93" s="257"/>
      <c r="BV93" s="257"/>
      <c r="BW93" s="257"/>
      <c r="BX93" s="257"/>
      <c r="BY93" s="257"/>
      <c r="BZ93" s="257"/>
      <c r="CA93" s="257"/>
      <c r="CB93" s="257"/>
      <c r="CC93" s="257"/>
      <c r="CD93" s="257"/>
      <c r="CE93" s="257"/>
      <c r="CF93" s="257"/>
      <c r="CG93" s="257"/>
      <c r="CH93" s="257"/>
      <c r="CI93" s="257"/>
      <c r="CJ93" s="257"/>
      <c r="CK93" s="257"/>
      <c r="CL93" s="257"/>
      <c r="CM93" s="257"/>
      <c r="CN93" s="257"/>
      <c r="CO93" s="257"/>
      <c r="CP93" s="257"/>
      <c r="CQ93" s="257"/>
      <c r="CR93" s="257"/>
      <c r="CS93" s="257"/>
      <c r="CT93" s="257"/>
      <c r="CU93" s="257"/>
      <c r="CV93" s="257"/>
      <c r="CW93" s="257"/>
      <c r="CX93" s="257"/>
      <c r="CY93" s="257"/>
      <c r="CZ93" s="257"/>
      <c r="DA93" s="257"/>
      <c r="DB93" s="257"/>
      <c r="DC93" s="257"/>
      <c r="DD93" s="257"/>
      <c r="DE93" s="257"/>
      <c r="DF93" s="257"/>
      <c r="DG93" s="257"/>
      <c r="DH93" s="257"/>
      <c r="DI93" s="257"/>
      <c r="DJ93" s="257"/>
      <c r="DK93" s="257"/>
      <c r="DL93" s="257"/>
      <c r="DM93" s="257"/>
      <c r="DN93" s="257"/>
      <c r="DO93" s="257"/>
      <c r="DP93" s="257"/>
      <c r="DQ93" s="257"/>
      <c r="DR93" s="257"/>
      <c r="DS93" s="257"/>
      <c r="DT93" s="257"/>
      <c r="DU93" s="257"/>
      <c r="DV93" s="257"/>
      <c r="DW93" s="257"/>
      <c r="DX93" s="257"/>
      <c r="DY93" s="257"/>
      <c r="DZ93" s="257"/>
      <c r="EA93" s="257"/>
      <c r="EB93" s="257"/>
      <c r="EC93" s="257"/>
      <c r="ED93" s="257"/>
      <c r="EE93" s="257"/>
      <c r="EF93" s="257"/>
      <c r="EG93" s="257"/>
      <c r="EH93" s="257"/>
      <c r="EI93" s="257"/>
      <c r="EJ93" s="257"/>
      <c r="EK93" s="257"/>
      <c r="EL93" s="257"/>
      <c r="EM93" s="257"/>
      <c r="EN93" s="257"/>
      <c r="EO93" s="257"/>
      <c r="EP93" s="257"/>
      <c r="EQ93" s="257"/>
      <c r="ER93" s="257"/>
      <c r="ES93" s="257"/>
      <c r="ET93" s="257"/>
      <c r="EU93" s="257"/>
      <c r="EV93" s="257"/>
      <c r="EW93" s="257"/>
      <c r="EX93" s="257"/>
      <c r="EY93" s="257"/>
      <c r="EZ93" s="257"/>
      <c r="FA93" s="257"/>
      <c r="FB93" s="257"/>
      <c r="FC93" s="257"/>
      <c r="FD93" s="257"/>
      <c r="FE93" s="257"/>
      <c r="FF93" s="257"/>
      <c r="FG93" s="257"/>
      <c r="FH93" s="257"/>
      <c r="FI93" s="257"/>
      <c r="FJ93" s="257"/>
      <c r="FK93" s="257"/>
      <c r="FL93" s="257"/>
      <c r="FM93" s="257"/>
      <c r="FN93" s="257"/>
      <c r="FO93" s="257"/>
      <c r="FP93" s="257"/>
      <c r="FQ93" s="257"/>
      <c r="FR93" s="257"/>
      <c r="FS93" s="257"/>
      <c r="FT93" s="257"/>
      <c r="FU93" s="257"/>
      <c r="FV93" s="257"/>
      <c r="FW93" s="257"/>
      <c r="FX93" s="257"/>
      <c r="FY93" s="257"/>
      <c r="FZ93" s="257"/>
      <c r="GA93" s="257"/>
      <c r="GB93" s="257"/>
      <c r="GC93" s="257"/>
      <c r="GD93" s="257"/>
      <c r="GE93" s="257"/>
      <c r="GF93" s="257"/>
      <c r="GG93" s="257"/>
      <c r="GH93" s="257"/>
      <c r="GI93" s="257"/>
      <c r="GJ93" s="257"/>
      <c r="GK93" s="257"/>
      <c r="GL93" s="257"/>
      <c r="GM93" s="257"/>
      <c r="GN93" s="257"/>
      <c r="GO93" s="257"/>
      <c r="GP93" s="257"/>
      <c r="GQ93" s="257"/>
      <c r="GR93" s="124"/>
      <c r="GS93" s="124"/>
      <c r="GT93" s="124"/>
      <c r="GU93" s="124"/>
      <c r="GV93" s="124"/>
      <c r="GW93" s="124"/>
      <c r="GX93" s="124"/>
      <c r="GY93" s="124"/>
      <c r="GZ93" s="124"/>
      <c r="HA93" s="124"/>
      <c r="HB93" s="124"/>
      <c r="HC93" s="124"/>
      <c r="HD93" s="124"/>
      <c r="HE93" s="124"/>
      <c r="HF93" s="124"/>
      <c r="HG93" s="124"/>
      <c r="HH93" s="124"/>
      <c r="HI93" s="124"/>
      <c r="HJ93" s="124"/>
      <c r="HK93" s="124"/>
      <c r="HL93" s="124"/>
      <c r="HM93" s="124"/>
      <c r="HN93" s="124"/>
      <c r="HO93" s="124"/>
      <c r="HP93" s="124"/>
      <c r="HQ93" s="124"/>
      <c r="HR93" s="124"/>
      <c r="HS93" s="124"/>
      <c r="HT93" s="124"/>
      <c r="HU93" s="124"/>
      <c r="HV93" s="124"/>
      <c r="HW93" s="124"/>
      <c r="HX93" s="124"/>
      <c r="HY93" s="124"/>
      <c r="HZ93" s="124"/>
      <c r="IA93" s="124"/>
      <c r="IB93" s="124"/>
      <c r="IC93" s="124"/>
      <c r="ID93" s="124"/>
      <c r="IE93" s="124"/>
      <c r="IF93" s="124"/>
      <c r="IG93" s="124"/>
      <c r="IH93" s="124"/>
      <c r="II93" s="124"/>
      <c r="IJ93" s="124"/>
      <c r="IK93" s="124"/>
      <c r="IL93" s="124"/>
      <c r="IM93" s="124"/>
      <c r="IN93" s="124"/>
      <c r="IO93" s="124"/>
      <c r="IP93" s="124"/>
      <c r="IQ93" s="124"/>
      <c r="IR93" s="124"/>
    </row>
    <row r="94" spans="1:252" ht="17.45" customHeight="1" thickBot="1">
      <c r="A94" s="154"/>
      <c r="E94" s="124"/>
      <c r="F94" s="124"/>
      <c r="I94" s="156" t="str">
        <f t="shared" si="45"/>
        <v/>
      </c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  <c r="AZ94" s="124"/>
      <c r="BA94" s="124"/>
      <c r="BB94" s="124"/>
      <c r="BC94" s="124"/>
      <c r="BD94" s="124"/>
      <c r="BE94" s="124"/>
      <c r="BF94" s="124"/>
      <c r="BG94" s="196"/>
      <c r="BH94" s="124"/>
      <c r="BI94" s="124"/>
      <c r="BJ94" s="124"/>
      <c r="BK94" s="124"/>
      <c r="BL94" s="124"/>
      <c r="BM94" s="124"/>
      <c r="BN94" s="124"/>
      <c r="BO94" s="124"/>
      <c r="BP94" s="124"/>
      <c r="BQ94" s="124"/>
      <c r="BR94" s="124"/>
      <c r="BS94" s="124"/>
      <c r="BT94" s="124"/>
      <c r="BU94" s="124"/>
      <c r="BV94" s="124"/>
      <c r="BW94" s="124"/>
      <c r="BX94" s="124"/>
      <c r="BY94" s="124"/>
      <c r="BZ94" s="124"/>
      <c r="CA94" s="124"/>
      <c r="CB94" s="124"/>
      <c r="CC94" s="124"/>
      <c r="CD94" s="124"/>
      <c r="CE94" s="124"/>
      <c r="CF94" s="124"/>
      <c r="CG94" s="124"/>
      <c r="CH94" s="124"/>
      <c r="CI94" s="124"/>
      <c r="CJ94" s="124"/>
      <c r="CK94" s="124"/>
      <c r="CL94" s="124"/>
      <c r="CM94" s="124"/>
      <c r="CN94" s="124"/>
      <c r="CO94" s="124"/>
      <c r="CP94" s="124"/>
      <c r="CQ94" s="124"/>
      <c r="CR94" s="124"/>
      <c r="CS94" s="124"/>
      <c r="CT94" s="124"/>
      <c r="CU94" s="124"/>
      <c r="CV94" s="124"/>
      <c r="CW94" s="124"/>
      <c r="CX94" s="124"/>
      <c r="CY94" s="124"/>
      <c r="CZ94" s="124"/>
      <c r="DA94" s="124"/>
      <c r="DB94" s="124"/>
      <c r="DC94" s="124"/>
      <c r="DD94" s="124"/>
      <c r="DE94" s="124"/>
      <c r="DF94" s="124"/>
      <c r="DG94" s="124"/>
      <c r="DH94" s="124"/>
      <c r="DI94" s="124"/>
      <c r="DJ94" s="124"/>
      <c r="DK94" s="124"/>
      <c r="DL94" s="124"/>
      <c r="DM94" s="124"/>
      <c r="DN94" s="124"/>
      <c r="DO94" s="124"/>
      <c r="DP94" s="124"/>
      <c r="DQ94" s="124"/>
      <c r="DR94" s="124"/>
      <c r="DS94" s="124"/>
      <c r="DT94" s="124"/>
      <c r="DU94" s="124"/>
      <c r="DV94" s="124"/>
      <c r="DW94" s="124"/>
      <c r="DX94" s="124"/>
      <c r="DY94" s="124"/>
      <c r="DZ94" s="124"/>
      <c r="EA94" s="124"/>
      <c r="EB94" s="124"/>
      <c r="EC94" s="124"/>
      <c r="ED94" s="124"/>
      <c r="EE94" s="124"/>
      <c r="EF94" s="124"/>
      <c r="EG94" s="124"/>
      <c r="EH94" s="124"/>
      <c r="EI94" s="124"/>
      <c r="EJ94" s="124"/>
      <c r="EK94" s="124"/>
      <c r="EL94" s="124"/>
      <c r="EM94" s="124"/>
      <c r="EN94" s="124"/>
      <c r="EO94" s="124"/>
      <c r="EP94" s="124"/>
      <c r="EQ94" s="124"/>
      <c r="ER94" s="124"/>
      <c r="ES94" s="124"/>
      <c r="ET94" s="124"/>
      <c r="EU94" s="124"/>
      <c r="EV94" s="124"/>
      <c r="EW94" s="124"/>
      <c r="EX94" s="124"/>
      <c r="EY94" s="124"/>
      <c r="EZ94" s="124"/>
      <c r="FA94" s="124"/>
      <c r="FB94" s="124"/>
      <c r="FC94" s="124"/>
      <c r="FD94" s="124"/>
      <c r="FE94" s="124"/>
      <c r="FF94" s="124"/>
      <c r="FG94" s="124"/>
      <c r="FH94" s="124"/>
      <c r="FI94" s="124"/>
      <c r="FJ94" s="124"/>
      <c r="FK94" s="124"/>
      <c r="FL94" s="124"/>
      <c r="FM94" s="124"/>
      <c r="FN94" s="124"/>
      <c r="FO94" s="124"/>
      <c r="FP94" s="124"/>
      <c r="FQ94" s="124"/>
      <c r="FR94" s="124"/>
      <c r="FS94" s="124"/>
      <c r="FT94" s="124"/>
      <c r="FU94" s="124"/>
      <c r="FV94" s="124"/>
      <c r="FW94" s="124"/>
      <c r="FX94" s="124"/>
      <c r="FY94" s="124"/>
      <c r="FZ94" s="124"/>
      <c r="GA94" s="124"/>
      <c r="GB94" s="124"/>
      <c r="GC94" s="124"/>
      <c r="GD94" s="124"/>
      <c r="GE94" s="124"/>
      <c r="GF94" s="124"/>
      <c r="GG94" s="124"/>
      <c r="GH94" s="124"/>
      <c r="GI94" s="124"/>
      <c r="GJ94" s="124"/>
      <c r="GK94" s="124"/>
      <c r="GL94" s="124"/>
      <c r="GM94" s="124"/>
      <c r="GN94" s="124"/>
      <c r="GO94" s="124"/>
      <c r="GP94" s="124"/>
      <c r="GQ94" s="124"/>
      <c r="GR94" s="124"/>
      <c r="GS94" s="124"/>
      <c r="GT94" s="124"/>
      <c r="GU94" s="124"/>
      <c r="GV94" s="124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  <c r="IG94" s="124"/>
      <c r="IH94" s="124"/>
      <c r="II94" s="124"/>
      <c r="IJ94" s="124"/>
      <c r="IK94" s="124"/>
      <c r="IL94" s="124"/>
      <c r="IM94" s="124"/>
      <c r="IN94" s="124"/>
      <c r="IO94" s="124"/>
      <c r="IP94" s="124"/>
      <c r="IQ94" s="124"/>
      <c r="IR94" s="124"/>
    </row>
    <row r="95" spans="1:252" ht="16.5" customHeight="1">
      <c r="A95" s="189"/>
      <c r="E95" s="428" t="s">
        <v>9</v>
      </c>
      <c r="F95" s="183" t="s">
        <v>2</v>
      </c>
      <c r="G95" s="184"/>
      <c r="H95" s="185"/>
      <c r="I95" s="156" t="str">
        <f t="shared" si="45"/>
        <v/>
      </c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124"/>
      <c r="V95" s="124"/>
      <c r="W95" s="124"/>
      <c r="X95" s="124"/>
      <c r="Y95" s="124"/>
      <c r="Z95" s="124"/>
      <c r="AA95" s="124"/>
      <c r="AB95" s="124"/>
      <c r="AC95" s="124"/>
      <c r="AD95" s="124"/>
      <c r="AE95" s="124"/>
      <c r="AG95" s="124"/>
      <c r="AH95" s="124"/>
      <c r="AI95" s="124"/>
      <c r="AJ95" s="124"/>
      <c r="AK95" s="124"/>
      <c r="AL95" s="124"/>
      <c r="AM95" s="124"/>
      <c r="AN95" s="124"/>
      <c r="AO95" s="124"/>
      <c r="AP95" s="124"/>
      <c r="AQ95" s="124"/>
      <c r="AR95" s="124"/>
      <c r="AS95" s="124"/>
      <c r="AT95" s="124"/>
      <c r="AU95" s="124"/>
      <c r="AY95" s="124"/>
      <c r="GG95" s="124"/>
      <c r="GH95" s="124"/>
      <c r="GI95" s="124"/>
      <c r="GJ95" s="124"/>
      <c r="GK95" s="124"/>
      <c r="GL95" s="124"/>
      <c r="GM95" s="124"/>
      <c r="GN95" s="124"/>
      <c r="GO95" s="124"/>
      <c r="GP95" s="124"/>
      <c r="GQ95" s="124"/>
      <c r="GR95" s="124"/>
      <c r="GS95" s="124"/>
      <c r="GT95" s="124"/>
      <c r="GU95" s="124"/>
      <c r="GV95" s="124"/>
      <c r="GW95" s="124"/>
      <c r="GX95" s="124"/>
      <c r="GY95" s="124"/>
      <c r="GZ95" s="124"/>
      <c r="HA95" s="124"/>
      <c r="HB95" s="124"/>
      <c r="HC95" s="124"/>
      <c r="HD95" s="124"/>
      <c r="HE95" s="124"/>
      <c r="HF95" s="124"/>
      <c r="HG95" s="124"/>
      <c r="HH95" s="124"/>
      <c r="HI95" s="124"/>
      <c r="HJ95" s="124"/>
      <c r="HK95" s="124"/>
      <c r="HL95" s="124"/>
      <c r="HM95" s="124"/>
      <c r="HN95" s="124"/>
      <c r="HO95" s="124"/>
      <c r="HP95" s="124"/>
      <c r="HQ95" s="124"/>
      <c r="HR95" s="124"/>
      <c r="HS95" s="124"/>
      <c r="HT95" s="124"/>
      <c r="HU95" s="124"/>
      <c r="HV95" s="124"/>
      <c r="HW95" s="124"/>
      <c r="HX95" s="124"/>
      <c r="HY95" s="124"/>
      <c r="HZ95" s="124"/>
      <c r="IA95" s="124"/>
      <c r="IB95" s="124"/>
      <c r="IC95" s="124"/>
      <c r="ID95" s="124"/>
      <c r="IE95" s="124"/>
      <c r="IF95" s="124"/>
      <c r="IG95" s="124"/>
      <c r="IH95" s="124"/>
      <c r="II95" s="124"/>
      <c r="IJ95" s="124"/>
      <c r="IK95" s="124"/>
      <c r="IL95" s="124"/>
      <c r="IM95" s="124"/>
      <c r="IN95" s="124"/>
      <c r="IO95" s="124"/>
      <c r="IP95" s="124"/>
      <c r="IQ95" s="124"/>
      <c r="IR95" s="124"/>
    </row>
    <row r="96" spans="1:252">
      <c r="A96" s="189"/>
      <c r="E96" s="429"/>
      <c r="F96" s="124" t="s">
        <v>3</v>
      </c>
      <c r="I96" s="156" t="str">
        <f t="shared" si="45"/>
        <v/>
      </c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124"/>
      <c r="V96" s="124"/>
      <c r="W96" s="124"/>
      <c r="X96" s="124"/>
      <c r="Y96" s="124"/>
      <c r="Z96" s="124"/>
      <c r="AA96" s="124"/>
      <c r="AB96" s="124"/>
      <c r="AC96" s="124"/>
      <c r="AD96" s="124"/>
      <c r="AE96" s="124"/>
      <c r="AF96" s="124"/>
      <c r="AG96" s="124"/>
      <c r="AH96" s="124"/>
      <c r="AI96" s="124"/>
      <c r="AJ96" s="124"/>
      <c r="AK96" s="124"/>
      <c r="AL96" s="124"/>
      <c r="AM96" s="124"/>
      <c r="AN96" s="124"/>
      <c r="AO96" s="124"/>
      <c r="AP96" s="124"/>
      <c r="AQ96" s="124"/>
      <c r="AR96" s="124"/>
      <c r="AS96" s="124"/>
      <c r="AT96" s="124"/>
      <c r="AU96" s="124"/>
      <c r="AV96" s="124"/>
      <c r="AW96" s="124"/>
      <c r="AX96" s="124"/>
      <c r="AY96" s="124"/>
      <c r="AZ96" s="124"/>
      <c r="BA96" s="124"/>
      <c r="BB96" s="124"/>
      <c r="BC96" s="124"/>
      <c r="BD96" s="124"/>
      <c r="BE96" s="124"/>
      <c r="BF96" s="124"/>
      <c r="BG96" s="196"/>
      <c r="BH96" s="124"/>
      <c r="BI96" s="124"/>
      <c r="BJ96" s="124"/>
      <c r="BK96" s="124"/>
      <c r="BL96" s="124"/>
      <c r="BM96" s="124"/>
      <c r="BN96" s="124"/>
      <c r="BO96" s="124"/>
      <c r="BP96" s="124"/>
      <c r="BQ96" s="124"/>
      <c r="BR96" s="124"/>
      <c r="BS96" s="124"/>
      <c r="BT96" s="124"/>
      <c r="BU96" s="124"/>
      <c r="BV96" s="124"/>
      <c r="BW96" s="124"/>
      <c r="BX96" s="124"/>
      <c r="BY96" s="124"/>
      <c r="BZ96" s="124"/>
      <c r="CA96" s="124"/>
      <c r="CB96" s="124"/>
      <c r="CC96" s="124"/>
      <c r="CD96" s="124"/>
      <c r="CE96" s="124"/>
      <c r="CF96" s="124"/>
      <c r="CG96" s="124"/>
      <c r="CH96" s="124"/>
      <c r="CI96" s="124"/>
      <c r="CJ96" s="124"/>
      <c r="CK96" s="124"/>
      <c r="CL96" s="124"/>
      <c r="CM96" s="124"/>
      <c r="CN96" s="124"/>
      <c r="CO96" s="124"/>
      <c r="CP96" s="124"/>
      <c r="CQ96" s="124"/>
      <c r="CR96" s="124"/>
      <c r="CS96" s="124"/>
      <c r="CT96" s="124"/>
      <c r="CU96" s="124"/>
      <c r="CV96" s="124"/>
      <c r="CW96" s="124"/>
      <c r="CX96" s="124"/>
      <c r="CY96" s="124"/>
      <c r="CZ96" s="124"/>
      <c r="DA96" s="124"/>
      <c r="DB96" s="124"/>
      <c r="DC96" s="124"/>
      <c r="DD96" s="124"/>
      <c r="DE96" s="124"/>
      <c r="DF96" s="124"/>
      <c r="DG96" s="124"/>
      <c r="DH96" s="124"/>
      <c r="DI96" s="124"/>
      <c r="DJ96" s="124"/>
      <c r="DK96" s="124"/>
      <c r="DL96" s="124"/>
      <c r="DM96" s="124"/>
      <c r="DN96" s="124"/>
      <c r="DO96" s="124"/>
      <c r="DP96" s="124"/>
      <c r="DQ96" s="124"/>
      <c r="DR96" s="124"/>
      <c r="DS96" s="124"/>
      <c r="DT96" s="124"/>
      <c r="DU96" s="124"/>
      <c r="DV96" s="124"/>
      <c r="DW96" s="124"/>
      <c r="DX96" s="124"/>
      <c r="DY96" s="124"/>
      <c r="DZ96" s="124"/>
      <c r="EA96" s="124"/>
      <c r="EB96" s="124"/>
      <c r="EC96" s="124"/>
      <c r="ED96" s="124"/>
      <c r="EE96" s="124"/>
      <c r="EF96" s="124"/>
      <c r="EG96" s="124"/>
      <c r="EH96" s="124"/>
      <c r="EI96" s="124"/>
      <c r="EJ96" s="124"/>
      <c r="EK96" s="124"/>
      <c r="EL96" s="124"/>
      <c r="EM96" s="124"/>
      <c r="EN96" s="124"/>
      <c r="EO96" s="124"/>
      <c r="EP96" s="124"/>
      <c r="EQ96" s="124"/>
      <c r="ER96" s="124"/>
      <c r="ES96" s="124"/>
      <c r="ET96" s="124"/>
      <c r="EU96" s="124"/>
      <c r="EV96" s="124"/>
      <c r="EW96" s="124"/>
      <c r="EX96" s="124"/>
      <c r="EY96" s="124"/>
      <c r="EZ96" s="124"/>
      <c r="FA96" s="124"/>
      <c r="FB96" s="124"/>
      <c r="FC96" s="124"/>
      <c r="FD96" s="124"/>
      <c r="FE96" s="124"/>
      <c r="FF96" s="124"/>
      <c r="FG96" s="124"/>
      <c r="FH96" s="124"/>
      <c r="FI96" s="124"/>
      <c r="FJ96" s="124"/>
      <c r="FK96" s="124"/>
      <c r="FL96" s="124"/>
      <c r="FM96" s="124"/>
      <c r="FN96" s="124"/>
      <c r="FO96" s="124"/>
      <c r="FP96" s="124"/>
      <c r="FQ96" s="124"/>
      <c r="FR96" s="124"/>
      <c r="FS96" s="124"/>
      <c r="FT96" s="124"/>
      <c r="FU96" s="124"/>
      <c r="FV96" s="124"/>
      <c r="FW96" s="124"/>
      <c r="FX96" s="124"/>
      <c r="FY96" s="124"/>
      <c r="FZ96" s="124"/>
      <c r="GA96" s="124"/>
      <c r="GB96" s="124"/>
      <c r="GC96" s="124"/>
      <c r="GD96" s="124"/>
      <c r="GE96" s="124"/>
      <c r="GF96" s="124"/>
      <c r="GG96" s="124"/>
      <c r="GH96" s="124"/>
      <c r="GI96" s="124"/>
      <c r="GJ96" s="124"/>
      <c r="GK96" s="124"/>
      <c r="GL96" s="124"/>
      <c r="GM96" s="124"/>
      <c r="GN96" s="124"/>
      <c r="GO96" s="124"/>
      <c r="GP96" s="124"/>
      <c r="GQ96" s="124"/>
      <c r="GR96" s="124"/>
      <c r="GS96" s="124"/>
      <c r="GT96" s="124"/>
      <c r="GU96" s="124"/>
      <c r="GV96" s="124"/>
      <c r="GW96" s="124"/>
      <c r="GX96" s="124"/>
      <c r="GY96" s="124"/>
      <c r="GZ96" s="124"/>
      <c r="HA96" s="124"/>
      <c r="HB96" s="124"/>
      <c r="HC96" s="124"/>
      <c r="HD96" s="124"/>
      <c r="HE96" s="124"/>
      <c r="HF96" s="124"/>
      <c r="HG96" s="124"/>
      <c r="HH96" s="124"/>
      <c r="HI96" s="124"/>
      <c r="HJ96" s="124"/>
      <c r="HK96" s="124"/>
      <c r="HL96" s="124"/>
      <c r="HM96" s="124"/>
      <c r="HN96" s="124"/>
      <c r="HO96" s="124"/>
      <c r="HP96" s="124"/>
      <c r="HQ96" s="124"/>
      <c r="HR96" s="124"/>
      <c r="HS96" s="124"/>
      <c r="HT96" s="124"/>
      <c r="HU96" s="124"/>
      <c r="HV96" s="124"/>
      <c r="HW96" s="124"/>
      <c r="HX96" s="124"/>
      <c r="HY96" s="124"/>
      <c r="HZ96" s="124"/>
      <c r="IA96" s="124"/>
      <c r="IB96" s="124"/>
      <c r="IC96" s="124"/>
      <c r="ID96" s="124"/>
      <c r="IE96" s="124"/>
      <c r="IF96" s="124"/>
      <c r="IG96" s="124"/>
      <c r="IH96" s="124"/>
      <c r="II96" s="124"/>
      <c r="IJ96" s="124"/>
      <c r="IK96" s="124"/>
      <c r="IL96" s="124"/>
      <c r="IM96" s="124"/>
      <c r="IN96" s="124"/>
      <c r="IO96" s="124"/>
      <c r="IP96" s="124"/>
      <c r="IQ96" s="124"/>
      <c r="IR96" s="124"/>
    </row>
    <row r="97" spans="1:252" ht="16.5" customHeight="1">
      <c r="A97" s="189"/>
      <c r="E97" s="429"/>
      <c r="F97" s="124" t="s">
        <v>4</v>
      </c>
      <c r="I97" s="156" t="str">
        <f t="shared" si="45"/>
        <v/>
      </c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124"/>
      <c r="V97" s="124"/>
      <c r="W97" s="124"/>
      <c r="X97" s="124"/>
      <c r="Y97" s="124"/>
      <c r="Z97" s="124"/>
      <c r="AA97" s="124"/>
      <c r="AB97" s="124"/>
      <c r="AC97" s="124"/>
      <c r="AD97" s="124"/>
      <c r="AE97" s="124"/>
      <c r="AF97" s="124"/>
      <c r="AG97" s="124"/>
      <c r="AH97" s="124"/>
      <c r="AI97" s="124"/>
      <c r="AJ97" s="124"/>
      <c r="AK97" s="124"/>
      <c r="AL97" s="124"/>
      <c r="AM97" s="124"/>
      <c r="AN97" s="124"/>
      <c r="AO97" s="124"/>
      <c r="AP97" s="124"/>
      <c r="AQ97" s="124"/>
      <c r="AR97" s="124"/>
      <c r="AS97" s="124"/>
      <c r="AT97" s="124"/>
      <c r="AU97" s="124"/>
      <c r="AV97" s="124"/>
      <c r="AW97" s="124"/>
      <c r="AX97" s="124"/>
      <c r="AY97" s="124"/>
      <c r="AZ97" s="124"/>
      <c r="BA97" s="124"/>
      <c r="BB97" s="124"/>
      <c r="BC97" s="124"/>
      <c r="BD97" s="124"/>
      <c r="BE97" s="124"/>
      <c r="BF97" s="124"/>
      <c r="BG97" s="196"/>
      <c r="BH97" s="124"/>
      <c r="BI97" s="124"/>
      <c r="BJ97" s="124"/>
      <c r="BK97" s="124"/>
      <c r="BL97" s="124"/>
      <c r="BM97" s="124"/>
      <c r="BN97" s="124"/>
      <c r="BO97" s="124"/>
      <c r="BP97" s="124"/>
      <c r="BQ97" s="124"/>
      <c r="BR97" s="124"/>
      <c r="BS97" s="124"/>
      <c r="BT97" s="124"/>
      <c r="BU97" s="124"/>
      <c r="BV97" s="124"/>
      <c r="BW97" s="124"/>
      <c r="BX97" s="124"/>
      <c r="BY97" s="124"/>
      <c r="BZ97" s="124"/>
      <c r="CA97" s="124"/>
      <c r="CB97" s="124"/>
      <c r="CC97" s="124"/>
      <c r="CD97" s="124"/>
      <c r="CE97" s="124"/>
      <c r="CF97" s="124"/>
      <c r="CG97" s="124"/>
      <c r="CH97" s="124"/>
      <c r="CI97" s="124"/>
      <c r="CJ97" s="124"/>
      <c r="CK97" s="124"/>
      <c r="CL97" s="124"/>
      <c r="CM97" s="124"/>
      <c r="CN97" s="124"/>
      <c r="CO97" s="124"/>
      <c r="CP97" s="124"/>
      <c r="CQ97" s="124"/>
      <c r="CR97" s="124"/>
      <c r="CS97" s="124"/>
      <c r="CT97" s="124"/>
      <c r="CU97" s="124"/>
      <c r="CV97" s="124"/>
      <c r="CW97" s="124"/>
      <c r="CX97" s="124"/>
      <c r="CY97" s="124"/>
      <c r="CZ97" s="124"/>
      <c r="DA97" s="124"/>
      <c r="DB97" s="124"/>
      <c r="DC97" s="124"/>
      <c r="DD97" s="124"/>
      <c r="DE97" s="124"/>
      <c r="DF97" s="124"/>
      <c r="DG97" s="124"/>
      <c r="DH97" s="124"/>
      <c r="DI97" s="124"/>
      <c r="DJ97" s="124"/>
      <c r="DK97" s="124"/>
      <c r="DL97" s="124"/>
      <c r="DM97" s="124"/>
      <c r="DN97" s="124"/>
      <c r="DO97" s="124"/>
      <c r="DP97" s="124"/>
      <c r="DQ97" s="124"/>
      <c r="DR97" s="124"/>
      <c r="DS97" s="124"/>
      <c r="DT97" s="124"/>
      <c r="DU97" s="124"/>
      <c r="DV97" s="124"/>
      <c r="DW97" s="124"/>
      <c r="DX97" s="124"/>
      <c r="DY97" s="124"/>
      <c r="DZ97" s="124"/>
      <c r="EA97" s="124"/>
      <c r="EB97" s="124"/>
      <c r="EC97" s="124"/>
      <c r="ED97" s="124"/>
      <c r="EE97" s="124"/>
      <c r="EF97" s="124"/>
      <c r="EG97" s="124"/>
      <c r="EH97" s="124"/>
      <c r="EI97" s="124"/>
      <c r="EJ97" s="124"/>
      <c r="EK97" s="124"/>
      <c r="EL97" s="124"/>
      <c r="EM97" s="124"/>
      <c r="EN97" s="124"/>
      <c r="EO97" s="124"/>
      <c r="EP97" s="124"/>
      <c r="EQ97" s="124"/>
      <c r="ER97" s="124"/>
      <c r="ES97" s="124"/>
      <c r="ET97" s="124"/>
      <c r="EU97" s="124"/>
      <c r="EV97" s="124"/>
      <c r="EW97" s="124"/>
      <c r="EX97" s="124"/>
      <c r="EY97" s="124"/>
      <c r="EZ97" s="124"/>
      <c r="FA97" s="124"/>
      <c r="FB97" s="124"/>
      <c r="FC97" s="124"/>
      <c r="FD97" s="124"/>
      <c r="FE97" s="124"/>
      <c r="FF97" s="124"/>
      <c r="FG97" s="124"/>
      <c r="FH97" s="124"/>
      <c r="FI97" s="124"/>
      <c r="FJ97" s="124"/>
      <c r="FK97" s="124"/>
      <c r="FL97" s="124"/>
      <c r="FM97" s="124"/>
      <c r="FN97" s="124"/>
      <c r="FO97" s="124"/>
      <c r="FP97" s="124"/>
      <c r="FQ97" s="124"/>
      <c r="FR97" s="124"/>
      <c r="FS97" s="124"/>
      <c r="FT97" s="124"/>
      <c r="FU97" s="124"/>
      <c r="FV97" s="124"/>
      <c r="FW97" s="124"/>
      <c r="FX97" s="124"/>
      <c r="FY97" s="124"/>
      <c r="FZ97" s="124"/>
      <c r="GA97" s="124"/>
      <c r="GB97" s="124"/>
      <c r="GC97" s="124"/>
      <c r="GD97" s="124"/>
      <c r="GE97" s="124"/>
      <c r="GF97" s="124"/>
      <c r="GG97" s="124"/>
      <c r="GH97" s="124"/>
      <c r="GI97" s="124"/>
      <c r="GJ97" s="124"/>
      <c r="GK97" s="124"/>
      <c r="GL97" s="124"/>
      <c r="GM97" s="124"/>
      <c r="GN97" s="124"/>
      <c r="GO97" s="124"/>
      <c r="GP97" s="124"/>
      <c r="GQ97" s="124"/>
      <c r="GR97" s="124"/>
      <c r="GS97" s="124"/>
      <c r="GT97" s="124"/>
      <c r="GU97" s="124"/>
      <c r="GV97" s="124"/>
      <c r="GW97" s="124"/>
      <c r="GX97" s="124"/>
      <c r="GY97" s="124"/>
      <c r="GZ97" s="124"/>
      <c r="HA97" s="124"/>
      <c r="HB97" s="124"/>
      <c r="HC97" s="124"/>
      <c r="HD97" s="124"/>
      <c r="HE97" s="124"/>
      <c r="HF97" s="124"/>
      <c r="HG97" s="124"/>
      <c r="HH97" s="124"/>
      <c r="HI97" s="124"/>
      <c r="HJ97" s="124"/>
      <c r="HK97" s="124"/>
      <c r="HL97" s="124"/>
      <c r="HM97" s="124"/>
      <c r="HN97" s="124"/>
      <c r="HO97" s="124"/>
      <c r="HP97" s="124"/>
      <c r="HQ97" s="124"/>
      <c r="HR97" s="124"/>
      <c r="HS97" s="124"/>
      <c r="HT97" s="124"/>
      <c r="HU97" s="124"/>
      <c r="HV97" s="124"/>
      <c r="HW97" s="124"/>
      <c r="HX97" s="124"/>
      <c r="HY97" s="124"/>
      <c r="HZ97" s="124"/>
      <c r="IA97" s="124"/>
      <c r="IB97" s="124"/>
      <c r="IC97" s="124"/>
      <c r="ID97" s="124"/>
      <c r="IE97" s="124"/>
      <c r="IF97" s="124"/>
      <c r="IG97" s="124"/>
      <c r="IH97" s="124"/>
      <c r="II97" s="124"/>
      <c r="IJ97" s="124"/>
      <c r="IK97" s="124"/>
      <c r="IL97" s="124"/>
      <c r="IM97" s="124"/>
      <c r="IN97" s="124"/>
      <c r="IO97" s="124"/>
      <c r="IP97" s="124"/>
      <c r="IQ97" s="124"/>
      <c r="IR97" s="124"/>
    </row>
    <row r="98" spans="1:252" ht="16.5" customHeight="1">
      <c r="A98" s="189"/>
      <c r="E98" s="429"/>
      <c r="F98" s="124" t="s">
        <v>5</v>
      </c>
      <c r="I98" s="156" t="str">
        <f t="shared" si="45"/>
        <v/>
      </c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124"/>
      <c r="V98" s="124"/>
      <c r="W98" s="124"/>
      <c r="X98" s="124"/>
      <c r="Y98" s="124"/>
      <c r="Z98" s="124"/>
      <c r="AA98" s="124"/>
      <c r="AB98" s="124"/>
      <c r="AC98" s="124"/>
      <c r="AD98" s="124"/>
      <c r="AE98" s="124"/>
      <c r="AF98" s="124"/>
      <c r="AG98" s="124"/>
      <c r="AH98" s="124"/>
      <c r="AI98" s="124"/>
      <c r="AJ98" s="124"/>
      <c r="AK98" s="124"/>
      <c r="AL98" s="124"/>
      <c r="AM98" s="124"/>
      <c r="AN98" s="124"/>
      <c r="AO98" s="124"/>
      <c r="AP98" s="124"/>
      <c r="AQ98" s="124"/>
      <c r="AR98" s="124"/>
      <c r="AS98" s="124"/>
      <c r="AT98" s="124"/>
      <c r="AU98" s="124"/>
      <c r="AV98" s="124"/>
      <c r="AW98" s="124"/>
      <c r="AX98" s="124"/>
      <c r="AY98" s="124"/>
      <c r="AZ98" s="124"/>
      <c r="BA98" s="124"/>
      <c r="BB98" s="124"/>
      <c r="BC98" s="124"/>
      <c r="BD98" s="124"/>
      <c r="BE98" s="124"/>
      <c r="BF98" s="124"/>
      <c r="BG98" s="196"/>
      <c r="BH98" s="124"/>
      <c r="BI98" s="124"/>
      <c r="BJ98" s="124"/>
      <c r="BK98" s="124"/>
      <c r="BL98" s="124"/>
      <c r="BM98" s="124"/>
      <c r="BN98" s="124"/>
      <c r="BO98" s="124"/>
      <c r="BP98" s="124"/>
      <c r="BQ98" s="124"/>
      <c r="BR98" s="124"/>
      <c r="BS98" s="124"/>
      <c r="BT98" s="124"/>
      <c r="BU98" s="124"/>
      <c r="BV98" s="124"/>
      <c r="BW98" s="124"/>
      <c r="BX98" s="124"/>
      <c r="BY98" s="124"/>
      <c r="BZ98" s="124"/>
      <c r="CA98" s="124"/>
      <c r="CB98" s="124"/>
      <c r="CC98" s="124"/>
      <c r="CD98" s="124"/>
      <c r="CE98" s="124"/>
      <c r="CF98" s="124"/>
      <c r="CG98" s="124"/>
      <c r="CH98" s="124"/>
      <c r="CI98" s="124"/>
      <c r="CJ98" s="124"/>
      <c r="CK98" s="124"/>
      <c r="CL98" s="124"/>
      <c r="CM98" s="124"/>
      <c r="CN98" s="124"/>
      <c r="CO98" s="124"/>
      <c r="CP98" s="124"/>
      <c r="CQ98" s="124"/>
      <c r="CR98" s="124"/>
      <c r="CS98" s="124"/>
      <c r="CT98" s="124"/>
      <c r="CU98" s="124"/>
      <c r="CV98" s="124"/>
      <c r="CW98" s="124"/>
      <c r="CX98" s="124"/>
      <c r="CY98" s="124"/>
      <c r="CZ98" s="124"/>
      <c r="DA98" s="124"/>
      <c r="DB98" s="124"/>
      <c r="DC98" s="124"/>
      <c r="DD98" s="124"/>
      <c r="DE98" s="124"/>
      <c r="DF98" s="124"/>
      <c r="DG98" s="124"/>
      <c r="DH98" s="124"/>
      <c r="DI98" s="124"/>
      <c r="DJ98" s="124"/>
      <c r="DK98" s="124"/>
      <c r="DL98" s="124"/>
      <c r="DM98" s="124"/>
      <c r="DN98" s="124"/>
      <c r="DO98" s="124"/>
      <c r="DP98" s="124"/>
      <c r="DQ98" s="124"/>
      <c r="DR98" s="124"/>
      <c r="DS98" s="124"/>
      <c r="DT98" s="124"/>
      <c r="DU98" s="124"/>
      <c r="DV98" s="124"/>
      <c r="DW98" s="124"/>
      <c r="DX98" s="124"/>
      <c r="DY98" s="124"/>
      <c r="DZ98" s="124"/>
      <c r="EA98" s="124"/>
      <c r="EB98" s="124"/>
      <c r="EC98" s="124"/>
      <c r="ED98" s="124"/>
      <c r="EE98" s="124"/>
      <c r="EF98" s="124"/>
      <c r="EG98" s="124"/>
      <c r="EH98" s="124"/>
      <c r="EI98" s="124"/>
      <c r="EJ98" s="124"/>
      <c r="EK98" s="124"/>
      <c r="EL98" s="124"/>
      <c r="EM98" s="124"/>
      <c r="EN98" s="124"/>
      <c r="EO98" s="124"/>
      <c r="EP98" s="124"/>
      <c r="EQ98" s="124"/>
      <c r="ER98" s="124"/>
      <c r="ES98" s="124"/>
      <c r="ET98" s="124"/>
      <c r="EU98" s="124"/>
      <c r="EV98" s="124"/>
      <c r="EW98" s="124"/>
      <c r="EX98" s="124"/>
      <c r="EY98" s="124"/>
      <c r="EZ98" s="124"/>
      <c r="FA98" s="124"/>
      <c r="FB98" s="124"/>
      <c r="FC98" s="124"/>
      <c r="FD98" s="124"/>
      <c r="FE98" s="124"/>
      <c r="FF98" s="124"/>
      <c r="FG98" s="124"/>
      <c r="FH98" s="124"/>
      <c r="FI98" s="124"/>
      <c r="FJ98" s="124"/>
      <c r="FK98" s="124"/>
      <c r="FL98" s="124"/>
      <c r="FM98" s="124"/>
      <c r="FN98" s="124"/>
      <c r="FO98" s="124"/>
      <c r="FP98" s="124"/>
      <c r="FQ98" s="124"/>
      <c r="FR98" s="124"/>
      <c r="FS98" s="124"/>
      <c r="FT98" s="124"/>
      <c r="FU98" s="124"/>
      <c r="FV98" s="124"/>
      <c r="FW98" s="124"/>
      <c r="FX98" s="124"/>
      <c r="FY98" s="124"/>
      <c r="FZ98" s="124"/>
      <c r="GA98" s="124"/>
      <c r="GB98" s="124"/>
      <c r="GC98" s="124"/>
      <c r="GD98" s="124"/>
      <c r="GE98" s="124"/>
      <c r="GF98" s="124"/>
      <c r="GG98" s="124"/>
      <c r="GH98" s="124"/>
      <c r="GI98" s="124"/>
      <c r="GJ98" s="124"/>
      <c r="GK98" s="124"/>
      <c r="GL98" s="124"/>
      <c r="GM98" s="124"/>
      <c r="GN98" s="124"/>
      <c r="GO98" s="124"/>
      <c r="GP98" s="124"/>
      <c r="GQ98" s="124"/>
      <c r="GR98" s="124"/>
      <c r="GS98" s="124"/>
      <c r="GT98" s="124"/>
      <c r="GU98" s="124"/>
      <c r="GV98" s="124"/>
      <c r="GW98" s="124"/>
      <c r="GX98" s="124"/>
      <c r="GY98" s="124"/>
      <c r="GZ98" s="124"/>
      <c r="HA98" s="124"/>
      <c r="HB98" s="124"/>
      <c r="HC98" s="124"/>
      <c r="HD98" s="124"/>
      <c r="HE98" s="124"/>
      <c r="HF98" s="124"/>
      <c r="HG98" s="124"/>
      <c r="HH98" s="124"/>
      <c r="HI98" s="124"/>
      <c r="HJ98" s="124"/>
      <c r="HK98" s="124"/>
      <c r="HL98" s="124"/>
      <c r="HM98" s="124"/>
      <c r="HN98" s="124"/>
      <c r="HO98" s="124"/>
      <c r="HP98" s="124"/>
      <c r="HQ98" s="124"/>
      <c r="HR98" s="124"/>
      <c r="HS98" s="124"/>
      <c r="HT98" s="124"/>
      <c r="HU98" s="124"/>
      <c r="HV98" s="124"/>
      <c r="HW98" s="124"/>
      <c r="HX98" s="124"/>
      <c r="HY98" s="124"/>
      <c r="HZ98" s="124"/>
      <c r="IA98" s="124"/>
      <c r="IB98" s="124"/>
      <c r="IC98" s="124"/>
      <c r="ID98" s="124"/>
      <c r="IE98" s="124"/>
      <c r="IF98" s="124"/>
      <c r="IG98" s="124"/>
      <c r="IH98" s="124"/>
      <c r="II98" s="124"/>
      <c r="IJ98" s="124"/>
      <c r="IK98" s="124"/>
      <c r="IL98" s="124"/>
      <c r="IM98" s="124"/>
      <c r="IN98" s="124"/>
      <c r="IO98" s="124"/>
      <c r="IP98" s="124"/>
      <c r="IQ98" s="124"/>
      <c r="IR98" s="124"/>
    </row>
    <row r="99" spans="1:252" ht="16.5" customHeight="1">
      <c r="A99" s="189"/>
      <c r="E99" s="429"/>
      <c r="F99" s="124" t="s">
        <v>6</v>
      </c>
      <c r="I99" s="156" t="str">
        <f t="shared" si="45"/>
        <v/>
      </c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G99" s="124"/>
      <c r="AH99" s="124"/>
      <c r="AI99" s="124"/>
      <c r="AJ99" s="124"/>
      <c r="AK99" s="124"/>
      <c r="AL99" s="124"/>
      <c r="AM99" s="124"/>
      <c r="AN99" s="124"/>
      <c r="AO99" s="124"/>
      <c r="AP99" s="124"/>
      <c r="AQ99" s="124"/>
      <c r="AR99" s="124"/>
      <c r="AS99" s="124"/>
      <c r="AT99" s="124"/>
      <c r="AU99" s="124"/>
      <c r="AV99" s="124"/>
      <c r="AW99" s="124"/>
      <c r="AX99" s="124"/>
      <c r="AY99" s="124"/>
      <c r="AZ99" s="124"/>
      <c r="BA99" s="124"/>
      <c r="BB99" s="124"/>
      <c r="BC99" s="124"/>
      <c r="BD99" s="124"/>
      <c r="BE99" s="124"/>
      <c r="BF99" s="124"/>
      <c r="BG99" s="196"/>
      <c r="BH99" s="124"/>
      <c r="BI99" s="124"/>
      <c r="BJ99" s="124"/>
      <c r="BK99" s="124"/>
      <c r="BL99" s="124"/>
      <c r="BM99" s="124"/>
      <c r="BN99" s="124"/>
      <c r="BO99" s="124"/>
      <c r="BP99" s="124"/>
      <c r="BQ99" s="124"/>
      <c r="BR99" s="124"/>
      <c r="BS99" s="124"/>
      <c r="BT99" s="124"/>
      <c r="BU99" s="124"/>
      <c r="BV99" s="124"/>
      <c r="BW99" s="124"/>
      <c r="BX99" s="124"/>
      <c r="BY99" s="124"/>
      <c r="BZ99" s="124"/>
      <c r="CA99" s="124"/>
      <c r="CB99" s="124"/>
      <c r="CC99" s="124"/>
      <c r="CD99" s="124"/>
      <c r="CE99" s="124"/>
      <c r="CF99" s="124"/>
      <c r="CG99" s="124"/>
      <c r="CH99" s="124"/>
      <c r="CI99" s="124"/>
      <c r="CJ99" s="124"/>
      <c r="CK99" s="124"/>
      <c r="CL99" s="124"/>
      <c r="CM99" s="124"/>
      <c r="CN99" s="124"/>
      <c r="CO99" s="124"/>
      <c r="CP99" s="124"/>
      <c r="CQ99" s="124"/>
      <c r="CR99" s="124"/>
      <c r="CS99" s="124"/>
      <c r="CT99" s="124"/>
      <c r="CU99" s="124"/>
      <c r="CV99" s="124"/>
      <c r="CW99" s="124"/>
      <c r="CX99" s="124"/>
      <c r="CY99" s="124"/>
      <c r="CZ99" s="124"/>
      <c r="DA99" s="124"/>
      <c r="DB99" s="124"/>
      <c r="DC99" s="124"/>
      <c r="DD99" s="124"/>
      <c r="DE99" s="124"/>
      <c r="DF99" s="124"/>
      <c r="DG99" s="124"/>
      <c r="DH99" s="124"/>
      <c r="DI99" s="124"/>
      <c r="DJ99" s="124"/>
      <c r="DK99" s="124"/>
      <c r="DL99" s="124"/>
      <c r="DM99" s="124"/>
      <c r="DN99" s="124"/>
      <c r="DO99" s="124"/>
      <c r="DP99" s="124"/>
      <c r="DQ99" s="124"/>
      <c r="DR99" s="124"/>
      <c r="DS99" s="124"/>
      <c r="DT99" s="124"/>
      <c r="DU99" s="124"/>
      <c r="DV99" s="124"/>
      <c r="DW99" s="124"/>
      <c r="DX99" s="124"/>
      <c r="DY99" s="124"/>
      <c r="DZ99" s="124"/>
      <c r="EA99" s="124"/>
      <c r="EB99" s="124"/>
      <c r="EC99" s="124"/>
      <c r="ED99" s="124"/>
      <c r="EE99" s="124"/>
      <c r="EF99" s="124"/>
      <c r="EG99" s="124"/>
      <c r="EH99" s="124"/>
      <c r="EI99" s="124"/>
      <c r="EJ99" s="124"/>
      <c r="EK99" s="124"/>
      <c r="EL99" s="124"/>
      <c r="EM99" s="124"/>
      <c r="EN99" s="124"/>
      <c r="EO99" s="124"/>
      <c r="EP99" s="124"/>
      <c r="EQ99" s="124"/>
      <c r="ER99" s="124"/>
      <c r="ES99" s="124"/>
      <c r="ET99" s="124"/>
      <c r="EU99" s="124"/>
      <c r="EV99" s="124"/>
      <c r="EW99" s="124"/>
      <c r="EX99" s="124"/>
      <c r="EY99" s="124"/>
      <c r="EZ99" s="124"/>
      <c r="FA99" s="124"/>
      <c r="FB99" s="124"/>
      <c r="FC99" s="124"/>
      <c r="FD99" s="124"/>
      <c r="FE99" s="124"/>
      <c r="FF99" s="124"/>
      <c r="FG99" s="124"/>
      <c r="FH99" s="124"/>
      <c r="FI99" s="124"/>
      <c r="FJ99" s="124"/>
      <c r="FK99" s="124"/>
      <c r="FL99" s="124"/>
      <c r="FM99" s="124"/>
      <c r="FN99" s="124"/>
      <c r="FO99" s="124"/>
      <c r="FP99" s="124"/>
      <c r="FQ99" s="124"/>
      <c r="FR99" s="124"/>
      <c r="FS99" s="124"/>
      <c r="FT99" s="124"/>
      <c r="FU99" s="124"/>
      <c r="FV99" s="124"/>
      <c r="FW99" s="124"/>
      <c r="FX99" s="124"/>
      <c r="FY99" s="124"/>
      <c r="FZ99" s="124"/>
      <c r="GA99" s="124"/>
      <c r="GB99" s="124"/>
      <c r="GC99" s="124"/>
      <c r="GD99" s="124"/>
      <c r="GE99" s="124"/>
      <c r="GF99" s="124"/>
      <c r="GG99" s="124"/>
      <c r="GH99" s="124"/>
      <c r="GI99" s="124"/>
      <c r="GJ99" s="124"/>
      <c r="GK99" s="124"/>
      <c r="GL99" s="124"/>
      <c r="GM99" s="124"/>
      <c r="GN99" s="124"/>
      <c r="GO99" s="124"/>
      <c r="GP99" s="124"/>
      <c r="GQ99" s="124"/>
      <c r="GR99" s="124"/>
      <c r="GS99" s="124"/>
      <c r="GT99" s="124"/>
      <c r="GU99" s="124"/>
      <c r="GV99" s="124"/>
      <c r="GW99" s="124"/>
      <c r="GX99" s="124"/>
      <c r="GY99" s="124"/>
      <c r="GZ99" s="124"/>
      <c r="HA99" s="124"/>
      <c r="HB99" s="124"/>
      <c r="HC99" s="124"/>
      <c r="HD99" s="124"/>
      <c r="HE99" s="124"/>
      <c r="HF99" s="124"/>
      <c r="HG99" s="124"/>
      <c r="HH99" s="124"/>
      <c r="HI99" s="124"/>
      <c r="HJ99" s="124"/>
      <c r="HK99" s="124"/>
      <c r="HL99" s="124"/>
      <c r="HM99" s="124"/>
      <c r="HN99" s="124"/>
      <c r="HO99" s="124"/>
      <c r="HP99" s="124"/>
      <c r="HQ99" s="124"/>
      <c r="HR99" s="124"/>
      <c r="HS99" s="124"/>
      <c r="HT99" s="124"/>
      <c r="HU99" s="124"/>
      <c r="HV99" s="124"/>
      <c r="HW99" s="124"/>
      <c r="HX99" s="124"/>
      <c r="HY99" s="124"/>
      <c r="HZ99" s="124"/>
      <c r="IA99" s="124"/>
      <c r="IB99" s="124"/>
      <c r="IC99" s="124"/>
      <c r="ID99" s="124"/>
      <c r="IE99" s="124"/>
      <c r="IF99" s="124"/>
      <c r="IG99" s="124"/>
      <c r="IH99" s="124"/>
      <c r="II99" s="124"/>
      <c r="IJ99" s="124"/>
      <c r="IK99" s="124"/>
      <c r="IL99" s="124"/>
      <c r="IM99" s="124"/>
      <c r="IN99" s="124"/>
      <c r="IO99" s="124"/>
      <c r="IP99" s="124"/>
      <c r="IQ99" s="124"/>
      <c r="IR99" s="124"/>
    </row>
    <row r="100" spans="1:252" ht="17.45" customHeight="1" thickBot="1">
      <c r="A100" s="189"/>
      <c r="E100" s="430"/>
      <c r="F100" s="186" t="s">
        <v>7</v>
      </c>
      <c r="G100" s="187"/>
      <c r="H100" s="188"/>
      <c r="I100" s="156" t="str">
        <f t="shared" si="45"/>
        <v/>
      </c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G100" s="124"/>
      <c r="AH100" s="124"/>
      <c r="AI100" s="124"/>
      <c r="AJ100" s="124"/>
      <c r="AK100" s="124"/>
      <c r="AL100" s="124"/>
      <c r="AM100" s="124"/>
      <c r="AN100" s="124"/>
      <c r="AO100" s="124"/>
      <c r="AP100" s="124"/>
      <c r="AQ100" s="124"/>
      <c r="AR100" s="124"/>
      <c r="AS100" s="124"/>
      <c r="AT100" s="124"/>
      <c r="AV100" s="124"/>
      <c r="AW100" s="124"/>
      <c r="AX100" s="124"/>
      <c r="AY100" s="124"/>
      <c r="AZ100" s="124"/>
      <c r="BA100" s="124"/>
      <c r="BB100" s="124"/>
      <c r="BC100" s="124"/>
      <c r="BD100" s="124"/>
      <c r="BE100" s="124"/>
      <c r="BF100" s="124"/>
      <c r="BG100" s="196"/>
      <c r="BH100" s="124"/>
      <c r="BI100" s="124"/>
      <c r="BJ100" s="124"/>
      <c r="BK100" s="124"/>
      <c r="BL100" s="124"/>
      <c r="BM100" s="124"/>
      <c r="BN100" s="124"/>
      <c r="BO100" s="124"/>
      <c r="BP100" s="124"/>
      <c r="BQ100" s="124"/>
      <c r="BR100" s="124"/>
      <c r="BS100" s="124"/>
      <c r="BT100" s="124"/>
      <c r="BU100" s="124"/>
      <c r="BV100" s="124"/>
      <c r="BW100" s="124"/>
      <c r="BX100" s="124"/>
      <c r="BY100" s="124"/>
      <c r="BZ100" s="124"/>
      <c r="CA100" s="124"/>
      <c r="CB100" s="124"/>
      <c r="CC100" s="124"/>
      <c r="CD100" s="124"/>
      <c r="CE100" s="124"/>
      <c r="CF100" s="124"/>
      <c r="CG100" s="124"/>
      <c r="CH100" s="124"/>
      <c r="CI100" s="124"/>
      <c r="CJ100" s="124"/>
      <c r="CK100" s="124"/>
      <c r="CL100" s="124"/>
      <c r="CM100" s="124"/>
      <c r="CN100" s="124"/>
      <c r="CO100" s="124"/>
      <c r="CP100" s="124"/>
      <c r="CQ100" s="124"/>
      <c r="CR100" s="124"/>
      <c r="CS100" s="124"/>
      <c r="CT100" s="124"/>
      <c r="CU100" s="124"/>
      <c r="CV100" s="124"/>
      <c r="CW100" s="124"/>
      <c r="CX100" s="124"/>
      <c r="CY100" s="124"/>
      <c r="CZ100" s="124"/>
      <c r="DA100" s="124"/>
      <c r="DB100" s="124"/>
      <c r="DC100" s="124"/>
      <c r="DD100" s="124"/>
      <c r="DE100" s="124"/>
      <c r="DF100" s="124"/>
      <c r="DG100" s="124"/>
      <c r="DH100" s="124"/>
      <c r="DI100" s="124"/>
      <c r="DJ100" s="124"/>
      <c r="DK100" s="124"/>
      <c r="DL100" s="124"/>
      <c r="DM100" s="124"/>
      <c r="DN100" s="124"/>
      <c r="DO100" s="124"/>
      <c r="DP100" s="124"/>
      <c r="DQ100" s="124"/>
      <c r="DR100" s="124"/>
      <c r="DS100" s="124"/>
      <c r="DT100" s="124"/>
      <c r="DU100" s="124"/>
      <c r="DV100" s="124"/>
      <c r="DW100" s="124"/>
      <c r="DX100" s="124"/>
      <c r="DY100" s="124"/>
      <c r="DZ100" s="124"/>
      <c r="EA100" s="124"/>
      <c r="EB100" s="124"/>
      <c r="EC100" s="124"/>
      <c r="ED100" s="124"/>
      <c r="EE100" s="124"/>
      <c r="EF100" s="124"/>
      <c r="EG100" s="124"/>
      <c r="EH100" s="124"/>
      <c r="EI100" s="124"/>
      <c r="EJ100" s="124"/>
      <c r="EK100" s="124"/>
      <c r="EL100" s="124"/>
      <c r="EM100" s="124"/>
      <c r="EN100" s="124"/>
      <c r="EO100" s="124"/>
      <c r="EP100" s="124"/>
      <c r="EQ100" s="124"/>
      <c r="ER100" s="124"/>
      <c r="ES100" s="124"/>
      <c r="ET100" s="124"/>
      <c r="EU100" s="124"/>
      <c r="EV100" s="124"/>
      <c r="EW100" s="124"/>
      <c r="EX100" s="124"/>
      <c r="EY100" s="124"/>
      <c r="EZ100" s="124"/>
      <c r="FA100" s="124"/>
      <c r="FB100" s="124"/>
      <c r="FC100" s="124"/>
      <c r="FD100" s="124"/>
      <c r="FE100" s="124"/>
      <c r="FF100" s="124"/>
      <c r="FG100" s="124"/>
      <c r="FH100" s="124"/>
      <c r="FI100" s="124"/>
      <c r="FJ100" s="124"/>
      <c r="FK100" s="124"/>
      <c r="FL100" s="124"/>
      <c r="FM100" s="124"/>
      <c r="FN100" s="124"/>
      <c r="FO100" s="124"/>
      <c r="FP100" s="124"/>
      <c r="FQ100" s="124"/>
      <c r="FR100" s="124"/>
      <c r="FS100" s="124"/>
      <c r="FT100" s="124"/>
      <c r="FU100" s="124"/>
      <c r="FV100" s="124"/>
      <c r="FW100" s="124"/>
      <c r="FX100" s="124"/>
      <c r="FY100" s="124"/>
      <c r="FZ100" s="124"/>
      <c r="GA100" s="124"/>
      <c r="GB100" s="124"/>
      <c r="GC100" s="124"/>
      <c r="GD100" s="124"/>
      <c r="GE100" s="124"/>
      <c r="GF100" s="124"/>
      <c r="GG100" s="124"/>
      <c r="GH100" s="124"/>
      <c r="GI100" s="124"/>
      <c r="GJ100" s="124"/>
      <c r="GK100" s="124"/>
      <c r="GL100" s="124"/>
      <c r="GM100" s="124"/>
      <c r="GN100" s="124"/>
      <c r="GO100" s="124"/>
      <c r="GP100" s="124"/>
      <c r="GQ100" s="124"/>
      <c r="GR100" s="124"/>
      <c r="GS100" s="124"/>
      <c r="GT100" s="124"/>
      <c r="GU100" s="124"/>
      <c r="GV100" s="124"/>
      <c r="GW100" s="124"/>
      <c r="GX100" s="124"/>
      <c r="GY100" s="124"/>
      <c r="GZ100" s="124"/>
      <c r="HA100" s="124"/>
      <c r="HB100" s="124"/>
      <c r="HC100" s="124"/>
      <c r="HD100" s="124"/>
      <c r="HE100" s="124"/>
      <c r="HF100" s="124"/>
      <c r="HG100" s="124"/>
      <c r="HH100" s="124"/>
      <c r="HI100" s="124"/>
      <c r="HJ100" s="124"/>
      <c r="HK100" s="124"/>
      <c r="HL100" s="124"/>
      <c r="HM100" s="124"/>
      <c r="HN100" s="124"/>
      <c r="HO100" s="124"/>
      <c r="HP100" s="124"/>
      <c r="HQ100" s="124"/>
      <c r="HR100" s="124"/>
      <c r="HS100" s="124"/>
      <c r="HT100" s="124"/>
      <c r="HU100" s="124"/>
      <c r="HV100" s="124"/>
      <c r="HW100" s="124"/>
      <c r="HX100" s="124"/>
      <c r="HY100" s="124"/>
      <c r="HZ100" s="124"/>
      <c r="IA100" s="124"/>
      <c r="IB100" s="124"/>
      <c r="IC100" s="124"/>
      <c r="ID100" s="124"/>
      <c r="IE100" s="124"/>
      <c r="IF100" s="124"/>
      <c r="IG100" s="124"/>
      <c r="IH100" s="124"/>
      <c r="II100" s="124"/>
      <c r="IJ100" s="124"/>
      <c r="IK100" s="124"/>
      <c r="IL100" s="124"/>
      <c r="IM100" s="124"/>
      <c r="IN100" s="124"/>
      <c r="IO100" s="124"/>
      <c r="IP100" s="124"/>
      <c r="IQ100" s="124"/>
      <c r="IR100" s="124"/>
    </row>
    <row r="101" spans="1:252" ht="15" customHeight="1">
      <c r="A101" s="189"/>
      <c r="I101" s="156" t="str">
        <f t="shared" si="45"/>
        <v/>
      </c>
    </row>
    <row r="102" spans="1:252">
      <c r="A102" s="189"/>
      <c r="I102" s="156" t="str">
        <f t="shared" si="45"/>
        <v/>
      </c>
    </row>
    <row r="103" spans="1:252">
      <c r="A103" s="154"/>
      <c r="I103" s="156" t="str">
        <f t="shared" si="45"/>
        <v/>
      </c>
    </row>
    <row r="104" spans="1:252" ht="16.5" customHeight="1">
      <c r="A104" s="154"/>
      <c r="I104" s="156" t="str">
        <f t="shared" si="45"/>
        <v/>
      </c>
    </row>
    <row r="105" spans="1:252" ht="16.5" customHeight="1">
      <c r="A105" s="154"/>
      <c r="E105" s="123">
        <v>484.46</v>
      </c>
      <c r="I105" s="156" t="str">
        <f t="shared" si="45"/>
        <v/>
      </c>
    </row>
    <row r="106" spans="1:252" ht="16.5" customHeight="1">
      <c r="A106" s="154"/>
      <c r="E106" s="123">
        <v>18.61</v>
      </c>
      <c r="I106" s="156" t="str">
        <f t="shared" si="45"/>
        <v/>
      </c>
    </row>
    <row r="107" spans="1:252" ht="16.5" customHeight="1">
      <c r="A107" s="154"/>
      <c r="E107" s="123">
        <v>75.680000000000007</v>
      </c>
      <c r="I107" s="156" t="str">
        <f t="shared" si="45"/>
        <v/>
      </c>
    </row>
    <row r="108" spans="1:252" ht="16.5" customHeight="1">
      <c r="A108" s="154"/>
      <c r="E108" s="123">
        <v>3485.5</v>
      </c>
      <c r="I108" s="156" t="str">
        <f t="shared" si="45"/>
        <v/>
      </c>
    </row>
    <row r="109" spans="1:252">
      <c r="A109" s="154"/>
      <c r="E109" s="123">
        <v>505</v>
      </c>
      <c r="I109" s="156" t="str">
        <f t="shared" si="45"/>
        <v/>
      </c>
    </row>
    <row r="110" spans="1:252">
      <c r="A110" s="154"/>
      <c r="E110" s="123">
        <v>7.2</v>
      </c>
      <c r="I110" s="156" t="str">
        <f t="shared" si="45"/>
        <v/>
      </c>
      <c r="K110" s="190"/>
    </row>
    <row r="111" spans="1:252" ht="16.5" customHeight="1">
      <c r="A111" s="154"/>
      <c r="E111" s="123">
        <v>104.8</v>
      </c>
      <c r="I111" s="156" t="str">
        <f t="shared" si="45"/>
        <v/>
      </c>
      <c r="K111" s="190"/>
    </row>
    <row r="112" spans="1:252" ht="16.5" customHeight="1">
      <c r="A112" s="154"/>
      <c r="E112" s="123">
        <v>16.2</v>
      </c>
      <c r="I112" s="156" t="str">
        <f t="shared" si="45"/>
        <v/>
      </c>
      <c r="K112" s="190"/>
    </row>
    <row r="113" spans="1:9">
      <c r="A113" s="154"/>
      <c r="E113" s="123">
        <v>52.5</v>
      </c>
      <c r="I113" s="156" t="str">
        <f t="shared" si="45"/>
        <v/>
      </c>
    </row>
    <row r="114" spans="1:9">
      <c r="E114" s="123">
        <v>9.5500000000000007</v>
      </c>
      <c r="I114" s="156" t="str">
        <f t="shared" si="45"/>
        <v/>
      </c>
    </row>
    <row r="115" spans="1:9">
      <c r="E115" s="123">
        <v>43</v>
      </c>
      <c r="I115" s="156" t="str">
        <f t="shared" si="45"/>
        <v/>
      </c>
    </row>
    <row r="116" spans="1:9">
      <c r="E116" s="123">
        <v>2</v>
      </c>
      <c r="I116" s="156" t="str">
        <f t="shared" si="45"/>
        <v/>
      </c>
    </row>
    <row r="117" spans="1:9">
      <c r="E117" s="123">
        <v>616.1</v>
      </c>
      <c r="I117" s="156" t="str">
        <f t="shared" si="45"/>
        <v/>
      </c>
    </row>
    <row r="118" spans="1:9">
      <c r="E118" s="123">
        <v>14.8</v>
      </c>
      <c r="I118" s="156" t="str">
        <f t="shared" si="45"/>
        <v/>
      </c>
    </row>
    <row r="119" spans="1:9">
      <c r="A119" s="128"/>
      <c r="E119" s="123">
        <v>1</v>
      </c>
      <c r="I119" s="156" t="str">
        <f t="shared" si="45"/>
        <v/>
      </c>
    </row>
    <row r="120" spans="1:9">
      <c r="A120" s="128"/>
      <c r="E120" s="123">
        <v>103.82</v>
      </c>
      <c r="I120" s="156" t="str">
        <f t="shared" si="45"/>
        <v/>
      </c>
    </row>
    <row r="121" spans="1:9">
      <c r="A121" s="128"/>
      <c r="E121" s="123">
        <v>661.91</v>
      </c>
      <c r="I121" s="156" t="str">
        <f t="shared" si="45"/>
        <v/>
      </c>
    </row>
    <row r="122" spans="1:9">
      <c r="A122" s="128"/>
      <c r="E122" s="123">
        <v>40.799999999999997</v>
      </c>
      <c r="I122" s="156" t="str">
        <f t="shared" si="45"/>
        <v/>
      </c>
    </row>
    <row r="123" spans="1:9">
      <c r="A123" s="128"/>
      <c r="E123" s="123">
        <v>918.69</v>
      </c>
      <c r="I123" s="156" t="str">
        <f t="shared" si="45"/>
        <v/>
      </c>
    </row>
    <row r="124" spans="1:9">
      <c r="A124" s="128"/>
      <c r="E124" s="123">
        <v>2</v>
      </c>
      <c r="I124" s="156" t="str">
        <f t="shared" si="45"/>
        <v/>
      </c>
    </row>
    <row r="125" spans="1:9">
      <c r="A125" s="128" t="str">
        <f>IF(I69="","",B69)</f>
        <v/>
      </c>
      <c r="E125" s="123">
        <v>4</v>
      </c>
      <c r="I125" s="156" t="str">
        <f t="shared" si="45"/>
        <v/>
      </c>
    </row>
    <row r="126" spans="1:9">
      <c r="A126" s="128" t="str">
        <f>IF(I70="","",B70)</f>
        <v/>
      </c>
      <c r="E126" s="123">
        <v>6</v>
      </c>
    </row>
    <row r="127" spans="1:9">
      <c r="A127" s="128" t="str">
        <f>IF(I71="","",B71)</f>
        <v/>
      </c>
      <c r="E127" s="123">
        <v>1</v>
      </c>
    </row>
    <row r="128" spans="1:9">
      <c r="A128" s="128" t="str">
        <f>IF(I72="","",B72)</f>
        <v/>
      </c>
      <c r="E128" s="123">
        <v>11.5</v>
      </c>
    </row>
    <row r="129" spans="1:5">
      <c r="A129" s="173"/>
      <c r="E129" s="123">
        <v>6</v>
      </c>
    </row>
    <row r="130" spans="1:5">
      <c r="A130" s="173"/>
      <c r="E130" s="123">
        <v>4</v>
      </c>
    </row>
    <row r="131" spans="1:5">
      <c r="A131" s="173"/>
      <c r="E131" s="123">
        <v>3</v>
      </c>
    </row>
    <row r="132" spans="1:5">
      <c r="E132" s="123">
        <v>17.5</v>
      </c>
    </row>
    <row r="133" spans="1:5">
      <c r="E133" s="123">
        <v>3</v>
      </c>
    </row>
    <row r="134" spans="1:5">
      <c r="E134" s="123">
        <v>1</v>
      </c>
    </row>
    <row r="135" spans="1:5">
      <c r="E135" s="123">
        <v>10</v>
      </c>
    </row>
    <row r="136" spans="1:5">
      <c r="E136" s="123">
        <v>27</v>
      </c>
    </row>
    <row r="137" spans="1:5">
      <c r="E137" s="123">
        <v>7</v>
      </c>
    </row>
    <row r="138" spans="1:5">
      <c r="E138" s="123">
        <v>0.7</v>
      </c>
    </row>
    <row r="139" spans="1:5">
      <c r="E139" s="123">
        <v>220</v>
      </c>
    </row>
    <row r="140" spans="1:5">
      <c r="E140" s="123">
        <v>21.5</v>
      </c>
    </row>
    <row r="141" spans="1:5">
      <c r="E141" s="123">
        <v>201.95</v>
      </c>
    </row>
    <row r="142" spans="1:5">
      <c r="E142" s="123">
        <v>296.19</v>
      </c>
    </row>
    <row r="143" spans="1:5">
      <c r="E143" s="123">
        <v>108.97</v>
      </c>
    </row>
  </sheetData>
  <autoFilter ref="A18:BG100" xr:uid="{00000000-0009-0000-0000-000004000000}"/>
  <mergeCells count="8">
    <mergeCell ref="E81:E86"/>
    <mergeCell ref="E88:E93"/>
    <mergeCell ref="E95:E100"/>
    <mergeCell ref="G1:I1"/>
    <mergeCell ref="G2:I2"/>
    <mergeCell ref="G3:I3"/>
    <mergeCell ref="G4:I4"/>
    <mergeCell ref="E16:E17"/>
  </mergeCells>
  <phoneticPr fontId="4" type="noConversion"/>
  <printOptions gridLines="1"/>
  <pageMargins left="0.39370078740157483" right="0.26" top="0.31496062992125984" bottom="0.15748031496062992" header="0.51181102362204722" footer="0.51181102362204722"/>
  <pageSetup paperSize="9" scale="68" orientation="portrait" blackAndWhite="1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002060"/>
  </sheetPr>
  <dimension ref="A1:DE175"/>
  <sheetViews>
    <sheetView tabSelected="1" view="pageBreakPreview" zoomScale="70" zoomScaleNormal="75" zoomScaleSheetLayoutView="70" workbookViewId="0">
      <selection activeCell="C3" sqref="C3"/>
    </sheetView>
  </sheetViews>
  <sheetFormatPr defaultRowHeight="16.5"/>
  <cols>
    <col min="1" max="1" width="12" style="74" customWidth="1"/>
    <col min="2" max="2" width="7.625" style="74" customWidth="1"/>
    <col min="3" max="3" width="5.5" style="74" customWidth="1"/>
    <col min="4" max="5" width="6.375" style="74" customWidth="1"/>
    <col min="6" max="6" width="10.375" style="74" customWidth="1"/>
    <col min="7" max="7" width="13.25" style="74" customWidth="1"/>
    <col min="8" max="8" width="12.625" style="74" customWidth="1"/>
    <col min="9" max="9" width="11.25" style="74" customWidth="1"/>
    <col min="10" max="10" width="16.125" style="74" customWidth="1"/>
    <col min="11" max="11" width="9.5" style="74" customWidth="1"/>
    <col min="12" max="12" width="12.375" style="74" customWidth="1"/>
    <col min="13" max="13" width="13.125" style="74" customWidth="1"/>
    <col min="14" max="14" width="13.375" customWidth="1"/>
  </cols>
  <sheetData>
    <row r="1" spans="1:14" ht="19.5">
      <c r="A1" s="317" t="s">
        <v>103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</row>
    <row r="2" spans="1:14" s="16" customFormat="1">
      <c r="A2" s="208" t="s">
        <v>104</v>
      </c>
      <c r="B2" s="201">
        <f>內容!I6</f>
        <v>32</v>
      </c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</row>
    <row r="3" spans="1:14" s="16" customFormat="1">
      <c r="A3" s="209" t="s">
        <v>114</v>
      </c>
      <c r="B3" s="210" t="s">
        <v>100</v>
      </c>
      <c r="C3" s="210" t="str">
        <f>IF(INDEX(內容!J59:HB59,,$B$2)=0,"雨天",IF(INDEX(內容!J59:HB59,,$B$2)=1,"晴天",IF(INDEX(內容!J59:HB59,,$B$2)=2,"陰天")))</f>
        <v>陰天</v>
      </c>
      <c r="D3" s="210" t="s">
        <v>115</v>
      </c>
      <c r="E3" s="210" t="str">
        <f>IF(INDEX(內容!J60:HB60,,$B$2)=0,"雨天",IF(INDEX(內容!J60:HB60,,$B$2)=1,"晴天",IF(INDEX(內容!J60:HB60,,$B$2)=2,"陰天")))</f>
        <v>陰天</v>
      </c>
      <c r="F3" s="210"/>
      <c r="G3" s="210"/>
      <c r="H3" s="210"/>
      <c r="I3" s="211"/>
      <c r="J3" s="300" t="s">
        <v>105</v>
      </c>
      <c r="K3" s="300"/>
      <c r="L3" s="335">
        <f>內容!I14</f>
        <v>46263</v>
      </c>
      <c r="M3" s="335"/>
      <c r="N3" s="212">
        <f>L3</f>
        <v>46263</v>
      </c>
    </row>
    <row r="4" spans="1:14" s="79" customFormat="1" ht="36.75" customHeight="1">
      <c r="A4" s="339" t="s">
        <v>113</v>
      </c>
      <c r="B4" s="340"/>
      <c r="C4" s="323" t="str">
        <f>內容!D6</f>
        <v>龍井國小114-116年公立國民中小學老舊廁所整修工程</v>
      </c>
      <c r="D4" s="323"/>
      <c r="E4" s="323"/>
      <c r="F4" s="323"/>
      <c r="G4" s="323"/>
      <c r="H4" s="323"/>
      <c r="I4" s="323"/>
      <c r="J4" s="321" t="s">
        <v>65</v>
      </c>
      <c r="K4" s="322"/>
      <c r="L4" s="336" t="str">
        <f>內容!C14</f>
        <v>銘佑營造有限公司</v>
      </c>
      <c r="M4" s="336"/>
      <c r="N4" s="337"/>
    </row>
    <row r="5" spans="1:14" s="79" customFormat="1" ht="26.45" customHeight="1">
      <c r="A5" s="202" t="s">
        <v>106</v>
      </c>
      <c r="B5" s="338">
        <f>內容!D7</f>
        <v>180</v>
      </c>
      <c r="C5" s="343"/>
      <c r="D5" s="341" t="s">
        <v>50</v>
      </c>
      <c r="E5" s="341"/>
      <c r="F5" s="342"/>
      <c r="G5" s="112" t="str">
        <f>內容!I7&amp;"天"</f>
        <v>32天</v>
      </c>
      <c r="H5" s="324" t="s">
        <v>66</v>
      </c>
      <c r="I5" s="320"/>
      <c r="J5" s="338" t="str">
        <f>內容!I8&amp;"天"</f>
        <v>148天</v>
      </c>
      <c r="K5" s="338"/>
      <c r="L5" s="324" t="s">
        <v>52</v>
      </c>
      <c r="M5" s="320"/>
      <c r="N5" s="203">
        <f>內容!I11</f>
        <v>0</v>
      </c>
    </row>
    <row r="6" spans="1:14" s="79" customFormat="1" ht="23.25" customHeight="1">
      <c r="A6" s="318" t="s">
        <v>107</v>
      </c>
      <c r="B6" s="319"/>
      <c r="C6" s="319"/>
      <c r="D6" s="319"/>
      <c r="E6" s="320"/>
      <c r="F6" s="325">
        <f>內容!J14</f>
        <v>46232</v>
      </c>
      <c r="G6" s="326"/>
      <c r="H6" s="324" t="s">
        <v>108</v>
      </c>
      <c r="I6" s="320"/>
      <c r="J6" s="329">
        <f>內容!I14+內容!I8</f>
        <v>46411</v>
      </c>
      <c r="K6" s="330"/>
      <c r="L6" s="120" t="s">
        <v>138</v>
      </c>
      <c r="M6" s="331" t="str">
        <f>"新台幣"&amp;NUMBERSTRING(內容!D8,2)&amp;"元整"</f>
        <v>新台幣參佰參拾參萬元整</v>
      </c>
      <c r="N6" s="332"/>
    </row>
    <row r="7" spans="1:14" s="79" customFormat="1" ht="20.25" customHeight="1">
      <c r="A7" s="318" t="s">
        <v>61</v>
      </c>
      <c r="B7" s="319"/>
      <c r="C7" s="319"/>
      <c r="D7" s="319"/>
      <c r="E7" s="320"/>
      <c r="F7" s="327" t="str">
        <f>內容!I13&amp;"%"</f>
        <v>9.87%</v>
      </c>
      <c r="G7" s="328"/>
      <c r="H7" s="324" t="s">
        <v>62</v>
      </c>
      <c r="I7" s="320"/>
      <c r="J7" s="329" t="str">
        <f>內容!I10&amp;"%"</f>
        <v>11.3%</v>
      </c>
      <c r="K7" s="330"/>
      <c r="L7" s="120"/>
      <c r="M7" s="333"/>
      <c r="N7" s="334"/>
    </row>
    <row r="8" spans="1:14" ht="19.5" customHeight="1">
      <c r="A8" s="304" t="s">
        <v>125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6"/>
    </row>
    <row r="9" spans="1:14" ht="25.5" customHeight="1">
      <c r="A9" s="311" t="s">
        <v>119</v>
      </c>
      <c r="B9" s="312"/>
      <c r="C9" s="312"/>
      <c r="D9" s="313"/>
      <c r="E9" s="13" t="s">
        <v>11</v>
      </c>
      <c r="F9" s="105" t="s">
        <v>133</v>
      </c>
      <c r="G9" s="104" t="s">
        <v>14</v>
      </c>
      <c r="H9" s="193" t="s">
        <v>55</v>
      </c>
      <c r="I9" s="307" t="s">
        <v>134</v>
      </c>
      <c r="J9" s="308"/>
      <c r="K9" s="107" t="s">
        <v>11</v>
      </c>
      <c r="L9" s="100" t="s">
        <v>133</v>
      </c>
      <c r="M9" s="113" t="s">
        <v>14</v>
      </c>
      <c r="N9" s="204" t="s">
        <v>55</v>
      </c>
    </row>
    <row r="10" spans="1:14" ht="22.5" customHeight="1">
      <c r="A10" s="295" t="str">
        <f>內容!C20</f>
        <v>乙種施工圍籬、警示帶、安全警示燈等安全措施(租用)</v>
      </c>
      <c r="B10" s="296"/>
      <c r="C10" s="296"/>
      <c r="D10" s="297"/>
      <c r="E10" s="73" t="str">
        <f>內容!D20</f>
        <v>式</v>
      </c>
      <c r="F10" s="114">
        <f>內容!E20</f>
        <v>1</v>
      </c>
      <c r="G10" s="106" t="str">
        <f>內容!I20</f>
        <v/>
      </c>
      <c r="H10" s="199">
        <f ca="1">內容!G20</f>
        <v>0.5</v>
      </c>
      <c r="I10" s="298" t="str">
        <f>內容!C41</f>
        <v>貼深色石材檯面(t=2cm，倒圓角)</v>
      </c>
      <c r="J10" s="299"/>
      <c r="K10" s="288" t="str">
        <f>內容!D41</f>
        <v>才</v>
      </c>
      <c r="L10" s="118">
        <f>內容!E41</f>
        <v>23</v>
      </c>
      <c r="M10" s="119" t="str">
        <f>內容!I41</f>
        <v/>
      </c>
      <c r="N10" s="205">
        <f ca="1">內容!G41</f>
        <v>0</v>
      </c>
    </row>
    <row r="11" spans="1:14" ht="22.5" customHeight="1">
      <c r="A11" s="295" t="str">
        <f>內容!C21</f>
        <v>工程告示牌與職安衛告示牌(租用)</v>
      </c>
      <c r="B11" s="296"/>
      <c r="C11" s="296"/>
      <c r="D11" s="297"/>
      <c r="E11" s="73" t="str">
        <f>內容!D21</f>
        <v>式</v>
      </c>
      <c r="F11" s="114">
        <f>內容!E21</f>
        <v>1</v>
      </c>
      <c r="G11" s="106" t="str">
        <f>內容!I21</f>
        <v/>
      </c>
      <c r="H11" s="199">
        <f ca="1">內容!G21</f>
        <v>1</v>
      </c>
      <c r="I11" s="309" t="str">
        <f>內容!C42</f>
        <v>安裝輕鋼架、金屬烤漆透空網與耐燃一級貼皮天花板(含必要之側封板與窗簾盒批土刷漆)</v>
      </c>
      <c r="J11" s="310"/>
      <c r="K11" s="288" t="str">
        <f>內容!D42</f>
        <v>式</v>
      </c>
      <c r="L11" s="118">
        <f>內容!E42</f>
        <v>1</v>
      </c>
      <c r="M11" s="119" t="str">
        <f>內容!I42</f>
        <v/>
      </c>
      <c r="N11" s="205">
        <f ca="1">內容!G42</f>
        <v>0</v>
      </c>
    </row>
    <row r="12" spans="1:14" ht="22.5" customHeight="1">
      <c r="A12" s="295" t="str">
        <f>內容!C22</f>
        <v>施工動線開闢與損壞復原，既有設備管線遷移與復原；測量與放樣</v>
      </c>
      <c r="B12" s="296"/>
      <c r="C12" s="296"/>
      <c r="D12" s="297"/>
      <c r="E12" s="73" t="str">
        <f>內容!D22</f>
        <v>式</v>
      </c>
      <c r="F12" s="114">
        <f>內容!E22</f>
        <v>1</v>
      </c>
      <c r="G12" s="106" t="str">
        <f>內容!I22</f>
        <v/>
      </c>
      <c r="H12" s="199">
        <f ca="1">內容!G22</f>
        <v>0.6</v>
      </c>
      <c r="I12" s="298" t="str">
        <f>內容!C43</f>
        <v>廁所安裝衛生設備(連工帶料)</v>
      </c>
      <c r="J12" s="299"/>
      <c r="K12" s="288" t="str">
        <f>內容!D43</f>
        <v>式</v>
      </c>
      <c r="L12" s="118">
        <f>內容!E43</f>
        <v>1</v>
      </c>
      <c r="M12" s="119" t="str">
        <f>內容!I43</f>
        <v/>
      </c>
      <c r="N12" s="205">
        <f ca="1">內容!G43</f>
        <v>0</v>
      </c>
    </row>
    <row r="13" spans="1:14" ht="22.5" customHeight="1">
      <c r="A13" s="314" t="str">
        <f>內容!C23</f>
        <v>既有牆面、地坪、磁磚、衛生設備、給排水設施、搗擺及天花板等拆除(含切割)及運棄(含合法證明);環境保護與清潔</v>
      </c>
      <c r="B13" s="315"/>
      <c r="C13" s="315"/>
      <c r="D13" s="316"/>
      <c r="E13" s="73" t="str">
        <f>內容!D23</f>
        <v>式</v>
      </c>
      <c r="F13" s="114">
        <f>內容!E23</f>
        <v>1</v>
      </c>
      <c r="G13" s="106" t="str">
        <f>內容!I23</f>
        <v/>
      </c>
      <c r="H13" s="199">
        <f ca="1">內容!G23</f>
        <v>1</v>
      </c>
      <c r="I13" s="298" t="str">
        <f>內容!C44</f>
        <v>安裝開關、插座與燈具(連工帶料)</v>
      </c>
      <c r="J13" s="299"/>
      <c r="K13" s="288" t="str">
        <f>內容!D44</f>
        <v>式</v>
      </c>
      <c r="L13" s="118">
        <f>內容!E44</f>
        <v>1</v>
      </c>
      <c r="M13" s="119" t="str">
        <f>內容!I44</f>
        <v/>
      </c>
      <c r="N13" s="205">
        <f ca="1">內容!G44</f>
        <v>0</v>
      </c>
    </row>
    <row r="14" spans="1:14" ht="22.5" customHeight="1">
      <c r="A14" s="295" t="str">
        <f>內容!C24</f>
        <v>既有污水處理設施抽水肥(含清潔孔開挖與復原)</v>
      </c>
      <c r="B14" s="296"/>
      <c r="C14" s="296"/>
      <c r="D14" s="297"/>
      <c r="E14" s="73" t="str">
        <f>內容!D24</f>
        <v>式</v>
      </c>
      <c r="F14" s="114">
        <f>內容!E24</f>
        <v>1</v>
      </c>
      <c r="G14" s="106" t="str">
        <f>內容!I24</f>
        <v/>
      </c>
      <c r="H14" s="199">
        <f ca="1">內容!G24</f>
        <v>1</v>
      </c>
      <c r="I14" s="298" t="str">
        <f>內容!C45</f>
        <v>給排水系統配管與安裝(連工帶料)</v>
      </c>
      <c r="J14" s="299"/>
      <c r="K14" s="288" t="str">
        <f>內容!D45</f>
        <v>式</v>
      </c>
      <c r="L14" s="118">
        <f>內容!E45</f>
        <v>1</v>
      </c>
      <c r="M14" s="119" t="str">
        <f>內容!I45</f>
        <v/>
      </c>
      <c r="N14" s="205">
        <f ca="1">內容!G45</f>
        <v>0</v>
      </c>
    </row>
    <row r="15" spans="1:14" ht="22.5" customHeight="1">
      <c r="A15" s="295" t="str">
        <f>內容!C25</f>
        <v>地坪與蹲便台階增築</v>
      </c>
      <c r="B15" s="296"/>
      <c r="C15" s="296"/>
      <c r="D15" s="297"/>
      <c r="E15" s="73" t="str">
        <f>內容!D25</f>
        <v>式</v>
      </c>
      <c r="F15" s="114">
        <f>內容!E25</f>
        <v>1</v>
      </c>
      <c r="G15" s="106" t="str">
        <f>內容!I25</f>
        <v/>
      </c>
      <c r="H15" s="199">
        <f ca="1">內容!G25</f>
        <v>0</v>
      </c>
      <c r="I15" s="374" t="str">
        <f>內容!C46</f>
        <v>施做緊急求救按鈕(含閃光與蜂嗚警報器、線材、五金配件, 各層樓每間廁所皆有求救鈕，連工帶料，責任施工)</v>
      </c>
      <c r="J15" s="375"/>
      <c r="K15" s="288" t="str">
        <f>內容!D46</f>
        <v>式</v>
      </c>
      <c r="L15" s="118">
        <f>內容!E46</f>
        <v>1</v>
      </c>
      <c r="M15" s="119" t="str">
        <f>內容!I46</f>
        <v/>
      </c>
      <c r="N15" s="205">
        <f ca="1">內容!G46</f>
        <v>0</v>
      </c>
    </row>
    <row r="16" spans="1:14" ht="22.5" customHeight="1">
      <c r="A16" s="295" t="str">
        <f>內容!C26</f>
        <v>砌1/2B磚牆</v>
      </c>
      <c r="B16" s="296"/>
      <c r="C16" s="296"/>
      <c r="D16" s="297"/>
      <c r="E16" s="73" t="str">
        <f>內容!D26</f>
        <v>M2</v>
      </c>
      <c r="F16" s="114">
        <f>內容!E26</f>
        <v>40</v>
      </c>
      <c r="G16" s="106" t="str">
        <f>內容!I26</f>
        <v/>
      </c>
      <c r="H16" s="199">
        <f ca="1">內容!G26</f>
        <v>20</v>
      </c>
      <c r="I16" s="298" t="str">
        <f>內容!C47</f>
        <v>安裝廁所指標系統(連工帶料，責任施工)</v>
      </c>
      <c r="J16" s="299"/>
      <c r="K16" s="288" t="str">
        <f>內容!D47</f>
        <v>式</v>
      </c>
      <c r="L16" s="118">
        <f>內容!E47</f>
        <v>1</v>
      </c>
      <c r="M16" s="119" t="str">
        <f>內容!I47</f>
        <v/>
      </c>
      <c r="N16" s="205">
        <f ca="1">內容!G47</f>
        <v>0</v>
      </c>
    </row>
    <row r="17" spans="1:14" ht="22.5" customHeight="1">
      <c r="A17" s="301" t="str">
        <f>內容!C27</f>
        <v>施工範圍內樓板穿管處與既有無用穿管及孔洞需以水泥砂漿封閉；樓板防水層試水</v>
      </c>
      <c r="B17" s="302"/>
      <c r="C17" s="302"/>
      <c r="D17" s="303"/>
      <c r="E17" s="73" t="str">
        <f>內容!D27</f>
        <v>式</v>
      </c>
      <c r="F17" s="114">
        <f>內容!E27</f>
        <v>1</v>
      </c>
      <c r="G17" s="106" t="str">
        <f>內容!I27</f>
        <v/>
      </c>
      <c r="H17" s="199">
        <f ca="1">內容!G27</f>
        <v>0</v>
      </c>
      <c r="I17" s="298" t="str">
        <f>內容!C48</f>
        <v>施做拖布盆(砌磚粉刷貼磁磚，H=35cm)</v>
      </c>
      <c r="J17" s="299"/>
      <c r="K17" s="288" t="str">
        <f>內容!D48</f>
        <v>式</v>
      </c>
      <c r="L17" s="118">
        <f>內容!E48</f>
        <v>1</v>
      </c>
      <c r="M17" s="119" t="str">
        <f>內容!I48</f>
        <v/>
      </c>
      <c r="N17" s="205">
        <f ca="1">內容!G48</f>
        <v>0</v>
      </c>
    </row>
    <row r="18" spans="1:14" ht="22.5" customHeight="1">
      <c r="A18" s="295" t="str">
        <f>內容!C28</f>
        <v>地坪、牆面1:3水泥砂漿粉刷(含地坪硬底)</v>
      </c>
      <c r="B18" s="296"/>
      <c r="C18" s="296"/>
      <c r="D18" s="297"/>
      <c r="E18" s="73" t="str">
        <f>內容!D28</f>
        <v>M2</v>
      </c>
      <c r="F18" s="114">
        <f>內容!E28</f>
        <v>592</v>
      </c>
      <c r="G18" s="106" t="str">
        <f>內容!I28</f>
        <v/>
      </c>
      <c r="H18" s="199">
        <f ca="1">內容!G28</f>
        <v>0</v>
      </c>
      <c r="I18" s="298" t="str">
        <f>內容!C49</f>
        <v>門窗與雜項工程</v>
      </c>
      <c r="J18" s="299"/>
      <c r="K18" s="288" t="str">
        <f>內容!D49</f>
        <v>式</v>
      </c>
      <c r="L18" s="118">
        <f>內容!E49</f>
        <v>1</v>
      </c>
      <c r="M18" s="119" t="str">
        <f>內容!I49</f>
        <v/>
      </c>
      <c r="N18" s="205">
        <f ca="1">內容!G49</f>
        <v>0</v>
      </c>
    </row>
    <row r="19" spans="1:14" ht="22.5" customHeight="1">
      <c r="A19" s="295" t="str">
        <f>內容!C29</f>
        <v>地坪及牆面(H=1.5m)塗刷彈性防水材</v>
      </c>
      <c r="B19" s="296"/>
      <c r="C19" s="296"/>
      <c r="D19" s="297"/>
      <c r="E19" s="73" t="str">
        <f>內容!D29</f>
        <v>M2</v>
      </c>
      <c r="F19" s="114">
        <f>內容!E29</f>
        <v>327</v>
      </c>
      <c r="G19" s="106" t="str">
        <f>內容!I29</f>
        <v/>
      </c>
      <c r="H19" s="199">
        <f ca="1">內容!G29</f>
        <v>0</v>
      </c>
      <c r="I19" s="298" t="str">
        <f>內容!C50</f>
        <v>職業安全衛生管理費(壹*0.6%)</v>
      </c>
      <c r="J19" s="299"/>
      <c r="K19" s="288" t="str">
        <f>內容!D50</f>
        <v>式</v>
      </c>
      <c r="L19" s="118">
        <f>內容!E50</f>
        <v>1</v>
      </c>
      <c r="M19" s="119" t="str">
        <f>內容!I50</f>
        <v/>
      </c>
      <c r="N19" s="205">
        <f ca="1">內容!G50</f>
        <v>0</v>
      </c>
    </row>
    <row r="20" spans="1:14" ht="22.5" customHeight="1">
      <c r="A20" s="295" t="str">
        <f>內容!C30</f>
        <v>安裝不銹鋼方形地板落水頭(10cm*10cm,連工帶料)</v>
      </c>
      <c r="B20" s="296"/>
      <c r="C20" s="296"/>
      <c r="D20" s="297"/>
      <c r="E20" s="73" t="str">
        <f>內容!D30</f>
        <v>組</v>
      </c>
      <c r="F20" s="114">
        <f>內容!E30</f>
        <v>26</v>
      </c>
      <c r="G20" s="106" t="str">
        <f>內容!I30</f>
        <v/>
      </c>
      <c r="H20" s="199">
        <f ca="1">內容!G30</f>
        <v>0</v>
      </c>
      <c r="I20" s="298" t="str">
        <f>內容!C51</f>
        <v>公共工程品質管制作業費(壹*1%)</v>
      </c>
      <c r="J20" s="299"/>
      <c r="K20" s="288" t="str">
        <f>內容!D51</f>
        <v>式</v>
      </c>
      <c r="L20" s="118">
        <f>內容!E51</f>
        <v>1</v>
      </c>
      <c r="M20" s="119" t="str">
        <f>內容!I51</f>
        <v/>
      </c>
      <c r="N20" s="205">
        <f ca="1">內容!G51</f>
        <v>0</v>
      </c>
    </row>
    <row r="21" spans="1:14" ht="22.5" customHeight="1">
      <c r="A21" s="295" t="str">
        <f>內容!C31</f>
        <v>地坪貼止滑石英磚30cm*30cm，本色水泥勾縫(連工帶料)</v>
      </c>
      <c r="B21" s="296"/>
      <c r="C21" s="296"/>
      <c r="D21" s="297"/>
      <c r="E21" s="73" t="str">
        <f>內容!D31</f>
        <v>M2</v>
      </c>
      <c r="F21" s="114">
        <f>內容!E31</f>
        <v>129</v>
      </c>
      <c r="G21" s="106" t="str">
        <f>內容!I31</f>
        <v/>
      </c>
      <c r="H21" s="199">
        <f ca="1">內容!G31</f>
        <v>0</v>
      </c>
      <c r="I21" s="298" t="str">
        <f>內容!C52</f>
        <v>包商利潤及管理費(約壹*7%)</v>
      </c>
      <c r="J21" s="299"/>
      <c r="K21" s="288" t="str">
        <f>內容!D52</f>
        <v>式</v>
      </c>
      <c r="L21" s="118">
        <f>內容!E52</f>
        <v>1</v>
      </c>
      <c r="M21" s="119" t="str">
        <f>內容!I52</f>
        <v/>
      </c>
      <c r="N21" s="205">
        <f ca="1">內容!G52</f>
        <v>0</v>
      </c>
    </row>
    <row r="22" spans="1:14" ht="22.5" customHeight="1">
      <c r="A22" s="295" t="str">
        <f>內容!C32</f>
        <v>地坪貼60cm*60cm止滑石英磚，本色水泥勾縫(連工帶料)</v>
      </c>
      <c r="B22" s="296"/>
      <c r="C22" s="296"/>
      <c r="D22" s="297"/>
      <c r="E22" s="73" t="str">
        <f>內容!D32</f>
        <v>M2</v>
      </c>
      <c r="F22" s="114">
        <f>內容!E32</f>
        <v>5</v>
      </c>
      <c r="G22" s="106" t="str">
        <f>內容!I32</f>
        <v/>
      </c>
      <c r="H22" s="199">
        <f ca="1">內容!G32</f>
        <v>0</v>
      </c>
      <c r="I22" s="298" t="str">
        <f>內容!C53</f>
        <v>營造綜合保險費</v>
      </c>
      <c r="J22" s="299"/>
      <c r="K22" s="288" t="str">
        <f>內容!D53</f>
        <v>式</v>
      </c>
      <c r="L22" s="118">
        <f>內容!E53</f>
        <v>1</v>
      </c>
      <c r="M22" s="119" t="str">
        <f>內容!I53</f>
        <v/>
      </c>
      <c r="N22" s="205">
        <f ca="1">內容!G53</f>
        <v>1</v>
      </c>
    </row>
    <row r="23" spans="1:14" ht="22.5" customHeight="1">
      <c r="A23" s="295" t="str">
        <f>內容!C33</f>
        <v>牆面貼石英磚30*60cm，白色水泥抹縫(連工帶料)</v>
      </c>
      <c r="B23" s="296"/>
      <c r="C23" s="296"/>
      <c r="D23" s="297"/>
      <c r="E23" s="73" t="str">
        <f>內容!D33</f>
        <v>M2</v>
      </c>
      <c r="F23" s="114">
        <f>內容!E33</f>
        <v>364</v>
      </c>
      <c r="G23" s="106" t="str">
        <f>內容!I33</f>
        <v/>
      </c>
      <c r="H23" s="199">
        <f ca="1">內容!G33</f>
        <v>0</v>
      </c>
      <c r="I23" s="298" t="str">
        <f>內容!C54</f>
        <v>營業稅((壹~伍)*5%)</v>
      </c>
      <c r="J23" s="299"/>
      <c r="K23" s="288" t="str">
        <f>內容!D54</f>
        <v>式</v>
      </c>
      <c r="L23" s="118">
        <f>內容!E54</f>
        <v>1</v>
      </c>
      <c r="M23" s="119" t="str">
        <f>內容!I54</f>
        <v/>
      </c>
      <c r="N23" s="205">
        <f ca="1">內容!G54</f>
        <v>0</v>
      </c>
    </row>
    <row r="24" spans="1:14" ht="22.5" customHeight="1">
      <c r="A24" s="295" t="str">
        <f>內容!C34</f>
        <v>安裝鋁合金陽角收邊條</v>
      </c>
      <c r="B24" s="296"/>
      <c r="C24" s="296"/>
      <c r="D24" s="297"/>
      <c r="E24" s="73" t="str">
        <f>內容!D34</f>
        <v>M</v>
      </c>
      <c r="F24" s="114">
        <f>內容!E34</f>
        <v>138</v>
      </c>
      <c r="G24" s="106" t="str">
        <f>內容!I34</f>
        <v/>
      </c>
      <c r="H24" s="199">
        <f ca="1">內容!G34</f>
        <v>0</v>
      </c>
      <c r="I24" s="298"/>
      <c r="J24" s="299"/>
      <c r="K24" s="288"/>
      <c r="L24" s="118"/>
      <c r="M24" s="119"/>
      <c r="N24" s="205"/>
    </row>
    <row r="25" spans="1:14" ht="22.5" customHeight="1">
      <c r="A25" s="295" t="str">
        <f>內容!C35</f>
        <v>施做抿石子(1~2分霓虹石，抿石子專用泥)</v>
      </c>
      <c r="B25" s="296"/>
      <c r="C25" s="296"/>
      <c r="D25" s="297"/>
      <c r="E25" s="73" t="str">
        <f>內容!D35</f>
        <v>M2</v>
      </c>
      <c r="F25" s="114">
        <f>內容!E35</f>
        <v>2</v>
      </c>
      <c r="G25" s="106" t="str">
        <f>內容!I35</f>
        <v/>
      </c>
      <c r="H25" s="199">
        <f ca="1">內容!G35</f>
        <v>0</v>
      </c>
      <c r="I25" s="298"/>
      <c r="J25" s="299"/>
      <c r="K25" s="288"/>
      <c r="L25" s="118"/>
      <c r="M25" s="119"/>
      <c r="N25" s="205"/>
    </row>
    <row r="26" spans="1:14" ht="22.5" customHeight="1">
      <c r="A26" s="301" t="str">
        <f>內容!C36</f>
        <v>牆面與平頂塗刷水泥漆(含清潔，批土整平，一底漆二度面漆)</v>
      </c>
      <c r="B26" s="302"/>
      <c r="C26" s="302"/>
      <c r="D26" s="303"/>
      <c r="E26" s="73" t="str">
        <f>內容!D36</f>
        <v>M2</v>
      </c>
      <c r="F26" s="114">
        <f>內容!E36</f>
        <v>331</v>
      </c>
      <c r="G26" s="106" t="str">
        <f>內容!I36</f>
        <v/>
      </c>
      <c r="H26" s="199">
        <f ca="1">內容!G36</f>
        <v>0</v>
      </c>
      <c r="I26" s="298"/>
      <c r="J26" s="299"/>
      <c r="K26" s="288"/>
      <c r="L26" s="118"/>
      <c r="M26" s="119"/>
      <c r="N26" s="205"/>
    </row>
    <row r="27" spans="1:14" ht="22.5" customHeight="1">
      <c r="A27" s="295" t="str">
        <f>內容!C37</f>
        <v>安裝13mm熱固性樹脂板隔間含門片(頂面H=200cm以上)</v>
      </c>
      <c r="B27" s="296"/>
      <c r="C27" s="296"/>
      <c r="D27" s="297"/>
      <c r="E27" s="73" t="str">
        <f>內容!D37</f>
        <v>M2</v>
      </c>
      <c r="F27" s="114">
        <f>內容!E37</f>
        <v>129</v>
      </c>
      <c r="G27" s="106" t="str">
        <f>內容!I37</f>
        <v/>
      </c>
      <c r="H27" s="199">
        <f ca="1">內容!G37</f>
        <v>0</v>
      </c>
      <c r="I27" s="298"/>
      <c r="J27" s="299"/>
      <c r="K27" s="288"/>
      <c r="L27" s="118"/>
      <c r="M27" s="119"/>
      <c r="N27" s="205"/>
    </row>
    <row r="28" spans="1:14" ht="22.5" customHeight="1">
      <c r="A28" s="295" t="str">
        <f>內容!C38</f>
        <v>13mm熱固性樹脂板小便斗隔屏</v>
      </c>
      <c r="B28" s="296"/>
      <c r="C28" s="296"/>
      <c r="D28" s="297"/>
      <c r="E28" s="73" t="str">
        <f>內容!D38</f>
        <v>片</v>
      </c>
      <c r="F28" s="114">
        <f>內容!E38</f>
        <v>4</v>
      </c>
      <c r="G28" s="106" t="str">
        <f>內容!I38</f>
        <v/>
      </c>
      <c r="H28" s="199">
        <f ca="1">內容!G38</f>
        <v>0</v>
      </c>
      <c r="I28" s="298"/>
      <c r="J28" s="299"/>
      <c r="K28" s="288"/>
      <c r="L28" s="118"/>
      <c r="M28" s="119"/>
      <c r="N28" s="205"/>
    </row>
    <row r="29" spans="1:14" ht="22.5" customHeight="1">
      <c r="A29" s="295" t="str">
        <f>內容!C39</f>
        <v>廁間安裝不鏽鋼掛鈎與置物板</v>
      </c>
      <c r="B29" s="296"/>
      <c r="C29" s="296"/>
      <c r="D29" s="297"/>
      <c r="E29" s="73" t="str">
        <f>內容!D39</f>
        <v>間</v>
      </c>
      <c r="F29" s="114">
        <f>內容!E39</f>
        <v>22</v>
      </c>
      <c r="G29" s="106" t="str">
        <f>內容!I39</f>
        <v/>
      </c>
      <c r="H29" s="199">
        <f ca="1">內容!G39</f>
        <v>0</v>
      </c>
      <c r="I29" s="298"/>
      <c r="J29" s="299"/>
      <c r="K29" s="288"/>
      <c r="L29" s="118"/>
      <c r="M29" s="119"/>
      <c r="N29" s="205"/>
    </row>
    <row r="30" spans="1:14" ht="22.5" customHeight="1">
      <c r="A30" s="295" t="str">
        <f>內容!C40</f>
        <v>新設面盆浴櫃組與人造石檯面洗手台</v>
      </c>
      <c r="B30" s="296"/>
      <c r="C30" s="296"/>
      <c r="D30" s="297"/>
      <c r="E30" s="73" t="str">
        <f>內容!D40</f>
        <v>式</v>
      </c>
      <c r="F30" s="114">
        <f>內容!E40</f>
        <v>1</v>
      </c>
      <c r="G30" s="106" t="str">
        <f>內容!I40</f>
        <v/>
      </c>
      <c r="H30" s="199">
        <f ca="1">內容!G40</f>
        <v>0</v>
      </c>
      <c r="I30" s="298"/>
      <c r="J30" s="299"/>
      <c r="K30" s="288"/>
      <c r="L30" s="118"/>
      <c r="M30" s="119"/>
      <c r="N30" s="205"/>
    </row>
    <row r="31" spans="1:14" ht="18.75" customHeight="1">
      <c r="A31" s="295"/>
      <c r="B31" s="296"/>
      <c r="C31" s="296"/>
      <c r="D31" s="297"/>
      <c r="E31" s="73"/>
      <c r="F31" s="114"/>
      <c r="G31" s="106"/>
      <c r="H31" s="199"/>
      <c r="I31" s="298"/>
      <c r="J31" s="299"/>
      <c r="K31" s="288"/>
      <c r="L31" s="118"/>
      <c r="M31" s="119"/>
      <c r="N31" s="206"/>
    </row>
    <row r="32" spans="1:14" ht="18.75" customHeight="1" thickBot="1">
      <c r="A32" s="386"/>
      <c r="B32" s="387"/>
      <c r="C32" s="387"/>
      <c r="D32" s="388"/>
      <c r="E32" s="73"/>
      <c r="F32" s="115"/>
      <c r="G32" s="103"/>
      <c r="H32" s="116"/>
      <c r="I32" s="298"/>
      <c r="J32" s="299"/>
      <c r="K32" s="101"/>
      <c r="L32" s="116"/>
      <c r="M32" s="117"/>
      <c r="N32" s="207"/>
    </row>
    <row r="33" spans="1:15" ht="18.75" customHeight="1">
      <c r="A33" s="383" t="s">
        <v>126</v>
      </c>
      <c r="B33" s="384"/>
      <c r="C33" s="384"/>
      <c r="D33" s="385"/>
      <c r="E33" s="87" t="str">
        <f>IF(N33&gt;0,LOOKUP(O33,內容!$A$20:$A$56,內容!$D$20:$D$56),"")</f>
        <v/>
      </c>
      <c r="F33" s="400" t="str">
        <f>IF(N33&gt;0,LOOKUP(O33,內容!$A$20:$A$56,內容!$E$20:$E$56),"")</f>
        <v/>
      </c>
      <c r="G33" s="401"/>
      <c r="H33" s="394" t="str">
        <f>IF(N33&gt;0,LOOKUP(O33,內容!$A$20:$A$56,內容!$I$20:$I$56),"")</f>
        <v/>
      </c>
      <c r="I33" s="395"/>
      <c r="J33" s="394" t="str">
        <f>IF(N33&gt;0,LOOKUP(O33,內容!$A$20:$A$56,內容!$G$20:$G$56),"")</f>
        <v/>
      </c>
      <c r="K33" s="395"/>
      <c r="L33" s="394"/>
      <c r="M33" s="414"/>
      <c r="N33" s="200"/>
    </row>
    <row r="34" spans="1:15" ht="18.75" customHeight="1">
      <c r="A34" s="386" t="s">
        <v>127</v>
      </c>
      <c r="B34" s="387"/>
      <c r="C34" s="387"/>
      <c r="D34" s="388"/>
      <c r="E34" s="73" t="str">
        <f>IF(N34&gt;0,LOOKUP(O34,內容!$A$20:$A$56,內容!$D$20:$D$56),"")</f>
        <v/>
      </c>
      <c r="F34" s="392" t="str">
        <f>IF(N34&gt;0,LOOKUP(O34,內容!$A$20:$A$56,內容!$E$20:$E$56),"")</f>
        <v/>
      </c>
      <c r="G34" s="393"/>
      <c r="H34" s="378" t="str">
        <f>IF(N34&gt;0,LOOKUP(O34,內容!$A$20:$A$56,內容!$I$20:$I$56),"")</f>
        <v/>
      </c>
      <c r="I34" s="379"/>
      <c r="J34" s="378" t="str">
        <f>IF(N34&gt;0,LOOKUP(O34,內容!$A$20:$A$56,內容!$G$20:$G$56),"")</f>
        <v/>
      </c>
      <c r="K34" s="379"/>
      <c r="L34" s="378"/>
      <c r="M34" s="380"/>
      <c r="N34" s="99"/>
    </row>
    <row r="35" spans="1:15" ht="18.75" customHeight="1" thickBot="1">
      <c r="A35" s="389" t="s">
        <v>128</v>
      </c>
      <c r="B35" s="390"/>
      <c r="C35" s="390"/>
      <c r="D35" s="391"/>
      <c r="E35" s="88" t="str">
        <f>IF(N35&gt;0,LOOKUP(O35,內容!$A$20:$A$56,內容!$D$20:$D$56),"")</f>
        <v/>
      </c>
      <c r="F35" s="412" t="str">
        <f>IF(N35&gt;0,LOOKUP(O35,內容!$A$20:$A$56,內容!$E$20:$E$56),"")</f>
        <v/>
      </c>
      <c r="G35" s="413"/>
      <c r="H35" s="381" t="str">
        <f>IF(N35&gt;0,LOOKUP(O35,內容!$A$20:$A$56,內容!$I$20:$I$56),"")</f>
        <v/>
      </c>
      <c r="I35" s="382"/>
      <c r="J35" s="381" t="str">
        <f>IF(N35&gt;0,LOOKUP(O35,內容!$A$20:$A$56,內容!$G$20:$G$56),"")</f>
        <v/>
      </c>
      <c r="K35" s="382"/>
      <c r="L35" s="381"/>
      <c r="M35" s="411"/>
      <c r="N35" s="102"/>
    </row>
    <row r="36" spans="1:15" ht="18" customHeight="1">
      <c r="A36" s="398" t="s">
        <v>56</v>
      </c>
      <c r="B36" s="399"/>
      <c r="C36" s="399"/>
      <c r="D36" s="399"/>
      <c r="E36" s="399"/>
      <c r="F36" s="399"/>
      <c r="G36" s="399"/>
      <c r="H36" s="399"/>
      <c r="I36" s="399"/>
      <c r="J36" s="399"/>
      <c r="K36" s="399"/>
      <c r="L36" s="399"/>
      <c r="M36" s="399"/>
      <c r="N36" s="111"/>
      <c r="O36" t="str">
        <f>IF(N36&gt;0,LARGE(內容!A$20:A$56,N36),"")</f>
        <v/>
      </c>
    </row>
    <row r="37" spans="1:15" ht="24" customHeight="1">
      <c r="A37" s="404" t="s">
        <v>57</v>
      </c>
      <c r="B37" s="405"/>
      <c r="C37" s="405"/>
      <c r="D37" s="406"/>
      <c r="E37" s="80" t="s">
        <v>11</v>
      </c>
      <c r="F37" s="402" t="s">
        <v>132</v>
      </c>
      <c r="G37" s="403"/>
      <c r="H37" s="307" t="s">
        <v>19</v>
      </c>
      <c r="I37" s="308"/>
      <c r="J37" s="307" t="s">
        <v>20</v>
      </c>
      <c r="K37" s="308"/>
      <c r="L37" s="307" t="s">
        <v>24</v>
      </c>
      <c r="M37" s="409"/>
      <c r="N37" s="108"/>
    </row>
    <row r="38" spans="1:15" ht="18.75" customHeight="1">
      <c r="A38" s="78"/>
      <c r="B38" s="76"/>
      <c r="C38" s="76"/>
      <c r="D38" s="77"/>
      <c r="E38" s="73"/>
      <c r="F38" s="396"/>
      <c r="G38" s="397"/>
      <c r="H38" s="378"/>
      <c r="I38" s="379"/>
      <c r="J38" s="378"/>
      <c r="K38" s="379"/>
      <c r="L38" s="378"/>
      <c r="M38" s="380"/>
      <c r="N38" s="110"/>
    </row>
    <row r="39" spans="1:15" ht="18.75" customHeight="1">
      <c r="A39" s="78"/>
      <c r="B39" s="76"/>
      <c r="C39" s="76"/>
      <c r="D39" s="77"/>
      <c r="E39" s="73"/>
      <c r="F39" s="396"/>
      <c r="G39" s="397"/>
      <c r="H39" s="378"/>
      <c r="I39" s="379"/>
      <c r="J39" s="378"/>
      <c r="K39" s="379"/>
      <c r="L39" s="378"/>
      <c r="M39" s="380"/>
      <c r="N39" s="110"/>
    </row>
    <row r="40" spans="1:15">
      <c r="A40" s="376" t="s">
        <v>116</v>
      </c>
      <c r="B40" s="377"/>
      <c r="C40" s="377"/>
      <c r="D40" s="377"/>
      <c r="E40" s="377"/>
      <c r="F40" s="377"/>
      <c r="G40" s="377"/>
      <c r="H40" s="377"/>
      <c r="I40" s="377"/>
      <c r="J40" s="377"/>
      <c r="K40" s="377"/>
      <c r="L40" s="377"/>
      <c r="M40" s="377"/>
      <c r="N40" s="110"/>
    </row>
    <row r="41" spans="1:15" ht="21.75" customHeight="1">
      <c r="A41" s="410" t="s">
        <v>25</v>
      </c>
      <c r="B41" s="308"/>
      <c r="C41" s="307" t="s">
        <v>16</v>
      </c>
      <c r="D41" s="308"/>
      <c r="E41" s="307" t="s">
        <v>17</v>
      </c>
      <c r="F41" s="409"/>
      <c r="G41" s="308"/>
      <c r="H41" s="307" t="s">
        <v>18</v>
      </c>
      <c r="I41" s="308"/>
      <c r="J41" s="307" t="s">
        <v>19</v>
      </c>
      <c r="K41" s="308"/>
      <c r="L41" s="307" t="s">
        <v>20</v>
      </c>
      <c r="M41" s="409"/>
      <c r="N41" s="109"/>
    </row>
    <row r="42" spans="1:15" ht="21.75" customHeight="1">
      <c r="A42" s="407" t="str">
        <f>內容!H62</f>
        <v>工程師</v>
      </c>
      <c r="B42" s="408"/>
      <c r="C42" s="378" t="str">
        <f>內容!I62</f>
        <v/>
      </c>
      <c r="D42" s="379"/>
      <c r="E42" s="378">
        <f ca="1">內容!G62</f>
        <v>5</v>
      </c>
      <c r="F42" s="380"/>
      <c r="G42" s="379"/>
      <c r="H42" s="415" t="str">
        <f>內容!H69</f>
        <v>挖土機</v>
      </c>
      <c r="I42" s="416"/>
      <c r="J42" s="378" t="str">
        <f>內容!I69</f>
        <v/>
      </c>
      <c r="K42" s="379"/>
      <c r="L42" s="378">
        <f ca="1">內容!G69</f>
        <v>5</v>
      </c>
      <c r="M42" s="380"/>
      <c r="N42" s="108"/>
    </row>
    <row r="43" spans="1:15" ht="18.75" customHeight="1">
      <c r="A43" s="407" t="str">
        <f>內容!H63</f>
        <v>小工</v>
      </c>
      <c r="B43" s="408"/>
      <c r="C43" s="378" t="str">
        <f>內容!I63</f>
        <v/>
      </c>
      <c r="D43" s="379"/>
      <c r="E43" s="378">
        <f ca="1">內容!G63</f>
        <v>40</v>
      </c>
      <c r="F43" s="380"/>
      <c r="G43" s="379"/>
      <c r="H43" s="415" t="str">
        <f>內容!H70</f>
        <v>破碎機</v>
      </c>
      <c r="I43" s="416"/>
      <c r="J43" s="378" t="str">
        <f>內容!I70</f>
        <v/>
      </c>
      <c r="K43" s="379"/>
      <c r="L43" s="378">
        <f ca="1">內容!G70</f>
        <v>0</v>
      </c>
      <c r="M43" s="380"/>
      <c r="N43" s="110"/>
    </row>
    <row r="44" spans="1:15" ht="18.75" customHeight="1">
      <c r="A44" s="407" t="str">
        <f>內容!H64</f>
        <v>鋼筋工</v>
      </c>
      <c r="B44" s="408"/>
      <c r="C44" s="378" t="str">
        <f>內容!I64</f>
        <v/>
      </c>
      <c r="D44" s="379"/>
      <c r="E44" s="378">
        <f ca="1">內容!G64</f>
        <v>0</v>
      </c>
      <c r="F44" s="380"/>
      <c r="G44" s="379"/>
      <c r="H44" s="415" t="str">
        <f>內容!H71</f>
        <v>壓送車</v>
      </c>
      <c r="I44" s="416"/>
      <c r="J44" s="378" t="str">
        <f>內容!I71</f>
        <v/>
      </c>
      <c r="K44" s="379"/>
      <c r="L44" s="378">
        <f ca="1">內容!G71</f>
        <v>0</v>
      </c>
      <c r="M44" s="380"/>
      <c r="N44" s="110"/>
    </row>
    <row r="45" spans="1:15" ht="18.75" customHeight="1">
      <c r="A45" s="407" t="str">
        <f>內容!H65</f>
        <v>模板工</v>
      </c>
      <c r="B45" s="408"/>
      <c r="C45" s="378" t="str">
        <f>內容!I65</f>
        <v/>
      </c>
      <c r="D45" s="379"/>
      <c r="E45" s="378">
        <f ca="1">內容!G65</f>
        <v>0</v>
      </c>
      <c r="F45" s="380"/>
      <c r="G45" s="379"/>
      <c r="H45" s="415" t="str">
        <f>內容!H72</f>
        <v>打樁機</v>
      </c>
      <c r="I45" s="416"/>
      <c r="J45" s="378" t="str">
        <f>內容!I72</f>
        <v/>
      </c>
      <c r="K45" s="379"/>
      <c r="L45" s="378">
        <f ca="1">內容!G72</f>
        <v>0</v>
      </c>
      <c r="M45" s="380"/>
      <c r="N45" s="110"/>
    </row>
    <row r="46" spans="1:15" ht="18.75" customHeight="1">
      <c r="A46" s="407" t="str">
        <f>內容!H66</f>
        <v>技工</v>
      </c>
      <c r="B46" s="408"/>
      <c r="C46" s="378" t="str">
        <f>內容!I66</f>
        <v/>
      </c>
      <c r="D46" s="379"/>
      <c r="E46" s="378">
        <f ca="1">內容!G66</f>
        <v>19</v>
      </c>
      <c r="F46" s="380"/>
      <c r="G46" s="379"/>
      <c r="H46" s="415" t="str">
        <f>內容!H73</f>
        <v>吊卡車</v>
      </c>
      <c r="I46" s="416"/>
      <c r="J46" s="378" t="str">
        <f>內容!I73</f>
        <v/>
      </c>
      <c r="K46" s="379"/>
      <c r="L46" s="378">
        <f ca="1">內容!G73</f>
        <v>0</v>
      </c>
      <c r="M46" s="380"/>
      <c r="N46" s="110"/>
    </row>
    <row r="47" spans="1:15" ht="30.2" customHeight="1">
      <c r="A47" s="376" t="s">
        <v>214</v>
      </c>
      <c r="B47" s="377"/>
      <c r="C47" s="377"/>
      <c r="D47" s="377"/>
      <c r="E47" s="377"/>
      <c r="F47" s="377"/>
      <c r="G47" s="377"/>
      <c r="H47" s="377"/>
      <c r="I47" s="377"/>
      <c r="J47" s="377"/>
      <c r="K47" s="377"/>
      <c r="L47" s="377"/>
      <c r="M47" s="377"/>
      <c r="N47" s="110"/>
    </row>
    <row r="48" spans="1:15" ht="17.100000000000001" customHeight="1">
      <c r="A48" s="362" t="s">
        <v>129</v>
      </c>
      <c r="B48" s="363"/>
      <c r="C48" s="363"/>
      <c r="D48" s="363"/>
      <c r="E48" s="363"/>
      <c r="F48" s="363"/>
      <c r="G48" s="363"/>
      <c r="H48" s="363"/>
      <c r="I48" s="363"/>
      <c r="J48" s="363"/>
      <c r="K48" s="363"/>
      <c r="L48" s="363"/>
      <c r="M48" s="363"/>
      <c r="N48" s="364"/>
    </row>
    <row r="49" spans="1:109" ht="17.100000000000001" customHeight="1">
      <c r="A49" s="362" t="s">
        <v>135</v>
      </c>
      <c r="B49" s="363"/>
      <c r="C49" s="363"/>
      <c r="D49" s="363"/>
      <c r="E49" s="363"/>
      <c r="F49" s="363"/>
      <c r="G49" s="363"/>
      <c r="H49" s="363"/>
      <c r="I49" s="363"/>
      <c r="J49" s="363"/>
      <c r="K49" s="363"/>
      <c r="L49" s="363"/>
      <c r="M49" s="363"/>
      <c r="N49" s="364"/>
      <c r="O49" t="s">
        <v>91</v>
      </c>
    </row>
    <row r="50" spans="1:109" ht="17.100000000000001" customHeight="1">
      <c r="A50" s="365" t="s">
        <v>215</v>
      </c>
      <c r="B50" s="366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7"/>
      <c r="O50" t="s">
        <v>91</v>
      </c>
    </row>
    <row r="51" spans="1:109" ht="17.100000000000001" customHeight="1">
      <c r="A51" s="365" t="s">
        <v>217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7"/>
      <c r="O51" t="s">
        <v>91</v>
      </c>
    </row>
    <row r="52" spans="1:109" ht="17.100000000000001" customHeight="1">
      <c r="A52" s="365" t="s">
        <v>216</v>
      </c>
      <c r="B52" s="366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7"/>
      <c r="O52" t="s">
        <v>91</v>
      </c>
    </row>
    <row r="53" spans="1:109" ht="17.100000000000001" customHeight="1">
      <c r="A53" s="365" t="s">
        <v>136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7"/>
      <c r="O53" t="s">
        <v>91</v>
      </c>
    </row>
    <row r="54" spans="1:109" ht="16.5" customHeight="1">
      <c r="A54" s="368" t="s">
        <v>137</v>
      </c>
      <c r="B54" s="369"/>
      <c r="C54" s="369"/>
      <c r="D54" s="369"/>
      <c r="E54" s="369"/>
      <c r="F54" s="369"/>
      <c r="G54" s="369"/>
      <c r="H54" s="369"/>
      <c r="I54" s="369"/>
      <c r="J54" s="369"/>
      <c r="K54" s="369"/>
      <c r="L54" s="369"/>
      <c r="M54" s="369"/>
      <c r="N54" s="370"/>
      <c r="O54" t="s">
        <v>91</v>
      </c>
    </row>
    <row r="55" spans="1:109" s="81" customFormat="1" ht="19.5" customHeight="1">
      <c r="A55" s="350"/>
      <c r="B55" s="351"/>
      <c r="C55" s="351"/>
      <c r="D55" s="351"/>
      <c r="E55" s="351"/>
      <c r="F55" s="351"/>
      <c r="G55" s="351"/>
      <c r="H55" s="351"/>
      <c r="I55" s="351"/>
      <c r="J55" s="351"/>
      <c r="K55" s="351"/>
      <c r="L55" s="351"/>
      <c r="M55" s="351"/>
      <c r="N55" s="35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2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2"/>
      <c r="AX55" s="82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82"/>
      <c r="BM55" s="82"/>
      <c r="BN55" s="82"/>
      <c r="BO55" s="82"/>
      <c r="BP55" s="82"/>
      <c r="BQ55" s="82"/>
      <c r="BR55" s="82"/>
      <c r="BS55" s="82"/>
      <c r="BT55" s="82"/>
      <c r="BU55" s="82"/>
      <c r="BV55" s="82"/>
      <c r="BW55" s="82"/>
      <c r="BX55" s="82"/>
      <c r="BY55" s="82"/>
      <c r="BZ55" s="82"/>
      <c r="CA55" s="82"/>
      <c r="CB55" s="82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82"/>
      <c r="CO55" s="82"/>
      <c r="CP55" s="82"/>
      <c r="CQ55" s="82"/>
      <c r="CR55" s="82"/>
      <c r="CS55" s="82"/>
      <c r="CT55" s="82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</row>
    <row r="56" spans="1:109" ht="15" customHeight="1">
      <c r="A56" s="371" t="s">
        <v>109</v>
      </c>
      <c r="B56" s="372"/>
      <c r="C56" s="372"/>
      <c r="D56" s="372"/>
      <c r="E56" s="372"/>
      <c r="F56" s="372"/>
      <c r="G56" s="372"/>
      <c r="H56" s="372"/>
      <c r="I56" s="372"/>
      <c r="J56" s="372"/>
      <c r="K56" s="372"/>
      <c r="L56" s="372"/>
      <c r="M56" s="373"/>
      <c r="N56" s="110"/>
      <c r="O56" t="s">
        <v>91</v>
      </c>
    </row>
    <row r="57" spans="1:109" ht="24" customHeight="1">
      <c r="A57" s="353" t="str">
        <f>內容!I76</f>
        <v/>
      </c>
      <c r="B57" s="354"/>
      <c r="C57" s="354"/>
      <c r="D57" s="354"/>
      <c r="E57" s="354"/>
      <c r="F57" s="354"/>
      <c r="G57" s="354"/>
      <c r="H57" s="354"/>
      <c r="I57" s="354"/>
      <c r="J57" s="354"/>
      <c r="K57" s="354"/>
      <c r="L57" s="354"/>
      <c r="M57" s="354"/>
      <c r="N57" s="355"/>
      <c r="O57" t="s">
        <v>91</v>
      </c>
    </row>
    <row r="58" spans="1:109" ht="20.25" customHeight="1">
      <c r="A58" s="353" t="s">
        <v>110</v>
      </c>
      <c r="B58" s="354"/>
      <c r="C58" s="354"/>
      <c r="D58" s="354"/>
      <c r="E58" s="354"/>
      <c r="F58" s="354"/>
      <c r="G58" s="354"/>
      <c r="H58" s="354"/>
      <c r="I58" s="354"/>
      <c r="J58" s="354"/>
      <c r="K58" s="354"/>
      <c r="L58" s="354"/>
      <c r="M58" s="354"/>
      <c r="N58" s="355"/>
      <c r="O58" t="s">
        <v>91</v>
      </c>
    </row>
    <row r="59" spans="1:109" ht="33.75" customHeight="1">
      <c r="A59" s="356" t="str">
        <f ca="1">內容!I77&amp;CHAR(10)&amp;內容!I79</f>
        <v xml:space="preserve">本日無施工
</v>
      </c>
      <c r="B59" s="357"/>
      <c r="C59" s="357"/>
      <c r="D59" s="357"/>
      <c r="E59" s="357"/>
      <c r="F59" s="357"/>
      <c r="G59" s="357"/>
      <c r="H59" s="357"/>
      <c r="I59" s="357"/>
      <c r="J59" s="357"/>
      <c r="K59" s="357"/>
      <c r="L59" s="357"/>
      <c r="M59" s="357"/>
      <c r="N59" s="358"/>
      <c r="O59" t="s">
        <v>91</v>
      </c>
    </row>
    <row r="60" spans="1:109" ht="24" customHeight="1">
      <c r="A60" s="359" t="s">
        <v>111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1"/>
      <c r="O60" t="s">
        <v>91</v>
      </c>
    </row>
    <row r="61" spans="1:109" ht="16.5" customHeight="1">
      <c r="A61" s="344" t="s">
        <v>130</v>
      </c>
      <c r="B61" s="345"/>
      <c r="C61" s="345"/>
      <c r="D61" s="345"/>
      <c r="E61" s="345"/>
      <c r="F61" s="345"/>
      <c r="G61" s="345"/>
      <c r="H61" s="345"/>
      <c r="I61" s="345"/>
      <c r="J61" s="345"/>
      <c r="K61" s="345"/>
      <c r="L61" s="345"/>
      <c r="M61" s="345"/>
      <c r="N61" s="346"/>
      <c r="O61" t="s">
        <v>91</v>
      </c>
    </row>
    <row r="62" spans="1:109" ht="16.5" customHeight="1">
      <c r="A62" s="344"/>
      <c r="B62" s="345"/>
      <c r="C62" s="345"/>
      <c r="D62" s="345"/>
      <c r="E62" s="345"/>
      <c r="F62" s="345"/>
      <c r="G62" s="345"/>
      <c r="H62" s="345"/>
      <c r="I62" s="345"/>
      <c r="J62" s="345"/>
      <c r="K62" s="345"/>
      <c r="L62" s="345"/>
      <c r="M62" s="345"/>
      <c r="N62" s="346"/>
      <c r="O62" t="s">
        <v>91</v>
      </c>
    </row>
    <row r="63" spans="1:109" ht="16.5" customHeight="1">
      <c r="A63" s="344"/>
      <c r="B63" s="345"/>
      <c r="C63" s="345"/>
      <c r="D63" s="345"/>
      <c r="E63" s="345"/>
      <c r="F63" s="345"/>
      <c r="G63" s="345"/>
      <c r="H63" s="345"/>
      <c r="I63" s="345"/>
      <c r="J63" s="345"/>
      <c r="K63" s="345"/>
      <c r="L63" s="345"/>
      <c r="M63" s="345"/>
      <c r="N63" s="346"/>
      <c r="O63" t="s">
        <v>91</v>
      </c>
    </row>
    <row r="64" spans="1:109" ht="16.5" customHeight="1">
      <c r="A64" s="344"/>
      <c r="B64" s="345"/>
      <c r="C64" s="345"/>
      <c r="D64" s="345"/>
      <c r="E64" s="345"/>
      <c r="F64" s="345"/>
      <c r="G64" s="345"/>
      <c r="H64" s="345"/>
      <c r="I64" s="345"/>
      <c r="J64" s="345"/>
      <c r="K64" s="345"/>
      <c r="L64" s="345"/>
      <c r="M64" s="345"/>
      <c r="N64" s="346"/>
      <c r="O64" t="s">
        <v>91</v>
      </c>
    </row>
    <row r="65" spans="1:15" ht="66" customHeight="1" thickBot="1">
      <c r="A65" s="347"/>
      <c r="B65" s="348"/>
      <c r="C65" s="348"/>
      <c r="D65" s="348"/>
      <c r="E65" s="348"/>
      <c r="F65" s="348"/>
      <c r="G65" s="348"/>
      <c r="H65" s="348"/>
      <c r="I65" s="348"/>
      <c r="J65" s="348"/>
      <c r="K65" s="348"/>
      <c r="L65" s="348"/>
      <c r="M65" s="348"/>
      <c r="N65" s="349"/>
      <c r="O65" t="s">
        <v>91</v>
      </c>
    </row>
    <row r="66" spans="1:15" s="16" customFormat="1" ht="16.5" customHeight="1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/>
      <c r="O66" s="16" t="s">
        <v>91</v>
      </c>
    </row>
    <row r="67" spans="1:15" ht="31.7" customHeight="1">
      <c r="A67" s="75"/>
      <c r="O67" t="s">
        <v>91</v>
      </c>
    </row>
    <row r="68" spans="1:15" ht="21.75" customHeight="1">
      <c r="A68" s="75"/>
      <c r="O68" t="s">
        <v>91</v>
      </c>
    </row>
    <row r="69" spans="1:15" ht="20.25" customHeight="1">
      <c r="A69" s="75"/>
      <c r="O69" t="s">
        <v>91</v>
      </c>
    </row>
    <row r="70" spans="1:15" ht="27" customHeight="1">
      <c r="A70" s="75"/>
      <c r="O70" t="s">
        <v>91</v>
      </c>
    </row>
    <row r="71" spans="1:15" ht="22.7" customHeight="1">
      <c r="A71" s="75"/>
      <c r="O71" t="s">
        <v>91</v>
      </c>
    </row>
    <row r="72" spans="1:15" ht="21.2" customHeight="1">
      <c r="A72" s="75"/>
      <c r="O72" t="s">
        <v>91</v>
      </c>
    </row>
    <row r="73" spans="1:15" ht="19.5" customHeight="1">
      <c r="A73" s="75"/>
      <c r="O73" t="s">
        <v>91</v>
      </c>
    </row>
    <row r="74" spans="1:15" ht="19.149999999999999" customHeight="1">
      <c r="A74" s="75"/>
    </row>
    <row r="75" spans="1:15" ht="19.149999999999999" customHeight="1">
      <c r="A75" s="75"/>
    </row>
    <row r="76" spans="1:15" ht="19.149999999999999" customHeight="1">
      <c r="O76" t="s">
        <v>91</v>
      </c>
    </row>
    <row r="77" spans="1:15" ht="19.149999999999999" customHeight="1">
      <c r="O77" t="s">
        <v>91</v>
      </c>
    </row>
    <row r="78" spans="1:15" ht="19.149999999999999" customHeight="1">
      <c r="O78" t="s">
        <v>91</v>
      </c>
    </row>
    <row r="79" spans="1:15" ht="19.149999999999999" customHeight="1">
      <c r="O79" t="s">
        <v>91</v>
      </c>
    </row>
    <row r="80" spans="1:15" ht="19.149999999999999" customHeight="1">
      <c r="O80" t="s">
        <v>91</v>
      </c>
    </row>
    <row r="81" spans="1:13" ht="19.149999999999999" customHeight="1"/>
    <row r="82" spans="1:13" ht="19.149999999999999" customHeight="1"/>
    <row r="83" spans="1:13" ht="19.149999999999999" customHeight="1"/>
    <row r="84" spans="1:13" ht="19.149999999999999" customHeight="1"/>
    <row r="85" spans="1:13" ht="19.149999999999999" customHeight="1"/>
    <row r="86" spans="1:13" ht="19.149999999999999" customHeight="1"/>
    <row r="87" spans="1:13" ht="24" customHeight="1"/>
    <row r="88" spans="1:13" ht="24" customHeight="1"/>
    <row r="89" spans="1:13" ht="24" customHeight="1"/>
    <row r="90" spans="1:13" s="15" customFormat="1" ht="21.2" customHeight="1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</row>
    <row r="91" spans="1:13" ht="18.75" customHeight="1"/>
    <row r="92" spans="1:13" ht="24" customHeight="1"/>
    <row r="93" spans="1:13" ht="24" customHeight="1"/>
    <row r="94" spans="1:13" ht="24" customHeight="1"/>
    <row r="95" spans="1:13" ht="24" customHeight="1"/>
    <row r="96" spans="1:13" ht="24" customHeight="1"/>
    <row r="97" spans="1:13" ht="24" customHeight="1"/>
    <row r="98" spans="1:13" ht="24" customHeight="1"/>
    <row r="99" spans="1:13" ht="36.75" customHeight="1"/>
    <row r="100" spans="1:13" ht="112.7" customHeight="1"/>
    <row r="101" spans="1:13" ht="18" customHeight="1"/>
    <row r="102" spans="1:13" ht="20.100000000000001" customHeight="1"/>
    <row r="103" spans="1:13" ht="38.25" customHeight="1"/>
    <row r="104" spans="1:13" ht="33.6" customHeight="1"/>
    <row r="105" spans="1:13" ht="33.75" customHeight="1"/>
    <row r="106" spans="1:13" s="72" customFormat="1" ht="18" customHeight="1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</row>
    <row r="107" spans="1:13" s="72" customFormat="1" ht="15.75" customHeight="1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</row>
    <row r="108" spans="1:13" ht="24" customHeight="1"/>
    <row r="109" spans="1:13" ht="2.1" customHeight="1"/>
    <row r="111" spans="1:13" ht="17.45" customHeight="1"/>
    <row r="112" spans="1:13" ht="24.75" customHeight="1"/>
    <row r="117" ht="16.5" customHeight="1"/>
    <row r="118" ht="16.5" customHeight="1"/>
    <row r="119" ht="16.5" customHeight="1"/>
    <row r="121" ht="16.5" customHeight="1"/>
    <row r="152" ht="16.5" customHeight="1"/>
    <row r="153" ht="16.5" customHeight="1"/>
    <row r="155" ht="16.5" customHeight="1"/>
    <row r="156" ht="16.5" customHeight="1"/>
    <row r="162" ht="16.5" customHeight="1"/>
    <row r="163" ht="16.5" customHeight="1"/>
    <row r="164" ht="16.5" customHeight="1"/>
    <row r="166" ht="16.5" customHeight="1"/>
    <row r="167" ht="16.5" customHeight="1"/>
    <row r="169" ht="16.5" customHeight="1"/>
    <row r="170" ht="16.5" customHeight="1"/>
    <row r="171" ht="16.5" customHeight="1"/>
    <row r="174" ht="16.5" customHeight="1"/>
    <row r="175" ht="16.5" customHeight="1"/>
  </sheetData>
  <mergeCells count="152">
    <mergeCell ref="C46:D46"/>
    <mergeCell ref="C43:D43"/>
    <mergeCell ref="E43:G43"/>
    <mergeCell ref="H43:I43"/>
    <mergeCell ref="C44:D44"/>
    <mergeCell ref="E44:G44"/>
    <mergeCell ref="H44:I44"/>
    <mergeCell ref="L44:M44"/>
    <mergeCell ref="A46:B46"/>
    <mergeCell ref="L46:M46"/>
    <mergeCell ref="J43:K43"/>
    <mergeCell ref="E46:G46"/>
    <mergeCell ref="A44:B44"/>
    <mergeCell ref="A45:B45"/>
    <mergeCell ref="C45:D45"/>
    <mergeCell ref="E45:G45"/>
    <mergeCell ref="J46:K46"/>
    <mergeCell ref="J44:K44"/>
    <mergeCell ref="H45:I45"/>
    <mergeCell ref="J45:K45"/>
    <mergeCell ref="L45:M45"/>
    <mergeCell ref="H46:I46"/>
    <mergeCell ref="A37:D37"/>
    <mergeCell ref="A32:D32"/>
    <mergeCell ref="A43:B43"/>
    <mergeCell ref="L43:M43"/>
    <mergeCell ref="C41:D41"/>
    <mergeCell ref="E41:G41"/>
    <mergeCell ref="A41:B41"/>
    <mergeCell ref="H41:I41"/>
    <mergeCell ref="J41:K41"/>
    <mergeCell ref="L34:M34"/>
    <mergeCell ref="L35:M35"/>
    <mergeCell ref="F35:G35"/>
    <mergeCell ref="L33:M33"/>
    <mergeCell ref="L42:M42"/>
    <mergeCell ref="H42:I42"/>
    <mergeCell ref="A42:B42"/>
    <mergeCell ref="L37:M37"/>
    <mergeCell ref="I32:J32"/>
    <mergeCell ref="L41:M41"/>
    <mergeCell ref="L39:M39"/>
    <mergeCell ref="H39:I39"/>
    <mergeCell ref="F39:G39"/>
    <mergeCell ref="H38:I38"/>
    <mergeCell ref="A47:M47"/>
    <mergeCell ref="C42:D42"/>
    <mergeCell ref="E42:G42"/>
    <mergeCell ref="H35:I35"/>
    <mergeCell ref="A33:D33"/>
    <mergeCell ref="A34:D34"/>
    <mergeCell ref="A35:D35"/>
    <mergeCell ref="F34:G34"/>
    <mergeCell ref="H33:I33"/>
    <mergeCell ref="H34:I34"/>
    <mergeCell ref="J39:K39"/>
    <mergeCell ref="J35:K35"/>
    <mergeCell ref="J42:K42"/>
    <mergeCell ref="H37:I37"/>
    <mergeCell ref="A40:M40"/>
    <mergeCell ref="J37:K37"/>
    <mergeCell ref="L38:M38"/>
    <mergeCell ref="F38:G38"/>
    <mergeCell ref="J38:K38"/>
    <mergeCell ref="A36:M36"/>
    <mergeCell ref="F33:G33"/>
    <mergeCell ref="J33:K33"/>
    <mergeCell ref="J34:K34"/>
    <mergeCell ref="F37:G37"/>
    <mergeCell ref="A29:D29"/>
    <mergeCell ref="A30:D30"/>
    <mergeCell ref="I29:J29"/>
    <mergeCell ref="I31:J31"/>
    <mergeCell ref="A27:D27"/>
    <mergeCell ref="A28:D28"/>
    <mergeCell ref="I27:J27"/>
    <mergeCell ref="I28:J28"/>
    <mergeCell ref="I12:J12"/>
    <mergeCell ref="I13:J13"/>
    <mergeCell ref="I14:J14"/>
    <mergeCell ref="I15:J15"/>
    <mergeCell ref="I16:J16"/>
    <mergeCell ref="I17:J17"/>
    <mergeCell ref="A25:D25"/>
    <mergeCell ref="A26:D26"/>
    <mergeCell ref="I25:J25"/>
    <mergeCell ref="I26:J26"/>
    <mergeCell ref="A23:D23"/>
    <mergeCell ref="A24:D24"/>
    <mergeCell ref="I21:J21"/>
    <mergeCell ref="I22:J22"/>
    <mergeCell ref="A19:D19"/>
    <mergeCell ref="A20:D20"/>
    <mergeCell ref="A61:N65"/>
    <mergeCell ref="A55:N55"/>
    <mergeCell ref="A57:N57"/>
    <mergeCell ref="A58:N58"/>
    <mergeCell ref="A59:N59"/>
    <mergeCell ref="A60:N60"/>
    <mergeCell ref="A48:N48"/>
    <mergeCell ref="A49:N49"/>
    <mergeCell ref="A50:N50"/>
    <mergeCell ref="A51:N51"/>
    <mergeCell ref="A52:N52"/>
    <mergeCell ref="A53:N53"/>
    <mergeCell ref="A54:N54"/>
    <mergeCell ref="A56:M56"/>
    <mergeCell ref="A1:N1"/>
    <mergeCell ref="A6:E6"/>
    <mergeCell ref="A7:E7"/>
    <mergeCell ref="J4:K4"/>
    <mergeCell ref="C4:I4"/>
    <mergeCell ref="H5:I5"/>
    <mergeCell ref="F6:G6"/>
    <mergeCell ref="H6:I6"/>
    <mergeCell ref="F7:G7"/>
    <mergeCell ref="H7:I7"/>
    <mergeCell ref="J7:K7"/>
    <mergeCell ref="M6:N6"/>
    <mergeCell ref="M7:N7"/>
    <mergeCell ref="L3:M3"/>
    <mergeCell ref="L5:M5"/>
    <mergeCell ref="L4:N4"/>
    <mergeCell ref="J5:K5"/>
    <mergeCell ref="J6:K6"/>
    <mergeCell ref="A4:B4"/>
    <mergeCell ref="D5:F5"/>
    <mergeCell ref="B5:C5"/>
    <mergeCell ref="A31:D31"/>
    <mergeCell ref="I30:J30"/>
    <mergeCell ref="J3:K3"/>
    <mergeCell ref="A17:D17"/>
    <mergeCell ref="A18:D18"/>
    <mergeCell ref="I18:J18"/>
    <mergeCell ref="A15:D15"/>
    <mergeCell ref="A16:D16"/>
    <mergeCell ref="A8:N8"/>
    <mergeCell ref="I9:J9"/>
    <mergeCell ref="I10:J10"/>
    <mergeCell ref="I11:J11"/>
    <mergeCell ref="A9:D9"/>
    <mergeCell ref="A10:D10"/>
    <mergeCell ref="I23:J23"/>
    <mergeCell ref="I24:J24"/>
    <mergeCell ref="A21:D21"/>
    <mergeCell ref="A22:D22"/>
    <mergeCell ref="I19:J19"/>
    <mergeCell ref="I20:J20"/>
    <mergeCell ref="A13:D13"/>
    <mergeCell ref="A14:D14"/>
    <mergeCell ref="A11:D11"/>
    <mergeCell ref="A12:D12"/>
  </mergeCells>
  <phoneticPr fontId="45" type="noConversion"/>
  <printOptions horizontalCentered="1" verticalCentered="1"/>
  <pageMargins left="0.31496062992125984" right="0.19685039370078741" top="0.31496062992125984" bottom="0.15748031496062992" header="0.51181102362204722" footer="0.31496062992125984"/>
  <pageSetup paperSize="9" scale="60"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4100" r:id="rId4" name="Button 4">
              <controlPr defaultSize="0" print="0" autoFill="0" autoPict="0" macro="[0]!DoDo2">
                <anchor moveWithCells="1" sizeWithCells="1">
                  <from>
                    <xdr:col>20</xdr:col>
                    <xdr:colOff>76200</xdr:colOff>
                    <xdr:row>5</xdr:row>
                    <xdr:rowOff>19050</xdr:rowOff>
                  </from>
                  <to>
                    <xdr:col>21</xdr:col>
                    <xdr:colOff>209550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101" r:id="rId5" name="Button 5">
              <controlPr defaultSize="0" print="0" autoFill="0" autoPict="0" macro="[0]!DoDo1">
                <anchor moveWithCells="1" sizeWithCells="1">
                  <from>
                    <xdr:col>18</xdr:col>
                    <xdr:colOff>28575</xdr:colOff>
                    <xdr:row>9</xdr:row>
                    <xdr:rowOff>19050</xdr:rowOff>
                  </from>
                  <to>
                    <xdr:col>19</xdr:col>
                    <xdr:colOff>161925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indexed="46"/>
  </sheetPr>
  <dimension ref="A1:J67"/>
  <sheetViews>
    <sheetView view="pageBreakPreview" topLeftCell="A16" zoomScale="85" zoomScaleNormal="115" zoomScaleSheetLayoutView="85" zoomScalePageLayoutView="70" workbookViewId="0">
      <selection activeCell="O9" sqref="O9"/>
    </sheetView>
  </sheetViews>
  <sheetFormatPr defaultRowHeight="16.5"/>
  <cols>
    <col min="1" max="1" width="12.875" customWidth="1"/>
    <col min="2" max="2" width="14.875" customWidth="1"/>
    <col min="3" max="3" width="10.875" customWidth="1"/>
    <col min="4" max="4" width="14.625" customWidth="1"/>
    <col min="6" max="6" width="5.625" customWidth="1"/>
    <col min="7" max="7" width="14.875" customWidth="1"/>
    <col min="8" max="8" width="13.125" customWidth="1"/>
    <col min="9" max="9" width="14.375" customWidth="1"/>
    <col min="10" max="10" width="11.875" customWidth="1"/>
  </cols>
  <sheetData>
    <row r="1" spans="1:10" ht="30">
      <c r="A1" s="12" t="e">
        <f>#REF!</f>
        <v>#REF!</v>
      </c>
      <c r="B1" s="447" t="s">
        <v>60</v>
      </c>
      <c r="C1" s="447"/>
      <c r="D1" s="447"/>
      <c r="E1" s="447"/>
      <c r="F1" s="447"/>
      <c r="G1" s="447"/>
      <c r="H1" s="447"/>
      <c r="I1" s="447"/>
      <c r="J1" s="447"/>
    </row>
    <row r="2" spans="1:10">
      <c r="A2" s="1" t="s">
        <v>47</v>
      </c>
    </row>
    <row r="3" spans="1:10" ht="21.2" customHeight="1">
      <c r="A3" s="20" t="s">
        <v>59</v>
      </c>
      <c r="B3" s="22" t="s">
        <v>22</v>
      </c>
      <c r="C3" s="20" t="str">
        <f>施工日誌!C3</f>
        <v>陰天</v>
      </c>
      <c r="D3" s="22" t="s">
        <v>23</v>
      </c>
      <c r="E3" s="20" t="str">
        <f>施工日誌!E3</f>
        <v>陰天</v>
      </c>
      <c r="G3" s="460" t="s">
        <v>58</v>
      </c>
      <c r="H3" s="460"/>
      <c r="I3" s="65">
        <f>內容!I14</f>
        <v>46263</v>
      </c>
      <c r="J3" s="66">
        <f>IF(IF(WEEKDAY(內容!A14,2)=7,"星期日",WEEKDAY(I3,2))="","",IF(WEEKDAY(I3,2)=7,"星期日",WEEKDAY(I3,2)))</f>
        <v>6</v>
      </c>
    </row>
    <row r="4" spans="1:10" ht="48.2" customHeight="1">
      <c r="A4" s="13" t="s">
        <v>48</v>
      </c>
      <c r="B4" s="415" t="str">
        <f>施工日誌!C4</f>
        <v>龍井國小114-116年公立國民中小學老舊廁所整修工程</v>
      </c>
      <c r="C4" s="463"/>
      <c r="D4" s="463"/>
      <c r="E4" s="463"/>
      <c r="F4" s="463"/>
      <c r="G4" s="463"/>
      <c r="H4" s="463"/>
      <c r="I4" s="463"/>
      <c r="J4" s="416"/>
    </row>
    <row r="5" spans="1:10" ht="34.5" customHeight="1">
      <c r="A5" s="13" t="s">
        <v>49</v>
      </c>
      <c r="B5" s="50">
        <f>施工日誌!B5</f>
        <v>180</v>
      </c>
      <c r="C5" s="13" t="s">
        <v>102</v>
      </c>
      <c r="D5" s="64">
        <f>內容!J14</f>
        <v>46232</v>
      </c>
      <c r="E5" s="461" t="s">
        <v>53</v>
      </c>
      <c r="F5" s="461"/>
      <c r="G5" s="52">
        <f>內容!D12+G6</f>
        <v>46411</v>
      </c>
      <c r="H5" s="71" t="s">
        <v>99</v>
      </c>
      <c r="I5" s="464">
        <v>45302</v>
      </c>
      <c r="J5" s="465"/>
    </row>
    <row r="6" spans="1:10" ht="34.5" customHeight="1">
      <c r="A6" s="461" t="s">
        <v>51</v>
      </c>
      <c r="B6" s="461"/>
      <c r="C6" s="14"/>
      <c r="D6" s="461" t="s">
        <v>52</v>
      </c>
      <c r="E6" s="461"/>
      <c r="F6" s="461"/>
      <c r="G6" s="96">
        <f>施工日誌!N5</f>
        <v>0</v>
      </c>
      <c r="H6" s="461" t="s">
        <v>54</v>
      </c>
      <c r="I6" s="466" t="str">
        <f>"新台幣："&amp;NUMBERSTRING(內容!D8,2)&amp;"元整"</f>
        <v>新台幣：參佰參拾參萬元整</v>
      </c>
      <c r="J6" s="467"/>
    </row>
    <row r="7" spans="1:10" ht="34.5" customHeight="1">
      <c r="A7" s="13" t="s">
        <v>61</v>
      </c>
      <c r="B7" s="462" t="str">
        <f>施工日誌!F7</f>
        <v>9.87%</v>
      </c>
      <c r="C7" s="461"/>
      <c r="D7" s="461" t="s">
        <v>62</v>
      </c>
      <c r="E7" s="461"/>
      <c r="F7" s="461" t="str">
        <f>施工日誌!J7</f>
        <v>11.3%</v>
      </c>
      <c r="G7" s="461"/>
      <c r="H7" s="461"/>
      <c r="I7" s="468"/>
      <c r="J7" s="469"/>
    </row>
    <row r="8" spans="1:10" s="18" customFormat="1" ht="24" customHeight="1">
      <c r="A8" s="443" t="s">
        <v>124</v>
      </c>
      <c r="B8" s="443"/>
      <c r="C8" s="443"/>
      <c r="D8" s="443"/>
      <c r="E8" s="443"/>
      <c r="F8" s="443"/>
      <c r="G8" s="443"/>
      <c r="H8" s="443"/>
      <c r="I8" s="443"/>
      <c r="J8" s="443"/>
    </row>
    <row r="9" spans="1:10" ht="117.75" customHeight="1">
      <c r="A9" s="452" t="str">
        <f ca="1">內容!I77</f>
        <v>本日無施工</v>
      </c>
      <c r="B9" s="453"/>
      <c r="C9" s="453"/>
      <c r="D9" s="453"/>
      <c r="E9" s="453"/>
      <c r="F9" s="453"/>
      <c r="G9" s="453"/>
      <c r="H9" s="453"/>
      <c r="I9" s="453"/>
      <c r="J9" s="454"/>
    </row>
    <row r="10" spans="1:10" s="18" customFormat="1" ht="24" customHeight="1">
      <c r="A10" s="443" t="s">
        <v>123</v>
      </c>
      <c r="B10" s="443"/>
      <c r="C10" s="443"/>
      <c r="D10" s="443"/>
      <c r="E10" s="443"/>
      <c r="F10" s="443"/>
      <c r="G10" s="443"/>
      <c r="H10" s="443"/>
      <c r="I10" s="443"/>
      <c r="J10" s="443"/>
    </row>
    <row r="11" spans="1:10">
      <c r="A11" s="450" t="str">
        <f>內容!I76</f>
        <v/>
      </c>
      <c r="B11" s="440"/>
      <c r="C11" s="440"/>
      <c r="D11" s="440"/>
      <c r="E11" s="440"/>
      <c r="F11" s="440"/>
      <c r="G11" s="440"/>
      <c r="H11" s="440"/>
      <c r="I11" s="440"/>
      <c r="J11" s="451"/>
    </row>
    <row r="12" spans="1:10">
      <c r="A12" s="450"/>
      <c r="B12" s="440"/>
      <c r="C12" s="440"/>
      <c r="D12" s="440"/>
      <c r="E12" s="440"/>
      <c r="F12" s="440"/>
      <c r="G12" s="440"/>
      <c r="H12" s="440"/>
      <c r="I12" s="440"/>
      <c r="J12" s="451"/>
    </row>
    <row r="13" spans="1:10">
      <c r="A13" s="450"/>
      <c r="B13" s="440"/>
      <c r="C13" s="440"/>
      <c r="D13" s="440"/>
      <c r="E13" s="440"/>
      <c r="F13" s="440"/>
      <c r="G13" s="440"/>
      <c r="H13" s="440"/>
      <c r="I13" s="440"/>
      <c r="J13" s="451"/>
    </row>
    <row r="14" spans="1:10">
      <c r="A14" s="450"/>
      <c r="B14" s="440"/>
      <c r="C14" s="440"/>
      <c r="D14" s="440"/>
      <c r="E14" s="440"/>
      <c r="F14" s="440"/>
      <c r="G14" s="440"/>
      <c r="H14" s="440"/>
      <c r="I14" s="440"/>
      <c r="J14" s="451"/>
    </row>
    <row r="15" spans="1:10">
      <c r="A15" s="450"/>
      <c r="B15" s="440"/>
      <c r="C15" s="440"/>
      <c r="D15" s="440"/>
      <c r="E15" s="440"/>
      <c r="F15" s="440"/>
      <c r="G15" s="440"/>
      <c r="H15" s="440"/>
      <c r="I15" s="440"/>
      <c r="J15" s="451"/>
    </row>
    <row r="16" spans="1:10" s="18" customFormat="1" ht="24" customHeight="1">
      <c r="A16" s="443" t="s">
        <v>122</v>
      </c>
      <c r="B16" s="443"/>
      <c r="C16" s="443"/>
      <c r="D16" s="443"/>
      <c r="E16" s="443"/>
      <c r="F16" s="443"/>
      <c r="G16" s="443"/>
      <c r="H16" s="443"/>
      <c r="I16" s="443"/>
      <c r="J16" s="443"/>
    </row>
    <row r="17" spans="1:10">
      <c r="A17" s="450" t="str">
        <f>內容!I74&amp;內容!I75</f>
        <v/>
      </c>
      <c r="B17" s="440"/>
      <c r="C17" s="440"/>
      <c r="D17" s="440"/>
      <c r="E17" s="440"/>
      <c r="F17" s="440"/>
      <c r="G17" s="440"/>
      <c r="H17" s="440"/>
      <c r="I17" s="440"/>
      <c r="J17" s="451"/>
    </row>
    <row r="18" spans="1:10">
      <c r="A18" s="450"/>
      <c r="B18" s="440"/>
      <c r="C18" s="440"/>
      <c r="D18" s="440"/>
      <c r="E18" s="440"/>
      <c r="F18" s="440"/>
      <c r="G18" s="440"/>
      <c r="H18" s="440"/>
      <c r="I18" s="440"/>
      <c r="J18" s="451"/>
    </row>
    <row r="19" spans="1:10">
      <c r="A19" s="450"/>
      <c r="B19" s="440"/>
      <c r="C19" s="440"/>
      <c r="D19" s="440"/>
      <c r="E19" s="440"/>
      <c r="F19" s="440"/>
      <c r="G19" s="440"/>
      <c r="H19" s="440"/>
      <c r="I19" s="440"/>
      <c r="J19" s="451"/>
    </row>
    <row r="20" spans="1:10" ht="45" customHeight="1">
      <c r="A20" s="452"/>
      <c r="B20" s="453"/>
      <c r="C20" s="453"/>
      <c r="D20" s="453"/>
      <c r="E20" s="453"/>
      <c r="F20" s="453"/>
      <c r="G20" s="453"/>
      <c r="H20" s="453"/>
      <c r="I20" s="453"/>
      <c r="J20" s="454"/>
    </row>
    <row r="21" spans="1:10" ht="17.850000000000001" customHeight="1">
      <c r="A21" s="443" t="s">
        <v>90</v>
      </c>
      <c r="B21" s="443"/>
      <c r="C21" s="443"/>
      <c r="D21" s="443"/>
      <c r="E21" s="443"/>
      <c r="F21" s="443"/>
      <c r="G21" s="443"/>
      <c r="H21" s="443"/>
      <c r="I21" s="443"/>
      <c r="J21" s="443"/>
    </row>
    <row r="22" spans="1:10" ht="78" customHeight="1">
      <c r="A22" s="444" t="s">
        <v>139</v>
      </c>
      <c r="B22" s="445"/>
      <c r="C22" s="445"/>
      <c r="D22" s="445"/>
      <c r="E22" s="445"/>
      <c r="F22" s="445"/>
      <c r="G22" s="445"/>
      <c r="H22" s="445"/>
      <c r="I22" s="445"/>
      <c r="J22" s="446"/>
    </row>
    <row r="23" spans="1:10" s="18" customFormat="1" ht="24" customHeight="1">
      <c r="A23" s="457" t="s">
        <v>88</v>
      </c>
      <c r="B23" s="458"/>
      <c r="C23" s="458"/>
      <c r="D23" s="458"/>
      <c r="E23" s="458"/>
      <c r="F23" s="458"/>
      <c r="G23" s="458"/>
      <c r="H23" s="458"/>
      <c r="I23" s="458"/>
      <c r="J23" s="459"/>
    </row>
    <row r="24" spans="1:10">
      <c r="A24" s="450" t="str">
        <f>內容!I79</f>
        <v/>
      </c>
      <c r="B24" s="440"/>
      <c r="C24" s="440"/>
      <c r="D24" s="440"/>
      <c r="E24" s="440"/>
      <c r="F24" s="440"/>
      <c r="G24" s="440"/>
      <c r="H24" s="440"/>
      <c r="I24" s="440"/>
      <c r="J24" s="451"/>
    </row>
    <row r="25" spans="1:10">
      <c r="A25" s="450"/>
      <c r="B25" s="440"/>
      <c r="C25" s="440"/>
      <c r="D25" s="440"/>
      <c r="E25" s="440"/>
      <c r="F25" s="440"/>
      <c r="G25" s="440"/>
      <c r="H25" s="440"/>
      <c r="I25" s="440"/>
      <c r="J25" s="451"/>
    </row>
    <row r="26" spans="1:10">
      <c r="A26" s="450"/>
      <c r="B26" s="440"/>
      <c r="C26" s="440"/>
      <c r="D26" s="440"/>
      <c r="E26" s="440"/>
      <c r="F26" s="440"/>
      <c r="G26" s="440"/>
      <c r="H26" s="440"/>
      <c r="I26" s="440"/>
      <c r="J26" s="451"/>
    </row>
    <row r="27" spans="1:10">
      <c r="A27" s="452"/>
      <c r="B27" s="453"/>
      <c r="C27" s="453"/>
      <c r="D27" s="453"/>
      <c r="E27" s="453"/>
      <c r="F27" s="453"/>
      <c r="G27" s="453"/>
      <c r="H27" s="453"/>
      <c r="I27" s="453"/>
      <c r="J27" s="454"/>
    </row>
    <row r="28" spans="1:10" ht="87.75" customHeight="1">
      <c r="A28" s="449" t="s">
        <v>63</v>
      </c>
      <c r="B28" s="449"/>
      <c r="C28" s="449"/>
      <c r="D28" s="449"/>
      <c r="E28" s="449"/>
      <c r="F28" s="449"/>
      <c r="G28" s="449"/>
      <c r="H28" s="449"/>
      <c r="I28" s="449"/>
      <c r="J28" s="449"/>
    </row>
    <row r="29" spans="1:10">
      <c r="A29" s="441" t="s">
        <v>121</v>
      </c>
      <c r="B29" s="441"/>
      <c r="C29" s="441"/>
      <c r="D29" s="441"/>
      <c r="E29" s="441"/>
      <c r="F29" s="441"/>
      <c r="G29" s="441"/>
      <c r="H29" s="441"/>
      <c r="I29" s="441"/>
      <c r="J29" s="441"/>
    </row>
    <row r="30" spans="1:10" s="17" customFormat="1" ht="36" customHeight="1">
      <c r="A30" s="442"/>
      <c r="B30" s="442"/>
      <c r="C30" s="442"/>
      <c r="D30" s="442"/>
      <c r="E30" s="442"/>
      <c r="F30" s="442"/>
      <c r="G30" s="442"/>
      <c r="H30" s="442"/>
      <c r="I30" s="442"/>
      <c r="J30" s="442"/>
    </row>
    <row r="31" spans="1:10" s="17" customFormat="1" ht="36" customHeight="1">
      <c r="A31" s="442"/>
      <c r="B31" s="442"/>
      <c r="C31" s="442"/>
      <c r="D31" s="442"/>
      <c r="E31" s="442"/>
      <c r="F31" s="442"/>
      <c r="G31" s="442"/>
      <c r="H31" s="442"/>
      <c r="I31" s="442"/>
      <c r="J31" s="442"/>
    </row>
    <row r="32" spans="1:10" s="17" customFormat="1" ht="18.75" customHeight="1">
      <c r="A32" s="442"/>
      <c r="B32" s="442"/>
      <c r="C32" s="442"/>
      <c r="D32" s="442"/>
      <c r="E32" s="442"/>
      <c r="F32" s="442"/>
      <c r="G32" s="442"/>
      <c r="H32" s="442"/>
      <c r="I32" s="442"/>
      <c r="J32" s="442"/>
    </row>
    <row r="33" spans="1:10" s="17" customFormat="1" ht="36" customHeight="1">
      <c r="A33" s="442"/>
      <c r="B33" s="442"/>
      <c r="C33" s="442"/>
      <c r="D33" s="442"/>
      <c r="E33" s="442"/>
      <c r="F33" s="442"/>
      <c r="G33" s="442"/>
      <c r="H33" s="442"/>
      <c r="I33" s="442"/>
      <c r="J33" s="442"/>
    </row>
    <row r="34" spans="1:10" s="17" customFormat="1" ht="36" customHeight="1">
      <c r="A34" s="442"/>
      <c r="B34" s="442"/>
      <c r="C34" s="442"/>
      <c r="D34" s="442"/>
      <c r="E34" s="442"/>
      <c r="F34" s="442"/>
      <c r="G34" s="442"/>
      <c r="H34" s="442"/>
      <c r="I34" s="442"/>
      <c r="J34" s="442"/>
    </row>
    <row r="36" spans="1:10" ht="30">
      <c r="A36" s="12"/>
      <c r="B36" s="447"/>
      <c r="C36" s="447"/>
      <c r="D36" s="447"/>
      <c r="E36" s="447"/>
      <c r="F36" s="447"/>
      <c r="G36" s="447"/>
      <c r="H36" s="447"/>
      <c r="I36" s="447"/>
      <c r="J36" s="447"/>
    </row>
    <row r="37" spans="1:10">
      <c r="A37" s="1"/>
    </row>
    <row r="38" spans="1:10">
      <c r="A38" s="20"/>
      <c r="B38" s="22"/>
      <c r="C38" s="20"/>
      <c r="D38" s="22"/>
      <c r="E38" s="20"/>
      <c r="G38" s="448"/>
      <c r="H38" s="448"/>
      <c r="I38" s="21"/>
      <c r="J38" s="19"/>
    </row>
    <row r="39" spans="1:10">
      <c r="A39" s="46"/>
      <c r="B39" s="455"/>
      <c r="C39" s="455"/>
      <c r="D39" s="455"/>
      <c r="E39" s="455"/>
      <c r="F39" s="455"/>
      <c r="G39" s="455"/>
      <c r="H39" s="455"/>
      <c r="I39" s="455"/>
      <c r="J39" s="455"/>
    </row>
    <row r="40" spans="1:10">
      <c r="A40" s="46"/>
      <c r="B40" s="47"/>
      <c r="C40" s="46"/>
      <c r="D40" s="48"/>
      <c r="E40" s="436"/>
      <c r="F40" s="436"/>
      <c r="G40" s="48"/>
      <c r="H40" s="46"/>
      <c r="I40" s="456"/>
      <c r="J40" s="456"/>
    </row>
    <row r="41" spans="1:10">
      <c r="A41" s="436"/>
      <c r="B41" s="436"/>
      <c r="C41" s="47"/>
      <c r="D41" s="436"/>
      <c r="E41" s="436"/>
      <c r="F41" s="436"/>
      <c r="G41" s="47"/>
      <c r="H41" s="436"/>
      <c r="I41" s="439"/>
      <c r="J41" s="439"/>
    </row>
    <row r="42" spans="1:10">
      <c r="A42" s="46"/>
      <c r="B42" s="436"/>
      <c r="C42" s="436"/>
      <c r="D42" s="436"/>
      <c r="E42" s="436"/>
      <c r="F42" s="436"/>
      <c r="G42" s="436"/>
      <c r="H42" s="436"/>
      <c r="I42" s="439"/>
      <c r="J42" s="439"/>
    </row>
    <row r="43" spans="1:10">
      <c r="A43" s="438"/>
      <c r="B43" s="438"/>
      <c r="C43" s="438"/>
      <c r="D43" s="438"/>
      <c r="E43" s="438"/>
      <c r="F43" s="438"/>
      <c r="G43" s="438"/>
      <c r="H43" s="438"/>
      <c r="I43" s="438"/>
      <c r="J43" s="438"/>
    </row>
    <row r="44" spans="1:10">
      <c r="A44" s="437"/>
      <c r="B44" s="437"/>
      <c r="C44" s="437"/>
      <c r="D44" s="437"/>
      <c r="E44" s="437"/>
      <c r="F44" s="437"/>
      <c r="G44" s="437"/>
      <c r="H44" s="437"/>
      <c r="I44" s="437"/>
      <c r="J44" s="437"/>
    </row>
    <row r="45" spans="1:10">
      <c r="A45" s="438"/>
      <c r="B45" s="438"/>
      <c r="C45" s="438"/>
      <c r="D45" s="438"/>
      <c r="E45" s="438"/>
      <c r="F45" s="438"/>
      <c r="G45" s="438"/>
      <c r="H45" s="438"/>
      <c r="I45" s="438"/>
      <c r="J45" s="438"/>
    </row>
    <row r="46" spans="1:10">
      <c r="A46" s="437"/>
      <c r="B46" s="437"/>
      <c r="C46" s="437"/>
      <c r="D46" s="437"/>
      <c r="E46" s="437"/>
      <c r="F46" s="437"/>
      <c r="G46" s="437"/>
      <c r="H46" s="437"/>
      <c r="I46" s="437"/>
      <c r="J46" s="437"/>
    </row>
    <row r="47" spans="1:10">
      <c r="A47" s="437"/>
      <c r="B47" s="437"/>
      <c r="C47" s="437"/>
      <c r="D47" s="437"/>
      <c r="E47" s="437"/>
      <c r="F47" s="437"/>
      <c r="G47" s="437"/>
      <c r="H47" s="437"/>
      <c r="I47" s="437"/>
      <c r="J47" s="437"/>
    </row>
    <row r="48" spans="1:10">
      <c r="A48" s="437"/>
      <c r="B48" s="437"/>
      <c r="C48" s="437"/>
      <c r="D48" s="437"/>
      <c r="E48" s="437"/>
      <c r="F48" s="437"/>
      <c r="G48" s="437"/>
      <c r="H48" s="437"/>
      <c r="I48" s="437"/>
      <c r="J48" s="437"/>
    </row>
    <row r="49" spans="1:10">
      <c r="A49" s="437"/>
      <c r="B49" s="437"/>
      <c r="C49" s="437"/>
      <c r="D49" s="437"/>
      <c r="E49" s="437"/>
      <c r="F49" s="437"/>
      <c r="G49" s="437"/>
      <c r="H49" s="437"/>
      <c r="I49" s="437"/>
      <c r="J49" s="437"/>
    </row>
    <row r="50" spans="1:10">
      <c r="A50" s="437"/>
      <c r="B50" s="437"/>
      <c r="C50" s="437"/>
      <c r="D50" s="437"/>
      <c r="E50" s="437"/>
      <c r="F50" s="437"/>
      <c r="G50" s="437"/>
      <c r="H50" s="437"/>
      <c r="I50" s="437"/>
      <c r="J50" s="437"/>
    </row>
    <row r="51" spans="1:10">
      <c r="A51" s="438"/>
      <c r="B51" s="438"/>
      <c r="C51" s="438"/>
      <c r="D51" s="438"/>
      <c r="E51" s="438"/>
      <c r="F51" s="438"/>
      <c r="G51" s="438"/>
      <c r="H51" s="438"/>
      <c r="I51" s="438"/>
      <c r="J51" s="438"/>
    </row>
    <row r="52" spans="1:10">
      <c r="A52" s="437"/>
      <c r="B52" s="437"/>
      <c r="C52" s="437"/>
      <c r="D52" s="437"/>
      <c r="E52" s="437"/>
      <c r="F52" s="437"/>
      <c r="G52" s="437"/>
      <c r="H52" s="437"/>
      <c r="I52" s="437"/>
      <c r="J52" s="437"/>
    </row>
    <row r="53" spans="1:10">
      <c r="A53" s="437"/>
      <c r="B53" s="437"/>
      <c r="C53" s="437"/>
      <c r="D53" s="437"/>
      <c r="E53" s="437"/>
      <c r="F53" s="437"/>
      <c r="G53" s="437"/>
      <c r="H53" s="437"/>
      <c r="I53" s="437"/>
      <c r="J53" s="437"/>
    </row>
    <row r="54" spans="1:10">
      <c r="A54" s="437"/>
      <c r="B54" s="437"/>
      <c r="C54" s="437"/>
      <c r="D54" s="437"/>
      <c r="E54" s="437"/>
      <c r="F54" s="437"/>
      <c r="G54" s="437"/>
      <c r="H54" s="437"/>
      <c r="I54" s="437"/>
      <c r="J54" s="437"/>
    </row>
    <row r="55" spans="1:10">
      <c r="A55" s="437"/>
      <c r="B55" s="437"/>
      <c r="C55" s="437"/>
      <c r="D55" s="437"/>
      <c r="E55" s="437"/>
      <c r="F55" s="437"/>
      <c r="G55" s="437"/>
      <c r="H55" s="437"/>
      <c r="I55" s="437"/>
      <c r="J55" s="437"/>
    </row>
    <row r="56" spans="1:10">
      <c r="A56" s="440"/>
      <c r="B56" s="440"/>
      <c r="C56" s="440"/>
      <c r="D56" s="440"/>
      <c r="E56" s="440"/>
      <c r="F56" s="440"/>
      <c r="G56" s="440"/>
      <c r="H56" s="440"/>
      <c r="I56" s="440"/>
      <c r="J56" s="440"/>
    </row>
    <row r="57" spans="1:10">
      <c r="A57" s="437"/>
      <c r="B57" s="437"/>
      <c r="C57" s="437"/>
      <c r="D57" s="437"/>
      <c r="E57" s="437"/>
      <c r="F57" s="437"/>
      <c r="G57" s="437"/>
      <c r="H57" s="437"/>
      <c r="I57" s="437"/>
      <c r="J57" s="437"/>
    </row>
    <row r="58" spans="1:10">
      <c r="A58" s="437"/>
      <c r="B58" s="437"/>
      <c r="C58" s="437"/>
      <c r="D58" s="437"/>
      <c r="E58" s="437"/>
      <c r="F58" s="437"/>
      <c r="G58" s="437"/>
      <c r="H58" s="437"/>
      <c r="I58" s="437"/>
      <c r="J58" s="437"/>
    </row>
    <row r="59" spans="1:10">
      <c r="A59" s="437"/>
      <c r="B59" s="437"/>
      <c r="C59" s="437"/>
      <c r="D59" s="437"/>
      <c r="E59" s="437"/>
      <c r="F59" s="437"/>
      <c r="G59" s="437"/>
      <c r="H59" s="437"/>
      <c r="I59" s="437"/>
      <c r="J59" s="437"/>
    </row>
    <row r="60" spans="1:10">
      <c r="A60" s="49"/>
      <c r="B60" s="49"/>
      <c r="C60" s="49"/>
      <c r="D60" s="49"/>
      <c r="E60" s="49"/>
      <c r="F60" s="49"/>
      <c r="G60" s="49"/>
      <c r="H60" s="49"/>
      <c r="I60" s="49"/>
      <c r="J60" s="49"/>
    </row>
    <row r="61" spans="1:10">
      <c r="A61" s="434"/>
      <c r="B61" s="434"/>
      <c r="C61" s="434"/>
      <c r="D61" s="434"/>
      <c r="E61" s="434"/>
      <c r="F61" s="434"/>
      <c r="G61" s="434"/>
      <c r="H61" s="434"/>
      <c r="I61" s="434"/>
      <c r="J61" s="434"/>
    </row>
    <row r="62" spans="1:10">
      <c r="A62" s="11"/>
      <c r="B62" s="11"/>
      <c r="C62" s="11"/>
      <c r="D62" s="11"/>
      <c r="E62" s="11"/>
      <c r="F62" s="11"/>
      <c r="G62" s="11"/>
      <c r="H62" s="11"/>
      <c r="I62" s="11"/>
      <c r="J62" s="11"/>
    </row>
    <row r="63" spans="1:10">
      <c r="A63" s="435"/>
      <c r="B63" s="435"/>
      <c r="C63" s="435"/>
      <c r="D63" s="435"/>
      <c r="E63" s="435"/>
      <c r="F63" s="435"/>
      <c r="G63" s="435"/>
      <c r="H63" s="435"/>
      <c r="I63" s="435"/>
      <c r="J63" s="435"/>
    </row>
    <row r="64" spans="1:10">
      <c r="A64" s="433"/>
      <c r="B64" s="433"/>
      <c r="C64" s="433"/>
      <c r="D64" s="433"/>
      <c r="E64" s="433"/>
      <c r="F64" s="433"/>
      <c r="G64" s="433"/>
      <c r="H64" s="433"/>
      <c r="I64" s="433"/>
      <c r="J64" s="433"/>
    </row>
    <row r="65" spans="1:10">
      <c r="A65" s="433"/>
      <c r="B65" s="433"/>
      <c r="C65" s="433"/>
      <c r="D65" s="433"/>
      <c r="E65" s="433"/>
      <c r="F65" s="433"/>
      <c r="G65" s="433"/>
      <c r="H65" s="433"/>
      <c r="I65" s="433"/>
      <c r="J65" s="433"/>
    </row>
    <row r="66" spans="1:10">
      <c r="A66" s="433"/>
      <c r="B66" s="433"/>
      <c r="C66" s="433"/>
      <c r="D66" s="433"/>
      <c r="E66" s="433"/>
      <c r="F66" s="433"/>
      <c r="G66" s="433"/>
      <c r="H66" s="433"/>
      <c r="I66" s="433"/>
      <c r="J66" s="433"/>
    </row>
    <row r="67" spans="1:10">
      <c r="A67" s="433"/>
      <c r="B67" s="433"/>
      <c r="C67" s="433"/>
      <c r="D67" s="433"/>
      <c r="E67" s="433"/>
      <c r="F67" s="433"/>
      <c r="G67" s="433"/>
      <c r="H67" s="433"/>
      <c r="I67" s="433"/>
      <c r="J67" s="433"/>
    </row>
  </sheetData>
  <mergeCells count="51">
    <mergeCell ref="B1:J1"/>
    <mergeCell ref="G3:H3"/>
    <mergeCell ref="A6:B6"/>
    <mergeCell ref="D6:F6"/>
    <mergeCell ref="H6:H7"/>
    <mergeCell ref="B7:C7"/>
    <mergeCell ref="D7:E7"/>
    <mergeCell ref="B4:J4"/>
    <mergeCell ref="E5:F5"/>
    <mergeCell ref="I5:J5"/>
    <mergeCell ref="F7:G7"/>
    <mergeCell ref="I6:J7"/>
    <mergeCell ref="A8:J8"/>
    <mergeCell ref="A11:J15"/>
    <mergeCell ref="A23:J23"/>
    <mergeCell ref="A9:J9"/>
    <mergeCell ref="A10:J10"/>
    <mergeCell ref="A16:J16"/>
    <mergeCell ref="A17:J20"/>
    <mergeCell ref="D41:F41"/>
    <mergeCell ref="H41:H42"/>
    <mergeCell ref="I41:J41"/>
    <mergeCell ref="A29:J34"/>
    <mergeCell ref="A21:J21"/>
    <mergeCell ref="A22:J22"/>
    <mergeCell ref="B36:J36"/>
    <mergeCell ref="G38:H38"/>
    <mergeCell ref="A28:J28"/>
    <mergeCell ref="A24:J27"/>
    <mergeCell ref="B39:J39"/>
    <mergeCell ref="E40:F40"/>
    <mergeCell ref="I40:J40"/>
    <mergeCell ref="A41:B41"/>
    <mergeCell ref="B42:C42"/>
    <mergeCell ref="D42:E42"/>
    <mergeCell ref="A51:J51"/>
    <mergeCell ref="A57:J59"/>
    <mergeCell ref="A56:J56"/>
    <mergeCell ref="A52:J55"/>
    <mergeCell ref="A46:J50"/>
    <mergeCell ref="F42:G42"/>
    <mergeCell ref="A44:J44"/>
    <mergeCell ref="A45:J45"/>
    <mergeCell ref="A43:J43"/>
    <mergeCell ref="I42:J42"/>
    <mergeCell ref="A67:J67"/>
    <mergeCell ref="A61:J61"/>
    <mergeCell ref="A63:J63"/>
    <mergeCell ref="A64:J64"/>
    <mergeCell ref="A65:J65"/>
    <mergeCell ref="A66:J66"/>
  </mergeCells>
  <phoneticPr fontId="4" type="noConversion"/>
  <pageMargins left="0.33" right="0.18" top="0.38" bottom="0.17" header="0.5" footer="0.3"/>
  <pageSetup paperSize="9" scale="8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8" r:id="rId4" name="CommandButton1">
          <controlPr defaultSize="0" autoLine="0" r:id="rId5">
            <anchor moveWithCells="1">
              <from>
                <xdr:col>10</xdr:col>
                <xdr:colOff>76200</xdr:colOff>
                <xdr:row>0</xdr:row>
                <xdr:rowOff>295275</xdr:rowOff>
              </from>
              <to>
                <xdr:col>11</xdr:col>
                <xdr:colOff>428625</xdr:colOff>
                <xdr:row>2</xdr:row>
                <xdr:rowOff>9525</xdr:rowOff>
              </to>
            </anchor>
          </controlPr>
        </control>
      </mc:Choice>
      <mc:Fallback>
        <control shapeId="19458" r:id="rId4" name="CommandButton1"/>
      </mc:Fallback>
    </mc:AlternateContent>
    <mc:AlternateContent xmlns:mc="http://schemas.openxmlformats.org/markup-compatibility/2006">
      <mc:Choice Requires="x14">
        <control shapeId="19460" r:id="rId6" name="Button 4">
          <controlPr defaultSize="0" print="0" autoFill="0" autoPict="0" macro="[0]!DoDo2">
            <anchor moveWithCells="1" sizeWithCells="1">
              <from>
                <xdr:col>11</xdr:col>
                <xdr:colOff>219075</xdr:colOff>
                <xdr:row>3</xdr:row>
                <xdr:rowOff>28575</xdr:rowOff>
              </from>
              <to>
                <xdr:col>12</xdr:col>
                <xdr:colOff>257175</xdr:colOff>
                <xdr:row>3</xdr:row>
                <xdr:rowOff>333375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G191"/>
  <sheetViews>
    <sheetView workbookViewId="0">
      <selection activeCell="C185" sqref="C185"/>
    </sheetView>
  </sheetViews>
  <sheetFormatPr defaultColWidth="9" defaultRowHeight="16.5"/>
  <cols>
    <col min="1" max="1" width="9" style="53" customWidth="1"/>
    <col min="2" max="2" width="9" style="55" customWidth="1"/>
    <col min="3" max="3" width="9" style="61" customWidth="1"/>
    <col min="4" max="4" width="15.625" style="58" bestFit="1" customWidth="1"/>
    <col min="5" max="5" width="7.5" style="53" bestFit="1" customWidth="1"/>
    <col min="6" max="6" width="24.375" style="53" bestFit="1" customWidth="1"/>
    <col min="7" max="7" width="33.125" style="53" customWidth="1"/>
    <col min="8" max="8" width="15.5" style="58" customWidth="1"/>
    <col min="9" max="16384" width="9" style="58"/>
  </cols>
  <sheetData>
    <row r="1" spans="1:7" s="53" customFormat="1">
      <c r="A1" s="53" t="s">
        <v>77</v>
      </c>
      <c r="B1" s="55" t="s">
        <v>78</v>
      </c>
      <c r="C1" s="54" t="s">
        <v>79</v>
      </c>
      <c r="D1" s="53" t="s">
        <v>80</v>
      </c>
      <c r="E1" s="53" t="s">
        <v>81</v>
      </c>
      <c r="F1" s="53" t="s">
        <v>82</v>
      </c>
      <c r="G1" s="53" t="s">
        <v>83</v>
      </c>
    </row>
    <row r="2" spans="1:7">
      <c r="A2" s="83">
        <v>1</v>
      </c>
      <c r="B2" s="217">
        <v>0.34799999999999998</v>
      </c>
      <c r="C2" s="84">
        <f>B2</f>
        <v>0.34799999999999998</v>
      </c>
      <c r="D2" s="56">
        <v>46232</v>
      </c>
      <c r="E2" s="57">
        <f t="shared" ref="E2" si="0">D2</f>
        <v>46232</v>
      </c>
      <c r="F2" s="53" t="s">
        <v>84</v>
      </c>
    </row>
    <row r="3" spans="1:7">
      <c r="A3" s="83">
        <v>2</v>
      </c>
      <c r="B3" s="217">
        <v>0.34799999999999998</v>
      </c>
      <c r="C3" s="84">
        <f>C2+B3</f>
        <v>0.69599999999999995</v>
      </c>
      <c r="D3" s="56">
        <v>46233</v>
      </c>
      <c r="E3" s="57">
        <f t="shared" ref="E3:E66" si="1">D3</f>
        <v>46233</v>
      </c>
      <c r="F3" s="53">
        <f>B2</f>
        <v>0.34799999999999998</v>
      </c>
    </row>
    <row r="4" spans="1:7">
      <c r="A4" s="83">
        <v>3</v>
      </c>
      <c r="B4" s="217">
        <v>0.34799999999999998</v>
      </c>
      <c r="C4" s="84">
        <f t="shared" ref="C4:C67" si="2">C3+B4</f>
        <v>1.044</v>
      </c>
      <c r="D4" s="56">
        <v>46234</v>
      </c>
      <c r="E4" s="57">
        <f t="shared" si="1"/>
        <v>46234</v>
      </c>
      <c r="F4" s="62">
        <f t="shared" ref="F4:F20" si="3">C3+F3</f>
        <v>1.044</v>
      </c>
    </row>
    <row r="5" spans="1:7" s="60" customFormat="1">
      <c r="A5" s="83">
        <v>4</v>
      </c>
      <c r="B5" s="217">
        <v>0.34799999999999998</v>
      </c>
      <c r="C5" s="84">
        <f t="shared" si="2"/>
        <v>1.3919999999999999</v>
      </c>
      <c r="D5" s="56">
        <v>46235</v>
      </c>
      <c r="E5" s="57">
        <f t="shared" si="1"/>
        <v>46235</v>
      </c>
      <c r="F5" s="62">
        <f>C4+F4</f>
        <v>2.0880000000000001</v>
      </c>
      <c r="G5" s="59"/>
    </row>
    <row r="6" spans="1:7" s="60" customFormat="1">
      <c r="A6" s="83">
        <v>5</v>
      </c>
      <c r="B6" s="217">
        <v>0.34799999999999998</v>
      </c>
      <c r="C6" s="84">
        <f t="shared" si="2"/>
        <v>1.7399999999999998</v>
      </c>
      <c r="D6" s="56">
        <v>46236</v>
      </c>
      <c r="E6" s="57">
        <f t="shared" si="1"/>
        <v>46236</v>
      </c>
      <c r="F6" s="62">
        <f t="shared" si="3"/>
        <v>3.48</v>
      </c>
      <c r="G6" s="59"/>
    </row>
    <row r="7" spans="1:7">
      <c r="A7" s="83">
        <v>6</v>
      </c>
      <c r="B7" s="217">
        <v>0.34799999999999998</v>
      </c>
      <c r="C7" s="84">
        <f t="shared" si="2"/>
        <v>2.0879999999999996</v>
      </c>
      <c r="D7" s="56">
        <v>46237</v>
      </c>
      <c r="E7" s="57">
        <f t="shared" si="1"/>
        <v>46237</v>
      </c>
      <c r="F7" s="62">
        <f t="shared" si="3"/>
        <v>5.22</v>
      </c>
    </row>
    <row r="8" spans="1:7">
      <c r="A8" s="83">
        <v>7</v>
      </c>
      <c r="B8" s="217">
        <v>0.34799999999999998</v>
      </c>
      <c r="C8" s="84">
        <f t="shared" si="2"/>
        <v>2.4359999999999995</v>
      </c>
      <c r="D8" s="56">
        <v>46238</v>
      </c>
      <c r="E8" s="57">
        <f t="shared" si="1"/>
        <v>46238</v>
      </c>
      <c r="F8" s="62">
        <f t="shared" si="3"/>
        <v>7.3079999999999998</v>
      </c>
    </row>
    <row r="9" spans="1:7">
      <c r="A9" s="83">
        <v>8</v>
      </c>
      <c r="B9" s="217">
        <v>0.34799999999999998</v>
      </c>
      <c r="C9" s="84">
        <f t="shared" si="2"/>
        <v>2.7839999999999994</v>
      </c>
      <c r="D9" s="56">
        <v>46239</v>
      </c>
      <c r="E9" s="57">
        <f t="shared" si="1"/>
        <v>46239</v>
      </c>
      <c r="F9" s="62">
        <f t="shared" si="3"/>
        <v>9.7439999999999998</v>
      </c>
    </row>
    <row r="10" spans="1:7">
      <c r="A10" s="83">
        <v>9</v>
      </c>
      <c r="B10" s="217">
        <v>0.34799999999999998</v>
      </c>
      <c r="C10" s="84">
        <f t="shared" si="2"/>
        <v>3.1319999999999992</v>
      </c>
      <c r="D10" s="56">
        <v>46240</v>
      </c>
      <c r="E10" s="57">
        <f t="shared" si="1"/>
        <v>46240</v>
      </c>
      <c r="F10" s="62">
        <f t="shared" si="3"/>
        <v>12.527999999999999</v>
      </c>
    </row>
    <row r="11" spans="1:7">
      <c r="A11" s="83">
        <v>10</v>
      </c>
      <c r="B11" s="217">
        <v>0.34799999999999998</v>
      </c>
      <c r="C11" s="84">
        <f t="shared" si="2"/>
        <v>3.4799999999999991</v>
      </c>
      <c r="D11" s="56">
        <v>46241</v>
      </c>
      <c r="E11" s="57">
        <f t="shared" si="1"/>
        <v>46241</v>
      </c>
      <c r="F11" s="62">
        <f t="shared" si="3"/>
        <v>15.659999999999998</v>
      </c>
    </row>
    <row r="12" spans="1:7" s="60" customFormat="1">
      <c r="A12" s="83">
        <v>11</v>
      </c>
      <c r="B12" s="217">
        <v>0.27400000000000002</v>
      </c>
      <c r="C12" s="84">
        <f>C11+B12</f>
        <v>3.7539999999999991</v>
      </c>
      <c r="D12" s="56">
        <v>46242</v>
      </c>
      <c r="E12" s="57">
        <f t="shared" si="1"/>
        <v>46242</v>
      </c>
      <c r="F12" s="62">
        <f t="shared" si="3"/>
        <v>19.139999999999997</v>
      </c>
      <c r="G12" s="59"/>
    </row>
    <row r="13" spans="1:7" s="60" customFormat="1">
      <c r="A13" s="83">
        <v>12</v>
      </c>
      <c r="B13" s="217">
        <v>0.27400000000000002</v>
      </c>
      <c r="C13" s="84">
        <f t="shared" si="2"/>
        <v>4.0279999999999987</v>
      </c>
      <c r="D13" s="56">
        <v>46243</v>
      </c>
      <c r="E13" s="57">
        <f t="shared" si="1"/>
        <v>46243</v>
      </c>
      <c r="F13" s="62">
        <f t="shared" si="3"/>
        <v>22.893999999999995</v>
      </c>
      <c r="G13" s="59"/>
    </row>
    <row r="14" spans="1:7">
      <c r="A14" s="83">
        <v>13</v>
      </c>
      <c r="B14" s="217">
        <v>0.27400000000000002</v>
      </c>
      <c r="C14" s="84">
        <f t="shared" si="2"/>
        <v>4.3019999999999987</v>
      </c>
      <c r="D14" s="56">
        <v>46244</v>
      </c>
      <c r="E14" s="57">
        <f t="shared" si="1"/>
        <v>46244</v>
      </c>
      <c r="F14" s="62">
        <f t="shared" si="3"/>
        <v>26.921999999999993</v>
      </c>
    </row>
    <row r="15" spans="1:7">
      <c r="A15" s="83">
        <v>14</v>
      </c>
      <c r="B15" s="217">
        <v>0.27400000000000002</v>
      </c>
      <c r="C15" s="84">
        <f t="shared" si="2"/>
        <v>4.5759999999999987</v>
      </c>
      <c r="D15" s="56">
        <v>46245</v>
      </c>
      <c r="E15" s="57">
        <f t="shared" si="1"/>
        <v>46245</v>
      </c>
      <c r="F15" s="62">
        <f t="shared" si="3"/>
        <v>31.223999999999993</v>
      </c>
    </row>
    <row r="16" spans="1:7" s="60" customFormat="1">
      <c r="A16" s="83">
        <v>15</v>
      </c>
      <c r="B16" s="217">
        <v>0.27400000000000002</v>
      </c>
      <c r="C16" s="84">
        <f t="shared" si="2"/>
        <v>4.8499999999999988</v>
      </c>
      <c r="D16" s="56">
        <v>46246</v>
      </c>
      <c r="E16" s="57">
        <f t="shared" si="1"/>
        <v>46246</v>
      </c>
      <c r="F16" s="62">
        <f t="shared" si="3"/>
        <v>35.79999999999999</v>
      </c>
      <c r="G16" s="59"/>
    </row>
    <row r="17" spans="1:7">
      <c r="A17" s="83">
        <v>16</v>
      </c>
      <c r="B17" s="217">
        <v>0.27400000000000002</v>
      </c>
      <c r="C17" s="84">
        <f t="shared" si="2"/>
        <v>5.1239999999999988</v>
      </c>
      <c r="D17" s="56">
        <v>46247</v>
      </c>
      <c r="E17" s="57">
        <f t="shared" si="1"/>
        <v>46247</v>
      </c>
      <c r="F17" s="62">
        <f t="shared" si="3"/>
        <v>40.649999999999991</v>
      </c>
    </row>
    <row r="18" spans="1:7">
      <c r="A18" s="83">
        <v>17</v>
      </c>
      <c r="B18" s="217">
        <v>0.27400000000000002</v>
      </c>
      <c r="C18" s="84">
        <f t="shared" si="2"/>
        <v>5.3979999999999988</v>
      </c>
      <c r="D18" s="56">
        <v>46248</v>
      </c>
      <c r="E18" s="57">
        <f t="shared" si="1"/>
        <v>46248</v>
      </c>
      <c r="F18" s="62">
        <f t="shared" si="3"/>
        <v>45.773999999999987</v>
      </c>
    </row>
    <row r="19" spans="1:7" s="60" customFormat="1">
      <c r="A19" s="83">
        <v>18</v>
      </c>
      <c r="B19" s="217">
        <v>0.27400000000000002</v>
      </c>
      <c r="C19" s="84">
        <f t="shared" si="2"/>
        <v>5.6719999999999988</v>
      </c>
      <c r="D19" s="56">
        <v>46249</v>
      </c>
      <c r="E19" s="57">
        <f t="shared" si="1"/>
        <v>46249</v>
      </c>
      <c r="F19" s="62">
        <f t="shared" si="3"/>
        <v>51.171999999999983</v>
      </c>
      <c r="G19" s="59"/>
    </row>
    <row r="20" spans="1:7" s="60" customFormat="1">
      <c r="A20" s="83">
        <v>19</v>
      </c>
      <c r="B20" s="217">
        <v>0.27400000000000002</v>
      </c>
      <c r="C20" s="84">
        <f t="shared" si="2"/>
        <v>5.9459999999999988</v>
      </c>
      <c r="D20" s="56">
        <v>46250</v>
      </c>
      <c r="E20" s="57">
        <f t="shared" si="1"/>
        <v>46250</v>
      </c>
      <c r="F20" s="62">
        <f t="shared" si="3"/>
        <v>56.84399999999998</v>
      </c>
      <c r="G20" s="59"/>
    </row>
    <row r="21" spans="1:7">
      <c r="A21" s="83">
        <v>20</v>
      </c>
      <c r="B21" s="217">
        <v>0.27400000000000002</v>
      </c>
      <c r="C21" s="84">
        <f>C20+B21</f>
        <v>6.2199999999999989</v>
      </c>
      <c r="D21" s="56">
        <v>46251</v>
      </c>
      <c r="E21" s="57">
        <f t="shared" si="1"/>
        <v>46251</v>
      </c>
      <c r="F21" s="62">
        <f>C20+F20</f>
        <v>62.789999999999978</v>
      </c>
    </row>
    <row r="22" spans="1:7">
      <c r="A22" s="83">
        <f>A21+1</f>
        <v>21</v>
      </c>
      <c r="B22" s="217">
        <v>0.27400000000000002</v>
      </c>
      <c r="C22" s="84">
        <f t="shared" si="2"/>
        <v>6.4939999999999989</v>
      </c>
      <c r="D22" s="56">
        <v>46252</v>
      </c>
      <c r="E22" s="57">
        <f t="shared" si="1"/>
        <v>46252</v>
      </c>
      <c r="F22" s="62"/>
    </row>
    <row r="23" spans="1:7">
      <c r="A23" s="83">
        <f t="shared" ref="A23:A86" si="4">A22+1</f>
        <v>22</v>
      </c>
      <c r="B23" s="217">
        <v>0.27400000000000002</v>
      </c>
      <c r="C23" s="84">
        <f t="shared" si="2"/>
        <v>6.7679999999999989</v>
      </c>
      <c r="D23" s="56">
        <v>46253</v>
      </c>
      <c r="E23" s="57">
        <f t="shared" si="1"/>
        <v>46253</v>
      </c>
      <c r="F23" s="62"/>
    </row>
    <row r="24" spans="1:7">
      <c r="A24" s="83">
        <f t="shared" si="4"/>
        <v>23</v>
      </c>
      <c r="B24" s="217">
        <v>0.27400000000000002</v>
      </c>
      <c r="C24" s="84">
        <f t="shared" si="2"/>
        <v>7.0419999999999989</v>
      </c>
      <c r="D24" s="56">
        <v>46254</v>
      </c>
      <c r="E24" s="57">
        <f t="shared" si="1"/>
        <v>46254</v>
      </c>
      <c r="F24" s="62"/>
    </row>
    <row r="25" spans="1:7">
      <c r="A25" s="83">
        <f t="shared" si="4"/>
        <v>24</v>
      </c>
      <c r="B25" s="217">
        <v>0.27400000000000002</v>
      </c>
      <c r="C25" s="84">
        <f t="shared" si="2"/>
        <v>7.3159999999999989</v>
      </c>
      <c r="D25" s="56">
        <v>46255</v>
      </c>
      <c r="E25" s="57">
        <f t="shared" si="1"/>
        <v>46255</v>
      </c>
      <c r="F25" s="62"/>
    </row>
    <row r="26" spans="1:7" s="60" customFormat="1">
      <c r="A26" s="83">
        <f t="shared" si="4"/>
        <v>25</v>
      </c>
      <c r="B26" s="217">
        <v>0.27400000000000002</v>
      </c>
      <c r="C26" s="84">
        <f t="shared" si="2"/>
        <v>7.589999999999999</v>
      </c>
      <c r="D26" s="56">
        <v>46256</v>
      </c>
      <c r="E26" s="57">
        <f t="shared" si="1"/>
        <v>46256</v>
      </c>
      <c r="F26" s="62"/>
      <c r="G26" s="59"/>
    </row>
    <row r="27" spans="1:7" s="60" customFormat="1">
      <c r="A27" s="83">
        <f t="shared" si="4"/>
        <v>26</v>
      </c>
      <c r="B27" s="217">
        <v>0.27400000000000002</v>
      </c>
      <c r="C27" s="84">
        <f t="shared" si="2"/>
        <v>7.863999999999999</v>
      </c>
      <c r="D27" s="56">
        <v>46257</v>
      </c>
      <c r="E27" s="57">
        <f t="shared" si="1"/>
        <v>46257</v>
      </c>
      <c r="F27" s="62"/>
      <c r="G27" s="59"/>
    </row>
    <row r="28" spans="1:7">
      <c r="A28" s="83">
        <f t="shared" si="4"/>
        <v>27</v>
      </c>
      <c r="B28" s="217">
        <v>0.27400000000000002</v>
      </c>
      <c r="C28" s="84">
        <f t="shared" si="2"/>
        <v>8.1379999999999981</v>
      </c>
      <c r="D28" s="56">
        <v>46258</v>
      </c>
      <c r="E28" s="57">
        <f t="shared" si="1"/>
        <v>46258</v>
      </c>
      <c r="F28" s="62"/>
    </row>
    <row r="29" spans="1:7">
      <c r="A29" s="83">
        <f t="shared" si="4"/>
        <v>28</v>
      </c>
      <c r="B29" s="217">
        <v>0.27400000000000002</v>
      </c>
      <c r="C29" s="84">
        <f t="shared" si="2"/>
        <v>8.411999999999999</v>
      </c>
      <c r="D29" s="56">
        <v>46259</v>
      </c>
      <c r="E29" s="57">
        <f t="shared" si="1"/>
        <v>46259</v>
      </c>
      <c r="F29" s="62"/>
    </row>
    <row r="30" spans="1:7">
      <c r="A30" s="83">
        <f t="shared" si="4"/>
        <v>29</v>
      </c>
      <c r="B30" s="217">
        <v>0.27400000000000002</v>
      </c>
      <c r="C30" s="84">
        <f t="shared" si="2"/>
        <v>8.6859999999999999</v>
      </c>
      <c r="D30" s="56">
        <v>46260</v>
      </c>
      <c r="E30" s="57">
        <f t="shared" si="1"/>
        <v>46260</v>
      </c>
      <c r="F30" s="62"/>
    </row>
    <row r="31" spans="1:7">
      <c r="A31" s="83">
        <f t="shared" si="4"/>
        <v>30</v>
      </c>
      <c r="B31" s="217">
        <v>0.27400000000000002</v>
      </c>
      <c r="C31" s="84">
        <f t="shared" si="2"/>
        <v>8.9600000000000009</v>
      </c>
      <c r="D31" s="56">
        <v>46261</v>
      </c>
      <c r="E31" s="57">
        <f t="shared" si="1"/>
        <v>46261</v>
      </c>
      <c r="F31" s="62"/>
    </row>
    <row r="32" spans="1:7">
      <c r="A32" s="83">
        <f t="shared" si="4"/>
        <v>31</v>
      </c>
      <c r="B32" s="217">
        <v>0.45400000000000001</v>
      </c>
      <c r="C32" s="84">
        <f t="shared" si="2"/>
        <v>9.4140000000000015</v>
      </c>
      <c r="D32" s="56">
        <v>46262</v>
      </c>
      <c r="E32" s="57">
        <f t="shared" si="1"/>
        <v>46262</v>
      </c>
      <c r="F32" s="63"/>
    </row>
    <row r="33" spans="1:7" s="60" customFormat="1">
      <c r="A33" s="83">
        <f t="shared" si="4"/>
        <v>32</v>
      </c>
      <c r="B33" s="217">
        <v>0.45400000000000001</v>
      </c>
      <c r="C33" s="84">
        <f t="shared" si="2"/>
        <v>9.8680000000000021</v>
      </c>
      <c r="D33" s="56">
        <v>46263</v>
      </c>
      <c r="E33" s="57">
        <f t="shared" si="1"/>
        <v>46263</v>
      </c>
      <c r="F33" s="63"/>
      <c r="G33" s="59"/>
    </row>
    <row r="34" spans="1:7" s="60" customFormat="1">
      <c r="A34" s="83">
        <f t="shared" si="4"/>
        <v>33</v>
      </c>
      <c r="B34" s="217">
        <v>0.45400000000000001</v>
      </c>
      <c r="C34" s="84">
        <f t="shared" si="2"/>
        <v>10.322000000000003</v>
      </c>
      <c r="D34" s="56">
        <v>46264</v>
      </c>
      <c r="E34" s="57">
        <f t="shared" si="1"/>
        <v>46264</v>
      </c>
      <c r="F34" s="63"/>
      <c r="G34" s="59"/>
    </row>
    <row r="35" spans="1:7">
      <c r="A35" s="83">
        <f t="shared" si="4"/>
        <v>34</v>
      </c>
      <c r="B35" s="217">
        <v>0.45400000000000001</v>
      </c>
      <c r="C35" s="84">
        <f t="shared" si="2"/>
        <v>10.776000000000003</v>
      </c>
      <c r="D35" s="56">
        <v>46265</v>
      </c>
      <c r="E35" s="57">
        <f t="shared" si="1"/>
        <v>46265</v>
      </c>
      <c r="F35" s="63"/>
    </row>
    <row r="36" spans="1:7">
      <c r="A36" s="83">
        <f t="shared" si="4"/>
        <v>35</v>
      </c>
      <c r="B36" s="217">
        <v>0.45400000000000001</v>
      </c>
      <c r="C36" s="84">
        <f t="shared" si="2"/>
        <v>11.230000000000004</v>
      </c>
      <c r="D36" s="56">
        <v>46266</v>
      </c>
      <c r="E36" s="57">
        <f t="shared" si="1"/>
        <v>46266</v>
      </c>
      <c r="F36" s="63"/>
    </row>
    <row r="37" spans="1:7">
      <c r="A37" s="83">
        <f t="shared" si="4"/>
        <v>36</v>
      </c>
      <c r="B37" s="217">
        <v>0.45400000000000001</v>
      </c>
      <c r="C37" s="84">
        <f t="shared" si="2"/>
        <v>11.684000000000005</v>
      </c>
      <c r="D37" s="56">
        <v>46267</v>
      </c>
      <c r="E37" s="57">
        <f t="shared" si="1"/>
        <v>46267</v>
      </c>
      <c r="F37" s="63"/>
    </row>
    <row r="38" spans="1:7">
      <c r="A38" s="83">
        <f t="shared" si="4"/>
        <v>37</v>
      </c>
      <c r="B38" s="217">
        <v>0.45400000000000001</v>
      </c>
      <c r="C38" s="84">
        <f t="shared" si="2"/>
        <v>12.138000000000005</v>
      </c>
      <c r="D38" s="56">
        <v>46268</v>
      </c>
      <c r="E38" s="57">
        <f t="shared" si="1"/>
        <v>46268</v>
      </c>
      <c r="F38" s="63"/>
    </row>
    <row r="39" spans="1:7">
      <c r="A39" s="83">
        <f t="shared" si="4"/>
        <v>38</v>
      </c>
      <c r="B39" s="217">
        <v>0.45400000000000001</v>
      </c>
      <c r="C39" s="84">
        <f t="shared" si="2"/>
        <v>12.592000000000006</v>
      </c>
      <c r="D39" s="56">
        <v>46269</v>
      </c>
      <c r="E39" s="57">
        <f t="shared" si="1"/>
        <v>46269</v>
      </c>
      <c r="F39" s="63"/>
    </row>
    <row r="40" spans="1:7" s="60" customFormat="1">
      <c r="A40" s="83">
        <f t="shared" si="4"/>
        <v>39</v>
      </c>
      <c r="B40" s="217">
        <v>0.45400000000000001</v>
      </c>
      <c r="C40" s="84">
        <f t="shared" si="2"/>
        <v>13.046000000000006</v>
      </c>
      <c r="D40" s="56">
        <v>46270</v>
      </c>
      <c r="E40" s="57">
        <f t="shared" si="1"/>
        <v>46270</v>
      </c>
      <c r="F40" s="63"/>
      <c r="G40" s="59"/>
    </row>
    <row r="41" spans="1:7" s="60" customFormat="1">
      <c r="A41" s="83">
        <f t="shared" si="4"/>
        <v>40</v>
      </c>
      <c r="B41" s="217">
        <v>0.45400000000000001</v>
      </c>
      <c r="C41" s="84">
        <f t="shared" si="2"/>
        <v>13.500000000000007</v>
      </c>
      <c r="D41" s="56">
        <v>46271</v>
      </c>
      <c r="E41" s="57">
        <f t="shared" si="1"/>
        <v>46271</v>
      </c>
      <c r="F41" s="63"/>
      <c r="G41" s="59"/>
    </row>
    <row r="42" spans="1:7">
      <c r="A42" s="83">
        <f t="shared" si="4"/>
        <v>41</v>
      </c>
      <c r="B42" s="55">
        <v>0.45400000000000001</v>
      </c>
      <c r="C42" s="84">
        <f t="shared" si="2"/>
        <v>13.954000000000008</v>
      </c>
      <c r="D42" s="56">
        <v>46272</v>
      </c>
      <c r="E42" s="57">
        <f t="shared" si="1"/>
        <v>46272</v>
      </c>
      <c r="F42" s="63"/>
    </row>
    <row r="43" spans="1:7">
      <c r="A43" s="83">
        <f t="shared" si="4"/>
        <v>42</v>
      </c>
      <c r="B43" s="55">
        <v>0.45400000000000001</v>
      </c>
      <c r="C43" s="84">
        <f t="shared" si="2"/>
        <v>14.408000000000008</v>
      </c>
      <c r="D43" s="56">
        <v>46273</v>
      </c>
      <c r="E43" s="57">
        <f t="shared" si="1"/>
        <v>46273</v>
      </c>
      <c r="F43" s="63"/>
    </row>
    <row r="44" spans="1:7">
      <c r="A44" s="83">
        <f t="shared" si="4"/>
        <v>43</v>
      </c>
      <c r="B44" s="55">
        <v>0.45400000000000001</v>
      </c>
      <c r="C44" s="84">
        <f t="shared" si="2"/>
        <v>14.862000000000009</v>
      </c>
      <c r="D44" s="56">
        <v>46274</v>
      </c>
      <c r="E44" s="57">
        <f t="shared" si="1"/>
        <v>46274</v>
      </c>
      <c r="F44" s="63"/>
    </row>
    <row r="45" spans="1:7">
      <c r="A45" s="83">
        <f t="shared" si="4"/>
        <v>44</v>
      </c>
      <c r="B45" s="55">
        <v>0.45400000000000001</v>
      </c>
      <c r="C45" s="84">
        <f t="shared" si="2"/>
        <v>15.31600000000001</v>
      </c>
      <c r="D45" s="56">
        <v>46275</v>
      </c>
      <c r="E45" s="57">
        <f t="shared" si="1"/>
        <v>46275</v>
      </c>
      <c r="F45" s="63"/>
    </row>
    <row r="46" spans="1:7">
      <c r="A46" s="83">
        <f t="shared" si="4"/>
        <v>45</v>
      </c>
      <c r="B46" s="55">
        <v>0.45400000000000001</v>
      </c>
      <c r="C46" s="84">
        <f t="shared" si="2"/>
        <v>15.77000000000001</v>
      </c>
      <c r="D46" s="56">
        <v>46276</v>
      </c>
      <c r="E46" s="57">
        <f t="shared" si="1"/>
        <v>46276</v>
      </c>
      <c r="F46" s="63"/>
    </row>
    <row r="47" spans="1:7" s="60" customFormat="1">
      <c r="A47" s="83">
        <f t="shared" si="4"/>
        <v>46</v>
      </c>
      <c r="B47" s="55">
        <v>0.45400000000000001</v>
      </c>
      <c r="C47" s="84">
        <f t="shared" si="2"/>
        <v>16.224000000000011</v>
      </c>
      <c r="D47" s="56">
        <v>46277</v>
      </c>
      <c r="E47" s="57">
        <f t="shared" si="1"/>
        <v>46277</v>
      </c>
      <c r="F47" s="63"/>
      <c r="G47" s="59"/>
    </row>
    <row r="48" spans="1:7" s="60" customFormat="1">
      <c r="A48" s="83">
        <f t="shared" si="4"/>
        <v>47</v>
      </c>
      <c r="B48" s="55">
        <v>0.45400000000000001</v>
      </c>
      <c r="C48" s="84">
        <f t="shared" si="2"/>
        <v>16.678000000000011</v>
      </c>
      <c r="D48" s="56">
        <v>46278</v>
      </c>
      <c r="E48" s="57">
        <f t="shared" si="1"/>
        <v>46278</v>
      </c>
      <c r="F48" s="63"/>
      <c r="G48" s="59"/>
    </row>
    <row r="49" spans="1:7">
      <c r="A49" s="83">
        <f t="shared" si="4"/>
        <v>48</v>
      </c>
      <c r="B49" s="55">
        <v>0.45400000000000001</v>
      </c>
      <c r="C49" s="84">
        <f t="shared" si="2"/>
        <v>17.132000000000012</v>
      </c>
      <c r="D49" s="56">
        <v>46279</v>
      </c>
      <c r="E49" s="57">
        <f t="shared" si="1"/>
        <v>46279</v>
      </c>
      <c r="F49" s="63"/>
    </row>
    <row r="50" spans="1:7">
      <c r="A50" s="83">
        <f t="shared" si="4"/>
        <v>49</v>
      </c>
      <c r="B50" s="55">
        <v>0.45400000000000001</v>
      </c>
      <c r="C50" s="84">
        <f t="shared" si="2"/>
        <v>17.586000000000013</v>
      </c>
      <c r="D50" s="56">
        <v>46280</v>
      </c>
      <c r="E50" s="57">
        <f t="shared" si="1"/>
        <v>46280</v>
      </c>
      <c r="F50" s="63"/>
    </row>
    <row r="51" spans="1:7">
      <c r="A51" s="83">
        <f t="shared" si="4"/>
        <v>50</v>
      </c>
      <c r="B51" s="55">
        <v>0.45400000000000001</v>
      </c>
      <c r="C51" s="84">
        <f t="shared" si="2"/>
        <v>18.040000000000013</v>
      </c>
      <c r="D51" s="56">
        <v>46281</v>
      </c>
      <c r="E51" s="57">
        <f t="shared" si="1"/>
        <v>46281</v>
      </c>
      <c r="F51" s="63"/>
    </row>
    <row r="52" spans="1:7">
      <c r="A52" s="83">
        <f t="shared" si="4"/>
        <v>51</v>
      </c>
      <c r="B52" s="55">
        <v>0.252</v>
      </c>
      <c r="C52" s="84">
        <f t="shared" si="2"/>
        <v>18.292000000000012</v>
      </c>
      <c r="D52" s="56">
        <v>46282</v>
      </c>
      <c r="E52" s="57">
        <f t="shared" si="1"/>
        <v>46282</v>
      </c>
      <c r="F52" s="63"/>
    </row>
    <row r="53" spans="1:7">
      <c r="A53" s="83">
        <f t="shared" si="4"/>
        <v>52</v>
      </c>
      <c r="B53" s="55">
        <v>0.252</v>
      </c>
      <c r="C53" s="84">
        <f t="shared" si="2"/>
        <v>18.544000000000011</v>
      </c>
      <c r="D53" s="56">
        <v>46283</v>
      </c>
      <c r="E53" s="57">
        <f t="shared" si="1"/>
        <v>46283</v>
      </c>
      <c r="F53" s="63"/>
    </row>
    <row r="54" spans="1:7" s="60" customFormat="1">
      <c r="A54" s="83">
        <f t="shared" si="4"/>
        <v>53</v>
      </c>
      <c r="B54" s="55">
        <v>0.252</v>
      </c>
      <c r="C54" s="84">
        <f t="shared" si="2"/>
        <v>18.79600000000001</v>
      </c>
      <c r="D54" s="56">
        <v>46284</v>
      </c>
      <c r="E54" s="57">
        <f t="shared" si="1"/>
        <v>46284</v>
      </c>
      <c r="F54" s="63"/>
      <c r="G54" s="59"/>
    </row>
    <row r="55" spans="1:7" s="60" customFormat="1">
      <c r="A55" s="83">
        <f t="shared" si="4"/>
        <v>54</v>
      </c>
      <c r="B55" s="55">
        <v>0.252</v>
      </c>
      <c r="C55" s="84">
        <f t="shared" si="2"/>
        <v>19.048000000000009</v>
      </c>
      <c r="D55" s="56">
        <v>46285</v>
      </c>
      <c r="E55" s="57">
        <f t="shared" si="1"/>
        <v>46285</v>
      </c>
      <c r="F55" s="63"/>
      <c r="G55" s="59"/>
    </row>
    <row r="56" spans="1:7" s="60" customFormat="1">
      <c r="A56" s="83">
        <f t="shared" si="4"/>
        <v>55</v>
      </c>
      <c r="B56" s="55">
        <v>0.252</v>
      </c>
      <c r="C56" s="84">
        <f t="shared" si="2"/>
        <v>19.300000000000008</v>
      </c>
      <c r="D56" s="56">
        <v>46286</v>
      </c>
      <c r="E56" s="57">
        <f t="shared" si="1"/>
        <v>46286</v>
      </c>
      <c r="F56" s="63"/>
      <c r="G56" s="59"/>
    </row>
    <row r="57" spans="1:7" s="60" customFormat="1">
      <c r="A57" s="83">
        <f t="shared" si="4"/>
        <v>56</v>
      </c>
      <c r="B57" s="55">
        <v>0.252</v>
      </c>
      <c r="C57" s="84">
        <f t="shared" si="2"/>
        <v>19.552000000000007</v>
      </c>
      <c r="D57" s="56">
        <v>46287</v>
      </c>
      <c r="E57" s="57">
        <f t="shared" si="1"/>
        <v>46287</v>
      </c>
      <c r="F57" s="63"/>
      <c r="G57" s="59"/>
    </row>
    <row r="58" spans="1:7" s="60" customFormat="1">
      <c r="A58" s="83">
        <f t="shared" si="4"/>
        <v>57</v>
      </c>
      <c r="B58" s="55">
        <v>0.252</v>
      </c>
      <c r="C58" s="84">
        <f t="shared" si="2"/>
        <v>19.804000000000006</v>
      </c>
      <c r="D58" s="56">
        <v>46288</v>
      </c>
      <c r="E58" s="57">
        <f t="shared" si="1"/>
        <v>46288</v>
      </c>
      <c r="F58" s="63"/>
      <c r="G58" s="59"/>
    </row>
    <row r="59" spans="1:7" s="60" customFormat="1">
      <c r="A59" s="83">
        <f t="shared" si="4"/>
        <v>58</v>
      </c>
      <c r="B59" s="55">
        <v>0.252</v>
      </c>
      <c r="C59" s="84">
        <f t="shared" si="2"/>
        <v>20.056000000000004</v>
      </c>
      <c r="D59" s="56">
        <v>46289</v>
      </c>
      <c r="E59" s="57">
        <f t="shared" si="1"/>
        <v>46289</v>
      </c>
      <c r="F59" s="63"/>
      <c r="G59" s="59"/>
    </row>
    <row r="60" spans="1:7" s="60" customFormat="1">
      <c r="A60" s="83">
        <f t="shared" si="4"/>
        <v>59</v>
      </c>
      <c r="B60" s="55">
        <v>0.252</v>
      </c>
      <c r="C60" s="84">
        <f t="shared" si="2"/>
        <v>20.308000000000003</v>
      </c>
      <c r="D60" s="56">
        <v>46290</v>
      </c>
      <c r="E60" s="57">
        <f t="shared" si="1"/>
        <v>46290</v>
      </c>
      <c r="F60" s="63"/>
      <c r="G60" s="59"/>
    </row>
    <row r="61" spans="1:7" s="60" customFormat="1">
      <c r="A61" s="83">
        <f t="shared" si="4"/>
        <v>60</v>
      </c>
      <c r="B61" s="55">
        <v>0.252</v>
      </c>
      <c r="C61" s="84">
        <f t="shared" si="2"/>
        <v>20.560000000000002</v>
      </c>
      <c r="D61" s="56">
        <v>46291</v>
      </c>
      <c r="E61" s="57">
        <f t="shared" si="1"/>
        <v>46291</v>
      </c>
      <c r="F61" s="63"/>
      <c r="G61" s="59"/>
    </row>
    <row r="62" spans="1:7" s="60" customFormat="1">
      <c r="A62" s="83">
        <f t="shared" si="4"/>
        <v>61</v>
      </c>
      <c r="B62" s="55">
        <v>0.252</v>
      </c>
      <c r="C62" s="84">
        <f t="shared" si="2"/>
        <v>20.812000000000001</v>
      </c>
      <c r="D62" s="56">
        <v>46292</v>
      </c>
      <c r="E62" s="57">
        <f t="shared" si="1"/>
        <v>46292</v>
      </c>
      <c r="F62" s="63"/>
      <c r="G62" s="59"/>
    </row>
    <row r="63" spans="1:7">
      <c r="A63" s="83">
        <f t="shared" si="4"/>
        <v>62</v>
      </c>
      <c r="B63" s="55">
        <v>0.252</v>
      </c>
      <c r="C63" s="84">
        <f t="shared" si="2"/>
        <v>21.064</v>
      </c>
      <c r="D63" s="56">
        <v>46293</v>
      </c>
      <c r="E63" s="57">
        <f t="shared" si="1"/>
        <v>46293</v>
      </c>
      <c r="F63" s="63"/>
    </row>
    <row r="64" spans="1:7">
      <c r="A64" s="83">
        <f t="shared" si="4"/>
        <v>63</v>
      </c>
      <c r="B64" s="55">
        <v>0.252</v>
      </c>
      <c r="C64" s="84">
        <f t="shared" si="2"/>
        <v>21.315999999999999</v>
      </c>
      <c r="D64" s="56">
        <v>46294</v>
      </c>
      <c r="E64" s="57">
        <f t="shared" si="1"/>
        <v>46294</v>
      </c>
      <c r="F64" s="63"/>
    </row>
    <row r="65" spans="1:7">
      <c r="A65" s="83">
        <f t="shared" si="4"/>
        <v>64</v>
      </c>
      <c r="B65" s="55">
        <v>0.252</v>
      </c>
      <c r="C65" s="84">
        <f t="shared" si="2"/>
        <v>21.567999999999998</v>
      </c>
      <c r="D65" s="56">
        <v>46295</v>
      </c>
      <c r="E65" s="57">
        <f t="shared" si="1"/>
        <v>46295</v>
      </c>
      <c r="F65" s="63"/>
    </row>
    <row r="66" spans="1:7">
      <c r="A66" s="83">
        <f t="shared" si="4"/>
        <v>65</v>
      </c>
      <c r="B66" s="55">
        <v>0.252</v>
      </c>
      <c r="C66" s="84">
        <f t="shared" si="2"/>
        <v>21.819999999999997</v>
      </c>
      <c r="D66" s="56">
        <v>46296</v>
      </c>
      <c r="E66" s="57">
        <f t="shared" si="1"/>
        <v>46296</v>
      </c>
      <c r="F66" s="63"/>
    </row>
    <row r="67" spans="1:7">
      <c r="A67" s="83">
        <f t="shared" si="4"/>
        <v>66</v>
      </c>
      <c r="B67" s="55">
        <v>0.252</v>
      </c>
      <c r="C67" s="84">
        <f t="shared" si="2"/>
        <v>22.071999999999996</v>
      </c>
      <c r="D67" s="56">
        <v>46297</v>
      </c>
      <c r="E67" s="57">
        <f t="shared" ref="E67:E130" si="5">D67</f>
        <v>46297</v>
      </c>
      <c r="F67" s="63"/>
    </row>
    <row r="68" spans="1:7" s="60" customFormat="1">
      <c r="A68" s="83">
        <f t="shared" si="4"/>
        <v>67</v>
      </c>
      <c r="B68" s="55">
        <v>0.252</v>
      </c>
      <c r="C68" s="84">
        <f t="shared" ref="C68:C131" si="6">C67+B68</f>
        <v>22.323999999999995</v>
      </c>
      <c r="D68" s="56">
        <v>46298</v>
      </c>
      <c r="E68" s="57">
        <f t="shared" si="5"/>
        <v>46298</v>
      </c>
      <c r="F68" s="63"/>
      <c r="G68" s="59"/>
    </row>
    <row r="69" spans="1:7" s="60" customFormat="1">
      <c r="A69" s="83">
        <f t="shared" si="4"/>
        <v>68</v>
      </c>
      <c r="B69" s="55">
        <v>0.252</v>
      </c>
      <c r="C69" s="84">
        <f t="shared" si="6"/>
        <v>22.575999999999993</v>
      </c>
      <c r="D69" s="56">
        <v>46299</v>
      </c>
      <c r="E69" s="57">
        <f t="shared" si="5"/>
        <v>46299</v>
      </c>
      <c r="F69" s="63"/>
      <c r="G69" s="59"/>
    </row>
    <row r="70" spans="1:7">
      <c r="A70" s="83">
        <f t="shared" si="4"/>
        <v>69</v>
      </c>
      <c r="B70" s="55">
        <v>0.252</v>
      </c>
      <c r="C70" s="84">
        <f t="shared" si="6"/>
        <v>22.827999999999992</v>
      </c>
      <c r="D70" s="56">
        <v>46300</v>
      </c>
      <c r="E70" s="57">
        <f t="shared" si="5"/>
        <v>46300</v>
      </c>
      <c r="F70" s="63"/>
    </row>
    <row r="71" spans="1:7">
      <c r="A71" s="83">
        <f t="shared" si="4"/>
        <v>70</v>
      </c>
      <c r="B71" s="55">
        <v>0.252</v>
      </c>
      <c r="C71" s="84">
        <f t="shared" si="6"/>
        <v>23.079999999999991</v>
      </c>
      <c r="D71" s="56">
        <v>46301</v>
      </c>
      <c r="E71" s="57">
        <f t="shared" si="5"/>
        <v>46301</v>
      </c>
      <c r="F71" s="63"/>
    </row>
    <row r="72" spans="1:7">
      <c r="A72" s="83">
        <f t="shared" si="4"/>
        <v>71</v>
      </c>
      <c r="B72" s="55">
        <v>0.252</v>
      </c>
      <c r="C72" s="84">
        <f t="shared" si="6"/>
        <v>23.33199999999999</v>
      </c>
      <c r="D72" s="56">
        <v>46302</v>
      </c>
      <c r="E72" s="57">
        <f t="shared" si="5"/>
        <v>46302</v>
      </c>
    </row>
    <row r="73" spans="1:7">
      <c r="A73" s="83">
        <f t="shared" si="4"/>
        <v>72</v>
      </c>
      <c r="B73" s="55">
        <v>0.252</v>
      </c>
      <c r="C73" s="84">
        <f t="shared" si="6"/>
        <v>23.583999999999989</v>
      </c>
      <c r="D73" s="56">
        <v>46303</v>
      </c>
      <c r="E73" s="57">
        <f t="shared" si="5"/>
        <v>46303</v>
      </c>
    </row>
    <row r="74" spans="1:7">
      <c r="A74" s="83">
        <f t="shared" si="4"/>
        <v>73</v>
      </c>
      <c r="B74" s="55">
        <v>0.252</v>
      </c>
      <c r="C74" s="84">
        <f t="shared" si="6"/>
        <v>23.835999999999988</v>
      </c>
      <c r="D74" s="56">
        <v>46304</v>
      </c>
      <c r="E74" s="57">
        <f t="shared" si="5"/>
        <v>46304</v>
      </c>
    </row>
    <row r="75" spans="1:7" s="60" customFormat="1">
      <c r="A75" s="83">
        <f t="shared" si="4"/>
        <v>74</v>
      </c>
      <c r="B75" s="55">
        <v>0.252</v>
      </c>
      <c r="C75" s="84">
        <f t="shared" si="6"/>
        <v>24.087999999999987</v>
      </c>
      <c r="D75" s="56">
        <v>46305</v>
      </c>
      <c r="E75" s="57">
        <f t="shared" si="5"/>
        <v>46305</v>
      </c>
      <c r="F75" s="59"/>
      <c r="G75" s="59"/>
    </row>
    <row r="76" spans="1:7" s="60" customFormat="1">
      <c r="A76" s="83">
        <f t="shared" si="4"/>
        <v>75</v>
      </c>
      <c r="B76" s="55">
        <v>0.252</v>
      </c>
      <c r="C76" s="84">
        <f t="shared" si="6"/>
        <v>24.339999999999986</v>
      </c>
      <c r="D76" s="56">
        <v>46306</v>
      </c>
      <c r="E76" s="57">
        <f t="shared" si="5"/>
        <v>46306</v>
      </c>
      <c r="F76" s="59"/>
      <c r="G76" s="59"/>
    </row>
    <row r="77" spans="1:7">
      <c r="A77" s="83">
        <f t="shared" si="4"/>
        <v>76</v>
      </c>
      <c r="B77" s="55">
        <v>0.252</v>
      </c>
      <c r="C77" s="84">
        <f t="shared" si="6"/>
        <v>24.591999999999985</v>
      </c>
      <c r="D77" s="56">
        <v>46307</v>
      </c>
      <c r="E77" s="57">
        <f t="shared" si="5"/>
        <v>46307</v>
      </c>
    </row>
    <row r="78" spans="1:7">
      <c r="A78" s="83">
        <f t="shared" si="4"/>
        <v>77</v>
      </c>
      <c r="B78" s="55">
        <v>0.252</v>
      </c>
      <c r="C78" s="84">
        <f t="shared" si="6"/>
        <v>24.843999999999983</v>
      </c>
      <c r="D78" s="56">
        <v>46308</v>
      </c>
      <c r="E78" s="57">
        <f t="shared" si="5"/>
        <v>46308</v>
      </c>
    </row>
    <row r="79" spans="1:7">
      <c r="A79" s="83">
        <f t="shared" si="4"/>
        <v>78</v>
      </c>
      <c r="B79" s="55">
        <v>0.252</v>
      </c>
      <c r="C79" s="84">
        <f t="shared" si="6"/>
        <v>25.095999999999982</v>
      </c>
      <c r="D79" s="56">
        <v>46309</v>
      </c>
      <c r="E79" s="57">
        <f t="shared" si="5"/>
        <v>46309</v>
      </c>
    </row>
    <row r="80" spans="1:7">
      <c r="A80" s="83">
        <f t="shared" si="4"/>
        <v>79</v>
      </c>
      <c r="B80" s="55">
        <v>0.252</v>
      </c>
      <c r="C80" s="84">
        <f t="shared" si="6"/>
        <v>25.347999999999981</v>
      </c>
      <c r="D80" s="56">
        <v>46310</v>
      </c>
      <c r="E80" s="57">
        <f t="shared" si="5"/>
        <v>46310</v>
      </c>
    </row>
    <row r="81" spans="1:7">
      <c r="A81" s="83">
        <f t="shared" si="4"/>
        <v>80</v>
      </c>
      <c r="B81" s="55">
        <v>0.252</v>
      </c>
      <c r="C81" s="84">
        <f t="shared" si="6"/>
        <v>25.59999999999998</v>
      </c>
      <c r="D81" s="56">
        <v>46311</v>
      </c>
      <c r="E81" s="57">
        <f t="shared" si="5"/>
        <v>46311</v>
      </c>
    </row>
    <row r="82" spans="1:7" s="60" customFormat="1">
      <c r="A82" s="83">
        <f t="shared" si="4"/>
        <v>81</v>
      </c>
      <c r="B82" s="55">
        <v>0.252</v>
      </c>
      <c r="C82" s="84">
        <f t="shared" si="6"/>
        <v>25.851999999999979</v>
      </c>
      <c r="D82" s="56">
        <v>46312</v>
      </c>
      <c r="E82" s="57">
        <f t="shared" si="5"/>
        <v>46312</v>
      </c>
      <c r="F82" s="59"/>
      <c r="G82" s="59"/>
    </row>
    <row r="83" spans="1:7" s="60" customFormat="1">
      <c r="A83" s="83">
        <f t="shared" si="4"/>
        <v>82</v>
      </c>
      <c r="B83" s="55">
        <v>0.252</v>
      </c>
      <c r="C83" s="84">
        <f t="shared" si="6"/>
        <v>26.103999999999978</v>
      </c>
      <c r="D83" s="56">
        <v>46313</v>
      </c>
      <c r="E83" s="57">
        <f t="shared" si="5"/>
        <v>46313</v>
      </c>
      <c r="F83" s="59"/>
      <c r="G83" s="59"/>
    </row>
    <row r="84" spans="1:7">
      <c r="A84" s="83">
        <f t="shared" si="4"/>
        <v>83</v>
      </c>
      <c r="B84" s="55">
        <v>0.252</v>
      </c>
      <c r="C84" s="84">
        <f t="shared" si="6"/>
        <v>26.355999999999977</v>
      </c>
      <c r="D84" s="56">
        <v>46314</v>
      </c>
      <c r="E84" s="57">
        <f t="shared" si="5"/>
        <v>46314</v>
      </c>
    </row>
    <row r="85" spans="1:7">
      <c r="A85" s="83">
        <f t="shared" si="4"/>
        <v>84</v>
      </c>
      <c r="B85" s="55">
        <v>0.252</v>
      </c>
      <c r="C85" s="84">
        <f t="shared" si="6"/>
        <v>26.607999999999976</v>
      </c>
      <c r="D85" s="56">
        <v>46315</v>
      </c>
      <c r="E85" s="57">
        <f t="shared" si="5"/>
        <v>46315</v>
      </c>
    </row>
    <row r="86" spans="1:7">
      <c r="A86" s="83">
        <f t="shared" si="4"/>
        <v>85</v>
      </c>
      <c r="B86" s="55">
        <v>0.252</v>
      </c>
      <c r="C86" s="84">
        <f t="shared" si="6"/>
        <v>26.859999999999975</v>
      </c>
      <c r="D86" s="56">
        <v>46316</v>
      </c>
      <c r="E86" s="57">
        <f t="shared" si="5"/>
        <v>46316</v>
      </c>
    </row>
    <row r="87" spans="1:7">
      <c r="A87" s="83">
        <f t="shared" ref="A87:A150" si="7">A86+1</f>
        <v>86</v>
      </c>
      <c r="B87" s="55">
        <v>0.252</v>
      </c>
      <c r="C87" s="84">
        <f t="shared" si="6"/>
        <v>27.111999999999973</v>
      </c>
      <c r="D87" s="56">
        <v>46317</v>
      </c>
      <c r="E87" s="57">
        <f t="shared" si="5"/>
        <v>46317</v>
      </c>
    </row>
    <row r="88" spans="1:7">
      <c r="A88" s="83">
        <f t="shared" si="7"/>
        <v>87</v>
      </c>
      <c r="B88" s="55">
        <v>0.252</v>
      </c>
      <c r="C88" s="84">
        <f t="shared" si="6"/>
        <v>27.363999999999972</v>
      </c>
      <c r="D88" s="56">
        <v>46318</v>
      </c>
      <c r="E88" s="57">
        <f t="shared" si="5"/>
        <v>46318</v>
      </c>
    </row>
    <row r="89" spans="1:7" s="60" customFormat="1">
      <c r="A89" s="83">
        <f t="shared" si="7"/>
        <v>88</v>
      </c>
      <c r="B89" s="55">
        <v>0.252</v>
      </c>
      <c r="C89" s="84">
        <f t="shared" si="6"/>
        <v>27.615999999999971</v>
      </c>
      <c r="D89" s="56">
        <v>46319</v>
      </c>
      <c r="E89" s="57">
        <f t="shared" si="5"/>
        <v>46319</v>
      </c>
      <c r="F89" s="59"/>
      <c r="G89" s="59"/>
    </row>
    <row r="90" spans="1:7" s="60" customFormat="1">
      <c r="A90" s="83">
        <f t="shared" si="7"/>
        <v>89</v>
      </c>
      <c r="B90" s="55">
        <v>0.252</v>
      </c>
      <c r="C90" s="84">
        <f t="shared" si="6"/>
        <v>27.86799999999997</v>
      </c>
      <c r="D90" s="56">
        <v>46320</v>
      </c>
      <c r="E90" s="57">
        <f t="shared" si="5"/>
        <v>46320</v>
      </c>
      <c r="F90" s="59"/>
      <c r="G90" s="59"/>
    </row>
    <row r="91" spans="1:7">
      <c r="A91" s="83">
        <f t="shared" si="7"/>
        <v>90</v>
      </c>
      <c r="B91" s="55">
        <v>0.252</v>
      </c>
      <c r="C91" s="84">
        <f t="shared" si="6"/>
        <v>28.119999999999969</v>
      </c>
      <c r="D91" s="56">
        <v>46321</v>
      </c>
      <c r="E91" s="57">
        <f t="shared" si="5"/>
        <v>46321</v>
      </c>
    </row>
    <row r="92" spans="1:7">
      <c r="A92" s="83">
        <f t="shared" si="7"/>
        <v>91</v>
      </c>
      <c r="B92" s="55">
        <v>0.252</v>
      </c>
      <c r="C92" s="84">
        <f t="shared" si="6"/>
        <v>28.371999999999968</v>
      </c>
      <c r="D92" s="56">
        <v>46322</v>
      </c>
      <c r="E92" s="57">
        <f t="shared" si="5"/>
        <v>46322</v>
      </c>
    </row>
    <row r="93" spans="1:7">
      <c r="A93" s="83">
        <f t="shared" si="7"/>
        <v>92</v>
      </c>
      <c r="B93" s="55">
        <v>0.252</v>
      </c>
      <c r="C93" s="84">
        <f t="shared" si="6"/>
        <v>28.623999999999967</v>
      </c>
      <c r="D93" s="56">
        <v>46323</v>
      </c>
      <c r="E93" s="57">
        <f t="shared" si="5"/>
        <v>46323</v>
      </c>
    </row>
    <row r="94" spans="1:7">
      <c r="A94" s="83">
        <f t="shared" si="7"/>
        <v>93</v>
      </c>
      <c r="B94" s="55">
        <v>0.252</v>
      </c>
      <c r="C94" s="84">
        <f t="shared" si="6"/>
        <v>28.875999999999966</v>
      </c>
      <c r="D94" s="56">
        <v>46324</v>
      </c>
      <c r="E94" s="57">
        <f t="shared" si="5"/>
        <v>46324</v>
      </c>
    </row>
    <row r="95" spans="1:7">
      <c r="A95" s="83">
        <f t="shared" si="7"/>
        <v>94</v>
      </c>
      <c r="B95" s="55">
        <v>0.252</v>
      </c>
      <c r="C95" s="84">
        <f t="shared" si="6"/>
        <v>29.127999999999965</v>
      </c>
      <c r="D95" s="56">
        <v>46325</v>
      </c>
      <c r="E95" s="57">
        <f t="shared" si="5"/>
        <v>46325</v>
      </c>
    </row>
    <row r="96" spans="1:7" s="60" customFormat="1">
      <c r="A96" s="83">
        <f t="shared" si="7"/>
        <v>95</v>
      </c>
      <c r="B96" s="55">
        <v>0.252</v>
      </c>
      <c r="C96" s="84">
        <f t="shared" si="6"/>
        <v>29.379999999999963</v>
      </c>
      <c r="D96" s="56">
        <v>46326</v>
      </c>
      <c r="E96" s="57">
        <f t="shared" si="5"/>
        <v>46326</v>
      </c>
      <c r="F96" s="59"/>
      <c r="G96" s="59"/>
    </row>
    <row r="97" spans="1:7" s="60" customFormat="1">
      <c r="A97" s="83">
        <f t="shared" si="7"/>
        <v>96</v>
      </c>
      <c r="B97" s="55">
        <v>0.252</v>
      </c>
      <c r="C97" s="84">
        <f t="shared" si="6"/>
        <v>29.631999999999962</v>
      </c>
      <c r="D97" s="56">
        <v>46327</v>
      </c>
      <c r="E97" s="57">
        <f t="shared" si="5"/>
        <v>46327</v>
      </c>
      <c r="F97" s="59"/>
      <c r="G97" s="59"/>
    </row>
    <row r="98" spans="1:7">
      <c r="A98" s="83">
        <f t="shared" si="7"/>
        <v>97</v>
      </c>
      <c r="B98" s="55">
        <v>0.252</v>
      </c>
      <c r="C98" s="84">
        <f t="shared" si="6"/>
        <v>29.883999999999961</v>
      </c>
      <c r="D98" s="56">
        <v>46328</v>
      </c>
      <c r="E98" s="57">
        <f t="shared" si="5"/>
        <v>46328</v>
      </c>
    </row>
    <row r="99" spans="1:7">
      <c r="A99" s="83">
        <f t="shared" si="7"/>
        <v>98</v>
      </c>
      <c r="B99" s="55">
        <v>0.252</v>
      </c>
      <c r="C99" s="84">
        <f t="shared" si="6"/>
        <v>30.13599999999996</v>
      </c>
      <c r="D99" s="56">
        <v>46329</v>
      </c>
      <c r="E99" s="57">
        <f t="shared" si="5"/>
        <v>46329</v>
      </c>
    </row>
    <row r="100" spans="1:7">
      <c r="A100" s="83">
        <f t="shared" si="7"/>
        <v>99</v>
      </c>
      <c r="B100" s="55">
        <v>0.252</v>
      </c>
      <c r="C100" s="84">
        <f t="shared" si="6"/>
        <v>30.387999999999959</v>
      </c>
      <c r="D100" s="56">
        <v>46330</v>
      </c>
      <c r="E100" s="57">
        <f t="shared" si="5"/>
        <v>46330</v>
      </c>
    </row>
    <row r="101" spans="1:7">
      <c r="A101" s="83">
        <f t="shared" si="7"/>
        <v>100</v>
      </c>
      <c r="B101" s="55">
        <v>0.252</v>
      </c>
      <c r="C101" s="84">
        <f t="shared" si="6"/>
        <v>30.639999999999958</v>
      </c>
      <c r="D101" s="56">
        <v>46331</v>
      </c>
      <c r="E101" s="57">
        <f t="shared" si="5"/>
        <v>46331</v>
      </c>
    </row>
    <row r="102" spans="1:7">
      <c r="A102" s="83">
        <f t="shared" si="7"/>
        <v>101</v>
      </c>
      <c r="B102" s="55">
        <v>0.252</v>
      </c>
      <c r="C102" s="84">
        <f t="shared" si="6"/>
        <v>30.891999999999957</v>
      </c>
      <c r="D102" s="56">
        <v>46332</v>
      </c>
      <c r="E102" s="57">
        <f t="shared" si="5"/>
        <v>46332</v>
      </c>
    </row>
    <row r="103" spans="1:7" s="60" customFormat="1">
      <c r="A103" s="83">
        <f t="shared" si="7"/>
        <v>102</v>
      </c>
      <c r="B103" s="55">
        <v>0.252</v>
      </c>
      <c r="C103" s="84">
        <f t="shared" si="6"/>
        <v>31.143999999999956</v>
      </c>
      <c r="D103" s="56">
        <v>46333</v>
      </c>
      <c r="E103" s="57">
        <f t="shared" si="5"/>
        <v>46333</v>
      </c>
      <c r="F103" s="59"/>
      <c r="G103" s="59"/>
    </row>
    <row r="104" spans="1:7" s="60" customFormat="1">
      <c r="A104" s="83">
        <f t="shared" si="7"/>
        <v>103</v>
      </c>
      <c r="B104" s="55">
        <v>0.252</v>
      </c>
      <c r="C104" s="84">
        <f t="shared" si="6"/>
        <v>31.395999999999955</v>
      </c>
      <c r="D104" s="56">
        <v>46334</v>
      </c>
      <c r="E104" s="57">
        <f t="shared" si="5"/>
        <v>46334</v>
      </c>
      <c r="F104" s="59"/>
      <c r="G104" s="59"/>
    </row>
    <row r="105" spans="1:7">
      <c r="A105" s="83">
        <f t="shared" si="7"/>
        <v>104</v>
      </c>
      <c r="B105" s="55">
        <v>0.252</v>
      </c>
      <c r="C105" s="84">
        <f t="shared" si="6"/>
        <v>31.647999999999954</v>
      </c>
      <c r="D105" s="56">
        <v>46335</v>
      </c>
      <c r="E105" s="57">
        <f t="shared" si="5"/>
        <v>46335</v>
      </c>
    </row>
    <row r="106" spans="1:7">
      <c r="A106" s="83">
        <f t="shared" si="7"/>
        <v>105</v>
      </c>
      <c r="B106" s="55">
        <v>0.252</v>
      </c>
      <c r="C106" s="84">
        <f t="shared" si="6"/>
        <v>31.899999999999952</v>
      </c>
      <c r="D106" s="56">
        <v>46336</v>
      </c>
      <c r="E106" s="57">
        <f t="shared" si="5"/>
        <v>46336</v>
      </c>
    </row>
    <row r="107" spans="1:7">
      <c r="A107" s="83">
        <f t="shared" si="7"/>
        <v>106</v>
      </c>
      <c r="B107" s="55">
        <v>0.252</v>
      </c>
      <c r="C107" s="84">
        <f t="shared" si="6"/>
        <v>32.151999999999951</v>
      </c>
      <c r="D107" s="56">
        <v>46337</v>
      </c>
      <c r="E107" s="57">
        <f t="shared" si="5"/>
        <v>46337</v>
      </c>
    </row>
    <row r="108" spans="1:7">
      <c r="A108" s="83">
        <f t="shared" si="7"/>
        <v>107</v>
      </c>
      <c r="B108" s="55">
        <v>0.252</v>
      </c>
      <c r="C108" s="84">
        <f t="shared" si="6"/>
        <v>32.403999999999954</v>
      </c>
      <c r="D108" s="56">
        <v>46338</v>
      </c>
      <c r="E108" s="57">
        <f t="shared" si="5"/>
        <v>46338</v>
      </c>
    </row>
    <row r="109" spans="1:7">
      <c r="A109" s="83">
        <f t="shared" si="7"/>
        <v>108</v>
      </c>
      <c r="B109" s="55">
        <v>0.252</v>
      </c>
      <c r="C109" s="84">
        <f t="shared" si="6"/>
        <v>32.655999999999956</v>
      </c>
      <c r="D109" s="56">
        <v>46339</v>
      </c>
      <c r="E109" s="57">
        <f t="shared" si="5"/>
        <v>46339</v>
      </c>
    </row>
    <row r="110" spans="1:7" s="60" customFormat="1">
      <c r="A110" s="83">
        <f t="shared" si="7"/>
        <v>109</v>
      </c>
      <c r="B110" s="55">
        <v>0.252</v>
      </c>
      <c r="C110" s="84">
        <f t="shared" si="6"/>
        <v>32.907999999999959</v>
      </c>
      <c r="D110" s="56">
        <v>46340</v>
      </c>
      <c r="E110" s="57">
        <f t="shared" si="5"/>
        <v>46340</v>
      </c>
      <c r="F110" s="59"/>
      <c r="G110" s="59"/>
    </row>
    <row r="111" spans="1:7" s="60" customFormat="1">
      <c r="A111" s="83">
        <f t="shared" si="7"/>
        <v>110</v>
      </c>
      <c r="B111" s="55">
        <v>0.252</v>
      </c>
      <c r="C111" s="84">
        <f t="shared" si="6"/>
        <v>33.159999999999961</v>
      </c>
      <c r="D111" s="56">
        <v>46341</v>
      </c>
      <c r="E111" s="57">
        <f t="shared" si="5"/>
        <v>46341</v>
      </c>
      <c r="F111" s="59"/>
      <c r="G111" s="59"/>
    </row>
    <row r="112" spans="1:7">
      <c r="A112" s="83">
        <f t="shared" si="7"/>
        <v>111</v>
      </c>
      <c r="B112" s="70">
        <v>0.63600000000000001</v>
      </c>
      <c r="C112" s="84">
        <f t="shared" si="6"/>
        <v>33.795999999999964</v>
      </c>
      <c r="D112" s="56">
        <v>46342</v>
      </c>
      <c r="E112" s="57">
        <f t="shared" si="5"/>
        <v>46342</v>
      </c>
    </row>
    <row r="113" spans="1:7">
      <c r="A113" s="83">
        <f t="shared" si="7"/>
        <v>112</v>
      </c>
      <c r="B113" s="70">
        <v>0.63600000000000001</v>
      </c>
      <c r="C113" s="84">
        <f t="shared" si="6"/>
        <v>34.431999999999967</v>
      </c>
      <c r="D113" s="56">
        <v>46343</v>
      </c>
      <c r="E113" s="57">
        <f t="shared" si="5"/>
        <v>46343</v>
      </c>
    </row>
    <row r="114" spans="1:7">
      <c r="A114" s="83">
        <f t="shared" si="7"/>
        <v>113</v>
      </c>
      <c r="B114" s="70">
        <v>0.63600000000000001</v>
      </c>
      <c r="C114" s="84">
        <f t="shared" si="6"/>
        <v>35.067999999999969</v>
      </c>
      <c r="D114" s="56">
        <v>46344</v>
      </c>
      <c r="E114" s="57">
        <f t="shared" si="5"/>
        <v>46344</v>
      </c>
    </row>
    <row r="115" spans="1:7">
      <c r="A115" s="83">
        <f t="shared" si="7"/>
        <v>114</v>
      </c>
      <c r="B115" s="70">
        <v>0.63600000000000001</v>
      </c>
      <c r="C115" s="84">
        <f t="shared" si="6"/>
        <v>35.703999999999972</v>
      </c>
      <c r="D115" s="56">
        <v>46345</v>
      </c>
      <c r="E115" s="57">
        <f t="shared" si="5"/>
        <v>46345</v>
      </c>
    </row>
    <row r="116" spans="1:7">
      <c r="A116" s="83">
        <f t="shared" si="7"/>
        <v>115</v>
      </c>
      <c r="B116" s="70">
        <v>0.63600000000000001</v>
      </c>
      <c r="C116" s="84">
        <f t="shared" si="6"/>
        <v>36.339999999999975</v>
      </c>
      <c r="D116" s="56">
        <v>46346</v>
      </c>
      <c r="E116" s="57">
        <f t="shared" si="5"/>
        <v>46346</v>
      </c>
      <c r="F116" s="59"/>
    </row>
    <row r="117" spans="1:7" s="60" customFormat="1">
      <c r="A117" s="83">
        <f t="shared" si="7"/>
        <v>116</v>
      </c>
      <c r="B117" s="70">
        <v>0.63600000000000001</v>
      </c>
      <c r="C117" s="84">
        <f t="shared" si="6"/>
        <v>36.975999999999978</v>
      </c>
      <c r="D117" s="56">
        <v>46347</v>
      </c>
      <c r="E117" s="57">
        <f t="shared" si="5"/>
        <v>46347</v>
      </c>
      <c r="F117" s="59"/>
      <c r="G117" s="59"/>
    </row>
    <row r="118" spans="1:7" s="60" customFormat="1">
      <c r="A118" s="83">
        <f t="shared" si="7"/>
        <v>117</v>
      </c>
      <c r="B118" s="70">
        <v>0.63600000000000001</v>
      </c>
      <c r="C118" s="84">
        <f t="shared" si="6"/>
        <v>37.611999999999981</v>
      </c>
      <c r="D118" s="56">
        <v>46348</v>
      </c>
      <c r="E118" s="57">
        <f t="shared" si="5"/>
        <v>46348</v>
      </c>
      <c r="F118" s="59"/>
      <c r="G118" s="59"/>
    </row>
    <row r="119" spans="1:7">
      <c r="A119" s="83">
        <f t="shared" si="7"/>
        <v>118</v>
      </c>
      <c r="B119" s="70">
        <v>0.63600000000000001</v>
      </c>
      <c r="C119" s="84">
        <f t="shared" si="6"/>
        <v>38.247999999999983</v>
      </c>
      <c r="D119" s="56">
        <v>46349</v>
      </c>
      <c r="E119" s="57">
        <f t="shared" si="5"/>
        <v>46349</v>
      </c>
    </row>
    <row r="120" spans="1:7">
      <c r="A120" s="83">
        <f t="shared" si="7"/>
        <v>119</v>
      </c>
      <c r="B120" s="70">
        <v>0.63600000000000001</v>
      </c>
      <c r="C120" s="84">
        <f t="shared" si="6"/>
        <v>38.883999999999986</v>
      </c>
      <c r="D120" s="56">
        <v>46350</v>
      </c>
      <c r="E120" s="57">
        <f t="shared" si="5"/>
        <v>46350</v>
      </c>
    </row>
    <row r="121" spans="1:7">
      <c r="A121" s="83">
        <f t="shared" si="7"/>
        <v>120</v>
      </c>
      <c r="B121" s="70">
        <v>0.63600000000000001</v>
      </c>
      <c r="C121" s="84">
        <f t="shared" si="6"/>
        <v>39.519999999999989</v>
      </c>
      <c r="D121" s="56">
        <v>46351</v>
      </c>
      <c r="E121" s="57">
        <f t="shared" si="5"/>
        <v>46351</v>
      </c>
    </row>
    <row r="122" spans="1:7">
      <c r="A122" s="83">
        <f t="shared" si="7"/>
        <v>121</v>
      </c>
      <c r="B122" s="70">
        <v>0.63600000000000001</v>
      </c>
      <c r="C122" s="84">
        <f t="shared" si="6"/>
        <v>40.155999999999992</v>
      </c>
      <c r="D122" s="56">
        <v>46352</v>
      </c>
      <c r="E122" s="57">
        <f t="shared" si="5"/>
        <v>46352</v>
      </c>
    </row>
    <row r="123" spans="1:7">
      <c r="A123" s="83">
        <f t="shared" si="7"/>
        <v>122</v>
      </c>
      <c r="B123" s="70">
        <v>0.63600000000000001</v>
      </c>
      <c r="C123" s="84">
        <f t="shared" si="6"/>
        <v>40.791999999999994</v>
      </c>
      <c r="D123" s="56">
        <v>46353</v>
      </c>
      <c r="E123" s="57">
        <f t="shared" si="5"/>
        <v>46353</v>
      </c>
    </row>
    <row r="124" spans="1:7" s="60" customFormat="1">
      <c r="A124" s="83">
        <f t="shared" si="7"/>
        <v>123</v>
      </c>
      <c r="B124" s="70">
        <v>0.63600000000000001</v>
      </c>
      <c r="C124" s="84">
        <f t="shared" si="6"/>
        <v>41.427999999999997</v>
      </c>
      <c r="D124" s="56">
        <v>46354</v>
      </c>
      <c r="E124" s="57">
        <f t="shared" si="5"/>
        <v>46354</v>
      </c>
      <c r="F124" s="59"/>
      <c r="G124" s="59"/>
    </row>
    <row r="125" spans="1:7" s="60" customFormat="1">
      <c r="A125" s="83">
        <f t="shared" si="7"/>
        <v>124</v>
      </c>
      <c r="B125" s="70">
        <v>0.63600000000000001</v>
      </c>
      <c r="C125" s="84">
        <f t="shared" si="6"/>
        <v>42.064</v>
      </c>
      <c r="D125" s="56">
        <v>46355</v>
      </c>
      <c r="E125" s="57">
        <f t="shared" si="5"/>
        <v>46355</v>
      </c>
      <c r="F125" s="59"/>
      <c r="G125" s="59"/>
    </row>
    <row r="126" spans="1:7">
      <c r="A126" s="83">
        <f t="shared" si="7"/>
        <v>125</v>
      </c>
      <c r="B126" s="70">
        <v>0.63600000000000001</v>
      </c>
      <c r="C126" s="84">
        <f t="shared" si="6"/>
        <v>42.7</v>
      </c>
      <c r="D126" s="56">
        <v>46356</v>
      </c>
      <c r="E126" s="57">
        <f t="shared" si="5"/>
        <v>46356</v>
      </c>
    </row>
    <row r="127" spans="1:7">
      <c r="A127" s="83">
        <f t="shared" si="7"/>
        <v>126</v>
      </c>
      <c r="B127" s="70">
        <v>0.63600000000000001</v>
      </c>
      <c r="C127" s="84">
        <f t="shared" si="6"/>
        <v>43.336000000000006</v>
      </c>
      <c r="D127" s="56">
        <v>46357</v>
      </c>
      <c r="E127" s="57">
        <f t="shared" si="5"/>
        <v>46357</v>
      </c>
    </row>
    <row r="128" spans="1:7">
      <c r="A128" s="83">
        <f t="shared" si="7"/>
        <v>127</v>
      </c>
      <c r="B128" s="70">
        <v>0.63600000000000001</v>
      </c>
      <c r="C128" s="84">
        <f t="shared" si="6"/>
        <v>43.972000000000008</v>
      </c>
      <c r="D128" s="56">
        <v>46358</v>
      </c>
      <c r="E128" s="57">
        <f t="shared" si="5"/>
        <v>46358</v>
      </c>
    </row>
    <row r="129" spans="1:7">
      <c r="A129" s="83">
        <f t="shared" si="7"/>
        <v>128</v>
      </c>
      <c r="B129" s="70">
        <v>0.63600000000000001</v>
      </c>
      <c r="C129" s="84">
        <f t="shared" si="6"/>
        <v>44.608000000000011</v>
      </c>
      <c r="D129" s="56">
        <v>46359</v>
      </c>
      <c r="E129" s="57">
        <f t="shared" si="5"/>
        <v>46359</v>
      </c>
    </row>
    <row r="130" spans="1:7">
      <c r="A130" s="83">
        <f t="shared" si="7"/>
        <v>129</v>
      </c>
      <c r="B130" s="70">
        <v>0.63600000000000001</v>
      </c>
      <c r="C130" s="84">
        <f t="shared" si="6"/>
        <v>45.244000000000014</v>
      </c>
      <c r="D130" s="56">
        <v>46360</v>
      </c>
      <c r="E130" s="57">
        <f t="shared" si="5"/>
        <v>46360</v>
      </c>
    </row>
    <row r="131" spans="1:7" s="60" customFormat="1">
      <c r="A131" s="83">
        <f t="shared" si="7"/>
        <v>130</v>
      </c>
      <c r="B131" s="70">
        <v>0.63600000000000001</v>
      </c>
      <c r="C131" s="84">
        <f t="shared" si="6"/>
        <v>45.880000000000017</v>
      </c>
      <c r="D131" s="56">
        <v>46361</v>
      </c>
      <c r="E131" s="57">
        <f t="shared" ref="E131:E181" si="8">D131</f>
        <v>46361</v>
      </c>
      <c r="F131" s="59"/>
      <c r="G131" s="59"/>
    </row>
    <row r="132" spans="1:7" s="60" customFormat="1">
      <c r="A132" s="83">
        <f t="shared" si="7"/>
        <v>131</v>
      </c>
      <c r="B132" s="55">
        <v>0.69699999999999995</v>
      </c>
      <c r="C132" s="84">
        <f t="shared" ref="C132:C181" si="9">C131+B132</f>
        <v>46.577000000000019</v>
      </c>
      <c r="D132" s="56">
        <v>46362</v>
      </c>
      <c r="E132" s="57">
        <f t="shared" si="8"/>
        <v>46362</v>
      </c>
      <c r="F132" s="59"/>
      <c r="G132" s="59"/>
    </row>
    <row r="133" spans="1:7">
      <c r="A133" s="83">
        <f t="shared" si="7"/>
        <v>132</v>
      </c>
      <c r="B133" s="55">
        <v>0.69699999999999995</v>
      </c>
      <c r="C133" s="84">
        <f t="shared" si="9"/>
        <v>47.274000000000022</v>
      </c>
      <c r="D133" s="56">
        <v>46363</v>
      </c>
      <c r="E133" s="57">
        <f t="shared" si="8"/>
        <v>46363</v>
      </c>
    </row>
    <row r="134" spans="1:7">
      <c r="A134" s="83">
        <f t="shared" si="7"/>
        <v>133</v>
      </c>
      <c r="B134" s="55">
        <v>0.69699999999999995</v>
      </c>
      <c r="C134" s="84">
        <f t="shared" si="9"/>
        <v>47.971000000000025</v>
      </c>
      <c r="D134" s="56">
        <v>46364</v>
      </c>
      <c r="E134" s="57">
        <f t="shared" si="8"/>
        <v>46364</v>
      </c>
    </row>
    <row r="135" spans="1:7">
      <c r="A135" s="83">
        <f t="shared" si="7"/>
        <v>134</v>
      </c>
      <c r="B135" s="55">
        <v>0.69699999999999995</v>
      </c>
      <c r="C135" s="84">
        <f t="shared" si="9"/>
        <v>48.668000000000028</v>
      </c>
      <c r="D135" s="56">
        <v>46365</v>
      </c>
      <c r="E135" s="57">
        <f t="shared" si="8"/>
        <v>46365</v>
      </c>
    </row>
    <row r="136" spans="1:7">
      <c r="A136" s="83">
        <f t="shared" si="7"/>
        <v>135</v>
      </c>
      <c r="B136" s="55">
        <v>0.69699999999999995</v>
      </c>
      <c r="C136" s="84">
        <f t="shared" si="9"/>
        <v>49.36500000000003</v>
      </c>
      <c r="D136" s="56">
        <v>46366</v>
      </c>
      <c r="E136" s="57">
        <f t="shared" si="8"/>
        <v>46366</v>
      </c>
    </row>
    <row r="137" spans="1:7">
      <c r="A137" s="83">
        <f t="shared" si="7"/>
        <v>136</v>
      </c>
      <c r="B137" s="55">
        <v>0.69699999999999995</v>
      </c>
      <c r="C137" s="84">
        <f t="shared" si="9"/>
        <v>50.062000000000033</v>
      </c>
      <c r="D137" s="56">
        <v>46367</v>
      </c>
      <c r="E137" s="57">
        <f t="shared" si="8"/>
        <v>46367</v>
      </c>
    </row>
    <row r="138" spans="1:7" s="60" customFormat="1">
      <c r="A138" s="83">
        <f t="shared" si="7"/>
        <v>137</v>
      </c>
      <c r="B138" s="55">
        <v>0.69699999999999995</v>
      </c>
      <c r="C138" s="84">
        <f t="shared" si="9"/>
        <v>50.759000000000036</v>
      </c>
      <c r="D138" s="56">
        <v>46368</v>
      </c>
      <c r="E138" s="57">
        <f t="shared" si="8"/>
        <v>46368</v>
      </c>
      <c r="F138" s="59"/>
      <c r="G138" s="59"/>
    </row>
    <row r="139" spans="1:7" s="60" customFormat="1">
      <c r="A139" s="83">
        <f t="shared" si="7"/>
        <v>138</v>
      </c>
      <c r="B139" s="55">
        <v>0.69699999999999995</v>
      </c>
      <c r="C139" s="84">
        <f t="shared" si="9"/>
        <v>51.456000000000039</v>
      </c>
      <c r="D139" s="56">
        <v>46369</v>
      </c>
      <c r="E139" s="57">
        <f t="shared" si="8"/>
        <v>46369</v>
      </c>
      <c r="F139" s="59"/>
      <c r="G139" s="59"/>
    </row>
    <row r="140" spans="1:7">
      <c r="A140" s="83">
        <f t="shared" si="7"/>
        <v>139</v>
      </c>
      <c r="B140" s="55">
        <v>0.69699999999999995</v>
      </c>
      <c r="C140" s="84">
        <f t="shared" si="9"/>
        <v>52.153000000000041</v>
      </c>
      <c r="D140" s="56">
        <v>46370</v>
      </c>
      <c r="E140" s="57">
        <f t="shared" si="8"/>
        <v>46370</v>
      </c>
    </row>
    <row r="141" spans="1:7">
      <c r="A141" s="83">
        <f t="shared" si="7"/>
        <v>140</v>
      </c>
      <c r="B141" s="55">
        <v>0.69699999999999995</v>
      </c>
      <c r="C141" s="84">
        <f t="shared" si="9"/>
        <v>52.850000000000044</v>
      </c>
      <c r="D141" s="56">
        <v>46371</v>
      </c>
      <c r="E141" s="57">
        <f t="shared" si="8"/>
        <v>46371</v>
      </c>
    </row>
    <row r="142" spans="1:7">
      <c r="A142" s="83">
        <f t="shared" si="7"/>
        <v>141</v>
      </c>
      <c r="B142" s="55">
        <v>0.76700000000000002</v>
      </c>
      <c r="C142" s="84">
        <f t="shared" si="9"/>
        <v>53.617000000000047</v>
      </c>
      <c r="D142" s="56">
        <v>46372</v>
      </c>
      <c r="E142" s="57">
        <f t="shared" si="8"/>
        <v>46372</v>
      </c>
    </row>
    <row r="143" spans="1:7">
      <c r="A143" s="83">
        <f t="shared" si="7"/>
        <v>142</v>
      </c>
      <c r="B143" s="55">
        <v>0.76700000000000002</v>
      </c>
      <c r="C143" s="84">
        <f t="shared" si="9"/>
        <v>54.38400000000005</v>
      </c>
      <c r="D143" s="56">
        <v>46373</v>
      </c>
      <c r="E143" s="57">
        <f t="shared" si="8"/>
        <v>46373</v>
      </c>
    </row>
    <row r="144" spans="1:7">
      <c r="A144" s="83">
        <f t="shared" si="7"/>
        <v>143</v>
      </c>
      <c r="B144" s="55">
        <v>0.76700000000000002</v>
      </c>
      <c r="C144" s="84">
        <f t="shared" si="9"/>
        <v>55.151000000000053</v>
      </c>
      <c r="D144" s="56">
        <v>46374</v>
      </c>
      <c r="E144" s="57">
        <f t="shared" si="8"/>
        <v>46374</v>
      </c>
    </row>
    <row r="145" spans="1:7" s="60" customFormat="1">
      <c r="A145" s="83">
        <f t="shared" si="7"/>
        <v>144</v>
      </c>
      <c r="B145" s="55">
        <v>0.76700000000000002</v>
      </c>
      <c r="C145" s="84">
        <f t="shared" si="9"/>
        <v>55.918000000000056</v>
      </c>
      <c r="D145" s="56">
        <v>46375</v>
      </c>
      <c r="E145" s="57">
        <f t="shared" si="8"/>
        <v>46375</v>
      </c>
      <c r="F145" s="59"/>
      <c r="G145" s="59"/>
    </row>
    <row r="146" spans="1:7" s="60" customFormat="1">
      <c r="A146" s="83">
        <f t="shared" si="7"/>
        <v>145</v>
      </c>
      <c r="B146" s="55">
        <v>0.76700000000000002</v>
      </c>
      <c r="C146" s="84">
        <f t="shared" si="9"/>
        <v>56.685000000000059</v>
      </c>
      <c r="D146" s="56">
        <v>46376</v>
      </c>
      <c r="E146" s="57">
        <f t="shared" si="8"/>
        <v>46376</v>
      </c>
      <c r="F146" s="59"/>
      <c r="G146" s="59"/>
    </row>
    <row r="147" spans="1:7">
      <c r="A147" s="83">
        <f t="shared" si="7"/>
        <v>146</v>
      </c>
      <c r="B147" s="55">
        <v>0.76700000000000002</v>
      </c>
      <c r="C147" s="84">
        <f t="shared" si="9"/>
        <v>57.452000000000062</v>
      </c>
      <c r="D147" s="56">
        <v>46377</v>
      </c>
      <c r="E147" s="57">
        <f t="shared" si="8"/>
        <v>46377</v>
      </c>
    </row>
    <row r="148" spans="1:7">
      <c r="A148" s="83">
        <f t="shared" si="7"/>
        <v>147</v>
      </c>
      <c r="B148" s="55">
        <v>0.76700000000000002</v>
      </c>
      <c r="C148" s="84">
        <f t="shared" si="9"/>
        <v>58.219000000000065</v>
      </c>
      <c r="D148" s="56">
        <v>46378</v>
      </c>
      <c r="E148" s="57">
        <f t="shared" si="8"/>
        <v>46378</v>
      </c>
    </row>
    <row r="149" spans="1:7">
      <c r="A149" s="83">
        <f t="shared" si="7"/>
        <v>148</v>
      </c>
      <c r="B149" s="55">
        <v>0.76700000000000002</v>
      </c>
      <c r="C149" s="84">
        <f t="shared" si="9"/>
        <v>58.986000000000068</v>
      </c>
      <c r="D149" s="56">
        <v>46379</v>
      </c>
      <c r="E149" s="57">
        <f t="shared" si="8"/>
        <v>46379</v>
      </c>
    </row>
    <row r="150" spans="1:7">
      <c r="A150" s="83">
        <f t="shared" si="7"/>
        <v>149</v>
      </c>
      <c r="B150" s="55">
        <v>0.76700000000000002</v>
      </c>
      <c r="C150" s="84">
        <f t="shared" si="9"/>
        <v>59.753000000000071</v>
      </c>
      <c r="D150" s="56">
        <v>46380</v>
      </c>
      <c r="E150" s="57">
        <f t="shared" si="8"/>
        <v>46380</v>
      </c>
    </row>
    <row r="151" spans="1:7">
      <c r="A151" s="83">
        <f t="shared" ref="A151:A181" si="10">A150+1</f>
        <v>150</v>
      </c>
      <c r="B151" s="55">
        <v>0.76700000000000002</v>
      </c>
      <c r="C151" s="84">
        <f t="shared" si="9"/>
        <v>60.520000000000074</v>
      </c>
      <c r="D151" s="56">
        <v>46381</v>
      </c>
      <c r="E151" s="57">
        <f t="shared" si="8"/>
        <v>46381</v>
      </c>
    </row>
    <row r="152" spans="1:7" s="60" customFormat="1">
      <c r="A152" s="83">
        <f t="shared" si="10"/>
        <v>151</v>
      </c>
      <c r="B152" s="55">
        <v>1.0269999999999999</v>
      </c>
      <c r="C152" s="84">
        <f t="shared" si="9"/>
        <v>61.547000000000075</v>
      </c>
      <c r="D152" s="56">
        <v>46382</v>
      </c>
      <c r="E152" s="57">
        <f t="shared" si="8"/>
        <v>46382</v>
      </c>
      <c r="F152" s="59"/>
      <c r="G152" s="59"/>
    </row>
    <row r="153" spans="1:7" s="60" customFormat="1">
      <c r="A153" s="83">
        <f t="shared" si="10"/>
        <v>152</v>
      </c>
      <c r="B153" s="55">
        <v>1.0269999999999999</v>
      </c>
      <c r="C153" s="84">
        <f t="shared" si="9"/>
        <v>62.574000000000076</v>
      </c>
      <c r="D153" s="56">
        <v>46383</v>
      </c>
      <c r="E153" s="57">
        <f t="shared" si="8"/>
        <v>46383</v>
      </c>
      <c r="F153" s="59"/>
      <c r="G153" s="59"/>
    </row>
    <row r="154" spans="1:7">
      <c r="A154" s="83">
        <f t="shared" si="10"/>
        <v>153</v>
      </c>
      <c r="B154" s="55">
        <v>1.0269999999999999</v>
      </c>
      <c r="C154" s="84">
        <f t="shared" si="9"/>
        <v>63.601000000000077</v>
      </c>
      <c r="D154" s="56">
        <v>46384</v>
      </c>
      <c r="E154" s="57">
        <f t="shared" si="8"/>
        <v>46384</v>
      </c>
    </row>
    <row r="155" spans="1:7">
      <c r="A155" s="83">
        <f t="shared" si="10"/>
        <v>154</v>
      </c>
      <c r="B155" s="55">
        <v>1.0269999999999999</v>
      </c>
      <c r="C155" s="84">
        <f t="shared" si="9"/>
        <v>64.628000000000071</v>
      </c>
      <c r="D155" s="56">
        <v>46385</v>
      </c>
      <c r="E155" s="57">
        <f t="shared" si="8"/>
        <v>46385</v>
      </c>
    </row>
    <row r="156" spans="1:7">
      <c r="A156" s="83">
        <f t="shared" si="10"/>
        <v>155</v>
      </c>
      <c r="B156" s="55">
        <v>1.0269999999999999</v>
      </c>
      <c r="C156" s="84">
        <f t="shared" si="9"/>
        <v>65.655000000000072</v>
      </c>
      <c r="D156" s="56">
        <v>46386</v>
      </c>
      <c r="E156" s="57">
        <f t="shared" si="8"/>
        <v>46386</v>
      </c>
    </row>
    <row r="157" spans="1:7">
      <c r="A157" s="83">
        <f t="shared" si="10"/>
        <v>156</v>
      </c>
      <c r="B157" s="55">
        <v>1.0269999999999999</v>
      </c>
      <c r="C157" s="84">
        <f t="shared" si="9"/>
        <v>66.682000000000073</v>
      </c>
      <c r="D157" s="56">
        <v>46387</v>
      </c>
      <c r="E157" s="57">
        <f t="shared" si="8"/>
        <v>46387</v>
      </c>
    </row>
    <row r="158" spans="1:7">
      <c r="A158" s="83">
        <f t="shared" si="10"/>
        <v>157</v>
      </c>
      <c r="B158" s="55">
        <v>1.0269999999999999</v>
      </c>
      <c r="C158" s="84">
        <f t="shared" si="9"/>
        <v>67.709000000000074</v>
      </c>
      <c r="D158" s="56">
        <v>46388</v>
      </c>
      <c r="E158" s="57">
        <f t="shared" si="8"/>
        <v>46388</v>
      </c>
    </row>
    <row r="159" spans="1:7" s="60" customFormat="1">
      <c r="A159" s="83">
        <f t="shared" si="10"/>
        <v>158</v>
      </c>
      <c r="B159" s="55">
        <v>1.0269999999999999</v>
      </c>
      <c r="C159" s="84">
        <f t="shared" si="9"/>
        <v>68.736000000000075</v>
      </c>
      <c r="D159" s="56">
        <v>46389</v>
      </c>
      <c r="E159" s="57">
        <f t="shared" si="8"/>
        <v>46389</v>
      </c>
      <c r="F159" s="59"/>
      <c r="G159" s="59"/>
    </row>
    <row r="160" spans="1:7" s="60" customFormat="1">
      <c r="A160" s="83">
        <f t="shared" si="10"/>
        <v>159</v>
      </c>
      <c r="B160" s="55">
        <v>1.0269999999999999</v>
      </c>
      <c r="C160" s="84">
        <f t="shared" si="9"/>
        <v>69.763000000000076</v>
      </c>
      <c r="D160" s="56">
        <v>46390</v>
      </c>
      <c r="E160" s="57">
        <f t="shared" si="8"/>
        <v>46390</v>
      </c>
      <c r="F160" s="59"/>
      <c r="G160" s="59"/>
    </row>
    <row r="161" spans="1:7">
      <c r="A161" s="83">
        <f t="shared" si="10"/>
        <v>160</v>
      </c>
      <c r="B161" s="55">
        <v>1.0269999999999999</v>
      </c>
      <c r="C161" s="84">
        <f t="shared" si="9"/>
        <v>70.790000000000077</v>
      </c>
      <c r="D161" s="56">
        <v>46391</v>
      </c>
      <c r="E161" s="57">
        <f t="shared" si="8"/>
        <v>46391</v>
      </c>
    </row>
    <row r="162" spans="1:7">
      <c r="A162" s="83">
        <f t="shared" si="10"/>
        <v>161</v>
      </c>
      <c r="B162" s="55">
        <v>1.3620000000000001</v>
      </c>
      <c r="C162" s="84">
        <f t="shared" si="9"/>
        <v>72.152000000000072</v>
      </c>
      <c r="D162" s="56">
        <v>46392</v>
      </c>
      <c r="E162" s="57">
        <f t="shared" si="8"/>
        <v>46392</v>
      </c>
    </row>
    <row r="163" spans="1:7">
      <c r="A163" s="83">
        <f t="shared" si="10"/>
        <v>162</v>
      </c>
      <c r="B163" s="55">
        <v>1.3620000000000001</v>
      </c>
      <c r="C163" s="84">
        <f t="shared" si="9"/>
        <v>73.514000000000067</v>
      </c>
      <c r="D163" s="56">
        <v>46393</v>
      </c>
      <c r="E163" s="57">
        <f t="shared" si="8"/>
        <v>46393</v>
      </c>
    </row>
    <row r="164" spans="1:7">
      <c r="A164" s="83">
        <f t="shared" si="10"/>
        <v>163</v>
      </c>
      <c r="B164" s="55">
        <v>1.3620000000000001</v>
      </c>
      <c r="C164" s="84">
        <f t="shared" si="9"/>
        <v>74.876000000000062</v>
      </c>
      <c r="D164" s="56">
        <v>46394</v>
      </c>
      <c r="E164" s="57">
        <f t="shared" si="8"/>
        <v>46394</v>
      </c>
    </row>
    <row r="165" spans="1:7">
      <c r="A165" s="83">
        <f t="shared" si="10"/>
        <v>164</v>
      </c>
      <c r="B165" s="55">
        <v>1.3620000000000001</v>
      </c>
      <c r="C165" s="84">
        <f t="shared" si="9"/>
        <v>76.238000000000056</v>
      </c>
      <c r="D165" s="56">
        <v>46395</v>
      </c>
      <c r="E165" s="57">
        <f t="shared" si="8"/>
        <v>46395</v>
      </c>
    </row>
    <row r="166" spans="1:7" s="60" customFormat="1">
      <c r="A166" s="83">
        <f t="shared" si="10"/>
        <v>165</v>
      </c>
      <c r="B166" s="55">
        <v>1.3620000000000001</v>
      </c>
      <c r="C166" s="84">
        <f t="shared" si="9"/>
        <v>77.600000000000051</v>
      </c>
      <c r="D166" s="56">
        <v>46396</v>
      </c>
      <c r="E166" s="57">
        <f t="shared" si="8"/>
        <v>46396</v>
      </c>
      <c r="F166" s="59"/>
      <c r="G166" s="59"/>
    </row>
    <row r="167" spans="1:7" s="60" customFormat="1">
      <c r="A167" s="83">
        <f t="shared" si="10"/>
        <v>166</v>
      </c>
      <c r="B167" s="55">
        <v>1.3620000000000001</v>
      </c>
      <c r="C167" s="84">
        <f t="shared" si="9"/>
        <v>78.962000000000046</v>
      </c>
      <c r="D167" s="56">
        <v>46397</v>
      </c>
      <c r="E167" s="57">
        <f t="shared" si="8"/>
        <v>46397</v>
      </c>
      <c r="F167" s="59"/>
      <c r="G167" s="59"/>
    </row>
    <row r="168" spans="1:7">
      <c r="A168" s="83">
        <f t="shared" si="10"/>
        <v>167</v>
      </c>
      <c r="B168" s="55">
        <v>1.3620000000000001</v>
      </c>
      <c r="C168" s="84">
        <f t="shared" si="9"/>
        <v>80.324000000000041</v>
      </c>
      <c r="D168" s="56">
        <v>46398</v>
      </c>
      <c r="E168" s="57">
        <f t="shared" si="8"/>
        <v>46398</v>
      </c>
    </row>
    <row r="169" spans="1:7">
      <c r="A169" s="83">
        <f t="shared" si="10"/>
        <v>168</v>
      </c>
      <c r="B169" s="55">
        <v>1.3620000000000001</v>
      </c>
      <c r="C169" s="84">
        <f t="shared" si="9"/>
        <v>81.686000000000035</v>
      </c>
      <c r="D169" s="56">
        <v>46399</v>
      </c>
      <c r="E169" s="57">
        <f t="shared" si="8"/>
        <v>46399</v>
      </c>
    </row>
    <row r="170" spans="1:7">
      <c r="A170" s="83">
        <f t="shared" si="10"/>
        <v>169</v>
      </c>
      <c r="B170" s="55">
        <v>1.3620000000000001</v>
      </c>
      <c r="C170" s="84">
        <f t="shared" si="9"/>
        <v>83.04800000000003</v>
      </c>
      <c r="D170" s="56">
        <v>46400</v>
      </c>
      <c r="E170" s="57">
        <f t="shared" si="8"/>
        <v>46400</v>
      </c>
    </row>
    <row r="171" spans="1:7">
      <c r="A171" s="83">
        <f t="shared" si="10"/>
        <v>170</v>
      </c>
      <c r="B171" s="55">
        <v>1.3620000000000001</v>
      </c>
      <c r="C171" s="84">
        <f t="shared" si="9"/>
        <v>84.410000000000025</v>
      </c>
      <c r="D171" s="56">
        <v>46401</v>
      </c>
      <c r="E171" s="57">
        <f t="shared" si="8"/>
        <v>46401</v>
      </c>
    </row>
    <row r="172" spans="1:7">
      <c r="A172" s="83">
        <f t="shared" si="10"/>
        <v>171</v>
      </c>
      <c r="B172" s="55">
        <v>1.5580000000000001</v>
      </c>
      <c r="C172" s="84">
        <f t="shared" si="9"/>
        <v>85.968000000000032</v>
      </c>
      <c r="D172" s="56">
        <v>46402</v>
      </c>
      <c r="E172" s="57">
        <f t="shared" si="8"/>
        <v>46402</v>
      </c>
    </row>
    <row r="173" spans="1:7">
      <c r="A173" s="83">
        <f t="shared" si="10"/>
        <v>172</v>
      </c>
      <c r="B173" s="55">
        <v>1.5580000000000001</v>
      </c>
      <c r="C173" s="84">
        <f t="shared" si="9"/>
        <v>87.526000000000039</v>
      </c>
      <c r="D173" s="56">
        <v>46403</v>
      </c>
      <c r="E173" s="57">
        <f t="shared" si="8"/>
        <v>46403</v>
      </c>
    </row>
    <row r="174" spans="1:7">
      <c r="A174" s="83">
        <f t="shared" si="10"/>
        <v>173</v>
      </c>
      <c r="B174" s="55">
        <v>1.5580000000000001</v>
      </c>
      <c r="C174" s="84">
        <f t="shared" si="9"/>
        <v>89.084000000000046</v>
      </c>
      <c r="D174" s="56">
        <v>46404</v>
      </c>
      <c r="E174" s="57">
        <f t="shared" si="8"/>
        <v>46404</v>
      </c>
    </row>
    <row r="175" spans="1:7">
      <c r="A175" s="83">
        <f t="shared" si="10"/>
        <v>174</v>
      </c>
      <c r="B175" s="55">
        <v>1.5580000000000001</v>
      </c>
      <c r="C175" s="84">
        <f t="shared" si="9"/>
        <v>90.642000000000053</v>
      </c>
      <c r="D175" s="56">
        <v>46405</v>
      </c>
      <c r="E175" s="57">
        <f t="shared" si="8"/>
        <v>46405</v>
      </c>
    </row>
    <row r="176" spans="1:7">
      <c r="A176" s="83">
        <f t="shared" si="10"/>
        <v>175</v>
      </c>
      <c r="B176" s="55">
        <v>1.5580000000000001</v>
      </c>
      <c r="C176" s="84">
        <f t="shared" si="9"/>
        <v>92.20000000000006</v>
      </c>
      <c r="D176" s="56">
        <v>46406</v>
      </c>
      <c r="E176" s="57">
        <f t="shared" si="8"/>
        <v>46406</v>
      </c>
    </row>
    <row r="177" spans="1:5">
      <c r="A177" s="83">
        <f t="shared" si="10"/>
        <v>176</v>
      </c>
      <c r="B177" s="55">
        <v>1.5580000000000001</v>
      </c>
      <c r="C177" s="84">
        <f t="shared" si="9"/>
        <v>93.758000000000067</v>
      </c>
      <c r="D177" s="56">
        <v>46407</v>
      </c>
      <c r="E177" s="57">
        <f t="shared" si="8"/>
        <v>46407</v>
      </c>
    </row>
    <row r="178" spans="1:5">
      <c r="A178" s="83">
        <f t="shared" si="10"/>
        <v>177</v>
      </c>
      <c r="B178" s="55">
        <v>1.5580000000000001</v>
      </c>
      <c r="C178" s="84">
        <f t="shared" si="9"/>
        <v>95.316000000000074</v>
      </c>
      <c r="D178" s="56">
        <v>46408</v>
      </c>
      <c r="E178" s="57">
        <f t="shared" si="8"/>
        <v>46408</v>
      </c>
    </row>
    <row r="179" spans="1:5">
      <c r="A179" s="83">
        <f t="shared" si="10"/>
        <v>178</v>
      </c>
      <c r="B179" s="55">
        <v>1.5580000000000001</v>
      </c>
      <c r="C179" s="84">
        <f t="shared" si="9"/>
        <v>96.87400000000008</v>
      </c>
      <c r="D179" s="56">
        <v>46409</v>
      </c>
      <c r="E179" s="57">
        <f t="shared" si="8"/>
        <v>46409</v>
      </c>
    </row>
    <row r="180" spans="1:5">
      <c r="A180" s="83">
        <f t="shared" si="10"/>
        <v>179</v>
      </c>
      <c r="B180" s="55">
        <v>1.5580000000000001</v>
      </c>
      <c r="C180" s="84">
        <f t="shared" si="9"/>
        <v>98.432000000000087</v>
      </c>
      <c r="D180" s="56">
        <v>46410</v>
      </c>
      <c r="E180" s="57">
        <f t="shared" si="8"/>
        <v>46410</v>
      </c>
    </row>
    <row r="181" spans="1:5">
      <c r="A181" s="83">
        <f t="shared" si="10"/>
        <v>180</v>
      </c>
      <c r="B181" s="55">
        <v>1.57</v>
      </c>
      <c r="C181" s="84">
        <f t="shared" si="9"/>
        <v>100.00200000000008</v>
      </c>
      <c r="D181" s="56">
        <v>46411</v>
      </c>
      <c r="E181" s="57">
        <f t="shared" si="8"/>
        <v>46411</v>
      </c>
    </row>
    <row r="182" spans="1:5">
      <c r="A182" s="83"/>
      <c r="C182" s="84"/>
      <c r="D182" s="56"/>
      <c r="E182" s="57"/>
    </row>
    <row r="183" spans="1:5">
      <c r="A183" s="83"/>
      <c r="C183" s="84"/>
      <c r="D183" s="56"/>
      <c r="E183" s="57"/>
    </row>
    <row r="184" spans="1:5">
      <c r="A184" s="83"/>
      <c r="C184" s="84"/>
      <c r="D184" s="56"/>
      <c r="E184" s="57"/>
    </row>
    <row r="185" spans="1:5">
      <c r="A185" s="83"/>
      <c r="C185" s="84"/>
      <c r="D185" s="56"/>
      <c r="E185" s="57"/>
    </row>
    <row r="186" spans="1:5">
      <c r="A186" s="83"/>
      <c r="C186" s="84"/>
      <c r="D186" s="56"/>
      <c r="E186" s="57"/>
    </row>
    <row r="187" spans="1:5">
      <c r="A187" s="83"/>
      <c r="C187" s="84"/>
      <c r="D187" s="56"/>
      <c r="E187" s="57"/>
    </row>
    <row r="188" spans="1:5">
      <c r="A188" s="83"/>
      <c r="C188" s="84"/>
      <c r="D188" s="56"/>
      <c r="E188" s="57"/>
    </row>
    <row r="189" spans="1:5">
      <c r="A189" s="83"/>
      <c r="C189" s="84"/>
      <c r="D189" s="56"/>
      <c r="E189" s="57"/>
    </row>
    <row r="190" spans="1:5">
      <c r="A190" s="83"/>
      <c r="C190" s="84"/>
      <c r="D190" s="56"/>
      <c r="E190" s="57"/>
    </row>
    <row r="191" spans="1:5">
      <c r="A191" s="83"/>
      <c r="C191" s="84"/>
      <c r="D191" s="56"/>
      <c r="E191" s="57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/>
  <dimension ref="A1:R47"/>
  <sheetViews>
    <sheetView zoomScale="70" zoomScaleNormal="70" workbookViewId="0">
      <selection activeCell="J24" sqref="J24"/>
    </sheetView>
  </sheetViews>
  <sheetFormatPr defaultRowHeight="16.5"/>
  <cols>
    <col min="2" max="2" width="29.75" customWidth="1"/>
    <col min="8" max="8" width="16.875" style="89" bestFit="1" customWidth="1"/>
    <col min="9" max="9" width="14.75" style="90" customWidth="1"/>
    <col min="10" max="10" width="16.125" style="213" bestFit="1" customWidth="1"/>
    <col min="11" max="11" width="15" customWidth="1"/>
    <col min="12" max="12" width="14.375" customWidth="1"/>
    <col min="17" max="17" width="9.5" bestFit="1" customWidth="1"/>
    <col min="18" max="18" width="10.5" bestFit="1" customWidth="1"/>
  </cols>
  <sheetData>
    <row r="1" spans="1:18">
      <c r="A1" s="226"/>
      <c r="B1" s="227"/>
      <c r="C1" s="226"/>
      <c r="D1" s="228"/>
      <c r="E1" s="229"/>
      <c r="G1" s="23"/>
      <c r="H1" s="94"/>
      <c r="I1" s="91"/>
    </row>
    <row r="2" spans="1:18">
      <c r="A2" s="226"/>
      <c r="B2" s="230"/>
      <c r="C2" s="231"/>
      <c r="D2" s="232"/>
      <c r="E2" s="229"/>
      <c r="F2" s="10"/>
      <c r="G2" s="10"/>
      <c r="J2" s="214"/>
      <c r="K2" s="98"/>
      <c r="L2" s="97"/>
    </row>
    <row r="3" spans="1:18">
      <c r="A3" s="226"/>
      <c r="B3" s="226"/>
      <c r="C3" s="230"/>
      <c r="D3" s="231"/>
      <c r="E3" s="232"/>
      <c r="F3" s="229"/>
      <c r="G3" s="155"/>
    </row>
    <row r="4" spans="1:18">
      <c r="A4" s="226"/>
      <c r="B4" s="226"/>
      <c r="C4" s="230"/>
      <c r="D4" s="231"/>
      <c r="E4" s="232"/>
      <c r="F4" s="229"/>
      <c r="G4" s="155"/>
    </row>
    <row r="5" spans="1:18">
      <c r="A5" s="226"/>
      <c r="B5" s="226"/>
      <c r="C5" s="230"/>
      <c r="D5" s="231"/>
      <c r="E5" s="232"/>
      <c r="F5" s="229"/>
      <c r="G5" s="155"/>
    </row>
    <row r="6" spans="1:18">
      <c r="A6" s="226"/>
      <c r="B6" s="226"/>
      <c r="C6" s="233"/>
      <c r="D6" s="234"/>
      <c r="E6" s="232"/>
      <c r="F6" s="229"/>
      <c r="G6" s="155"/>
    </row>
    <row r="7" spans="1:18">
      <c r="A7" s="226"/>
      <c r="B7" s="226"/>
      <c r="C7" s="233"/>
      <c r="D7" s="235"/>
      <c r="E7" s="232"/>
      <c r="F7" s="229"/>
      <c r="G7" s="155"/>
    </row>
    <row r="8" spans="1:18">
      <c r="A8" s="226"/>
      <c r="B8" s="226"/>
      <c r="C8" s="233"/>
      <c r="D8" s="234"/>
      <c r="E8" s="232"/>
      <c r="F8" s="229"/>
      <c r="G8" s="155"/>
    </row>
    <row r="9" spans="1:18">
      <c r="A9" s="226"/>
      <c r="B9" s="226"/>
      <c r="C9" s="227"/>
      <c r="D9" s="231"/>
      <c r="E9" s="232"/>
      <c r="F9" s="229"/>
      <c r="G9" s="155"/>
    </row>
    <row r="10" spans="1:18">
      <c r="A10" s="226"/>
      <c r="B10" s="226"/>
      <c r="C10" s="227"/>
      <c r="D10" s="231"/>
      <c r="E10" s="232"/>
      <c r="F10" s="229"/>
      <c r="G10" s="155"/>
    </row>
    <row r="11" spans="1:18">
      <c r="A11" s="226"/>
      <c r="B11" s="226"/>
      <c r="C11" s="227"/>
      <c r="D11" s="234"/>
      <c r="E11" s="232"/>
      <c r="F11" s="229"/>
      <c r="G11" s="155"/>
    </row>
    <row r="12" spans="1:18">
      <c r="A12" s="226"/>
      <c r="B12" s="226"/>
      <c r="C12" s="233"/>
      <c r="D12" s="234"/>
      <c r="E12" s="232"/>
      <c r="F12" s="229"/>
      <c r="G12" s="155"/>
    </row>
    <row r="13" spans="1:18">
      <c r="A13" s="226"/>
      <c r="B13" s="226"/>
      <c r="C13" s="233"/>
      <c r="D13" s="234"/>
      <c r="E13" s="232"/>
      <c r="F13" s="229"/>
      <c r="G13" s="155"/>
    </row>
    <row r="14" spans="1:18">
      <c r="A14" s="226"/>
      <c r="B14" s="226"/>
      <c r="C14" s="233"/>
      <c r="D14" s="234"/>
      <c r="E14" s="232"/>
      <c r="F14" s="229"/>
      <c r="G14" s="155"/>
      <c r="Q14" s="191"/>
      <c r="R14" s="191"/>
    </row>
    <row r="15" spans="1:18">
      <c r="A15" s="226"/>
      <c r="B15" s="226"/>
      <c r="C15" s="233"/>
      <c r="D15" s="234"/>
      <c r="E15" s="232"/>
      <c r="F15" s="229"/>
      <c r="G15" s="155"/>
    </row>
    <row r="16" spans="1:18">
      <c r="A16" s="226"/>
      <c r="B16" s="226"/>
      <c r="C16" s="233"/>
      <c r="D16" s="234"/>
      <c r="E16" s="232"/>
      <c r="F16" s="229"/>
      <c r="G16" s="155"/>
    </row>
    <row r="17" spans="1:7">
      <c r="A17" s="226"/>
      <c r="B17" s="226"/>
      <c r="C17" s="233"/>
      <c r="D17" s="234"/>
      <c r="E17" s="232"/>
      <c r="F17" s="229"/>
      <c r="G17" s="155"/>
    </row>
    <row r="18" spans="1:7">
      <c r="A18" s="226"/>
      <c r="B18" s="226"/>
      <c r="C18" s="233"/>
      <c r="D18" s="234"/>
      <c r="E18" s="232"/>
      <c r="F18" s="229"/>
      <c r="G18" s="155"/>
    </row>
    <row r="19" spans="1:7">
      <c r="A19" s="226"/>
      <c r="B19" s="226"/>
      <c r="C19" s="233"/>
      <c r="D19" s="234"/>
      <c r="E19" s="232"/>
      <c r="F19" s="229"/>
      <c r="G19" s="155"/>
    </row>
    <row r="20" spans="1:7">
      <c r="A20" s="226"/>
      <c r="B20" s="226"/>
      <c r="C20" s="233"/>
      <c r="D20" s="234"/>
      <c r="E20" s="232"/>
      <c r="F20" s="229"/>
      <c r="G20" s="155"/>
    </row>
    <row r="21" spans="1:7">
      <c r="A21" s="226"/>
      <c r="B21" s="226"/>
      <c r="C21" s="236"/>
      <c r="D21" s="235"/>
      <c r="E21" s="232"/>
      <c r="F21" s="229"/>
      <c r="G21" s="155"/>
    </row>
    <row r="22" spans="1:7">
      <c r="A22" s="226"/>
      <c r="B22" s="226"/>
      <c r="C22" s="233"/>
      <c r="D22" s="234"/>
      <c r="E22" s="232"/>
      <c r="F22" s="229"/>
      <c r="G22" s="155"/>
    </row>
    <row r="23" spans="1:7">
      <c r="A23" s="226"/>
      <c r="B23" s="226"/>
      <c r="C23" s="233"/>
      <c r="D23" s="234"/>
      <c r="E23" s="232"/>
      <c r="F23" s="229"/>
      <c r="G23" s="155"/>
    </row>
    <row r="24" spans="1:7">
      <c r="A24" s="226"/>
      <c r="B24" s="226"/>
      <c r="C24" s="233"/>
      <c r="D24" s="234"/>
      <c r="E24" s="232"/>
      <c r="F24" s="229"/>
      <c r="G24" s="155"/>
    </row>
    <row r="25" spans="1:7">
      <c r="A25" s="226"/>
      <c r="B25" s="226"/>
      <c r="C25" s="233"/>
      <c r="D25" s="234"/>
      <c r="E25" s="232"/>
      <c r="F25" s="229"/>
      <c r="G25" s="155"/>
    </row>
    <row r="26" spans="1:7">
      <c r="A26" s="226"/>
      <c r="B26" s="226"/>
      <c r="C26" s="233"/>
      <c r="D26" s="234"/>
      <c r="E26" s="232"/>
      <c r="F26" s="229"/>
      <c r="G26" s="155"/>
    </row>
    <row r="27" spans="1:7">
      <c r="A27" s="226"/>
      <c r="B27" s="226"/>
      <c r="C27" s="233"/>
      <c r="D27" s="234"/>
      <c r="E27" s="232"/>
      <c r="F27" s="229"/>
      <c r="G27" s="155"/>
    </row>
    <row r="28" spans="1:7">
      <c r="A28" s="226"/>
      <c r="B28" s="226"/>
      <c r="C28" s="233"/>
      <c r="D28" s="234"/>
      <c r="E28" s="232"/>
      <c r="F28" s="229"/>
      <c r="G28" s="155"/>
    </row>
    <row r="29" spans="1:7">
      <c r="A29" s="226"/>
      <c r="B29" s="226"/>
      <c r="C29" s="233"/>
      <c r="D29" s="234"/>
      <c r="E29" s="232"/>
      <c r="F29" s="229"/>
      <c r="G29" s="155"/>
    </row>
    <row r="30" spans="1:7">
      <c r="A30" s="226"/>
      <c r="B30" s="226"/>
      <c r="C30" s="227"/>
      <c r="D30" s="234"/>
      <c r="E30" s="232"/>
      <c r="F30" s="229"/>
      <c r="G30" s="155"/>
    </row>
    <row r="31" spans="1:7">
      <c r="A31" s="226"/>
      <c r="B31" s="226"/>
      <c r="C31" s="227"/>
      <c r="D31" s="234"/>
      <c r="E31" s="232"/>
      <c r="F31" s="229"/>
      <c r="G31" s="155"/>
    </row>
    <row r="32" spans="1:7">
      <c r="A32" s="226"/>
      <c r="B32" s="226"/>
      <c r="C32" s="227"/>
      <c r="D32" s="234"/>
      <c r="E32" s="232"/>
      <c r="F32" s="237"/>
      <c r="G32" s="155"/>
    </row>
    <row r="33" spans="1:11">
      <c r="A33" s="238"/>
      <c r="B33" s="226"/>
      <c r="C33" s="227"/>
      <c r="D33" s="234"/>
      <c r="E33" s="232"/>
      <c r="F33" s="237"/>
      <c r="G33" s="155"/>
      <c r="J33" s="215"/>
    </row>
    <row r="34" spans="1:11">
      <c r="A34" s="238"/>
      <c r="B34" s="238"/>
      <c r="C34" s="233"/>
      <c r="D34" s="238"/>
      <c r="E34" s="237"/>
      <c r="F34" s="237"/>
      <c r="G34" s="155"/>
    </row>
    <row r="35" spans="1:11">
      <c r="A35" s="238"/>
      <c r="B35" s="238"/>
      <c r="C35" s="233"/>
      <c r="D35" s="238"/>
      <c r="E35" s="237"/>
      <c r="F35" s="237"/>
      <c r="G35" s="155"/>
    </row>
    <row r="36" spans="1:11">
      <c r="A36" s="238"/>
      <c r="B36" s="238"/>
      <c r="C36" s="233"/>
      <c r="D36" s="238"/>
      <c r="E36" s="237"/>
      <c r="F36" s="237"/>
      <c r="G36" s="155"/>
      <c r="I36" s="92"/>
    </row>
    <row r="37" spans="1:11">
      <c r="A37" s="238"/>
      <c r="B37" s="238"/>
      <c r="C37" s="233"/>
      <c r="D37" s="238"/>
      <c r="E37" s="237"/>
      <c r="F37" s="237"/>
      <c r="G37" s="155"/>
      <c r="H37" s="239"/>
      <c r="I37" s="93"/>
    </row>
    <row r="38" spans="1:11">
      <c r="B38" s="238"/>
      <c r="C38" s="233"/>
      <c r="D38" s="238"/>
      <c r="E38" s="237"/>
      <c r="F38" s="229"/>
      <c r="G38" s="155"/>
    </row>
    <row r="39" spans="1:11">
      <c r="C39" s="192"/>
      <c r="D39" s="197"/>
      <c r="E39" s="198"/>
      <c r="F39" s="198"/>
      <c r="G39" s="155"/>
      <c r="J39" s="215"/>
    </row>
    <row r="40" spans="1:11">
      <c r="C40" s="192"/>
      <c r="D40" s="197"/>
      <c r="E40" s="198"/>
      <c r="F40" s="198"/>
      <c r="G40" s="155"/>
    </row>
    <row r="41" spans="1:11">
      <c r="B41" s="192"/>
      <c r="C41" s="197"/>
      <c r="D41" s="198"/>
      <c r="E41" s="198"/>
      <c r="F41" s="198"/>
      <c r="G41" s="155"/>
    </row>
    <row r="42" spans="1:11">
      <c r="B42" s="192"/>
      <c r="C42" s="197"/>
      <c r="D42" s="198"/>
      <c r="E42" s="198"/>
      <c r="F42" s="198"/>
      <c r="G42" s="155"/>
    </row>
    <row r="43" spans="1:11">
      <c r="B43" s="192"/>
      <c r="C43" s="197"/>
      <c r="D43" s="198"/>
      <c r="E43" s="198"/>
      <c r="F43" s="198"/>
      <c r="G43" s="155"/>
    </row>
    <row r="44" spans="1:11">
      <c r="B44" s="192"/>
      <c r="C44" s="197"/>
      <c r="D44" s="198"/>
      <c r="E44" s="198"/>
      <c r="F44" s="198"/>
      <c r="G44" s="155"/>
    </row>
    <row r="45" spans="1:11">
      <c r="B45" s="192"/>
      <c r="C45" s="197"/>
      <c r="D45" s="198"/>
      <c r="E45" s="198"/>
      <c r="F45" s="198"/>
      <c r="G45" s="155"/>
    </row>
    <row r="46" spans="1:11">
      <c r="J46" s="215"/>
      <c r="K46" s="18"/>
    </row>
    <row r="47" spans="1:11">
      <c r="K47" s="18"/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45</vt:i4>
      </vt:variant>
    </vt:vector>
  </HeadingPairs>
  <TitlesOfParts>
    <vt:vector size="54" baseType="lpstr">
      <vt:lpstr>施工日誌封面</vt:lpstr>
      <vt:lpstr>自主檢查表</vt:lpstr>
      <vt:lpstr>封面</vt:lpstr>
      <vt:lpstr>工期不計</vt:lpstr>
      <vt:lpstr>內容</vt:lpstr>
      <vt:lpstr>施工日誌</vt:lpstr>
      <vt:lpstr>新監造</vt:lpstr>
      <vt:lpstr>進度</vt:lpstr>
      <vt:lpstr>工作表2</vt:lpstr>
      <vt:lpstr>內容!Print_Area</vt:lpstr>
      <vt:lpstr>自主檢查表!Print_Area</vt:lpstr>
      <vt:lpstr>封面!Print_Area</vt:lpstr>
      <vt:lpstr>施工日誌!Print_Area</vt:lpstr>
      <vt:lpstr>施工日誌封面!Print_Area</vt:lpstr>
      <vt:lpstr>新監造!Print_Area</vt:lpstr>
      <vt:lpstr>一混凝土抗壓強度</vt:lpstr>
      <vt:lpstr>二瀝青舖面厚度</vt:lpstr>
      <vt:lpstr>三工地密度</vt:lpstr>
      <vt:lpstr>上午天氣</vt:lpstr>
      <vt:lpstr>下午天氣</vt:lpstr>
      <vt:lpstr>封面!土木</vt:lpstr>
      <vt:lpstr>工地密度</vt:lpstr>
      <vt:lpstr>工地密度一</vt:lpstr>
      <vt:lpstr>工別</vt:lpstr>
      <vt:lpstr>五含油量檢測</vt:lpstr>
      <vt:lpstr>六鋼筋試驗</vt:lpstr>
      <vt:lpstr>日期</vt:lpstr>
      <vt:lpstr>出工數</vt:lpstr>
      <vt:lpstr>四氯離子檢測</vt:lpstr>
      <vt:lpstr>本日完成</vt:lpstr>
      <vt:lpstr>含油量檢測</vt:lpstr>
      <vt:lpstr>完成數量</vt:lpstr>
      <vt:lpstr>抗壓強度</vt:lpstr>
      <vt:lpstr>其他事項紀錄</vt:lpstr>
      <vt:lpstr>契約單價</vt:lpstr>
      <vt:lpstr>契約數量</vt:lpstr>
      <vt:lpstr>施工取樣試驗紀錄</vt:lpstr>
      <vt:lpstr>施工項目</vt:lpstr>
      <vt:lpstr>星期</vt:lpstr>
      <vt:lpstr>重要事項紀錄</vt:lpstr>
      <vt:lpstr>混凝土抗壓強度</vt:lpstr>
      <vt:lpstr>累計工期</vt:lpstr>
      <vt:lpstr>累計完成</vt:lpstr>
      <vt:lpstr>通知辦理事項</vt:lpstr>
      <vt:lpstr>剩餘工期</vt:lpstr>
      <vt:lpstr>單位</vt:lpstr>
      <vt:lpstr>氯離子檢測</vt:lpstr>
      <vt:lpstr>預定進度</vt:lpstr>
      <vt:lpstr>機具</vt:lpstr>
      <vt:lpstr>機具數</vt:lpstr>
      <vt:lpstr>鋼筋取樣</vt:lpstr>
      <vt:lpstr>鋼筋試驗</vt:lpstr>
      <vt:lpstr>瀝青舖面厚度</vt:lpstr>
      <vt:lpstr>瀝青檢測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KM LU</cp:lastModifiedBy>
  <cp:lastPrinted>2026-08-28T05:38:23Z</cp:lastPrinted>
  <dcterms:created xsi:type="dcterms:W3CDTF">2004-12-30T01:12:20Z</dcterms:created>
  <dcterms:modified xsi:type="dcterms:W3CDTF">2026-08-28T06:06:25Z</dcterms:modified>
</cp:coreProperties>
</file>